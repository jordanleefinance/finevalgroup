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6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17.xml" ContentType="application/vnd.openxmlformats-officedocument.spreadsheetml.worksheet+xml"/>
  <Override PartName="/xl/pivotCache/pivotCacheDefinition3.xml" ContentType="application/vnd.openxmlformats-officedocument.spreadsheetml.pivotCacheDefinition+xml"/>
  <Override PartName="/xl/pivotTables/pivotTable3.xml" ContentType="application/vnd.openxmlformats-officedocument.spreadsheetml.pivotTable+xml"/>
  <Override PartName="/xl/worksheets/sheet18.xml" ContentType="application/vnd.openxmlformats-officedocument.spreadsheetml.worksheet+xml"/>
  <Override PartName="/xl/comments/comment3.xml" ContentType="application/vnd.openxmlformats-officedocument.spreadsheetml.comments+xml"/>
  <Override PartName="/xl/worksheets/sheet19.xml" ContentType="application/vnd.openxmlformats-officedocument.spreadsheetml.worksheet+xml"/>
  <Override PartName="/xl/drawings/drawing11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Records4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Tables/pivotTable4.xml" ContentType="application/vnd.openxmlformats-officedocument.spreadsheetml.pivotTable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58" firstSheet="5" activeTab="12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Annual Summary" sheetId="2" state="visible" r:id="rId2"/>
    <sheet xmlns:r="http://schemas.openxmlformats.org/officeDocument/2006/relationships" name="2025 AOP" sheetId="3" state="visible" r:id="rId3"/>
    <sheet xmlns:r="http://schemas.openxmlformats.org/officeDocument/2006/relationships" name="2023 Overview" sheetId="4" state="hidden" r:id="rId4"/>
    <sheet xmlns:r="http://schemas.openxmlformats.org/officeDocument/2006/relationships" name="2026 AOP" sheetId="5" state="visible" r:id="rId5"/>
    <sheet xmlns:r="http://schemas.openxmlformats.org/officeDocument/2006/relationships" name="2025 Overview (Rolling)" sheetId="6" state="visible" r:id="rId6"/>
    <sheet xmlns:r="http://schemas.openxmlformats.org/officeDocument/2006/relationships" name="2025 Overview (Budget)" sheetId="7" state="visible" r:id="rId7"/>
    <sheet xmlns:r="http://schemas.openxmlformats.org/officeDocument/2006/relationships" name="2024 Overview (Rolling)" sheetId="8" state="hidden" r:id="rId8"/>
    <sheet xmlns:r="http://schemas.openxmlformats.org/officeDocument/2006/relationships" name="2024 AOP" sheetId="9" state="hidden" r:id="rId9"/>
    <sheet xmlns:r="http://schemas.openxmlformats.org/officeDocument/2006/relationships" name="Quarterly Overview" sheetId="10" state="visible" r:id="rId10"/>
    <sheet xmlns:r="http://schemas.openxmlformats.org/officeDocument/2006/relationships" name="2022 Overview" sheetId="11" state="hidden" r:id="rId11"/>
    <sheet xmlns:r="http://schemas.openxmlformats.org/officeDocument/2006/relationships" name="2" sheetId="12" state="visible" r:id="rId12"/>
    <sheet xmlns:r="http://schemas.openxmlformats.org/officeDocument/2006/relationships" name="Monthly Detail" sheetId="13" state="visible" r:id="rId13"/>
    <sheet xmlns:r="http://schemas.openxmlformats.org/officeDocument/2006/relationships" name="3" sheetId="14" state="visible" r:id="rId14"/>
    <sheet xmlns:r="http://schemas.openxmlformats.org/officeDocument/2006/relationships" name="October" sheetId="15" state="hidden" r:id="rId15"/>
    <sheet xmlns:r="http://schemas.openxmlformats.org/officeDocument/2006/relationships" name="September" sheetId="16" state="hidden" r:id="rId16"/>
    <sheet xmlns:r="http://schemas.openxmlformats.org/officeDocument/2006/relationships" name="August" sheetId="17" state="hidden" r:id="rId17"/>
    <sheet xmlns:r="http://schemas.openxmlformats.org/officeDocument/2006/relationships" name="People Plan" sheetId="18" state="visible" r:id="rId18"/>
    <sheet xmlns:r="http://schemas.openxmlformats.org/officeDocument/2006/relationships" name="Actual vs. Forecast" sheetId="19" state="visible" r:id="rId19"/>
    <sheet xmlns:r="http://schemas.openxmlformats.org/officeDocument/2006/relationships" name="Holidays" sheetId="20" state="hidden" r:id="rId20"/>
    <sheet xmlns:r="http://schemas.openxmlformats.org/officeDocument/2006/relationships" name="December" sheetId="21" state="hidden" r:id="rId21"/>
    <sheet xmlns:r="http://schemas.openxmlformats.org/officeDocument/2006/relationships" name="November" sheetId="22" state="hidden" r:id="rId22"/>
    <sheet xmlns:r="http://schemas.openxmlformats.org/officeDocument/2006/relationships" name="River" sheetId="23" state="hidden" r:id="rId23"/>
  </sheets>
  <externalReferences>
    <externalReference xmlns:r="http://schemas.openxmlformats.org/officeDocument/2006/relationships" r:id="rId28"/>
  </externalReferences>
  <definedNames>
    <definedName name="MLNK04527a7a692d4c5a962de6ed08306286" hidden="1">#REF!</definedName>
    <definedName name="_xlnm.Print_Area" localSheetId="1">'Annual Summary'!$B$3:$AB$38</definedName>
    <definedName name="_xlnm.Print_Area" localSheetId="10">'2022 Overview'!$B$2:$P$31</definedName>
    <definedName name="_xlnm._FilterDatabase" localSheetId="14" hidden="1">'October'!$A$1:$K$41</definedName>
    <definedName name="_xlnm._FilterDatabase" localSheetId="20" hidden="1">'December'!$A$1:$K$16</definedName>
    <definedName name="_xlnm._FilterDatabase" localSheetId="21" hidden="1">'November'!$A$1:$L$25</definedName>
  </definedNames>
  <calcPr calcId="191029" fullCalcOnLoad="1"/>
  <pivotCaches>
    <pivotCache xmlns:r="http://schemas.openxmlformats.org/officeDocument/2006/relationships" cacheId="2" r:id="rId24"/>
    <pivotCache xmlns:r="http://schemas.openxmlformats.org/officeDocument/2006/relationships" cacheId="1" r:id="rId25"/>
    <pivotCache xmlns:r="http://schemas.openxmlformats.org/officeDocument/2006/relationships" cacheId="0" r:id="rId26"/>
    <pivotCache xmlns:r="http://schemas.openxmlformats.org/officeDocument/2006/relationships" cacheId="3" r:id="rId27"/>
  </pivotCaches>
</workbook>
</file>

<file path=xl/styles.xml><?xml version="1.0" encoding="utf-8"?>
<styleSheet xmlns="http://schemas.openxmlformats.org/spreadsheetml/2006/main">
  <numFmts count="17">
    <numFmt numFmtId="164" formatCode="#,##0.00\ _€"/>
    <numFmt numFmtId="165" formatCode="_(&quot;$&quot;* #,##0.00_);_(&quot;$&quot;* \(#,##0.00\);_(&quot;$&quot;* &quot;-&quot;??_);_(@_)"/>
    <numFmt numFmtId="166" formatCode="m/d/yyyy;@"/>
    <numFmt numFmtId="167" formatCode="_(* #,##0_);_(* \(#,##0\);_(* &quot;-&quot;??_);_(@_)"/>
    <numFmt numFmtId="168" formatCode="&quot;$&quot;* #,##0.00\ _€"/>
    <numFmt numFmtId="169" formatCode="_(* #,##0.0_);_(* \(#,##0.0\);_(* &quot;-&quot;??_);_(@_)"/>
    <numFmt numFmtId="170" formatCode="[$-409]mmmm;@"/>
    <numFmt numFmtId="171" formatCode="[$-409]mmmm\-yy;@"/>
    <numFmt numFmtId="172" formatCode="_(&quot;$&quot;* #,##0_);_(&quot;$&quot;* \(#,##0\);_(&quot;$&quot;* &quot;-&quot;??_);_(@_)"/>
    <numFmt numFmtId="173" formatCode="_([$$]#,##0_)_%;\([$$]#,##0\)_%;_(&quot;–&quot;_)_%;_(@_)_%"/>
    <numFmt numFmtId="174" formatCode="_(#,##0.0%_);\(#,##0.0%\);_(&quot;–&quot;_)_%;_(@_)_%"/>
    <numFmt numFmtId="175" formatCode="0.0%"/>
    <numFmt numFmtId="176" formatCode="0.00000"/>
    <numFmt numFmtId="177" formatCode="0.00\ \x"/>
    <numFmt numFmtId="178" formatCode="_(* #\ ##0.00_)&quot;months&quot;;_(* #\ ##0.00_);_(* &quot;-&quot;??_);_(@_)"/>
    <numFmt numFmtId="179" formatCode="0\ &quot;hours&quot;"/>
    <numFmt numFmtId="180" formatCode="[$-409]mmmm\ yyyy;@"/>
  </numFmts>
  <fonts count="69">
    <font>
      <name val="Calibri"/>
      <family val="2"/>
      <color indexed="8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indexed="8"/>
      <sz val="8"/>
    </font>
    <font>
      <name val="Arial"/>
      <family val="2"/>
      <color indexed="8"/>
      <sz val="8"/>
    </font>
    <font>
      <name val="Calibri"/>
      <family val="2"/>
      <color indexed="8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i val="1"/>
      <color indexed="8"/>
      <sz val="11"/>
      <scheme val="minor"/>
    </font>
    <font>
      <name val="Arial"/>
      <family val="2"/>
      <b val="1"/>
      <color indexed="8"/>
      <sz val="8"/>
    </font>
    <font>
      <name val="Calibri"/>
      <family val="2"/>
      <i val="1"/>
      <color rgb="FF000000"/>
      <sz val="11"/>
      <scheme val="minor"/>
    </font>
    <font>
      <name val="Calibri"/>
      <family val="2"/>
      <i val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color rgb="FF0000FF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4"/>
      <scheme val="minor"/>
    </font>
    <font>
      <name val="Calibri"/>
      <family val="2"/>
      <sz val="10"/>
      <scheme val="minor"/>
    </font>
    <font>
      <name val="Calibri"/>
      <family val="2"/>
      <i val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1"/>
      <u val="single"/>
      <scheme val="minor"/>
    </font>
    <font>
      <name val="Arial"/>
      <family val="2"/>
      <b val="1"/>
      <i val="1"/>
      <color indexed="8"/>
      <sz val="8"/>
    </font>
    <font>
      <name val="Arial"/>
      <family val="2"/>
      <color theme="4"/>
      <sz val="8"/>
    </font>
    <font>
      <name val="Calibri"/>
      <family val="2"/>
      <b val="1"/>
      <color theme="9"/>
      <sz val="11"/>
      <scheme val="minor"/>
    </font>
    <font>
      <name val="Calibri"/>
      <family val="2"/>
      <color theme="4"/>
      <sz val="11"/>
      <scheme val="minor"/>
    </font>
    <font>
      <name val="Calibri"/>
      <family val="2"/>
      <color theme="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indexed="8"/>
      <sz val="12"/>
      <scheme val="minor"/>
    </font>
    <font>
      <name val="Calibri"/>
      <family val="2"/>
      <i val="1"/>
      <color theme="0"/>
      <sz val="11"/>
      <scheme val="minor"/>
    </font>
    <font>
      <name val="Calibri"/>
      <family val="2"/>
      <i val="1"/>
      <color indexed="8"/>
      <sz val="11"/>
      <scheme val="minor"/>
    </font>
    <font>
      <name val="Calibri"/>
      <family val="2"/>
      <i val="1"/>
      <color indexed="8"/>
      <sz val="8"/>
      <scheme val="minor"/>
    </font>
    <font>
      <name val="Calibri"/>
      <family val="2"/>
      <color indexed="8"/>
      <sz val="8"/>
      <scheme val="minor"/>
    </font>
    <font>
      <name val="Calibri"/>
      <family val="2"/>
      <b val="1"/>
      <i val="1"/>
      <color theme="0"/>
      <sz val="11"/>
      <scheme val="minor"/>
    </font>
    <font>
      <name val="Calibri"/>
      <family val="2"/>
      <b val="1"/>
      <sz val="12"/>
      <scheme val="minor"/>
    </font>
    <font>
      <name val="Calibri"/>
      <family val="2"/>
      <b val="1"/>
      <i val="1"/>
      <sz val="11"/>
      <scheme val="minor"/>
    </font>
    <font>
      <name val="Calibri"/>
      <family val="2"/>
      <color theme="9"/>
      <sz val="11"/>
      <scheme val="minor"/>
    </font>
    <font>
      <name val="Times New Roman"/>
      <family val="1"/>
      <color theme="0"/>
      <sz val="11"/>
    </font>
    <font>
      <name val="Calibri"/>
      <family val="2"/>
      <color indexed="8"/>
      <sz val="10"/>
      <scheme val="minor"/>
    </font>
    <font>
      <name val="Arial"/>
      <family val="2"/>
      <b val="1"/>
      <color theme="0"/>
      <sz val="10"/>
    </font>
    <font>
      <name val="Times New Roman"/>
      <family val="1"/>
      <b val="1"/>
      <color indexed="8"/>
      <sz val="10"/>
    </font>
    <font>
      <name val="Times New Roman"/>
      <family val="1"/>
      <b val="1"/>
      <sz val="10"/>
    </font>
    <font>
      <name val="Times New Roman"/>
      <family val="1"/>
      <color rgb="FF000000"/>
      <sz val="10"/>
    </font>
    <font>
      <name val="Times New Roman"/>
      <family val="1"/>
      <i val="1"/>
      <color rgb="FF000000"/>
      <sz val="10"/>
    </font>
    <font>
      <name val="Times New Roman"/>
      <family val="1"/>
      <sz val="10"/>
    </font>
    <font>
      <name val="Times New Roman"/>
      <family val="1"/>
      <i val="1"/>
      <sz val="10"/>
    </font>
    <font>
      <name val="Calibri"/>
      <family val="2"/>
      <b val="1"/>
      <color indexed="8"/>
      <sz val="12"/>
      <scheme val="minor"/>
    </font>
    <font>
      <name val="Calibri"/>
      <family val="2"/>
      <i val="1"/>
      <color rgb="FF0000FF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i val="1"/>
      <color rgb="FF0000FF"/>
      <sz val="11"/>
      <scheme val="minor"/>
    </font>
    <font>
      <name val="Calibri"/>
      <family val="2"/>
      <i val="1"/>
      <color rgb="FFFF0000"/>
      <sz val="10"/>
      <scheme val="minor"/>
    </font>
    <font>
      <name val="Calibri"/>
      <family val="2"/>
      <i val="1"/>
      <color rgb="FFFF0000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Arial"/>
      <family val="2"/>
      <color theme="9"/>
      <sz val="8"/>
    </font>
    <font>
      <name val="Arial"/>
      <family val="2"/>
      <b val="1"/>
      <sz val="8"/>
    </font>
    <font>
      <name val="Arial"/>
      <family val="2"/>
      <color rgb="FF0000FF"/>
      <sz val="8"/>
    </font>
    <font>
      <name val="Arial"/>
      <family val="2"/>
      <sz val="8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8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i val="1"/>
      <color rgb="FFFFFF00"/>
      <sz val="11"/>
      <scheme val="minor"/>
    </font>
    <font>
      <name val="Calibri"/>
      <family val="2"/>
      <color rgb="FF0070C0"/>
      <sz val="11"/>
      <scheme val="minor"/>
    </font>
    <font>
      <name val="Arial"/>
      <family val="2"/>
      <b val="1"/>
      <color rgb="FF0070C0"/>
      <sz val="8"/>
    </font>
  </fonts>
  <fills count="1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tted">
        <color auto="1"/>
      </right>
      <top/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/>
      <diagonal/>
    </border>
    <border>
      <left style="dotted">
        <color auto="1"/>
      </left>
      <right style="dotted">
        <color auto="1"/>
      </right>
      <top style="thin">
        <color indexed="64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n">
        <color indexed="64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thin">
        <color indexed="64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 style="dotted">
        <color auto="1"/>
      </left>
      <right/>
      <top style="thin">
        <color indexed="64"/>
      </top>
      <bottom style="medium">
        <color indexed="64"/>
      </bottom>
      <diagonal/>
    </border>
    <border>
      <left style="dotted">
        <color auto="1"/>
      </left>
      <right/>
      <top style="medium">
        <color indexed="64"/>
      </top>
      <bottom/>
      <diagonal/>
    </border>
    <border>
      <left style="dotted">
        <color auto="1"/>
      </left>
      <right/>
      <top style="thin">
        <color indexed="64"/>
      </top>
      <bottom style="thin">
        <color auto="1"/>
      </bottom>
      <diagonal/>
    </border>
    <border>
      <left style="dotted">
        <color auto="1"/>
      </left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medium">
        <color indexed="64"/>
      </left>
      <right style="hair">
        <color indexed="64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/>
      <diagonal/>
    </border>
    <border>
      <left/>
      <right style="dotted">
        <color auto="1"/>
      </right>
      <top style="thick">
        <color auto="1"/>
      </top>
      <bottom/>
      <diagonal/>
    </border>
    <border>
      <left/>
      <right style="dotted">
        <color auto="1"/>
      </right>
      <top style="thin">
        <color indexed="64"/>
      </top>
      <bottom style="medium">
        <color indexed="64"/>
      </bottom>
      <diagonal/>
    </border>
    <border>
      <left/>
      <right style="dotted">
        <color auto="1"/>
      </right>
      <top style="medium">
        <color indexed="64"/>
      </top>
      <bottom/>
      <diagonal/>
    </border>
    <border>
      <left/>
      <right style="dotted">
        <color auto="1"/>
      </right>
      <top style="thin">
        <color indexed="64"/>
      </top>
      <bottom style="thin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/>
      <right style="thick">
        <color auto="1"/>
      </right>
      <top style="thin">
        <color indexed="64"/>
      </top>
      <bottom style="thin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indexed="64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</borders>
  <cellStyleXfs count="8">
    <xf numFmtId="0" fontId="8" fillId="0" borderId="0"/>
    <xf numFmtId="43" fontId="8" fillId="0" borderId="0"/>
    <xf numFmtId="44" fontId="8" fillId="0" borderId="0"/>
    <xf numFmtId="9" fontId="8" fillId="0" borderId="0"/>
    <xf numFmtId="0" fontId="17" fillId="0" borderId="0"/>
    <xf numFmtId="0" fontId="5" fillId="0" borderId="0"/>
    <xf numFmtId="0" fontId="5" fillId="0" borderId="0"/>
    <xf numFmtId="0" fontId="5" fillId="0" borderId="0"/>
  </cellStyleXfs>
  <cellXfs count="1033">
    <xf numFmtId="0" fontId="0" fillId="0" borderId="0" pivotButton="0" quotePrefix="0" xfId="0"/>
    <xf numFmtId="0" fontId="6" fillId="0" borderId="0" applyAlignment="1" pivotButton="0" quotePrefix="0" xfId="0">
      <alignment horizontal="left" wrapText="1"/>
    </xf>
    <xf numFmtId="164" fontId="7" fillId="0" borderId="0" applyAlignment="1" pivotButton="0" quotePrefix="0" xfId="0">
      <alignment wrapText="1"/>
    </xf>
    <xf numFmtId="0" fontId="0" fillId="0" borderId="2" pivotButton="0" quotePrefix="0" xfId="0"/>
    <xf numFmtId="0" fontId="6" fillId="0" borderId="2" applyAlignment="1" pivotButton="0" quotePrefix="0" xfId="0">
      <alignment horizontal="left" wrapText="1"/>
    </xf>
    <xf numFmtId="0" fontId="0" fillId="0" borderId="3" pivotButton="0" quotePrefix="0" xfId="0"/>
    <xf numFmtId="0" fontId="6" fillId="0" borderId="3" applyAlignment="1" pivotButton="0" quotePrefix="0" xfId="0">
      <alignment horizontal="left" wrapText="1"/>
    </xf>
    <xf numFmtId="0" fontId="0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right"/>
    </xf>
    <xf numFmtId="165" fontId="0" fillId="0" borderId="0" pivotButton="0" quotePrefix="0" xfId="0"/>
    <xf numFmtId="165" fontId="0" fillId="0" borderId="2" pivotButton="0" quotePrefix="0" xfId="0"/>
    <xf numFmtId="0" fontId="14" fillId="0" borderId="0" applyAlignment="1" pivotButton="0" quotePrefix="0" xfId="0">
      <alignment horizontal="left" wrapText="1"/>
    </xf>
    <xf numFmtId="166" fontId="10" fillId="2" borderId="0" applyAlignment="1" pivotButton="0" quotePrefix="0" xfId="0">
      <alignment horizontal="centerContinuous"/>
    </xf>
    <xf numFmtId="0" fontId="10" fillId="2" borderId="0" applyAlignment="1" pivotButton="0" quotePrefix="0" xfId="0">
      <alignment horizontal="centerContinuous"/>
    </xf>
    <xf numFmtId="166" fontId="0" fillId="0" borderId="0" applyAlignment="1" pivotButton="0" quotePrefix="0" xfId="0">
      <alignment horizontal="left"/>
    </xf>
    <xf numFmtId="167" fontId="20" fillId="0" borderId="0" pivotButton="0" quotePrefix="0" xfId="1"/>
    <xf numFmtId="167" fontId="19" fillId="2" borderId="0" pivotButton="0" quotePrefix="0" xfId="1"/>
    <xf numFmtId="167" fontId="19" fillId="2" borderId="8" pivotButton="0" quotePrefix="0" xfId="1"/>
    <xf numFmtId="167" fontId="22" fillId="0" borderId="0" pivotButton="0" quotePrefix="0" xfId="1"/>
    <xf numFmtId="167" fontId="22" fillId="2" borderId="0" pivotButton="0" quotePrefix="0" xfId="1"/>
    <xf numFmtId="167" fontId="22" fillId="2" borderId="8" pivotButton="0" quotePrefix="0" xfId="1"/>
    <xf numFmtId="43" fontId="19" fillId="0" borderId="0" pivotButton="0" quotePrefix="0" xfId="1"/>
    <xf numFmtId="43" fontId="22" fillId="2" borderId="0" pivotButton="0" quotePrefix="0" xfId="1"/>
    <xf numFmtId="43" fontId="22" fillId="2" borderId="8" pivotButton="0" quotePrefix="0" xfId="1"/>
    <xf numFmtId="167" fontId="19" fillId="2" borderId="0" pivotButton="0" quotePrefix="0" xfId="1"/>
    <xf numFmtId="167" fontId="19" fillId="2" borderId="8" pivotButton="0" quotePrefix="0" xfId="1"/>
    <xf numFmtId="165" fontId="19" fillId="0" borderId="0" pivotButton="0" quotePrefix="0" xfId="2"/>
    <xf numFmtId="165" fontId="19" fillId="2" borderId="0" pivotButton="0" quotePrefix="0" xfId="2"/>
    <xf numFmtId="165" fontId="19" fillId="2" borderId="8" pivotButton="0" quotePrefix="0" xfId="2"/>
    <xf numFmtId="0" fontId="0" fillId="4" borderId="0" pivotButton="0" quotePrefix="0" xfId="0"/>
    <xf numFmtId="0" fontId="9" fillId="4" borderId="0" applyAlignment="1" pivotButton="0" quotePrefix="0" xfId="0">
      <alignment horizontal="center"/>
    </xf>
    <xf numFmtId="0" fontId="10" fillId="4" borderId="0" pivotButton="0" quotePrefix="0" xfId="0"/>
    <xf numFmtId="0" fontId="9" fillId="4" borderId="0" pivotButton="0" quotePrefix="0" xfId="0"/>
    <xf numFmtId="14" fontId="9" fillId="4" borderId="0" applyAlignment="1" pivotButton="0" quotePrefix="0" xfId="0">
      <alignment horizontal="center"/>
    </xf>
    <xf numFmtId="43" fontId="18" fillId="2" borderId="0" applyAlignment="1" pivotButton="0" quotePrefix="0" xfId="0">
      <alignment vertical="center"/>
    </xf>
    <xf numFmtId="0" fontId="18" fillId="2" borderId="0" applyAlignment="1" pivotButton="0" quotePrefix="0" xfId="0">
      <alignment vertical="center"/>
    </xf>
    <xf numFmtId="43" fontId="23" fillId="2" borderId="0" applyAlignment="1" pivotButton="0" quotePrefix="0" xfId="0">
      <alignment horizontal="center" vertical="center" wrapText="1"/>
    </xf>
    <xf numFmtId="0" fontId="5" fillId="0" borderId="0" pivotButton="0" quotePrefix="0" xfId="5"/>
    <xf numFmtId="0" fontId="10" fillId="0" borderId="0" pivotButton="0" quotePrefix="0" xfId="5"/>
    <xf numFmtId="0" fontId="5" fillId="2" borderId="0" pivotButton="0" quotePrefix="0" xfId="5"/>
    <xf numFmtId="16" fontId="5" fillId="2" borderId="0" pivotButton="0" quotePrefix="0" xfId="5"/>
    <xf numFmtId="0" fontId="5" fillId="5" borderId="0" pivotButton="0" quotePrefix="0" xfId="5"/>
    <xf numFmtId="16" fontId="5" fillId="0" borderId="0" pivotButton="0" quotePrefix="0" xfId="5"/>
    <xf numFmtId="0" fontId="5" fillId="6" borderId="0" pivotButton="0" quotePrefix="0" xfId="5"/>
    <xf numFmtId="16" fontId="5" fillId="6" borderId="0" pivotButton="0" quotePrefix="0" xfId="5"/>
    <xf numFmtId="0" fontId="5" fillId="7" borderId="0" pivotButton="0" quotePrefix="0" xfId="5"/>
    <xf numFmtId="14" fontId="5" fillId="7" borderId="0" pivotButton="0" quotePrefix="0" xfId="5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67" fontId="21" fillId="3" borderId="0" pivotButton="0" quotePrefix="0" xfId="1"/>
    <xf numFmtId="167" fontId="5" fillId="0" borderId="0" pivotButton="0" quotePrefix="0" xfId="1"/>
    <xf numFmtId="168" fontId="6" fillId="0" borderId="0" applyAlignment="1" pivotButton="0" quotePrefix="0" xfId="0">
      <alignment horizontal="right" wrapText="1"/>
    </xf>
    <xf numFmtId="0" fontId="9" fillId="4" borderId="8" applyAlignment="1" pivotButton="0" quotePrefix="0" xfId="0">
      <alignment horizontal="center"/>
    </xf>
    <xf numFmtId="14" fontId="9" fillId="4" borderId="8" applyAlignment="1" pivotButton="0" quotePrefix="0" xfId="0">
      <alignment horizontal="center"/>
    </xf>
    <xf numFmtId="165" fontId="12" fillId="0" borderId="3" pivotButton="0" quotePrefix="0" xfId="0"/>
    <xf numFmtId="165" fontId="12" fillId="0" borderId="2" pivotButton="0" quotePrefix="0" xfId="0"/>
    <xf numFmtId="165" fontId="12" fillId="0" borderId="1" pivotButton="0" quotePrefix="0" xfId="0"/>
    <xf numFmtId="165" fontId="12" fillId="0" borderId="0" pivotButton="0" quotePrefix="0" xfId="0"/>
    <xf numFmtId="0" fontId="28" fillId="0" borderId="0" applyAlignment="1" pivotButton="0" quotePrefix="0" xfId="0">
      <alignment horizontal="right" wrapText="1"/>
    </xf>
    <xf numFmtId="2" fontId="0" fillId="0" borderId="2" pivotButton="0" quotePrefix="0" xfId="3"/>
    <xf numFmtId="169" fontId="16" fillId="3" borderId="3" pivotButton="0" quotePrefix="0" xfId="1"/>
    <xf numFmtId="0" fontId="6" fillId="6" borderId="2" applyAlignment="1" pivotButton="0" quotePrefix="0" xfId="0">
      <alignment horizontal="left" wrapText="1"/>
    </xf>
    <xf numFmtId="0" fontId="28" fillId="6" borderId="2" applyAlignment="1" pivotButton="0" quotePrefix="0" xfId="0">
      <alignment horizontal="right" wrapText="1"/>
    </xf>
    <xf numFmtId="2" fontId="6" fillId="6" borderId="2" applyAlignment="1" pivotButton="0" quotePrefix="0" xfId="0">
      <alignment horizontal="right" wrapText="1"/>
    </xf>
    <xf numFmtId="0" fontId="0" fillId="6" borderId="2" pivotButton="0" quotePrefix="0" xfId="0"/>
    <xf numFmtId="165" fontId="30" fillId="0" borderId="2" pivotButton="0" quotePrefix="0" xfId="0"/>
    <xf numFmtId="0" fontId="6" fillId="4" borderId="0" applyAlignment="1" pivotButton="0" quotePrefix="0" xfId="0">
      <alignment horizontal="left" wrapText="1"/>
    </xf>
    <xf numFmtId="165" fontId="12" fillId="4" borderId="0" pivotButton="0" quotePrefix="0" xfId="0"/>
    <xf numFmtId="0" fontId="32" fillId="4" borderId="0" applyAlignment="1" pivotButton="0" quotePrefix="0" xfId="0">
      <alignment horizontal="right" vertical="center"/>
    </xf>
    <xf numFmtId="170" fontId="33" fillId="4" borderId="0" applyAlignment="1" pivotButton="0" quotePrefix="0" xfId="0">
      <alignment horizontal="center" vertical="center"/>
    </xf>
    <xf numFmtId="0" fontId="34" fillId="4" borderId="0" applyAlignment="1" pivotButton="0" quotePrefix="0" xfId="0">
      <alignment vertical="center"/>
    </xf>
    <xf numFmtId="171" fontId="3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67" fontId="0" fillId="0" borderId="0" applyAlignment="1" pivotButton="0" quotePrefix="0" xfId="0">
      <alignment horizontal="right" vertical="center"/>
    </xf>
    <xf numFmtId="172" fontId="18" fillId="2" borderId="2" applyAlignment="1" pivotButton="0" quotePrefix="0" xfId="2">
      <alignment horizontal="right"/>
    </xf>
    <xf numFmtId="172" fontId="0" fillId="0" borderId="0" applyAlignment="1" pivotButton="0" quotePrefix="0" xfId="2">
      <alignment horizontal="right"/>
    </xf>
    <xf numFmtId="173" fontId="0" fillId="0" borderId="0" pivotButton="0" quotePrefix="0" xfId="0"/>
    <xf numFmtId="172" fontId="34" fillId="0" borderId="0" pivotButton="0" quotePrefix="0" xfId="2"/>
    <xf numFmtId="0" fontId="12" fillId="2" borderId="2" applyAlignment="1" pivotButton="0" quotePrefix="0" xfId="0">
      <alignment horizontal="right"/>
    </xf>
    <xf numFmtId="172" fontId="12" fillId="2" borderId="2" pivotButton="0" quotePrefix="0" xfId="2"/>
    <xf numFmtId="172" fontId="0" fillId="0" borderId="0" pivotButton="0" quotePrefix="0" xfId="2"/>
    <xf numFmtId="0" fontId="36" fillId="0" borderId="0" applyAlignment="1" pivotButton="0" quotePrefix="0" xfId="0">
      <alignment horizontal="right"/>
    </xf>
    <xf numFmtId="174" fontId="36" fillId="0" borderId="0" pivotButton="0" quotePrefix="0" xfId="0"/>
    <xf numFmtId="0" fontId="9" fillId="4" borderId="4" applyAlignment="1" pivotButton="0" quotePrefix="0" xfId="0">
      <alignment horizontal="right"/>
    </xf>
    <xf numFmtId="165" fontId="9" fillId="4" borderId="4" applyAlignment="1" pivotButton="0" quotePrefix="0" xfId="2">
      <alignment horizontal="right"/>
    </xf>
    <xf numFmtId="0" fontId="9" fillId="4" borderId="9" applyAlignment="1" pivotButton="0" quotePrefix="0" xfId="0">
      <alignment horizontal="right"/>
    </xf>
    <xf numFmtId="165" fontId="9" fillId="4" borderId="9" applyAlignment="1" pivotButton="0" quotePrefix="0" xfId="0">
      <alignment horizontal="right"/>
    </xf>
    <xf numFmtId="172" fontId="33" fillId="10" borderId="2" applyAlignment="1" pivotButton="0" quotePrefix="0" xfId="2">
      <alignment horizontal="right"/>
    </xf>
    <xf numFmtId="172" fontId="33" fillId="10" borderId="2" pivotButton="0" quotePrefix="0" xfId="2"/>
    <xf numFmtId="0" fontId="35" fillId="10" borderId="0" applyAlignment="1" pivotButton="0" quotePrefix="0" xfId="0">
      <alignment horizontal="right"/>
    </xf>
    <xf numFmtId="174" fontId="35" fillId="10" borderId="0" applyAlignment="1" pivotButton="0" quotePrefix="0" xfId="0">
      <alignment horizontal="right"/>
    </xf>
    <xf numFmtId="14" fontId="11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7" fontId="0" fillId="0" borderId="0" pivotButton="0" quotePrefix="0" xfId="1"/>
    <xf numFmtId="172" fontId="18" fillId="2" borderId="2" pivotButton="0" quotePrefix="0" xfId="2"/>
    <xf numFmtId="172" fontId="12" fillId="2" borderId="2" pivotButton="0" quotePrefix="0" xfId="2"/>
    <xf numFmtId="0" fontId="34" fillId="0" borderId="7" pivotButton="0" quotePrefix="0" xfId="0"/>
    <xf numFmtId="0" fontId="34" fillId="0" borderId="8" pivotButton="0" quotePrefix="0" xfId="0"/>
    <xf numFmtId="0" fontId="34" fillId="0" borderId="0" pivotButton="0" quotePrefix="0" xfId="0"/>
    <xf numFmtId="0" fontId="0" fillId="0" borderId="9" pivotButton="0" quotePrefix="0" xfId="0"/>
    <xf numFmtId="0" fontId="0" fillId="0" borderId="10" applyAlignment="1" pivotButton="0" quotePrefix="0" xfId="0">
      <alignment horizontal="right"/>
    </xf>
    <xf numFmtId="0" fontId="0" fillId="0" borderId="10" pivotButton="0" quotePrefix="0" xfId="0"/>
    <xf numFmtId="0" fontId="0" fillId="0" borderId="11" pivotButton="0" quotePrefix="0" xfId="0"/>
    <xf numFmtId="43" fontId="18" fillId="2" borderId="0" applyAlignment="1" pivotButton="0" quotePrefix="0" xfId="0">
      <alignment horizontal="center" vertical="center"/>
    </xf>
    <xf numFmtId="169" fontId="20" fillId="3" borderId="0" applyAlignment="1" pivotButton="0" quotePrefix="0" xfId="1">
      <alignment horizontal="center" vertical="center"/>
    </xf>
    <xf numFmtId="43" fontId="0" fillId="0" borderId="0" pivotButton="0" quotePrefix="0" xfId="1"/>
    <xf numFmtId="43" fontId="6" fillId="0" borderId="0" applyAlignment="1" pivotButton="0" quotePrefix="0" xfId="1">
      <alignment horizontal="left" wrapText="1"/>
    </xf>
    <xf numFmtId="43" fontId="0" fillId="0" borderId="0" pivotButton="0" quotePrefix="0" xfId="1"/>
    <xf numFmtId="0" fontId="0" fillId="0" borderId="12" pivotButton="0" quotePrefix="0" xfId="0"/>
    <xf numFmtId="0" fontId="4" fillId="0" borderId="0" pivotButton="0" quotePrefix="0" xfId="6"/>
    <xf numFmtId="0" fontId="10" fillId="0" borderId="0" pivotButton="0" quotePrefix="0" xfId="6"/>
    <xf numFmtId="16" fontId="4" fillId="5" borderId="0" pivotButton="0" quotePrefix="0" xfId="6"/>
    <xf numFmtId="0" fontId="4" fillId="5" borderId="0" pivotButton="0" quotePrefix="0" xfId="6"/>
    <xf numFmtId="0" fontId="4" fillId="11" borderId="0" pivotButton="0" quotePrefix="0" xfId="6"/>
    <xf numFmtId="16" fontId="4" fillId="11" borderId="0" pivotButton="0" quotePrefix="0" xfId="6"/>
    <xf numFmtId="0" fontId="4" fillId="12" borderId="0" pivotButton="0" quotePrefix="0" xfId="6"/>
    <xf numFmtId="16" fontId="4" fillId="12" borderId="0" pivotButton="0" quotePrefix="0" xfId="6"/>
    <xf numFmtId="16" fontId="4" fillId="0" borderId="0" pivotButton="0" quotePrefix="0" xfId="6"/>
    <xf numFmtId="0" fontId="27" fillId="0" borderId="0" pivotButton="0" quotePrefix="0" xfId="6"/>
    <xf numFmtId="0" fontId="4" fillId="8" borderId="0" pivotButton="0" quotePrefix="0" xfId="6"/>
    <xf numFmtId="0" fontId="4" fillId="9" borderId="0" pivotButton="0" quotePrefix="0" xfId="6"/>
    <xf numFmtId="43" fontId="0" fillId="0" borderId="0" applyAlignment="1" pivotButton="0" quotePrefix="0" xfId="1">
      <alignment horizontal="right" vertical="center"/>
    </xf>
    <xf numFmtId="9" fontId="38" fillId="0" borderId="0" pivotButton="0" quotePrefix="0" xfId="3"/>
    <xf numFmtId="175" fontId="0" fillId="0" borderId="0" pivotButton="0" quotePrefix="0" xfId="3"/>
    <xf numFmtId="43" fontId="0" fillId="0" borderId="0" applyAlignment="1" pivotButton="0" quotePrefix="0" xfId="1">
      <alignment horizontal="right" vertical="center"/>
    </xf>
    <xf numFmtId="167" fontId="0" fillId="0" borderId="1" applyAlignment="1" pivotButton="0" quotePrefix="0" xfId="0">
      <alignment horizontal="right" vertical="center"/>
    </xf>
    <xf numFmtId="165" fontId="0" fillId="0" borderId="1" pivotButton="0" quotePrefix="0" xfId="0"/>
    <xf numFmtId="0" fontId="3" fillId="0" borderId="0" pivotButton="0" quotePrefix="0" xfId="7"/>
    <xf numFmtId="0" fontId="10" fillId="0" borderId="0" pivotButton="0" quotePrefix="0" xfId="7"/>
    <xf numFmtId="0" fontId="3" fillId="2" borderId="0" pivotButton="0" quotePrefix="0" xfId="7"/>
    <xf numFmtId="0" fontId="10" fillId="2" borderId="0" pivotButton="0" quotePrefix="0" xfId="7"/>
    <xf numFmtId="16" fontId="3" fillId="2" borderId="0" pivotButton="0" quotePrefix="0" xfId="7"/>
    <xf numFmtId="169" fontId="16" fillId="3" borderId="14" pivotButton="0" quotePrefix="0" xfId="1"/>
    <xf numFmtId="0" fontId="24" fillId="2" borderId="15" pivotButton="0" quotePrefix="0" xfId="0"/>
    <xf numFmtId="43" fontId="18" fillId="2" borderId="2" applyAlignment="1" pivotButton="0" quotePrefix="0" xfId="0">
      <alignment vertical="center"/>
    </xf>
    <xf numFmtId="167" fontId="20" fillId="0" borderId="2" pivotButton="0" quotePrefix="0" xfId="1"/>
    <xf numFmtId="167" fontId="21" fillId="3" borderId="2" pivotButton="0" quotePrefix="0" xfId="1"/>
    <xf numFmtId="167" fontId="19" fillId="2" borderId="2" pivotButton="0" quotePrefix="0" xfId="1"/>
    <xf numFmtId="167" fontId="19" fillId="2" borderId="16" pivotButton="0" quotePrefix="0" xfId="1"/>
    <xf numFmtId="170" fontId="33" fillId="4" borderId="12" applyAlignment="1" pivotButton="0" quotePrefix="0" xfId="0">
      <alignment horizontal="center" vertical="center"/>
    </xf>
    <xf numFmtId="14" fontId="11" fillId="0" borderId="12" pivotButton="0" quotePrefix="0" xfId="0"/>
    <xf numFmtId="167" fontId="0" fillId="0" borderId="12" applyAlignment="1" pivotButton="0" quotePrefix="0" xfId="0">
      <alignment horizontal="right" vertical="center"/>
    </xf>
    <xf numFmtId="172" fontId="18" fillId="2" borderId="13" applyAlignment="1" pivotButton="0" quotePrefix="0" xfId="2">
      <alignment horizontal="right"/>
    </xf>
    <xf numFmtId="173" fontId="0" fillId="0" borderId="12" pivotButton="0" quotePrefix="0" xfId="0"/>
    <xf numFmtId="172" fontId="33" fillId="10" borderId="13" pivotButton="0" quotePrefix="0" xfId="2"/>
    <xf numFmtId="174" fontId="35" fillId="10" borderId="12" applyAlignment="1" pivotButton="0" quotePrefix="0" xfId="0">
      <alignment horizontal="right"/>
    </xf>
    <xf numFmtId="172" fontId="12" fillId="2" borderId="13" pivotButton="0" quotePrefix="0" xfId="2"/>
    <xf numFmtId="174" fontId="36" fillId="0" borderId="12" pivotButton="0" quotePrefix="0" xfId="0"/>
    <xf numFmtId="43" fontId="0" fillId="0" borderId="12" applyAlignment="1" pivotButton="0" quotePrefix="0" xfId="1">
      <alignment horizontal="right" vertical="center"/>
    </xf>
    <xf numFmtId="165" fontId="9" fillId="4" borderId="17" applyAlignment="1" pivotButton="0" quotePrefix="0" xfId="2">
      <alignment horizontal="right"/>
    </xf>
    <xf numFmtId="165" fontId="9" fillId="4" borderId="18" applyAlignment="1" pivotButton="0" quotePrefix="0" xfId="0">
      <alignment horizontal="right"/>
    </xf>
    <xf numFmtId="43" fontId="7" fillId="0" borderId="0" applyAlignment="1" pivotButton="0" quotePrefix="0" xfId="1">
      <alignment horizontal="right" wrapText="1"/>
    </xf>
    <xf numFmtId="165" fontId="9" fillId="4" borderId="5" applyAlignment="1" pivotButton="0" quotePrefix="0" xfId="2">
      <alignment horizontal="right"/>
    </xf>
    <xf numFmtId="165" fontId="9" fillId="4" borderId="10" applyAlignment="1" pivotButton="0" quotePrefix="0" xfId="0">
      <alignment horizontal="right"/>
    </xf>
    <xf numFmtId="14" fontId="9" fillId="4" borderId="10" applyAlignment="1" pivotButton="0" quotePrefix="0" xfId="0">
      <alignment horizontal="center"/>
    </xf>
    <xf numFmtId="43" fontId="0" fillId="0" borderId="0" pivotButton="0" quotePrefix="0" xfId="0"/>
    <xf numFmtId="0" fontId="11" fillId="4" borderId="0" applyAlignment="1" pivotButton="0" quotePrefix="0" xfId="0">
      <alignment horizontal="center"/>
    </xf>
    <xf numFmtId="43" fontId="12" fillId="0" borderId="0" applyAlignment="1" pivotButton="0" quotePrefix="0" xfId="1">
      <alignment horizontal="right" vertical="center"/>
    </xf>
    <xf numFmtId="0" fontId="0" fillId="0" borderId="26" pivotButton="0" quotePrefix="0" xfId="0"/>
    <xf numFmtId="175" fontId="19" fillId="0" borderId="0" pivotButton="0" quotePrefix="0" xfId="3"/>
    <xf numFmtId="10" fontId="19" fillId="0" borderId="0" pivotButton="0" quotePrefix="0" xfId="3"/>
    <xf numFmtId="169" fontId="16" fillId="3" borderId="2" pivotButton="0" quotePrefix="0" xfId="1"/>
    <xf numFmtId="169" fontId="16" fillId="3" borderId="16" pivotButton="0" quotePrefix="0" xfId="1"/>
    <xf numFmtId="2" fontId="0" fillId="0" borderId="0" pivotButton="0" quotePrefix="0" xfId="3"/>
    <xf numFmtId="176" fontId="0" fillId="0" borderId="0" pivotButton="0" quotePrefix="0" xfId="0"/>
    <xf numFmtId="1" fontId="19" fillId="0" borderId="0" pivotButton="0" quotePrefix="0" xfId="2"/>
    <xf numFmtId="1" fontId="19" fillId="2" borderId="0" pivotButton="0" quotePrefix="0" xfId="2"/>
    <xf numFmtId="1" fontId="19" fillId="2" borderId="8" pivotButton="0" quotePrefix="0" xfId="2"/>
    <xf numFmtId="175" fontId="19" fillId="2" borderId="0" pivotButton="0" quotePrefix="0" xfId="3"/>
    <xf numFmtId="175" fontId="19" fillId="2" borderId="8" pivotButton="0" quotePrefix="0" xfId="3"/>
    <xf numFmtId="177" fontId="19" fillId="0" borderId="0" pivotButton="0" quotePrefix="0" xfId="3"/>
    <xf numFmtId="177" fontId="19" fillId="0" borderId="0" pivotButton="0" quotePrefix="0" xfId="2"/>
    <xf numFmtId="177" fontId="19" fillId="2" borderId="0" pivotButton="0" quotePrefix="0" xfId="2"/>
    <xf numFmtId="177" fontId="19" fillId="2" borderId="8" pivotButton="0" quotePrefix="0" xfId="2"/>
    <xf numFmtId="178" fontId="19" fillId="2" borderId="0" pivotButton="0" quotePrefix="0" xfId="2"/>
    <xf numFmtId="178" fontId="19" fillId="2" borderId="8" pivotButton="0" quotePrefix="0" xfId="2"/>
    <xf numFmtId="0" fontId="0" fillId="0" borderId="19" pivotButton="0" quotePrefix="0" xfId="0"/>
    <xf numFmtId="43" fontId="0" fillId="0" borderId="19" pivotButton="0" quotePrefix="0" xfId="1"/>
    <xf numFmtId="170" fontId="33" fillId="4" borderId="28" applyAlignment="1" pivotButton="0" quotePrefix="0" xfId="0">
      <alignment horizontal="center" vertical="center"/>
    </xf>
    <xf numFmtId="14" fontId="11" fillId="0" borderId="28" pivotButton="0" quotePrefix="0" xfId="0"/>
    <xf numFmtId="167" fontId="0" fillId="0" borderId="28" applyAlignment="1" pivotButton="0" quotePrefix="0" xfId="0">
      <alignment horizontal="right" vertical="center"/>
    </xf>
    <xf numFmtId="172" fontId="18" fillId="2" borderId="29" applyAlignment="1" pivotButton="0" quotePrefix="0" xfId="2">
      <alignment horizontal="right"/>
    </xf>
    <xf numFmtId="173" fontId="0" fillId="0" borderId="28" pivotButton="0" quotePrefix="0" xfId="0"/>
    <xf numFmtId="172" fontId="33" fillId="10" borderId="29" pivotButton="0" quotePrefix="0" xfId="2"/>
    <xf numFmtId="174" fontId="35" fillId="10" borderId="28" applyAlignment="1" pivotButton="0" quotePrefix="0" xfId="0">
      <alignment horizontal="right"/>
    </xf>
    <xf numFmtId="0" fontId="0" fillId="0" borderId="28" pivotButton="0" quotePrefix="0" xfId="0"/>
    <xf numFmtId="172" fontId="12" fillId="2" borderId="29" pivotButton="0" quotePrefix="0" xfId="2"/>
    <xf numFmtId="174" fontId="36" fillId="0" borderId="28" pivotButton="0" quotePrefix="0" xfId="0"/>
    <xf numFmtId="43" fontId="0" fillId="0" borderId="28" applyAlignment="1" pivotButton="0" quotePrefix="0" xfId="1">
      <alignment horizontal="right" vertical="center"/>
    </xf>
    <xf numFmtId="165" fontId="9" fillId="4" borderId="31" applyAlignment="1" pivotButton="0" quotePrefix="0" xfId="2">
      <alignment horizontal="right"/>
    </xf>
    <xf numFmtId="165" fontId="9" fillId="4" borderId="30" applyAlignment="1" pivotButton="0" quotePrefix="0" xfId="0">
      <alignment horizontal="right"/>
    </xf>
    <xf numFmtId="0" fontId="31" fillId="3" borderId="0" pivotButton="0" quotePrefix="0" xfId="0"/>
    <xf numFmtId="2" fontId="0" fillId="0" borderId="0" pivotButton="0" quotePrefix="0" xfId="3"/>
    <xf numFmtId="167" fontId="12" fillId="0" borderId="28" applyAlignment="1" pivotButton="0" quotePrefix="0" xfId="0">
      <alignment horizontal="right" vertical="center"/>
    </xf>
    <xf numFmtId="173" fontId="12" fillId="0" borderId="28" pivotButton="0" quotePrefix="0" xfId="0"/>
    <xf numFmtId="0" fontId="12" fillId="0" borderId="28" pivotButton="0" quotePrefix="0" xfId="0"/>
    <xf numFmtId="174" fontId="13" fillId="0" borderId="28" pivotButton="0" quotePrefix="0" xfId="0"/>
    <xf numFmtId="43" fontId="12" fillId="0" borderId="28" applyAlignment="1" pivotButton="0" quotePrefix="0" xfId="1">
      <alignment horizontal="right" vertical="center"/>
    </xf>
    <xf numFmtId="0" fontId="11" fillId="0" borderId="0" pivotButton="0" quotePrefix="0" xfId="0"/>
    <xf numFmtId="167" fontId="12" fillId="7" borderId="28" applyAlignment="1" pivotButton="0" quotePrefix="0" xfId="0">
      <alignment horizontal="right" vertical="center"/>
    </xf>
    <xf numFmtId="172" fontId="18" fillId="7" borderId="29" applyAlignment="1" pivotButton="0" quotePrefix="0" xfId="2">
      <alignment horizontal="right"/>
    </xf>
    <xf numFmtId="173" fontId="12" fillId="7" borderId="28" pivotButton="0" quotePrefix="0" xfId="0"/>
    <xf numFmtId="172" fontId="40" fillId="7" borderId="29" pivotButton="0" quotePrefix="0" xfId="2"/>
    <xf numFmtId="174" fontId="41" fillId="7" borderId="28" applyAlignment="1" pivotButton="0" quotePrefix="0" xfId="0">
      <alignment horizontal="right"/>
    </xf>
    <xf numFmtId="0" fontId="18" fillId="7" borderId="28" pivotButton="0" quotePrefix="0" xfId="0"/>
    <xf numFmtId="167" fontId="18" fillId="7" borderId="28" applyAlignment="1" pivotButton="0" quotePrefix="0" xfId="0">
      <alignment horizontal="right" vertical="center"/>
    </xf>
    <xf numFmtId="172" fontId="18" fillId="7" borderId="29" pivotButton="0" quotePrefix="0" xfId="2"/>
    <xf numFmtId="174" fontId="41" fillId="7" borderId="28" pivotButton="0" quotePrefix="0" xfId="0"/>
    <xf numFmtId="43" fontId="18" fillId="7" borderId="28" applyAlignment="1" pivotButton="0" quotePrefix="0" xfId="1">
      <alignment horizontal="right" vertical="center"/>
    </xf>
    <xf numFmtId="174" fontId="16" fillId="7" borderId="28" applyAlignment="1" pivotButton="0" quotePrefix="0" xfId="0">
      <alignment horizontal="right"/>
    </xf>
    <xf numFmtId="0" fontId="22" fillId="0" borderId="28" pivotButton="0" quotePrefix="0" xfId="0"/>
    <xf numFmtId="165" fontId="9" fillId="4" borderId="32" applyAlignment="1" pivotButton="0" quotePrefix="0" xfId="2">
      <alignment horizontal="right"/>
    </xf>
    <xf numFmtId="165" fontId="31" fillId="3" borderId="0" pivotButton="0" quotePrefix="0" xfId="0"/>
    <xf numFmtId="167" fontId="18" fillId="2" borderId="0" applyAlignment="1" pivotButton="0" quotePrefix="0" xfId="1">
      <alignment horizontal="right"/>
    </xf>
    <xf numFmtId="172" fontId="0" fillId="0" borderId="0" pivotButton="0" quotePrefix="0" xfId="0"/>
    <xf numFmtId="1" fontId="0" fillId="2" borderId="34" pivotButton="0" quotePrefix="0" xfId="0"/>
    <xf numFmtId="1" fontId="0" fillId="2" borderId="33" pivotButton="0" quotePrefix="0" xfId="0"/>
    <xf numFmtId="2" fontId="0" fillId="2" borderId="33" pivotButton="0" quotePrefix="0" xfId="0"/>
    <xf numFmtId="0" fontId="0" fillId="2" borderId="33" pivotButton="0" quotePrefix="0" xfId="0"/>
    <xf numFmtId="165" fontId="0" fillId="2" borderId="33" pivotButton="0" quotePrefix="0" xfId="2"/>
    <xf numFmtId="10" fontId="0" fillId="2" borderId="35" pivotButton="0" quotePrefix="0" xfId="3"/>
    <xf numFmtId="165" fontId="0" fillId="0" borderId="33" pivotButton="0" quotePrefix="0" xfId="2"/>
    <xf numFmtId="165" fontId="0" fillId="0" borderId="0" pivotButton="0" quotePrefix="0" xfId="2"/>
    <xf numFmtId="165" fontId="0" fillId="0" borderId="37" pivotButton="0" quotePrefix="0" xfId="0"/>
    <xf numFmtId="165" fontId="0" fillId="0" borderId="33" pivotButton="0" quotePrefix="0" xfId="0"/>
    <xf numFmtId="165" fontId="0" fillId="0" borderId="38" pivotButton="0" quotePrefix="0" xfId="0"/>
    <xf numFmtId="0" fontId="32" fillId="4" borderId="39" applyAlignment="1" pivotButton="0" quotePrefix="0" xfId="0">
      <alignment horizontal="right" vertical="center"/>
    </xf>
    <xf numFmtId="170" fontId="33" fillId="4" borderId="2" applyAlignment="1" pivotButton="0" quotePrefix="0" xfId="0">
      <alignment horizontal="center" vertical="center"/>
    </xf>
    <xf numFmtId="0" fontId="34" fillId="4" borderId="2" applyAlignment="1" pivotButton="0" quotePrefix="0" xfId="0">
      <alignment vertical="center"/>
    </xf>
    <xf numFmtId="171" fontId="33" fillId="4" borderId="16" applyAlignment="1" pivotButton="0" quotePrefix="0" xfId="0">
      <alignment horizontal="center" vertical="center"/>
    </xf>
    <xf numFmtId="0" fontId="0" fillId="0" borderId="40" applyAlignment="1" pivotButton="0" quotePrefix="0" xfId="0">
      <alignment horizontal="right"/>
    </xf>
    <xf numFmtId="0" fontId="0" fillId="0" borderId="40" applyAlignment="1" pivotButton="0" quotePrefix="0" xfId="0">
      <alignment horizontal="right" vertical="center"/>
    </xf>
    <xf numFmtId="167" fontId="0" fillId="0" borderId="19" applyAlignment="1" pivotButton="0" quotePrefix="0" xfId="0">
      <alignment horizontal="right" vertical="center"/>
    </xf>
    <xf numFmtId="172" fontId="18" fillId="2" borderId="39" applyAlignment="1" pivotButton="0" quotePrefix="0" xfId="2">
      <alignment horizontal="right"/>
    </xf>
    <xf numFmtId="172" fontId="18" fillId="2" borderId="16" applyAlignment="1" pivotButton="0" quotePrefix="0" xfId="2">
      <alignment horizontal="right"/>
    </xf>
    <xf numFmtId="172" fontId="18" fillId="2" borderId="40" applyAlignment="1" pivotButton="0" quotePrefix="0" xfId="2">
      <alignment horizontal="right"/>
    </xf>
    <xf numFmtId="173" fontId="0" fillId="0" borderId="19" pivotButton="0" quotePrefix="0" xfId="0"/>
    <xf numFmtId="172" fontId="33" fillId="10" borderId="39" applyAlignment="1" pivotButton="0" quotePrefix="0" xfId="2">
      <alignment horizontal="right"/>
    </xf>
    <xf numFmtId="172" fontId="34" fillId="0" borderId="0" pivotButton="0" quotePrefix="0" xfId="2"/>
    <xf numFmtId="172" fontId="33" fillId="10" borderId="16" pivotButton="0" quotePrefix="0" xfId="2"/>
    <xf numFmtId="0" fontId="35" fillId="10" borderId="40" applyAlignment="1" pivotButton="0" quotePrefix="0" xfId="0">
      <alignment horizontal="right"/>
    </xf>
    <xf numFmtId="174" fontId="35" fillId="10" borderId="19" applyAlignment="1" pivotButton="0" quotePrefix="0" xfId="0">
      <alignment horizontal="right"/>
    </xf>
    <xf numFmtId="0" fontId="12" fillId="2" borderId="39" applyAlignment="1" pivotButton="0" quotePrefix="0" xfId="0">
      <alignment horizontal="right"/>
    </xf>
    <xf numFmtId="172" fontId="0" fillId="0" borderId="0" pivotButton="0" quotePrefix="0" xfId="2"/>
    <xf numFmtId="172" fontId="12" fillId="2" borderId="16" pivotButton="0" quotePrefix="0" xfId="2"/>
    <xf numFmtId="0" fontId="36" fillId="0" borderId="40" applyAlignment="1" pivotButton="0" quotePrefix="0" xfId="0">
      <alignment horizontal="right"/>
    </xf>
    <xf numFmtId="174" fontId="36" fillId="0" borderId="19" pivotButton="0" quotePrefix="0" xfId="0"/>
    <xf numFmtId="0" fontId="9" fillId="4" borderId="41" applyAlignment="1" pivotButton="0" quotePrefix="0" xfId="0">
      <alignment horizontal="right"/>
    </xf>
    <xf numFmtId="0" fontId="9" fillId="4" borderId="42" applyAlignment="1" pivotButton="0" quotePrefix="0" xfId="0">
      <alignment horizontal="right"/>
    </xf>
    <xf numFmtId="165" fontId="9" fillId="4" borderId="1" applyAlignment="1" pivotButton="0" quotePrefix="0" xfId="0">
      <alignment horizontal="right"/>
    </xf>
    <xf numFmtId="165" fontId="9" fillId="4" borderId="43" applyAlignment="1" pivotButton="0" quotePrefix="0" xfId="0">
      <alignment horizontal="right"/>
    </xf>
    <xf numFmtId="0" fontId="0" fillId="0" borderId="1" pivotButton="0" quotePrefix="0" xfId="0"/>
    <xf numFmtId="0" fontId="0" fillId="0" borderId="44" pivotButton="0" quotePrefix="0" xfId="0"/>
    <xf numFmtId="0" fontId="43" fillId="4" borderId="20" applyAlignment="1" pivotButton="0" quotePrefix="0" xfId="0">
      <alignment horizontal="center"/>
    </xf>
    <xf numFmtId="0" fontId="44" fillId="0" borderId="0" pivotButton="0" quotePrefix="0" xfId="0"/>
    <xf numFmtId="0" fontId="47" fillId="2" borderId="21" applyAlignment="1" pivotButton="0" quotePrefix="0" xfId="0">
      <alignment vertical="center"/>
    </xf>
    <xf numFmtId="0" fontId="50" fillId="2" borderId="23" pivotButton="0" quotePrefix="0" xfId="0"/>
    <xf numFmtId="0" fontId="46" fillId="0" borderId="0" applyAlignment="1" pivotButton="0" quotePrefix="0" xfId="0">
      <alignment horizontal="center" wrapText="1"/>
    </xf>
    <xf numFmtId="172" fontId="18" fillId="2" borderId="0" applyAlignment="1" pivotButton="0" quotePrefix="0" xfId="2">
      <alignment horizontal="right"/>
    </xf>
    <xf numFmtId="0" fontId="43" fillId="4" borderId="45" applyAlignment="1" pivotButton="0" quotePrefix="0" xfId="0">
      <alignment horizontal="center"/>
    </xf>
    <xf numFmtId="0" fontId="45" fillId="4" borderId="21" applyAlignment="1" pivotButton="0" quotePrefix="0" xfId="0">
      <alignment vertical="center" wrapText="1"/>
    </xf>
    <xf numFmtId="0" fontId="43" fillId="4" borderId="46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4" fontId="43" fillId="4" borderId="12" applyAlignment="1" pivotButton="0" quotePrefix="0" xfId="0">
      <alignment horizontal="center"/>
    </xf>
    <xf numFmtId="165" fontId="0" fillId="0" borderId="34" pivotButton="0" quotePrefix="0" xfId="0"/>
    <xf numFmtId="165" fontId="0" fillId="2" borderId="37" pivotButton="0" quotePrefix="0" xfId="0"/>
    <xf numFmtId="175" fontId="0" fillId="2" borderId="34" pivotButton="0" quotePrefix="0" xfId="3"/>
    <xf numFmtId="170" fontId="33" fillId="4" borderId="29" applyAlignment="1" pivotButton="0" quotePrefix="0" xfId="0">
      <alignment horizontal="center" vertical="center"/>
    </xf>
    <xf numFmtId="165" fontId="9" fillId="4" borderId="62" applyAlignment="1" pivotButton="0" quotePrefix="0" xfId="0">
      <alignment horizontal="right"/>
    </xf>
    <xf numFmtId="172" fontId="35" fillId="10" borderId="0" applyAlignment="1" pivotButton="0" quotePrefix="0" xfId="2">
      <alignment horizontal="right"/>
    </xf>
    <xf numFmtId="172" fontId="35" fillId="10" borderId="19" applyAlignment="1" pivotButton="0" quotePrefix="0" xfId="2">
      <alignment horizontal="right"/>
    </xf>
    <xf numFmtId="167" fontId="12" fillId="0" borderId="0" applyAlignment="1" pivotButton="0" quotePrefix="0" xfId="0">
      <alignment horizontal="right" vertical="center"/>
    </xf>
    <xf numFmtId="173" fontId="12" fillId="0" borderId="0" pivotButton="0" quotePrefix="0" xfId="0"/>
    <xf numFmtId="0" fontId="12" fillId="0" borderId="0" pivotButton="0" quotePrefix="0" xfId="0"/>
    <xf numFmtId="174" fontId="13" fillId="0" borderId="0" pivotButton="0" quotePrefix="0" xfId="0"/>
    <xf numFmtId="165" fontId="9" fillId="4" borderId="63" applyAlignment="1" pivotButton="0" quotePrefix="0" xfId="0">
      <alignment horizontal="right"/>
    </xf>
    <xf numFmtId="14" fontId="43" fillId="4" borderId="20" applyAlignment="1" pivotButton="0" quotePrefix="0" xfId="0">
      <alignment horizontal="center"/>
    </xf>
    <xf numFmtId="14" fontId="43" fillId="4" borderId="65" applyAlignment="1" pivotButton="0" quotePrefix="0" xfId="0">
      <alignment horizontal="center"/>
    </xf>
    <xf numFmtId="14" fontId="43" fillId="4" borderId="64" applyAlignment="1" pivotButton="0" quotePrefix="0" xfId="0">
      <alignment horizontal="center"/>
    </xf>
    <xf numFmtId="43" fontId="20" fillId="3" borderId="0" pivotButton="0" quotePrefix="0" xfId="1"/>
    <xf numFmtId="1" fontId="0" fillId="2" borderId="12" pivotButton="0" quotePrefix="0" xfId="0"/>
    <xf numFmtId="2" fontId="0" fillId="2" borderId="12" pivotButton="0" quotePrefix="0" xfId="0"/>
    <xf numFmtId="0" fontId="0" fillId="2" borderId="12" pivotButton="0" quotePrefix="0" xfId="0"/>
    <xf numFmtId="165" fontId="0" fillId="2" borderId="12" pivotButton="0" quotePrefix="0" xfId="2"/>
    <xf numFmtId="10" fontId="0" fillId="2" borderId="66" pivotButton="0" quotePrefix="0" xfId="3"/>
    <xf numFmtId="165" fontId="0" fillId="0" borderId="12" pivotButton="0" quotePrefix="0" xfId="2"/>
    <xf numFmtId="165" fontId="0" fillId="0" borderId="68" pivotButton="0" quotePrefix="0" xfId="0"/>
    <xf numFmtId="165" fontId="0" fillId="0" borderId="12" pivotButton="0" quotePrefix="0" xfId="0"/>
    <xf numFmtId="165" fontId="0" fillId="0" borderId="13" pivotButton="0" quotePrefix="0" xfId="0"/>
    <xf numFmtId="165" fontId="0" fillId="2" borderId="68" pivotButton="0" quotePrefix="0" xfId="0"/>
    <xf numFmtId="0" fontId="45" fillId="4" borderId="0" applyAlignment="1" pivotButton="0" quotePrefix="0" xfId="0">
      <alignment vertical="center" wrapText="1"/>
    </xf>
    <xf numFmtId="0" fontId="0" fillId="4" borderId="5" pivotButton="0" quotePrefix="0" xfId="0"/>
    <xf numFmtId="0" fontId="9" fillId="4" borderId="5" applyAlignment="1" pivotButton="0" quotePrefix="0" xfId="0">
      <alignment horizontal="center"/>
    </xf>
    <xf numFmtId="0" fontId="9" fillId="4" borderId="19" applyAlignment="1" pivotButton="0" quotePrefix="0" xfId="0">
      <alignment horizontal="center"/>
    </xf>
    <xf numFmtId="0" fontId="9" fillId="4" borderId="76" applyAlignment="1" pivotButton="0" quotePrefix="0" xfId="0">
      <alignment horizontal="center"/>
    </xf>
    <xf numFmtId="0" fontId="11" fillId="4" borderId="19" applyAlignment="1" pivotButton="0" quotePrefix="0" xfId="0">
      <alignment horizontal="center"/>
    </xf>
    <xf numFmtId="14" fontId="9" fillId="4" borderId="19" applyAlignment="1" pivotButton="0" quotePrefix="0" xfId="0">
      <alignment horizontal="center"/>
    </xf>
    <xf numFmtId="165" fontId="12" fillId="0" borderId="16" pivotButton="0" quotePrefix="0" xfId="0"/>
    <xf numFmtId="165" fontId="12" fillId="0" borderId="19" pivotButton="0" quotePrefix="0" xfId="0"/>
    <xf numFmtId="165" fontId="12" fillId="0" borderId="14" pivotButton="0" quotePrefix="0" xfId="0"/>
    <xf numFmtId="165" fontId="12" fillId="4" borderId="19" pivotButton="0" quotePrefix="0" xfId="0"/>
    <xf numFmtId="2" fontId="6" fillId="6" borderId="16" applyAlignment="1" pivotButton="0" quotePrefix="0" xfId="0">
      <alignment horizontal="right" wrapText="1"/>
    </xf>
    <xf numFmtId="0" fontId="0" fillId="4" borderId="19" pivotButton="0" quotePrefix="0" xfId="0"/>
    <xf numFmtId="165" fontId="0" fillId="0" borderId="16" pivotButton="0" quotePrefix="0" xfId="0"/>
    <xf numFmtId="165" fontId="0" fillId="0" borderId="19" pivotButton="0" quotePrefix="0" xfId="0"/>
    <xf numFmtId="165" fontId="0" fillId="0" borderId="44" pivotButton="0" quotePrefix="0" xfId="0"/>
    <xf numFmtId="170" fontId="33" fillId="4" borderId="16" applyAlignment="1" pivotButton="0" quotePrefix="0" xfId="0">
      <alignment horizontal="center" vertical="center"/>
    </xf>
    <xf numFmtId="165" fontId="9" fillId="4" borderId="76" applyAlignment="1" pivotButton="0" quotePrefix="0" xfId="2">
      <alignment horizontal="right"/>
    </xf>
    <xf numFmtId="165" fontId="9" fillId="4" borderId="44" applyAlignment="1" pivotButton="0" quotePrefix="0" xfId="0">
      <alignment horizontal="right"/>
    </xf>
    <xf numFmtId="169" fontId="21" fillId="3" borderId="0" pivotButton="0" quotePrefix="0" xfId="1"/>
    <xf numFmtId="175" fontId="0" fillId="2" borderId="13" pivotButton="0" quotePrefix="0" xfId="3"/>
    <xf numFmtId="43" fontId="22" fillId="2" borderId="46" applyAlignment="1" pivotButton="0" quotePrefix="0" xfId="1">
      <alignment horizontal="center"/>
    </xf>
    <xf numFmtId="170" fontId="33" fillId="4" borderId="39" applyAlignment="1" pivotButton="0" quotePrefix="0" xfId="0">
      <alignment horizontal="center" vertical="center"/>
    </xf>
    <xf numFmtId="167" fontId="18" fillId="2" borderId="19" applyAlignment="1" pivotButton="0" quotePrefix="0" xfId="1">
      <alignment horizontal="right"/>
    </xf>
    <xf numFmtId="1" fontId="31" fillId="3" borderId="0" pivotButton="0" quotePrefix="0" xfId="0"/>
    <xf numFmtId="165" fontId="30" fillId="0" borderId="16" pivotButton="0" quotePrefix="0" xfId="0"/>
    <xf numFmtId="167" fontId="19" fillId="2" borderId="19" pivotButton="0" quotePrefix="0" xfId="1"/>
    <xf numFmtId="167" fontId="22" fillId="2" borderId="19" pivotButton="0" quotePrefix="0" xfId="1"/>
    <xf numFmtId="43" fontId="22" fillId="2" borderId="19" pivotButton="0" quotePrefix="0" xfId="1"/>
    <xf numFmtId="167" fontId="19" fillId="2" borderId="19" pivotButton="0" quotePrefix="0" xfId="1"/>
    <xf numFmtId="165" fontId="19" fillId="2" borderId="19" pivotButton="0" quotePrefix="0" xfId="2"/>
    <xf numFmtId="175" fontId="19" fillId="2" borderId="19" pivotButton="0" quotePrefix="0" xfId="3"/>
    <xf numFmtId="1" fontId="19" fillId="2" borderId="19" pivotButton="0" quotePrefix="0" xfId="2"/>
    <xf numFmtId="177" fontId="19" fillId="2" borderId="19" pivotButton="0" quotePrefix="0" xfId="2"/>
    <xf numFmtId="178" fontId="19" fillId="2" borderId="19" pivotButton="0" quotePrefix="0" xfId="2"/>
    <xf numFmtId="172" fontId="18" fillId="0" borderId="19" applyAlignment="1" pivotButton="0" quotePrefix="0" xfId="2">
      <alignment horizontal="right"/>
    </xf>
    <xf numFmtId="167" fontId="18" fillId="2" borderId="0" pivotButton="0" quotePrefix="0" xfId="1"/>
    <xf numFmtId="0" fontId="32" fillId="4" borderId="4" applyAlignment="1" pivotButton="0" quotePrefix="0" xfId="0">
      <alignment horizontal="right" vertical="center"/>
    </xf>
    <xf numFmtId="0" fontId="33" fillId="4" borderId="5" applyAlignment="1" pivotButton="0" quotePrefix="0" xfId="0">
      <alignment horizontal="center" vertical="center"/>
    </xf>
    <xf numFmtId="0" fontId="33" fillId="4" borderId="6" applyAlignment="1" pivotButton="0" quotePrefix="0" xfId="0">
      <alignment horizontal="center" vertical="center"/>
    </xf>
    <xf numFmtId="0" fontId="36" fillId="0" borderId="7" applyAlignment="1" pivotButton="0" quotePrefix="0" xfId="0">
      <alignment horizontal="left"/>
    </xf>
    <xf numFmtId="0" fontId="33" fillId="0" borderId="0" applyAlignment="1" pivotButton="0" quotePrefix="0" xfId="0">
      <alignment horizontal="center"/>
    </xf>
    <xf numFmtId="0" fontId="33" fillId="0" borderId="8" applyAlignment="1" pivotButton="0" quotePrefix="0" xfId="0">
      <alignment horizontal="center"/>
    </xf>
    <xf numFmtId="0" fontId="0" fillId="0" borderId="7" applyAlignment="1" pivotButton="0" quotePrefix="0" xfId="0">
      <alignment horizontal="right" vertical="center"/>
    </xf>
    <xf numFmtId="167" fontId="0" fillId="0" borderId="8" pivotButton="0" quotePrefix="0" xfId="1"/>
    <xf numFmtId="172" fontId="18" fillId="2" borderId="79" applyAlignment="1" pivotButton="0" quotePrefix="0" xfId="2">
      <alignment horizontal="right"/>
    </xf>
    <xf numFmtId="172" fontId="18" fillId="2" borderId="80" pivotButton="0" quotePrefix="0" xfId="2"/>
    <xf numFmtId="172" fontId="18" fillId="2" borderId="7" applyAlignment="1" pivotButton="0" quotePrefix="0" xfId="2">
      <alignment horizontal="right"/>
    </xf>
    <xf numFmtId="167" fontId="18" fillId="2" borderId="8" pivotButton="0" quotePrefix="0" xfId="1"/>
    <xf numFmtId="0" fontId="37" fillId="0" borderId="7" applyAlignment="1" pivotButton="0" quotePrefix="0" xfId="0">
      <alignment horizontal="right" vertical="top"/>
    </xf>
    <xf numFmtId="9" fontId="38" fillId="0" borderId="8" pivotButton="0" quotePrefix="0" xfId="3"/>
    <xf numFmtId="0" fontId="0" fillId="0" borderId="7" applyAlignment="1" pivotButton="0" quotePrefix="0" xfId="0">
      <alignment horizontal="right"/>
    </xf>
    <xf numFmtId="172" fontId="33" fillId="10" borderId="79" applyAlignment="1" pivotButton="0" quotePrefix="0" xfId="2">
      <alignment horizontal="right"/>
    </xf>
    <xf numFmtId="172" fontId="33" fillId="10" borderId="80" pivotButton="0" quotePrefix="0" xfId="2"/>
    <xf numFmtId="0" fontId="35" fillId="10" borderId="7" applyAlignment="1" pivotButton="0" quotePrefix="0" xfId="0">
      <alignment horizontal="right"/>
    </xf>
    <xf numFmtId="174" fontId="35" fillId="10" borderId="8" applyAlignment="1" pivotButton="0" quotePrefix="0" xfId="0">
      <alignment horizontal="right"/>
    </xf>
    <xf numFmtId="173" fontId="0" fillId="0" borderId="8" pivotButton="0" quotePrefix="0" xfId="0"/>
    <xf numFmtId="172" fontId="12" fillId="2" borderId="79" applyAlignment="1" pivotButton="0" quotePrefix="0" xfId="2">
      <alignment horizontal="right"/>
    </xf>
    <xf numFmtId="172" fontId="12" fillId="2" borderId="80" pivotButton="0" quotePrefix="0" xfId="2"/>
    <xf numFmtId="0" fontId="36" fillId="0" borderId="7" applyAlignment="1" pivotButton="0" quotePrefix="0" xfId="0">
      <alignment horizontal="right"/>
    </xf>
    <xf numFmtId="174" fontId="36" fillId="0" borderId="8" pivotButton="0" quotePrefix="0" xfId="0"/>
    <xf numFmtId="0" fontId="35" fillId="10" borderId="9" applyAlignment="1" pivotButton="0" quotePrefix="0" xfId="0">
      <alignment horizontal="right"/>
    </xf>
    <xf numFmtId="174" fontId="35" fillId="10" borderId="10" applyAlignment="1" pivotButton="0" quotePrefix="0" xfId="0">
      <alignment horizontal="right"/>
    </xf>
    <xf numFmtId="174" fontId="35" fillId="10" borderId="11" applyAlignment="1" pivotButton="0" quotePrefix="0" xfId="0">
      <alignment horizontal="right"/>
    </xf>
    <xf numFmtId="43" fontId="29" fillId="3" borderId="0" applyAlignment="1" pivotButton="0" quotePrefix="0" xfId="1">
      <alignment horizontal="right" wrapText="1"/>
    </xf>
    <xf numFmtId="0" fontId="0" fillId="7" borderId="3" pivotButton="0" quotePrefix="0" xfId="0"/>
    <xf numFmtId="0" fontId="6" fillId="7" borderId="3" applyAlignment="1" pivotButton="0" quotePrefix="0" xfId="0">
      <alignment horizontal="left" wrapText="1"/>
    </xf>
    <xf numFmtId="165" fontId="12" fillId="7" borderId="3" pivotButton="0" quotePrefix="0" xfId="0"/>
    <xf numFmtId="10" fontId="12" fillId="7" borderId="3" pivotButton="0" quotePrefix="0" xfId="3"/>
    <xf numFmtId="10" fontId="12" fillId="7" borderId="14" pivotButton="0" quotePrefix="0" xfId="3"/>
    <xf numFmtId="165" fontId="54" fillId="0" borderId="0" pivotButton="0" quotePrefix="0" xfId="2"/>
    <xf numFmtId="175" fontId="54" fillId="0" borderId="0" pivotButton="0" quotePrefix="0" xfId="3"/>
    <xf numFmtId="175" fontId="30" fillId="0" borderId="0" pivotButton="0" quotePrefix="0" xfId="3"/>
    <xf numFmtId="175" fontId="30" fillId="2" borderId="0" pivotButton="0" quotePrefix="0" xfId="3"/>
    <xf numFmtId="175" fontId="30" fillId="2" borderId="19" pivotButton="0" quotePrefix="0" xfId="3"/>
    <xf numFmtId="175" fontId="30" fillId="2" borderId="8" pivotButton="0" quotePrefix="0" xfId="3"/>
    <xf numFmtId="174" fontId="19" fillId="0" borderId="0" pivotButton="0" quotePrefix="0" xfId="2"/>
    <xf numFmtId="0" fontId="9" fillId="0" borderId="0" applyAlignment="1" pivotButton="0" quotePrefix="0" xfId="0">
      <alignment horizontal="right"/>
    </xf>
    <xf numFmtId="165" fontId="0" fillId="0" borderId="0" pivotButton="0" quotePrefix="0" xfId="2"/>
    <xf numFmtId="167" fontId="0" fillId="0" borderId="0" pivotButton="0" quotePrefix="0" xfId="1"/>
    <xf numFmtId="0" fontId="24" fillId="2" borderId="2" pivotButton="0" quotePrefix="0" xfId="0"/>
    <xf numFmtId="0" fontId="25" fillId="2" borderId="2" applyAlignment="1" pivotButton="0" quotePrefix="0" xfId="0">
      <alignment horizontal="left"/>
    </xf>
    <xf numFmtId="0" fontId="26" fillId="2" borderId="2" pivotButton="0" quotePrefix="0" xfId="0"/>
    <xf numFmtId="174" fontId="25" fillId="2" borderId="2" pivotButton="0" quotePrefix="0" xfId="0"/>
    <xf numFmtId="174" fontId="25" fillId="2" borderId="16" pivotButton="0" quotePrefix="0" xfId="0"/>
    <xf numFmtId="174" fontId="25" fillId="2" borderId="80" pivotButton="0" quotePrefix="0" xfId="0"/>
    <xf numFmtId="0" fontId="24" fillId="2" borderId="3" pivotButton="0" quotePrefix="0" xfId="0"/>
    <xf numFmtId="0" fontId="25" fillId="2" borderId="3" applyAlignment="1" pivotButton="0" quotePrefix="0" xfId="0">
      <alignment horizontal="left"/>
    </xf>
    <xf numFmtId="0" fontId="26" fillId="2" borderId="3" pivotButton="0" quotePrefix="0" xfId="0"/>
    <xf numFmtId="174" fontId="25" fillId="2" borderId="3" pivotButton="0" quotePrefix="0" xfId="0"/>
    <xf numFmtId="165" fontId="56" fillId="2" borderId="3" pivotButton="0" quotePrefix="0" xfId="2"/>
    <xf numFmtId="174" fontId="25" fillId="2" borderId="14" pivotButton="0" quotePrefix="0" xfId="0"/>
    <xf numFmtId="165" fontId="56" fillId="2" borderId="14" pivotButton="0" quotePrefix="0" xfId="2"/>
    <xf numFmtId="167" fontId="18" fillId="7" borderId="28" applyAlignment="1" pivotButton="0" quotePrefix="0" xfId="1">
      <alignment horizontal="right"/>
    </xf>
    <xf numFmtId="165" fontId="22" fillId="0" borderId="50" applyAlignment="1" pivotButton="0" quotePrefix="0" xfId="0">
      <alignment horizontal="center"/>
    </xf>
    <xf numFmtId="165" fontId="22" fillId="0" borderId="46" applyAlignment="1" pivotButton="0" quotePrefix="0" xfId="0">
      <alignment horizontal="center"/>
    </xf>
    <xf numFmtId="175" fontId="22" fillId="2" borderId="47" applyAlignment="1" pivotButton="0" quotePrefix="0" xfId="0">
      <alignment horizontal="center"/>
    </xf>
    <xf numFmtId="165" fontId="22" fillId="0" borderId="51" applyAlignment="1" pivotButton="0" quotePrefix="0" xfId="0">
      <alignment horizontal="center"/>
    </xf>
    <xf numFmtId="170" fontId="33" fillId="4" borderId="82" applyAlignment="1" pivotButton="0" quotePrefix="0" xfId="0">
      <alignment horizontal="center" vertical="center"/>
    </xf>
    <xf numFmtId="14" fontId="11" fillId="0" borderId="83" pivotButton="0" quotePrefix="0" xfId="0"/>
    <xf numFmtId="167" fontId="12" fillId="7" borderId="83" applyAlignment="1" pivotButton="0" quotePrefix="0" xfId="0">
      <alignment horizontal="right" vertical="center"/>
    </xf>
    <xf numFmtId="172" fontId="18" fillId="7" borderId="82" applyAlignment="1" pivotButton="0" quotePrefix="0" xfId="2">
      <alignment horizontal="right"/>
    </xf>
    <xf numFmtId="173" fontId="12" fillId="7" borderId="83" pivotButton="0" quotePrefix="0" xfId="0"/>
    <xf numFmtId="172" fontId="40" fillId="7" borderId="82" pivotButton="0" quotePrefix="0" xfId="2"/>
    <xf numFmtId="0" fontId="18" fillId="7" borderId="83" pivotButton="0" quotePrefix="0" xfId="0"/>
    <xf numFmtId="167" fontId="18" fillId="7" borderId="83" applyAlignment="1" pivotButton="0" quotePrefix="0" xfId="0">
      <alignment horizontal="right" vertical="center"/>
    </xf>
    <xf numFmtId="172" fontId="18" fillId="7" borderId="82" pivotButton="0" quotePrefix="0" xfId="2"/>
    <xf numFmtId="174" fontId="41" fillId="7" borderId="83" pivotButton="0" quotePrefix="0" xfId="0"/>
    <xf numFmtId="43" fontId="18" fillId="7" borderId="83" applyAlignment="1" pivotButton="0" quotePrefix="0" xfId="1">
      <alignment horizontal="right" vertical="center"/>
    </xf>
    <xf numFmtId="174" fontId="16" fillId="7" borderId="83" applyAlignment="1" pivotButton="0" quotePrefix="0" xfId="0">
      <alignment horizontal="right"/>
    </xf>
    <xf numFmtId="0" fontId="0" fillId="0" borderId="83" pivotButton="0" quotePrefix="0" xfId="0"/>
    <xf numFmtId="165" fontId="30" fillId="4" borderId="84" applyAlignment="1" pivotButton="0" quotePrefix="0" xfId="2">
      <alignment horizontal="right"/>
    </xf>
    <xf numFmtId="174" fontId="25" fillId="2" borderId="81" pivotButton="0" quotePrefix="0" xfId="0"/>
    <xf numFmtId="43" fontId="0" fillId="0" borderId="12" pivotButton="0" quotePrefix="0" xfId="1"/>
    <xf numFmtId="43" fontId="0" fillId="0" borderId="33" pivotButton="0" quotePrefix="0" xfId="1"/>
    <xf numFmtId="43" fontId="6" fillId="0" borderId="67" applyAlignment="1" pivotButton="0" quotePrefix="0" xfId="1">
      <alignment wrapText="1"/>
    </xf>
    <xf numFmtId="43" fontId="6" fillId="0" borderId="36" applyAlignment="1" pivotButton="0" quotePrefix="0" xfId="1">
      <alignment wrapText="1"/>
    </xf>
    <xf numFmtId="43" fontId="0" fillId="0" borderId="12" pivotButton="0" quotePrefix="0" xfId="1"/>
    <xf numFmtId="43" fontId="0" fillId="0" borderId="33" pivotButton="0" quotePrefix="0" xfId="1"/>
    <xf numFmtId="0" fontId="0" fillId="2" borderId="13" pivotButton="0" quotePrefix="0" xfId="0"/>
    <xf numFmtId="165" fontId="0" fillId="0" borderId="69" pivotButton="0" quotePrefix="0" xfId="2"/>
    <xf numFmtId="43" fontId="48" fillId="2" borderId="16" applyAlignment="1" pivotButton="0" quotePrefix="0" xfId="0">
      <alignment horizontal="right"/>
    </xf>
    <xf numFmtId="0" fontId="49" fillId="2" borderId="19" applyAlignment="1" pivotButton="0" quotePrefix="0" xfId="0">
      <alignment horizontal="right"/>
    </xf>
    <xf numFmtId="43" fontId="48" fillId="2" borderId="19" applyAlignment="1" pivotButton="0" quotePrefix="0" xfId="0">
      <alignment horizontal="right"/>
    </xf>
    <xf numFmtId="0" fontId="48" fillId="2" borderId="19" applyAlignment="1" pivotButton="0" quotePrefix="0" xfId="0">
      <alignment horizontal="right"/>
    </xf>
    <xf numFmtId="0" fontId="51" fillId="2" borderId="77" applyAlignment="1" pivotButton="0" quotePrefix="0" xfId="0">
      <alignment horizontal="right"/>
    </xf>
    <xf numFmtId="175" fontId="0" fillId="2" borderId="68" pivotButton="0" quotePrefix="0" xfId="3"/>
    <xf numFmtId="175" fontId="0" fillId="2" borderId="37" pivotButton="0" quotePrefix="0" xfId="3"/>
    <xf numFmtId="175" fontId="22" fillId="2" borderId="50" applyAlignment="1" pivotButton="0" quotePrefix="0" xfId="0">
      <alignment horizontal="center"/>
    </xf>
    <xf numFmtId="43" fontId="42" fillId="0" borderId="0" pivotButton="0" quotePrefix="0" xfId="1"/>
    <xf numFmtId="43" fontId="42" fillId="0" borderId="19" pivotButton="0" quotePrefix="0" xfId="1"/>
    <xf numFmtId="43" fontId="59" fillId="0" borderId="0" applyAlignment="1" pivotButton="0" quotePrefix="0" xfId="1">
      <alignment horizontal="right" wrapText="1"/>
    </xf>
    <xf numFmtId="0" fontId="0" fillId="0" borderId="40" pivotButton="0" quotePrefix="0" xfId="0"/>
    <xf numFmtId="0" fontId="0" fillId="0" borderId="70" pivotButton="0" quotePrefix="0" xfId="0"/>
    <xf numFmtId="172" fontId="31" fillId="6" borderId="40" pivotButton="0" quotePrefix="0" xfId="2"/>
    <xf numFmtId="172" fontId="0" fillId="0" borderId="0" pivotButton="0" quotePrefix="0" xfId="2"/>
    <xf numFmtId="172" fontId="0" fillId="0" borderId="70" pivotButton="0" quotePrefix="0" xfId="2"/>
    <xf numFmtId="172" fontId="0" fillId="0" borderId="40" pivotButton="0" quotePrefix="0" xfId="2"/>
    <xf numFmtId="172" fontId="0" fillId="0" borderId="87" pivotButton="0" quotePrefix="0" xfId="2"/>
    <xf numFmtId="172" fontId="0" fillId="0" borderId="26" pivotButton="0" quotePrefix="0" xfId="2"/>
    <xf numFmtId="172" fontId="0" fillId="0" borderId="75" pivotButton="0" quotePrefix="0" xfId="2"/>
    <xf numFmtId="0" fontId="0" fillId="0" borderId="88" pivotButton="0" quotePrefix="0" xfId="0"/>
    <xf numFmtId="0" fontId="0" fillId="0" borderId="20" pivotButton="0" quotePrefix="0" xfId="0"/>
    <xf numFmtId="14" fontId="0" fillId="0" borderId="89" pivotButton="0" quotePrefix="0" xfId="0"/>
    <xf numFmtId="0" fontId="0" fillId="0" borderId="21" pivotButton="0" quotePrefix="0" xfId="0"/>
    <xf numFmtId="0" fontId="0" fillId="0" borderId="61" pivotButton="0" quotePrefix="0" xfId="0"/>
    <xf numFmtId="0" fontId="0" fillId="0" borderId="26" applyAlignment="1" pivotButton="0" quotePrefix="0" xfId="0">
      <alignment horizontal="right"/>
    </xf>
    <xf numFmtId="14" fontId="0" fillId="0" borderId="20" pivotButton="0" quotePrefix="0" xfId="0"/>
    <xf numFmtId="14" fontId="0" fillId="0" borderId="78" pivotButton="0" quotePrefix="0" xfId="0"/>
    <xf numFmtId="172" fontId="18" fillId="2" borderId="42" applyAlignment="1" pivotButton="0" quotePrefix="0" xfId="2">
      <alignment horizontal="right"/>
    </xf>
    <xf numFmtId="167" fontId="18" fillId="2" borderId="1" applyAlignment="1" pivotButton="0" quotePrefix="0" xfId="1">
      <alignment horizontal="right"/>
    </xf>
    <xf numFmtId="167" fontId="18" fillId="2" borderId="44" applyAlignment="1" pivotButton="0" quotePrefix="0" xfId="1">
      <alignment horizontal="right"/>
    </xf>
    <xf numFmtId="172" fontId="18" fillId="2" borderId="90" applyAlignment="1" pivotButton="0" quotePrefix="0" xfId="2">
      <alignment horizontal="right"/>
    </xf>
    <xf numFmtId="0" fontId="35" fillId="10" borderId="42" applyAlignment="1" pivotButton="0" quotePrefix="0" xfId="0">
      <alignment horizontal="right"/>
    </xf>
    <xf numFmtId="174" fontId="35" fillId="10" borderId="1" applyAlignment="1" pivotButton="0" quotePrefix="0" xfId="0">
      <alignment horizontal="right"/>
    </xf>
    <xf numFmtId="174" fontId="35" fillId="10" borderId="44" applyAlignment="1" pivotButton="0" quotePrefix="0" xfId="0">
      <alignment horizontal="right"/>
    </xf>
    <xf numFmtId="172" fontId="33" fillId="10" borderId="91" pivotButton="0" quotePrefix="0" xfId="2"/>
    <xf numFmtId="174" fontId="35" fillId="10" borderId="92" applyAlignment="1" pivotButton="0" quotePrefix="0" xfId="0">
      <alignment horizontal="right"/>
    </xf>
    <xf numFmtId="0" fontId="12" fillId="2" borderId="93" applyAlignment="1" pivotButton="0" quotePrefix="0" xfId="0">
      <alignment horizontal="right"/>
    </xf>
    <xf numFmtId="172" fontId="12" fillId="2" borderId="3" pivotButton="0" quotePrefix="0" xfId="2"/>
    <xf numFmtId="172" fontId="12" fillId="2" borderId="14" pivotButton="0" quotePrefix="0" xfId="2"/>
    <xf numFmtId="172" fontId="12" fillId="2" borderId="90" pivotButton="0" quotePrefix="0" xfId="2"/>
    <xf numFmtId="172" fontId="39" fillId="10" borderId="1" applyAlignment="1" pivotButton="0" quotePrefix="0" xfId="2">
      <alignment horizontal="right"/>
    </xf>
    <xf numFmtId="172" fontId="39" fillId="10" borderId="44" applyAlignment="1" pivotButton="0" quotePrefix="0" xfId="2">
      <alignment horizontal="right"/>
    </xf>
    <xf numFmtId="174" fontId="35" fillId="10" borderId="94" applyAlignment="1" pivotButton="0" quotePrefix="0" xfId="0">
      <alignment horizontal="right"/>
    </xf>
    <xf numFmtId="172" fontId="35" fillId="10" borderId="94" applyAlignment="1" pivotButton="0" quotePrefix="0" xfId="2">
      <alignment horizontal="right"/>
    </xf>
    <xf numFmtId="172" fontId="58" fillId="10" borderId="92" applyAlignment="1" pivotButton="0" quotePrefix="0" xfId="2">
      <alignment horizontal="right"/>
    </xf>
    <xf numFmtId="43" fontId="22" fillId="2" borderId="47" applyAlignment="1" pivotButton="0" quotePrefix="0" xfId="1">
      <alignment horizontal="center"/>
    </xf>
    <xf numFmtId="165" fontId="22" fillId="2" borderId="46" applyAlignment="1" pivotButton="0" quotePrefix="0" xfId="0">
      <alignment horizontal="center"/>
    </xf>
    <xf numFmtId="10" fontId="22" fillId="2" borderId="48" applyAlignment="1" pivotButton="0" quotePrefix="0" xfId="3">
      <alignment horizontal="center"/>
    </xf>
    <xf numFmtId="165" fontId="60" fillId="0" borderId="49" applyAlignment="1" pivotButton="0" quotePrefix="0" xfId="0">
      <alignment horizontal="center" wrapText="1"/>
    </xf>
    <xf numFmtId="165" fontId="22" fillId="0" borderId="47" applyAlignment="1" pivotButton="0" quotePrefix="0" xfId="0">
      <alignment horizontal="center"/>
    </xf>
    <xf numFmtId="165" fontId="22" fillId="0" borderId="0" pivotButton="0" quotePrefix="0" xfId="2"/>
    <xf numFmtId="172" fontId="31" fillId="6" borderId="0" pivotButton="0" quotePrefix="0" xfId="2"/>
    <xf numFmtId="165" fontId="2" fillId="0" borderId="0" pivotButton="0" quotePrefix="0" xfId="2"/>
    <xf numFmtId="167" fontId="22" fillId="2" borderId="12" applyAlignment="1" pivotButton="0" quotePrefix="0" xfId="1">
      <alignment horizontal="center"/>
    </xf>
    <xf numFmtId="167" fontId="18" fillId="7" borderId="85" applyAlignment="1" pivotButton="0" quotePrefix="0" xfId="1">
      <alignment horizontal="right"/>
    </xf>
    <xf numFmtId="167" fontId="18" fillId="2" borderId="62" applyAlignment="1" pivotButton="0" quotePrefix="0" xfId="1">
      <alignment horizontal="right"/>
    </xf>
    <xf numFmtId="174" fontId="39" fillId="10" borderId="1" applyAlignment="1" pivotButton="0" quotePrefix="0" xfId="0">
      <alignment horizontal="right"/>
    </xf>
    <xf numFmtId="174" fontId="41" fillId="7" borderId="85" applyAlignment="1" pivotButton="0" quotePrefix="0" xfId="0">
      <alignment horizontal="right"/>
    </xf>
    <xf numFmtId="174" fontId="39" fillId="10" borderId="62" applyAlignment="1" pivotButton="0" quotePrefix="0" xfId="0">
      <alignment horizontal="right"/>
    </xf>
    <xf numFmtId="0" fontId="0" fillId="4" borderId="4" pivotButton="0" quotePrefix="0" xfId="0"/>
    <xf numFmtId="0" fontId="0" fillId="4" borderId="7" pivotButton="0" quotePrefix="0" xfId="0"/>
    <xf numFmtId="0" fontId="9" fillId="4" borderId="7" pivotButton="0" quotePrefix="0" xfId="0"/>
    <xf numFmtId="0" fontId="6" fillId="0" borderId="7" applyAlignment="1" pivotButton="0" quotePrefix="0" xfId="0">
      <alignment horizontal="left" wrapText="1"/>
    </xf>
    <xf numFmtId="0" fontId="6" fillId="0" borderId="79" applyAlignment="1" pivotButton="0" quotePrefix="0" xfId="0">
      <alignment horizontal="left" wrapText="1"/>
    </xf>
    <xf numFmtId="43" fontId="6" fillId="0" borderId="7" applyAlignment="1" pivotButton="0" quotePrefix="0" xfId="1">
      <alignment horizontal="left" wrapText="1"/>
    </xf>
    <xf numFmtId="0" fontId="6" fillId="0" borderId="97" applyAlignment="1" pivotButton="0" quotePrefix="0" xfId="0">
      <alignment horizontal="left" wrapText="1"/>
    </xf>
    <xf numFmtId="43" fontId="19" fillId="2" borderId="95" applyAlignment="1" pivotButton="0" quotePrefix="0" xfId="0">
      <alignment horizontal="right"/>
    </xf>
    <xf numFmtId="0" fontId="15" fillId="2" borderId="97" applyAlignment="1" pivotButton="0" quotePrefix="0" xfId="0">
      <alignment horizontal="right"/>
    </xf>
    <xf numFmtId="43" fontId="19" fillId="2" borderId="97" applyAlignment="1" pivotButton="0" quotePrefix="0" xfId="0">
      <alignment horizontal="right"/>
    </xf>
    <xf numFmtId="0" fontId="19" fillId="2" borderId="97" applyAlignment="1" pivotButton="0" quotePrefix="0" xfId="0">
      <alignment horizontal="right"/>
    </xf>
    <xf numFmtId="0" fontId="6" fillId="0" borderId="95" applyAlignment="1" pivotButton="0" quotePrefix="0" xfId="0">
      <alignment horizontal="right" wrapText="1"/>
    </xf>
    <xf numFmtId="0" fontId="6" fillId="7" borderId="96" applyAlignment="1" pivotButton="0" quotePrefix="0" xfId="0">
      <alignment horizontal="right" wrapText="1"/>
    </xf>
    <xf numFmtId="9" fontId="0" fillId="0" borderId="0" pivotButton="0" quotePrefix="0" xfId="3"/>
    <xf numFmtId="9" fontId="19" fillId="0" borderId="0" pivotButton="0" quotePrefix="0" xfId="3"/>
    <xf numFmtId="170" fontId="32" fillId="4" borderId="2" applyAlignment="1" pivotButton="0" quotePrefix="0" xfId="0">
      <alignment horizontal="center" vertical="center"/>
    </xf>
    <xf numFmtId="172" fontId="22" fillId="2" borderId="2" applyAlignment="1" pivotButton="0" quotePrefix="0" xfId="2">
      <alignment horizontal="right"/>
    </xf>
    <xf numFmtId="167" fontId="22" fillId="2" borderId="0" applyAlignment="1" pivotButton="0" quotePrefix="0" xfId="1">
      <alignment horizontal="right"/>
    </xf>
    <xf numFmtId="167" fontId="22" fillId="2" borderId="1" applyAlignment="1" pivotButton="0" quotePrefix="0" xfId="1">
      <alignment horizontal="right"/>
    </xf>
    <xf numFmtId="172" fontId="32" fillId="10" borderId="2" pivotButton="0" quotePrefix="0" xfId="2"/>
    <xf numFmtId="172" fontId="8" fillId="2" borderId="3" pivotButton="0" quotePrefix="0" xfId="2"/>
    <xf numFmtId="43" fontId="8" fillId="0" borderId="0" applyAlignment="1" pivotButton="0" quotePrefix="0" xfId="1">
      <alignment horizontal="right" vertical="center"/>
    </xf>
    <xf numFmtId="165" fontId="11" fillId="4" borderId="5" applyAlignment="1" pivotButton="0" quotePrefix="0" xfId="2">
      <alignment horizontal="right"/>
    </xf>
    <xf numFmtId="165" fontId="11" fillId="4" borderId="1" applyAlignment="1" pivotButton="0" quotePrefix="0" xfId="0">
      <alignment horizontal="right"/>
    </xf>
    <xf numFmtId="165" fontId="9" fillId="4" borderId="98" applyAlignment="1" pivotButton="0" quotePrefix="0" xfId="2">
      <alignment horizontal="right"/>
    </xf>
    <xf numFmtId="165" fontId="9" fillId="4" borderId="99" applyAlignment="1" pivotButton="0" quotePrefix="0" xfId="0">
      <alignment horizontal="right"/>
    </xf>
    <xf numFmtId="165" fontId="9" fillId="4" borderId="85" applyAlignment="1" pivotButton="0" quotePrefix="0" xfId="0">
      <alignment horizontal="right"/>
    </xf>
    <xf numFmtId="165" fontId="22" fillId="2" borderId="50" applyAlignment="1" pivotButton="0" quotePrefix="0" xfId="0">
      <alignment horizontal="center"/>
    </xf>
    <xf numFmtId="165" fontId="6" fillId="6" borderId="2" applyAlignment="1" pivotButton="0" quotePrefix="0" xfId="2">
      <alignment horizontal="right" wrapText="1"/>
    </xf>
    <xf numFmtId="165" fontId="6" fillId="6" borderId="16" applyAlignment="1" pivotButton="0" quotePrefix="0" xfId="2">
      <alignment horizontal="right" wrapText="1"/>
    </xf>
    <xf numFmtId="9" fontId="0" fillId="0" borderId="0" pivotButton="0" quotePrefix="0" xfId="3"/>
    <xf numFmtId="179" fontId="0" fillId="0" borderId="0" pivotButton="0" quotePrefix="0" xfId="0"/>
    <xf numFmtId="169" fontId="19" fillId="2" borderId="0" pivotButton="0" quotePrefix="0" xfId="1"/>
    <xf numFmtId="0" fontId="11" fillId="4" borderId="8" applyAlignment="1" pivotButton="0" quotePrefix="0" xfId="0">
      <alignment horizontal="center"/>
    </xf>
    <xf numFmtId="43" fontId="0" fillId="0" borderId="8" pivotButton="0" quotePrefix="0" xfId="1"/>
    <xf numFmtId="165" fontId="12" fillId="0" borderId="80" pivotButton="0" quotePrefix="0" xfId="0"/>
    <xf numFmtId="10" fontId="12" fillId="7" borderId="81" pivotButton="0" quotePrefix="0" xfId="3"/>
    <xf numFmtId="165" fontId="12" fillId="0" borderId="8" pivotButton="0" quotePrefix="0" xfId="0"/>
    <xf numFmtId="167" fontId="21" fillId="3" borderId="80" pivotButton="0" quotePrefix="0" xfId="1"/>
    <xf numFmtId="167" fontId="5" fillId="0" borderId="8" pivotButton="0" quotePrefix="0" xfId="1"/>
    <xf numFmtId="167" fontId="21" fillId="3" borderId="8" pivotButton="0" quotePrefix="0" xfId="1"/>
    <xf numFmtId="167" fontId="20" fillId="0" borderId="8" pivotButton="0" quotePrefix="0" xfId="1"/>
    <xf numFmtId="167" fontId="22" fillId="0" borderId="8" pivotButton="0" quotePrefix="0" xfId="1"/>
    <xf numFmtId="43" fontId="19" fillId="0" borderId="8" pivotButton="0" quotePrefix="0" xfId="1"/>
    <xf numFmtId="169" fontId="22" fillId="2" borderId="8" pivotButton="0" quotePrefix="0" xfId="1"/>
    <xf numFmtId="169" fontId="21" fillId="3" borderId="8" pivotButton="0" quotePrefix="0" xfId="1"/>
    <xf numFmtId="165" fontId="19" fillId="0" borderId="8" pivotButton="0" quotePrefix="0" xfId="2"/>
    <xf numFmtId="165" fontId="22" fillId="0" borderId="8" pivotButton="0" quotePrefix="0" xfId="2"/>
    <xf numFmtId="165" fontId="2" fillId="0" borderId="8" pivotButton="0" quotePrefix="0" xfId="2"/>
    <xf numFmtId="9" fontId="19" fillId="0" borderId="8" pivotButton="0" quotePrefix="0" xfId="3"/>
    <xf numFmtId="175" fontId="19" fillId="0" borderId="8" pivotButton="0" quotePrefix="0" xfId="3"/>
    <xf numFmtId="1" fontId="19" fillId="0" borderId="8" pivotButton="0" quotePrefix="0" xfId="2"/>
    <xf numFmtId="175" fontId="30" fillId="0" borderId="8" pivotButton="0" quotePrefix="0" xfId="3"/>
    <xf numFmtId="177" fontId="19" fillId="0" borderId="8" pivotButton="0" quotePrefix="0" xfId="2"/>
    <xf numFmtId="43" fontId="42" fillId="0" borderId="0" pivotButton="0" quotePrefix="0" xfId="1"/>
    <xf numFmtId="43" fontId="42" fillId="0" borderId="19" pivotButton="0" quotePrefix="0" xfId="1"/>
    <xf numFmtId="43" fontId="22" fillId="0" borderId="0" pivotButton="0" quotePrefix="0" xfId="1"/>
    <xf numFmtId="43" fontId="22" fillId="0" borderId="19" pivotButton="0" quotePrefix="0" xfId="1"/>
    <xf numFmtId="0" fontId="6" fillId="7" borderId="0" applyAlignment="1" pivotButton="0" quotePrefix="0" xfId="0">
      <alignment horizontal="left" wrapText="1"/>
    </xf>
    <xf numFmtId="175" fontId="12" fillId="7" borderId="0" pivotButton="0" quotePrefix="0" xfId="3"/>
    <xf numFmtId="175" fontId="12" fillId="7" borderId="19" pivotButton="0" quotePrefix="0" xfId="3"/>
    <xf numFmtId="175" fontId="21" fillId="3" borderId="0" pivotButton="0" quotePrefix="0" xfId="3"/>
    <xf numFmtId="170" fontId="33" fillId="4" borderId="13" applyAlignment="1" pivotButton="0" quotePrefix="0" xfId="0">
      <alignment horizontal="center" vertical="center"/>
    </xf>
    <xf numFmtId="167" fontId="18" fillId="2" borderId="12" applyAlignment="1" pivotButton="0" quotePrefix="0" xfId="1">
      <alignment horizontal="right"/>
    </xf>
    <xf numFmtId="167" fontId="18" fillId="2" borderId="100" applyAlignment="1" pivotButton="0" quotePrefix="0" xfId="1">
      <alignment horizontal="right"/>
    </xf>
    <xf numFmtId="174" fontId="35" fillId="10" borderId="100" applyAlignment="1" pivotButton="0" quotePrefix="0" xfId="0">
      <alignment horizontal="right"/>
    </xf>
    <xf numFmtId="172" fontId="12" fillId="2" borderId="68" pivotButton="0" quotePrefix="0" xfId="2"/>
    <xf numFmtId="172" fontId="35" fillId="10" borderId="12" applyAlignment="1" pivotButton="0" quotePrefix="0" xfId="2">
      <alignment horizontal="right"/>
    </xf>
    <xf numFmtId="172" fontId="39" fillId="10" borderId="100" applyAlignment="1" pivotButton="0" quotePrefix="0" xfId="2">
      <alignment horizontal="right"/>
    </xf>
    <xf numFmtId="0" fontId="63" fillId="11" borderId="36" applyAlignment="1" pivotButton="0" quotePrefix="0" xfId="0">
      <alignment horizontal="center" vertical="center"/>
    </xf>
    <xf numFmtId="0" fontId="63" fillId="11" borderId="33" applyAlignment="1" pivotButton="0" quotePrefix="0" xfId="0">
      <alignment horizontal="center"/>
    </xf>
    <xf numFmtId="167" fontId="1" fillId="11" borderId="33" pivotButton="0" quotePrefix="0" xfId="1"/>
    <xf numFmtId="172" fontId="10" fillId="11" borderId="34" pivotButton="0" quotePrefix="0" xfId="2"/>
    <xf numFmtId="167" fontId="10" fillId="11" borderId="33" pivotButton="0" quotePrefix="0" xfId="1"/>
    <xf numFmtId="9" fontId="64" fillId="11" borderId="33" pivotButton="0" quotePrefix="0" xfId="3"/>
    <xf numFmtId="0" fontId="1" fillId="11" borderId="33" pivotButton="0" quotePrefix="0" xfId="0"/>
    <xf numFmtId="172" fontId="63" fillId="11" borderId="34" pivotButton="0" quotePrefix="0" xfId="2"/>
    <xf numFmtId="174" fontId="65" fillId="11" borderId="33" applyAlignment="1" pivotButton="0" quotePrefix="0" xfId="0">
      <alignment horizontal="right"/>
    </xf>
    <xf numFmtId="173" fontId="1" fillId="11" borderId="33" pivotButton="0" quotePrefix="0" xfId="0"/>
    <xf numFmtId="174" fontId="65" fillId="11" borderId="33" pivotButton="0" quotePrefix="0" xfId="0"/>
    <xf numFmtId="174" fontId="65" fillId="11" borderId="101" applyAlignment="1" pivotButton="0" quotePrefix="0" xfId="0">
      <alignment horizontal="right"/>
    </xf>
    <xf numFmtId="0" fontId="9" fillId="4" borderId="6" applyAlignment="1" pivotButton="0" quotePrefix="0" xfId="0">
      <alignment horizontal="center"/>
    </xf>
    <xf numFmtId="169" fontId="19" fillId="2" borderId="8" pivotButton="0" quotePrefix="0" xfId="1"/>
    <xf numFmtId="172" fontId="66" fillId="10" borderId="92" applyAlignment="1" pivotButton="0" quotePrefix="0" xfId="2">
      <alignment horizontal="right"/>
    </xf>
    <xf numFmtId="169" fontId="22" fillId="2" borderId="0" pivotButton="0" quotePrefix="0" xfId="1"/>
    <xf numFmtId="175" fontId="12" fillId="7" borderId="8" pivotButton="0" quotePrefix="0" xfId="3"/>
    <xf numFmtId="165" fontId="56" fillId="2" borderId="81" pivotButton="0" quotePrefix="0" xfId="2"/>
    <xf numFmtId="165" fontId="12" fillId="0" borderId="81" pivotButton="0" quotePrefix="0" xfId="0"/>
    <xf numFmtId="165" fontId="12" fillId="4" borderId="8" pivotButton="0" quotePrefix="0" xfId="0"/>
    <xf numFmtId="2" fontId="6" fillId="6" borderId="80" applyAlignment="1" pivotButton="0" quotePrefix="0" xfId="0">
      <alignment horizontal="right" wrapText="1"/>
    </xf>
    <xf numFmtId="168" fontId="6" fillId="0" borderId="8" applyAlignment="1" pivotButton="0" quotePrefix="0" xfId="0">
      <alignment horizontal="right" wrapText="1"/>
    </xf>
    <xf numFmtId="164" fontId="7" fillId="0" borderId="8" applyAlignment="1" pivotButton="0" quotePrefix="0" xfId="0">
      <alignment wrapText="1"/>
    </xf>
    <xf numFmtId="165" fontId="6" fillId="6" borderId="80" applyAlignment="1" pivotButton="0" quotePrefix="0" xfId="2">
      <alignment horizontal="right" wrapText="1"/>
    </xf>
    <xf numFmtId="0" fontId="0" fillId="4" borderId="8" pivotButton="0" quotePrefix="0" xfId="0"/>
    <xf numFmtId="165" fontId="0" fillId="0" borderId="80" pivotButton="0" quotePrefix="0" xfId="0"/>
    <xf numFmtId="165" fontId="0" fillId="0" borderId="8" pivotButton="0" quotePrefix="0" xfId="0"/>
    <xf numFmtId="165" fontId="0" fillId="0" borderId="102" pivotButton="0" quotePrefix="0" xfId="0"/>
    <xf numFmtId="0" fontId="0" fillId="0" borderId="80" pivotButton="0" quotePrefix="0" xfId="0"/>
    <xf numFmtId="165" fontId="18" fillId="0" borderId="2" pivotButton="0" quotePrefix="0" xfId="0"/>
    <xf numFmtId="165" fontId="9" fillId="4" borderId="67" applyAlignment="1" pivotButton="0" quotePrefix="0" xfId="2">
      <alignment horizontal="right"/>
    </xf>
    <xf numFmtId="165" fontId="9" fillId="4" borderId="100" applyAlignment="1" pivotButton="0" quotePrefix="0" xfId="0">
      <alignment horizontal="right"/>
    </xf>
    <xf numFmtId="169" fontId="21" fillId="12" borderId="0" pivotButton="0" quotePrefix="0" xfId="1"/>
    <xf numFmtId="165" fontId="18" fillId="0" borderId="16" pivotButton="0" quotePrefix="0" xfId="0"/>
    <xf numFmtId="167" fontId="21" fillId="3" borderId="16" pivotButton="0" quotePrefix="0" xfId="1"/>
    <xf numFmtId="167" fontId="21" fillId="3" borderId="19" pivotButton="0" quotePrefix="0" xfId="1"/>
    <xf numFmtId="167" fontId="5" fillId="0" borderId="19" pivotButton="0" quotePrefix="0" xfId="1"/>
    <xf numFmtId="167" fontId="20" fillId="0" borderId="19" pivotButton="0" quotePrefix="0" xfId="1"/>
    <xf numFmtId="167" fontId="22" fillId="0" borderId="19" pivotButton="0" quotePrefix="0" xfId="1"/>
    <xf numFmtId="43" fontId="19" fillId="0" borderId="19" pivotButton="0" quotePrefix="0" xfId="1"/>
    <xf numFmtId="169" fontId="22" fillId="2" borderId="19" pivotButton="0" quotePrefix="0" xfId="1"/>
    <xf numFmtId="169" fontId="21" fillId="3" borderId="19" pivotButton="0" quotePrefix="0" xfId="1"/>
    <xf numFmtId="165" fontId="19" fillId="0" borderId="19" pivotButton="0" quotePrefix="0" xfId="2"/>
    <xf numFmtId="165" fontId="22" fillId="0" borderId="19" pivotButton="0" quotePrefix="0" xfId="2"/>
    <xf numFmtId="165" fontId="2" fillId="0" borderId="19" pivotButton="0" quotePrefix="0" xfId="2"/>
    <xf numFmtId="9" fontId="19" fillId="0" borderId="19" pivotButton="0" quotePrefix="0" xfId="3"/>
    <xf numFmtId="175" fontId="19" fillId="0" borderId="19" pivotButton="0" quotePrefix="0" xfId="3"/>
    <xf numFmtId="175" fontId="30" fillId="0" borderId="19" pivotButton="0" quotePrefix="0" xfId="3"/>
    <xf numFmtId="177" fontId="19" fillId="0" borderId="19" pivotButton="0" quotePrefix="0" xfId="2"/>
    <xf numFmtId="164" fontId="7" fillId="0" borderId="19" applyAlignment="1" pivotButton="0" quotePrefix="0" xfId="0">
      <alignment wrapText="1"/>
    </xf>
    <xf numFmtId="168" fontId="6" fillId="0" borderId="19" applyAlignment="1" pivotButton="0" quotePrefix="0" xfId="0">
      <alignment horizontal="right" wrapText="1"/>
    </xf>
    <xf numFmtId="14" fontId="67" fillId="0" borderId="0" pivotButton="0" quotePrefix="0" xfId="0"/>
    <xf numFmtId="165" fontId="67" fillId="0" borderId="0" pivotButton="0" quotePrefix="0" xfId="2"/>
    <xf numFmtId="165" fontId="67" fillId="0" borderId="55" pivotButton="0" quotePrefix="0" xfId="2"/>
    <xf numFmtId="43" fontId="67" fillId="0" borderId="0" pivotButton="0" quotePrefix="0" xfId="1"/>
    <xf numFmtId="43" fontId="67" fillId="0" borderId="12" pivotButton="0" quotePrefix="0" xfId="1"/>
    <xf numFmtId="43" fontId="67" fillId="0" borderId="33" pivotButton="0" quotePrefix="0" xfId="1"/>
    <xf numFmtId="1" fontId="67" fillId="2" borderId="2" pivotButton="0" quotePrefix="0" xfId="0"/>
    <xf numFmtId="1" fontId="67" fillId="2" borderId="56" pivotButton="0" quotePrefix="0" xfId="0"/>
    <xf numFmtId="0" fontId="67" fillId="2" borderId="2" pivotButton="0" quotePrefix="0" xfId="0"/>
    <xf numFmtId="0" fontId="67" fillId="2" borderId="13" pivotButton="0" quotePrefix="0" xfId="0"/>
    <xf numFmtId="0" fontId="67" fillId="2" borderId="34" pivotButton="0" quotePrefix="0" xfId="0"/>
    <xf numFmtId="1" fontId="67" fillId="2" borderId="0" pivotButton="0" quotePrefix="0" xfId="0"/>
    <xf numFmtId="1" fontId="67" fillId="2" borderId="55" pivotButton="0" quotePrefix="0" xfId="0"/>
    <xf numFmtId="43" fontId="67" fillId="2" borderId="0" applyAlignment="1" pivotButton="0" quotePrefix="0" xfId="1">
      <alignment horizontal="center"/>
    </xf>
    <xf numFmtId="167" fontId="67" fillId="2" borderId="12" applyAlignment="1" pivotButton="0" quotePrefix="0" xfId="1">
      <alignment horizontal="center"/>
    </xf>
    <xf numFmtId="167" fontId="67" fillId="2" borderId="33" applyAlignment="1" pivotButton="0" quotePrefix="0" xfId="1">
      <alignment horizontal="center"/>
    </xf>
    <xf numFmtId="167" fontId="67" fillId="2" borderId="0" applyAlignment="1" pivotButton="0" quotePrefix="0" xfId="1">
      <alignment horizontal="center"/>
    </xf>
    <xf numFmtId="2" fontId="67" fillId="2" borderId="0" pivotButton="0" quotePrefix="0" xfId="0"/>
    <xf numFmtId="1" fontId="67" fillId="2" borderId="12" pivotButton="0" quotePrefix="0" xfId="0"/>
    <xf numFmtId="1" fontId="67" fillId="2" borderId="33" pivotButton="0" quotePrefix="0" xfId="0"/>
    <xf numFmtId="2" fontId="67" fillId="2" borderId="55" pivotButton="0" quotePrefix="0" xfId="0"/>
    <xf numFmtId="2" fontId="67" fillId="2" borderId="12" pivotButton="0" quotePrefix="0" xfId="0"/>
    <xf numFmtId="2" fontId="67" fillId="2" borderId="33" pivotButton="0" quotePrefix="0" xfId="0"/>
    <xf numFmtId="0" fontId="67" fillId="2" borderId="0" pivotButton="0" quotePrefix="0" xfId="0"/>
    <xf numFmtId="0" fontId="67" fillId="2" borderId="55" pivotButton="0" quotePrefix="0" xfId="0"/>
    <xf numFmtId="165" fontId="67" fillId="2" borderId="0" pivotButton="0" quotePrefix="0" xfId="2"/>
    <xf numFmtId="165" fontId="67" fillId="2" borderId="55" pivotButton="0" quotePrefix="0" xfId="2"/>
    <xf numFmtId="165" fontId="67" fillId="2" borderId="0" pivotButton="0" quotePrefix="0" xfId="2"/>
    <xf numFmtId="165" fontId="67" fillId="2" borderId="12" pivotButton="0" quotePrefix="0" xfId="2"/>
    <xf numFmtId="165" fontId="67" fillId="2" borderId="33" pivotButton="0" quotePrefix="0" xfId="2"/>
    <xf numFmtId="0" fontId="67" fillId="2" borderId="12" pivotButton="0" quotePrefix="0" xfId="0"/>
    <xf numFmtId="0" fontId="67" fillId="2" borderId="33" pivotButton="0" quotePrefix="0" xfId="0"/>
    <xf numFmtId="10" fontId="67" fillId="2" borderId="15" pivotButton="0" quotePrefix="0" xfId="3"/>
    <xf numFmtId="10" fontId="67" fillId="2" borderId="57" pivotButton="0" quotePrefix="0" xfId="3"/>
    <xf numFmtId="10" fontId="67" fillId="2" borderId="15" pivotButton="0" quotePrefix="0" xfId="3"/>
    <xf numFmtId="10" fontId="67" fillId="2" borderId="66" pivotButton="0" quotePrefix="0" xfId="3"/>
    <xf numFmtId="10" fontId="67" fillId="2" borderId="35" pivotButton="0" quotePrefix="0" xfId="3"/>
    <xf numFmtId="0" fontId="68" fillId="0" borderId="5" applyAlignment="1" pivotButton="0" quotePrefix="0" xfId="0">
      <alignment wrapText="1"/>
    </xf>
    <xf numFmtId="0" fontId="68" fillId="0" borderId="58" applyAlignment="1" pivotButton="0" quotePrefix="0" xfId="0">
      <alignment wrapText="1"/>
    </xf>
    <xf numFmtId="43" fontId="68" fillId="0" borderId="5" applyAlignment="1" pivotButton="0" quotePrefix="0" xfId="1">
      <alignment wrapText="1"/>
    </xf>
    <xf numFmtId="43" fontId="68" fillId="0" borderId="67" applyAlignment="1" pivotButton="0" quotePrefix="0" xfId="1">
      <alignment wrapText="1"/>
    </xf>
    <xf numFmtId="43" fontId="68" fillId="0" borderId="36" applyAlignment="1" pivotButton="0" quotePrefix="0" xfId="1">
      <alignment wrapText="1"/>
    </xf>
    <xf numFmtId="165" fontId="67" fillId="0" borderId="55" pivotButton="0" quotePrefix="0" xfId="2"/>
    <xf numFmtId="165" fontId="67" fillId="0" borderId="0" pivotButton="0" quotePrefix="0" xfId="2"/>
    <xf numFmtId="43" fontId="67" fillId="0" borderId="0" pivotButton="0" quotePrefix="0" xfId="1"/>
    <xf numFmtId="43" fontId="67" fillId="0" borderId="12" pivotButton="0" quotePrefix="0" xfId="1"/>
    <xf numFmtId="43" fontId="67" fillId="0" borderId="33" pivotButton="0" quotePrefix="0" xfId="1"/>
    <xf numFmtId="165" fontId="67" fillId="0" borderId="3" pivotButton="0" quotePrefix="0" xfId="0"/>
    <xf numFmtId="165" fontId="67" fillId="0" borderId="59" pivotButton="0" quotePrefix="0" xfId="0"/>
    <xf numFmtId="165" fontId="67" fillId="0" borderId="68" pivotButton="0" quotePrefix="0" xfId="0"/>
    <xf numFmtId="165" fontId="67" fillId="0" borderId="37" pivotButton="0" quotePrefix="0" xfId="0"/>
    <xf numFmtId="165" fontId="67" fillId="2" borderId="3" pivotButton="0" quotePrefix="0" xfId="0"/>
    <xf numFmtId="165" fontId="67" fillId="2" borderId="59" pivotButton="0" quotePrefix="0" xfId="0"/>
    <xf numFmtId="175" fontId="67" fillId="2" borderId="3" pivotButton="0" quotePrefix="0" xfId="3"/>
    <xf numFmtId="175" fontId="67" fillId="2" borderId="68" pivotButton="0" quotePrefix="0" xfId="3"/>
    <xf numFmtId="175" fontId="67" fillId="2" borderId="37" pivotButton="0" quotePrefix="0" xfId="3"/>
    <xf numFmtId="0" fontId="68" fillId="0" borderId="0" applyAlignment="1" pivotButton="0" quotePrefix="0" xfId="0">
      <alignment wrapText="1"/>
    </xf>
    <xf numFmtId="165" fontId="67" fillId="0" borderId="0" pivotButton="0" quotePrefix="0" xfId="0"/>
    <xf numFmtId="165" fontId="67" fillId="0" borderId="55" pivotButton="0" quotePrefix="0" xfId="0"/>
    <xf numFmtId="165" fontId="67" fillId="0" borderId="12" pivotButton="0" quotePrefix="0" xfId="0"/>
    <xf numFmtId="165" fontId="67" fillId="0" borderId="33" pivotButton="0" quotePrefix="0" xfId="0"/>
    <xf numFmtId="165" fontId="67" fillId="2" borderId="2" pivotButton="0" quotePrefix="0" xfId="0"/>
    <xf numFmtId="165" fontId="67" fillId="2" borderId="56" pivotButton="0" quotePrefix="0" xfId="0"/>
    <xf numFmtId="175" fontId="67" fillId="2" borderId="2" pivotButton="0" quotePrefix="0" xfId="3"/>
    <xf numFmtId="175" fontId="67" fillId="2" borderId="13" pivotButton="0" quotePrefix="0" xfId="3"/>
    <xf numFmtId="175" fontId="67" fillId="2" borderId="34" pivotButton="0" quotePrefix="0" xfId="3"/>
    <xf numFmtId="165" fontId="67" fillId="0" borderId="12" pivotButton="0" quotePrefix="0" xfId="2"/>
    <xf numFmtId="165" fontId="67" fillId="0" borderId="33" pivotButton="0" quotePrefix="0" xfId="2"/>
    <xf numFmtId="165" fontId="67" fillId="0" borderId="2" pivotButton="0" quotePrefix="0" xfId="0"/>
    <xf numFmtId="165" fontId="67" fillId="0" borderId="56" pivotButton="0" quotePrefix="0" xfId="0"/>
    <xf numFmtId="165" fontId="67" fillId="0" borderId="13" pivotButton="0" quotePrefix="0" xfId="0"/>
    <xf numFmtId="165" fontId="67" fillId="0" borderId="34" pivotButton="0" quotePrefix="0" xfId="0"/>
    <xf numFmtId="165" fontId="67" fillId="2" borderId="68" pivotButton="0" quotePrefix="0" xfId="0"/>
    <xf numFmtId="165" fontId="67" fillId="2" borderId="37" pivotButton="0" quotePrefix="0" xfId="0"/>
    <xf numFmtId="165" fontId="67" fillId="0" borderId="26" pivotButton="0" quotePrefix="0" xfId="0"/>
    <xf numFmtId="165" fontId="67" fillId="0" borderId="60" pivotButton="0" quotePrefix="0" xfId="0"/>
    <xf numFmtId="165" fontId="67" fillId="0" borderId="26" pivotButton="0" quotePrefix="0" xfId="2"/>
    <xf numFmtId="165" fontId="67" fillId="0" borderId="69" pivotButton="0" quotePrefix="0" xfId="2"/>
    <xf numFmtId="165" fontId="67" fillId="0" borderId="38" pivotButton="0" quotePrefix="0" xfId="2"/>
    <xf numFmtId="175" fontId="67" fillId="2" borderId="59" pivotButton="0" quotePrefix="0" xfId="3"/>
    <xf numFmtId="43" fontId="68" fillId="0" borderId="0" applyAlignment="1" pivotButton="0" quotePrefix="0" xfId="1">
      <alignment wrapText="1"/>
    </xf>
    <xf numFmtId="175" fontId="67" fillId="2" borderId="56" pivotButton="0" quotePrefix="0" xfId="3"/>
    <xf numFmtId="43" fontId="67" fillId="0" borderId="70" pivotButton="0" quotePrefix="0" xfId="1"/>
    <xf numFmtId="1" fontId="67" fillId="2" borderId="13" pivotButton="0" quotePrefix="0" xfId="0"/>
    <xf numFmtId="1" fontId="67" fillId="2" borderId="34" pivotButton="0" quotePrefix="0" xfId="0"/>
    <xf numFmtId="1" fontId="67" fillId="2" borderId="71" pivotButton="0" quotePrefix="0" xfId="0"/>
    <xf numFmtId="167" fontId="67" fillId="2" borderId="70" applyAlignment="1" pivotButton="0" quotePrefix="0" xfId="1">
      <alignment horizontal="center"/>
    </xf>
    <xf numFmtId="43" fontId="67" fillId="2" borderId="33" applyAlignment="1" pivotButton="0" quotePrefix="0" xfId="1">
      <alignment horizontal="center"/>
    </xf>
    <xf numFmtId="1" fontId="67" fillId="2" borderId="70" pivotButton="0" quotePrefix="0" xfId="0"/>
    <xf numFmtId="2" fontId="67" fillId="2" borderId="70" pivotButton="0" quotePrefix="0" xfId="0"/>
    <xf numFmtId="0" fontId="67" fillId="2" borderId="70" pivotButton="0" quotePrefix="0" xfId="0"/>
    <xf numFmtId="165" fontId="67" fillId="2" borderId="70" pivotButton="0" quotePrefix="0" xfId="2"/>
    <xf numFmtId="10" fontId="67" fillId="2" borderId="72" pivotButton="0" quotePrefix="0" xfId="3"/>
    <xf numFmtId="43" fontId="68" fillId="0" borderId="73" applyAlignment="1" pivotButton="0" quotePrefix="0" xfId="1">
      <alignment wrapText="1"/>
    </xf>
    <xf numFmtId="43" fontId="67" fillId="0" borderId="70" pivotButton="0" quotePrefix="0" xfId="1"/>
    <xf numFmtId="165" fontId="67" fillId="0" borderId="74" pivotButton="0" quotePrefix="0" xfId="0"/>
    <xf numFmtId="175" fontId="67" fillId="2" borderId="74" pivotButton="0" quotePrefix="0" xfId="3"/>
    <xf numFmtId="43" fontId="68" fillId="0" borderId="12" applyAlignment="1" pivotButton="0" quotePrefix="0" xfId="1">
      <alignment wrapText="1"/>
    </xf>
    <xf numFmtId="43" fontId="68" fillId="0" borderId="33" applyAlignment="1" pivotButton="0" quotePrefix="0" xfId="1">
      <alignment wrapText="1"/>
    </xf>
    <xf numFmtId="43" fontId="68" fillId="0" borderId="70" applyAlignment="1" pivotButton="0" quotePrefix="0" xfId="1">
      <alignment wrapText="1"/>
    </xf>
    <xf numFmtId="165" fontId="67" fillId="0" borderId="70" pivotButton="0" quotePrefix="0" xfId="0"/>
    <xf numFmtId="175" fontId="67" fillId="2" borderId="71" pivotButton="0" quotePrefix="0" xfId="3"/>
    <xf numFmtId="165" fontId="67" fillId="0" borderId="70" pivotButton="0" quotePrefix="0" xfId="2"/>
    <xf numFmtId="165" fontId="67" fillId="0" borderId="71" pivotButton="0" quotePrefix="0" xfId="0"/>
    <xf numFmtId="165" fontId="67" fillId="2" borderId="74" pivotButton="0" quotePrefix="0" xfId="0"/>
    <xf numFmtId="165" fontId="67" fillId="0" borderId="69" pivotButton="0" quotePrefix="0" xfId="0"/>
    <xf numFmtId="165" fontId="67" fillId="0" borderId="38" pivotButton="0" quotePrefix="0" xfId="0"/>
    <xf numFmtId="165" fontId="67" fillId="0" borderId="75" pivotButton="0" quotePrefix="0" xfId="0"/>
    <xf numFmtId="43" fontId="0" fillId="0" borderId="0" pivotButton="0" quotePrefix="0" xfId="1"/>
    <xf numFmtId="43" fontId="0" fillId="0" borderId="19" pivotButton="0" quotePrefix="0" xfId="1"/>
    <xf numFmtId="172" fontId="31" fillId="6" borderId="70" pivotButton="0" quotePrefix="0" xfId="2"/>
    <xf numFmtId="172" fontId="31" fillId="12" borderId="70" pivotButton="0" quotePrefix="0" xfId="2"/>
    <xf numFmtId="10" fontId="55" fillId="3" borderId="3" pivotButton="0" quotePrefix="0" xfId="3"/>
    <xf numFmtId="169" fontId="21" fillId="3" borderId="2" pivotButton="0" quotePrefix="0" xfId="1"/>
    <xf numFmtId="43" fontId="21" fillId="3" borderId="0" pivotButton="0" quotePrefix="0" xfId="1"/>
    <xf numFmtId="174" fontId="25" fillId="2" borderId="103" pivotButton="0" quotePrefix="0" xfId="0"/>
    <xf numFmtId="43" fontId="42" fillId="0" borderId="0" pivotButton="0" quotePrefix="0" xfId="1"/>
    <xf numFmtId="164" fontId="59" fillId="3" borderId="0" applyAlignment="1" pivotButton="0" quotePrefix="0" xfId="0">
      <alignment horizontal="right" wrapText="1"/>
    </xf>
    <xf numFmtId="164" fontId="62" fillId="3" borderId="0" applyAlignment="1" pivotButton="0" quotePrefix="0" xfId="0">
      <alignment horizontal="right" wrapText="1"/>
    </xf>
    <xf numFmtId="175" fontId="53" fillId="3" borderId="3" pivotButton="0" quotePrefix="0" xfId="3"/>
    <xf numFmtId="165" fontId="57" fillId="2" borderId="3" pivotButton="0" quotePrefix="0" xfId="2"/>
    <xf numFmtId="43" fontId="0" fillId="12" borderId="0" pivotButton="0" quotePrefix="0" xfId="1"/>
    <xf numFmtId="165" fontId="61" fillId="3" borderId="2" pivotButton="0" quotePrefix="0" xfId="2"/>
    <xf numFmtId="1" fontId="19" fillId="12" borderId="19" pivotButton="0" quotePrefix="0" xfId="2"/>
    <xf numFmtId="165" fontId="19" fillId="12" borderId="19" pivotButton="0" quotePrefix="0" xfId="2"/>
    <xf numFmtId="178" fontId="19" fillId="0" borderId="0" pivotButton="0" quotePrefix="0" xfId="2"/>
    <xf numFmtId="178" fontId="19" fillId="0" borderId="8" pivotButton="0" quotePrefix="0" xfId="2"/>
    <xf numFmtId="178" fontId="19" fillId="0" borderId="19" pivotButton="0" quotePrefix="0" xfId="2"/>
    <xf numFmtId="0" fontId="25" fillId="2" borderId="104" applyAlignment="1" pivotButton="0" quotePrefix="0" xfId="0">
      <alignment horizontal="left"/>
    </xf>
    <xf numFmtId="0" fontId="26" fillId="2" borderId="103" pivotButton="0" quotePrefix="0" xfId="0"/>
    <xf numFmtId="174" fontId="25" fillId="2" borderId="105" pivotButton="0" quotePrefix="0" xfId="0"/>
    <xf numFmtId="174" fontId="25" fillId="2" borderId="106" pivotButton="0" quotePrefix="0" xfId="0"/>
    <xf numFmtId="14" fontId="9" fillId="4" borderId="0" pivotButton="0" quotePrefix="0" xfId="0"/>
    <xf numFmtId="165" fontId="30" fillId="0" borderId="80" pivotButton="0" quotePrefix="0" xfId="0"/>
    <xf numFmtId="167" fontId="19" fillId="2" borderId="80" pivotButton="0" quotePrefix="0" xfId="1"/>
    <xf numFmtId="169" fontId="16" fillId="3" borderId="81" pivotButton="0" quotePrefix="0" xfId="1"/>
    <xf numFmtId="169" fontId="16" fillId="3" borderId="80" pivotButton="0" quotePrefix="0" xfId="1"/>
    <xf numFmtId="165" fontId="0" fillId="0" borderId="70" pivotButton="0" quotePrefix="0" xfId="0"/>
    <xf numFmtId="175" fontId="19" fillId="12" borderId="0" pivotButton="0" quotePrefix="0" xfId="3"/>
    <xf numFmtId="175" fontId="19" fillId="12" borderId="19" pivotButton="0" quotePrefix="0" xfId="3"/>
    <xf numFmtId="172" fontId="35" fillId="10" borderId="0" applyAlignment="1" pivotButton="0" quotePrefix="0" xfId="2">
      <alignment horizontal="right"/>
    </xf>
    <xf numFmtId="0" fontId="25" fillId="0" borderId="9" applyAlignment="1" pivotButton="0" quotePrefix="0" xfId="0">
      <alignment horizontal="right"/>
    </xf>
    <xf numFmtId="172" fontId="24" fillId="0" borderId="10" pivotButton="0" quotePrefix="0" xfId="2"/>
    <xf numFmtId="172" fontId="24" fillId="0" borderId="11" pivotButton="0" quotePrefix="0" xfId="2"/>
    <xf numFmtId="0" fontId="52" fillId="0" borderId="0" applyAlignment="1" pivotButton="0" quotePrefix="0" xfId="0">
      <alignment horizontal="center"/>
    </xf>
    <xf numFmtId="0" fontId="46" fillId="0" borderId="22" applyAlignment="1" pivotButton="0" quotePrefix="0" xfId="0">
      <alignment horizontal="center" wrapText="1"/>
    </xf>
    <xf numFmtId="0" fontId="46" fillId="0" borderId="16" applyAlignment="1" pivotButton="0" quotePrefix="0" xfId="0">
      <alignment horizontal="center" wrapText="1"/>
    </xf>
    <xf numFmtId="0" fontId="46" fillId="2" borderId="25" applyAlignment="1" pivotButton="0" quotePrefix="0" xfId="0">
      <alignment horizontal="right" wrapText="1"/>
    </xf>
    <xf numFmtId="0" fontId="46" fillId="2" borderId="14" applyAlignment="1" pivotButton="0" quotePrefix="0" xfId="0">
      <alignment horizontal="right" wrapText="1"/>
    </xf>
    <xf numFmtId="0" fontId="46" fillId="0" borderId="61" applyAlignment="1" pivotButton="0" quotePrefix="0" xfId="0">
      <alignment horizontal="center" wrapText="1"/>
    </xf>
    <xf numFmtId="0" fontId="46" fillId="0" borderId="86" applyAlignment="1" pivotButton="0" quotePrefix="0" xfId="0">
      <alignment horizontal="center" wrapText="1"/>
    </xf>
    <xf numFmtId="0" fontId="46" fillId="0" borderId="21" applyAlignment="1" pivotButton="0" quotePrefix="0" xfId="0">
      <alignment horizontal="center" wrapText="1"/>
    </xf>
    <xf numFmtId="0" fontId="46" fillId="0" borderId="19" applyAlignment="1" pivotButton="0" quotePrefix="0" xfId="0">
      <alignment horizontal="center" wrapText="1"/>
    </xf>
    <xf numFmtId="0" fontId="46" fillId="0" borderId="25" applyAlignment="1" pivotButton="0" quotePrefix="0" xfId="0">
      <alignment horizontal="center" wrapText="1"/>
    </xf>
    <xf numFmtId="0" fontId="46" fillId="0" borderId="14" applyAlignment="1" pivotButton="0" quotePrefix="0" xfId="0">
      <alignment horizontal="center" wrapText="1"/>
    </xf>
    <xf numFmtId="0" fontId="46" fillId="2" borderId="22" applyAlignment="1" pivotButton="0" quotePrefix="0" xfId="0">
      <alignment horizontal="right" wrapText="1"/>
    </xf>
    <xf numFmtId="0" fontId="46" fillId="2" borderId="16" applyAlignment="1" pivotButton="0" quotePrefix="0" xfId="0">
      <alignment horizontal="right" wrapText="1"/>
    </xf>
    <xf numFmtId="0" fontId="46" fillId="0" borderId="27" applyAlignment="1" pivotButton="0" quotePrefix="0" xfId="0">
      <alignment horizontal="center" wrapText="1"/>
    </xf>
    <xf numFmtId="0" fontId="46" fillId="0" borderId="44" applyAlignment="1" pivotButton="0" quotePrefix="0" xfId="0">
      <alignment horizontal="center" wrapText="1"/>
    </xf>
    <xf numFmtId="180" fontId="33" fillId="4" borderId="52" applyAlignment="1" pivotButton="0" quotePrefix="0" xfId="0">
      <alignment horizontal="center"/>
    </xf>
    <xf numFmtId="180" fontId="33" fillId="4" borderId="53" applyAlignment="1" pivotButton="0" quotePrefix="0" xfId="0">
      <alignment horizontal="center"/>
    </xf>
    <xf numFmtId="180" fontId="33" fillId="4" borderId="54" applyAlignment="1" pivotButton="0" quotePrefix="0" xfId="0">
      <alignment horizontal="center"/>
    </xf>
    <xf numFmtId="0" fontId="46" fillId="0" borderId="27" applyAlignment="1" pivotButton="0" quotePrefix="0" xfId="0">
      <alignment horizontal="center" vertical="center" wrapText="1"/>
    </xf>
    <xf numFmtId="0" fontId="46" fillId="0" borderId="44" applyAlignment="1" pivotButton="0" quotePrefix="0" xfId="0">
      <alignment horizontal="center" vertical="center" wrapText="1"/>
    </xf>
    <xf numFmtId="43" fontId="47" fillId="2" borderId="22" applyAlignment="1" pivotButton="0" quotePrefix="0" xfId="0">
      <alignment horizontal="right" vertical="center" textRotation="90"/>
    </xf>
    <xf numFmtId="43" fontId="47" fillId="2" borderId="21" applyAlignment="1" pivotButton="0" quotePrefix="0" xfId="0">
      <alignment horizontal="right" vertical="center" textRotation="90"/>
    </xf>
    <xf numFmtId="0" fontId="46" fillId="0" borderId="24" applyAlignment="1" pivotButton="0" quotePrefix="0" xfId="0">
      <alignment horizontal="center" wrapText="1"/>
    </xf>
    <xf numFmtId="0" fontId="46" fillId="0" borderId="76" applyAlignment="1" pivotButton="0" quotePrefix="0" xfId="0">
      <alignment horizontal="center" wrapText="1"/>
    </xf>
    <xf numFmtId="174" fontId="35" fillId="10" borderId="0" applyAlignment="1" pivotButton="0" quotePrefix="0" xfId="0">
      <alignment horizontal="right"/>
    </xf>
    <xf numFmtId="174" fontId="65" fillId="11" borderId="33" applyAlignment="1" pivotButton="0" quotePrefix="0" xfId="0">
      <alignment horizontal="right"/>
    </xf>
    <xf numFmtId="174" fontId="35" fillId="10" borderId="8" applyAlignment="1" pivotButton="0" quotePrefix="0" xfId="0">
      <alignment horizontal="right"/>
    </xf>
    <xf numFmtId="174" fontId="36" fillId="0" borderId="0" pivotButton="0" quotePrefix="0" xfId="0"/>
    <xf numFmtId="174" fontId="65" fillId="11" borderId="33" pivotButton="0" quotePrefix="0" xfId="0"/>
    <xf numFmtId="174" fontId="36" fillId="0" borderId="8" pivotButton="0" quotePrefix="0" xfId="0"/>
    <xf numFmtId="174" fontId="35" fillId="10" borderId="10" applyAlignment="1" pivotButton="0" quotePrefix="0" xfId="0">
      <alignment horizontal="right"/>
    </xf>
    <xf numFmtId="174" fontId="65" fillId="11" borderId="101" applyAlignment="1" pivotButton="0" quotePrefix="0" xfId="0">
      <alignment horizontal="right"/>
    </xf>
    <xf numFmtId="174" fontId="35" fillId="10" borderId="11" applyAlignment="1" pivotButton="0" quotePrefix="0" xfId="0">
      <alignment horizontal="right"/>
    </xf>
    <xf numFmtId="174" fontId="35" fillId="10" borderId="1" applyAlignment="1" pivotButton="0" quotePrefix="0" xfId="0">
      <alignment horizontal="right"/>
    </xf>
    <xf numFmtId="174" fontId="35" fillId="10" borderId="44" applyAlignment="1" pivotButton="0" quotePrefix="0" xfId="0">
      <alignment horizontal="right"/>
    </xf>
    <xf numFmtId="174" fontId="35" fillId="10" borderId="92" applyAlignment="1" pivotButton="0" quotePrefix="0" xfId="0">
      <alignment horizontal="right"/>
    </xf>
    <xf numFmtId="174" fontId="36" fillId="0" borderId="19" pivotButton="0" quotePrefix="0" xfId="0"/>
    <xf numFmtId="174" fontId="35" fillId="10" borderId="19" applyAlignment="1" pivotButton="0" quotePrefix="0" xfId="0">
      <alignment horizontal="right"/>
    </xf>
    <xf numFmtId="174" fontId="35" fillId="10" borderId="94" applyAlignment="1" pivotButton="0" quotePrefix="0" xfId="0">
      <alignment horizontal="right"/>
    </xf>
    <xf numFmtId="165" fontId="0" fillId="0" borderId="0" pivotButton="0" quotePrefix="0" xfId="0"/>
    <xf numFmtId="165" fontId="9" fillId="4" borderId="4" applyAlignment="1" pivotButton="0" quotePrefix="0" xfId="2">
      <alignment horizontal="right"/>
    </xf>
    <xf numFmtId="165" fontId="9" fillId="4" borderId="5" applyAlignment="1" pivotButton="0" quotePrefix="0" xfId="2">
      <alignment horizontal="right"/>
    </xf>
    <xf numFmtId="165" fontId="9" fillId="4" borderId="98" applyAlignment="1" pivotButton="0" quotePrefix="0" xfId="2">
      <alignment horizontal="right"/>
    </xf>
    <xf numFmtId="165" fontId="9" fillId="4" borderId="43" applyAlignment="1" pivotButton="0" quotePrefix="0" xfId="0">
      <alignment horizontal="right"/>
    </xf>
    <xf numFmtId="165" fontId="9" fillId="4" borderId="1" applyAlignment="1" pivotButton="0" quotePrefix="0" xfId="0">
      <alignment horizontal="right"/>
    </xf>
    <xf numFmtId="165" fontId="9" fillId="4" borderId="99" applyAlignment="1" pivotButton="0" quotePrefix="0" xfId="0">
      <alignment horizontal="right"/>
    </xf>
    <xf numFmtId="174" fontId="35" fillId="10" borderId="28" applyAlignment="1" pivotButton="0" quotePrefix="0" xfId="0">
      <alignment horizontal="right"/>
    </xf>
    <xf numFmtId="174" fontId="36" fillId="0" borderId="28" pivotButton="0" quotePrefix="0" xfId="0"/>
    <xf numFmtId="165" fontId="9" fillId="4" borderId="31" applyAlignment="1" pivotButton="0" quotePrefix="0" xfId="2">
      <alignment horizontal="right"/>
    </xf>
    <xf numFmtId="165" fontId="9" fillId="4" borderId="9" applyAlignment="1" pivotButton="0" quotePrefix="0" xfId="0">
      <alignment horizontal="right"/>
    </xf>
    <xf numFmtId="165" fontId="9" fillId="4" borderId="10" applyAlignment="1" pivotButton="0" quotePrefix="0" xfId="0">
      <alignment horizontal="right"/>
    </xf>
    <xf numFmtId="165" fontId="9" fillId="4" borderId="30" applyAlignment="1" pivotButton="0" quotePrefix="0" xfId="0">
      <alignment horizontal="right"/>
    </xf>
    <xf numFmtId="174" fontId="35" fillId="10" borderId="100" applyAlignment="1" pivotButton="0" quotePrefix="0" xfId="0">
      <alignment horizontal="right"/>
    </xf>
    <xf numFmtId="174" fontId="36" fillId="0" borderId="12" pivotButton="0" quotePrefix="0" xfId="0"/>
    <xf numFmtId="174" fontId="35" fillId="10" borderId="12" applyAlignment="1" pivotButton="0" quotePrefix="0" xfId="0">
      <alignment horizontal="right"/>
    </xf>
    <xf numFmtId="165" fontId="9" fillId="4" borderId="67" applyAlignment="1" pivotButton="0" quotePrefix="0" xfId="2">
      <alignment horizontal="right"/>
    </xf>
    <xf numFmtId="165" fontId="9" fillId="4" borderId="100" applyAlignment="1" pivotButton="0" quotePrefix="0" xfId="0">
      <alignment horizontal="right"/>
    </xf>
    <xf numFmtId="165" fontId="9" fillId="4" borderId="76" applyAlignment="1" pivotButton="0" quotePrefix="0" xfId="2">
      <alignment horizontal="right"/>
    </xf>
    <xf numFmtId="165" fontId="9" fillId="4" borderId="44" applyAlignment="1" pivotButton="0" quotePrefix="0" xfId="0">
      <alignment horizontal="right"/>
    </xf>
    <xf numFmtId="165" fontId="11" fillId="4" borderId="5" applyAlignment="1" pivotButton="0" quotePrefix="0" xfId="2">
      <alignment horizontal="right"/>
    </xf>
    <xf numFmtId="165" fontId="11" fillId="4" borderId="1" applyAlignment="1" pivotButton="0" quotePrefix="0" xfId="0">
      <alignment horizontal="right"/>
    </xf>
    <xf numFmtId="174" fontId="39" fillId="10" borderId="1" applyAlignment="1" pivotButton="0" quotePrefix="0" xfId="0">
      <alignment horizontal="right"/>
    </xf>
    <xf numFmtId="174" fontId="41" fillId="7" borderId="85" applyAlignment="1" pivotButton="0" quotePrefix="0" xfId="0">
      <alignment horizontal="right"/>
    </xf>
    <xf numFmtId="174" fontId="39" fillId="10" borderId="62" applyAlignment="1" pivotButton="0" quotePrefix="0" xfId="0">
      <alignment horizontal="right"/>
    </xf>
    <xf numFmtId="174" fontId="41" fillId="7" borderId="28" applyAlignment="1" pivotButton="0" quotePrefix="0" xfId="0">
      <alignment horizontal="right"/>
    </xf>
    <xf numFmtId="174" fontId="13" fillId="0" borderId="0" pivotButton="0" quotePrefix="0" xfId="0"/>
    <xf numFmtId="174" fontId="41" fillId="7" borderId="83" pivotButton="0" quotePrefix="0" xfId="0"/>
    <xf numFmtId="174" fontId="13" fillId="0" borderId="28" pivotButton="0" quotePrefix="0" xfId="0"/>
    <xf numFmtId="174" fontId="41" fillId="7" borderId="28" pivotButton="0" quotePrefix="0" xfId="0"/>
    <xf numFmtId="174" fontId="16" fillId="7" borderId="83" applyAlignment="1" pivotButton="0" quotePrefix="0" xfId="0">
      <alignment horizontal="right"/>
    </xf>
    <xf numFmtId="174" fontId="16" fillId="7" borderId="28" applyAlignment="1" pivotButton="0" quotePrefix="0" xfId="0">
      <alignment horizontal="right"/>
    </xf>
    <xf numFmtId="165" fontId="30" fillId="4" borderId="84" applyAlignment="1" pivotButton="0" quotePrefix="0" xfId="2">
      <alignment horizontal="right"/>
    </xf>
    <xf numFmtId="165" fontId="9" fillId="4" borderId="32" applyAlignment="1" pivotButton="0" quotePrefix="0" xfId="2">
      <alignment horizontal="right"/>
    </xf>
    <xf numFmtId="165" fontId="9" fillId="4" borderId="85" applyAlignment="1" pivotButton="0" quotePrefix="0" xfId="0">
      <alignment horizontal="right"/>
    </xf>
    <xf numFmtId="165" fontId="9" fillId="4" borderId="63" applyAlignment="1" pivotButton="0" quotePrefix="0" xfId="0">
      <alignment horizontal="right"/>
    </xf>
    <xf numFmtId="165" fontId="9" fillId="4" borderId="62" applyAlignment="1" pivotButton="0" quotePrefix="0" xfId="0">
      <alignment horizontal="right"/>
    </xf>
    <xf numFmtId="165" fontId="0" fillId="0" borderId="0" pivotButton="0" quotePrefix="0" xfId="2"/>
    <xf numFmtId="165" fontId="9" fillId="4" borderId="17" applyAlignment="1" pivotButton="0" quotePrefix="0" xfId="2">
      <alignment horizontal="right"/>
    </xf>
    <xf numFmtId="165" fontId="9" fillId="4" borderId="18" applyAlignment="1" pivotButton="0" quotePrefix="0" xfId="0">
      <alignment horizontal="right"/>
    </xf>
    <xf numFmtId="165" fontId="12" fillId="0" borderId="2" pivotButton="0" quotePrefix="0" xfId="0"/>
    <xf numFmtId="165" fontId="12" fillId="0" borderId="80" pivotButton="0" quotePrefix="0" xfId="0"/>
    <xf numFmtId="165" fontId="18" fillId="0" borderId="2" pivotButton="0" quotePrefix="0" xfId="0"/>
    <xf numFmtId="165" fontId="18" fillId="0" borderId="16" pivotButton="0" quotePrefix="0" xfId="0"/>
    <xf numFmtId="165" fontId="30" fillId="0" borderId="2" pivotButton="0" quotePrefix="0" xfId="0"/>
    <xf numFmtId="165" fontId="30" fillId="0" borderId="80" pivotButton="0" quotePrefix="0" xfId="0"/>
    <xf numFmtId="165" fontId="30" fillId="0" borderId="16" pivotButton="0" quotePrefix="0" xfId="0"/>
    <xf numFmtId="165" fontId="12" fillId="0" borderId="16" pivotButton="0" quotePrefix="0" xfId="0"/>
    <xf numFmtId="165" fontId="12" fillId="7" borderId="3" pivotButton="0" quotePrefix="0" xfId="0"/>
    <xf numFmtId="165" fontId="12" fillId="0" borderId="0" pivotButton="0" quotePrefix="0" xfId="0"/>
    <xf numFmtId="165" fontId="12" fillId="0" borderId="8" pivotButton="0" quotePrefix="0" xfId="0"/>
    <xf numFmtId="165" fontId="12" fillId="0" borderId="19" pivotButton="0" quotePrefix="0" xfId="0"/>
    <xf numFmtId="165" fontId="19" fillId="0" borderId="0" pivotButton="0" quotePrefix="0" xfId="2"/>
    <xf numFmtId="165" fontId="19" fillId="0" borderId="8" pivotButton="0" quotePrefix="0" xfId="2"/>
    <xf numFmtId="165" fontId="19" fillId="0" borderId="19" pivotButton="0" quotePrefix="0" xfId="2"/>
    <xf numFmtId="165" fontId="19" fillId="2" borderId="8" pivotButton="0" quotePrefix="0" xfId="2"/>
    <xf numFmtId="165" fontId="19" fillId="2" borderId="0" pivotButton="0" quotePrefix="0" xfId="2"/>
    <xf numFmtId="165" fontId="19" fillId="2" borderId="19" pivotButton="0" quotePrefix="0" xfId="2"/>
    <xf numFmtId="165" fontId="22" fillId="0" borderId="0" pivotButton="0" quotePrefix="0" xfId="2"/>
    <xf numFmtId="165" fontId="22" fillId="0" borderId="8" pivotButton="0" quotePrefix="0" xfId="2"/>
    <xf numFmtId="165" fontId="22" fillId="0" borderId="19" pivotButton="0" quotePrefix="0" xfId="2"/>
    <xf numFmtId="165" fontId="2" fillId="0" borderId="0" pivotButton="0" quotePrefix="0" xfId="2"/>
    <xf numFmtId="165" fontId="2" fillId="0" borderId="8" pivotButton="0" quotePrefix="0" xfId="2"/>
    <xf numFmtId="165" fontId="2" fillId="0" borderId="19" pivotButton="0" quotePrefix="0" xfId="2"/>
    <xf numFmtId="175" fontId="19" fillId="0" borderId="0" pivotButton="0" quotePrefix="0" xfId="3"/>
    <xf numFmtId="175" fontId="19" fillId="0" borderId="8" pivotButton="0" quotePrefix="0" xfId="3"/>
    <xf numFmtId="175" fontId="19" fillId="0" borderId="19" pivotButton="0" quotePrefix="0" xfId="3"/>
    <xf numFmtId="175" fontId="19" fillId="2" borderId="0" pivotButton="0" quotePrefix="0" xfId="3"/>
    <xf numFmtId="175" fontId="19" fillId="2" borderId="8" pivotButton="0" quotePrefix="0" xfId="3"/>
    <xf numFmtId="175" fontId="19" fillId="12" borderId="0" pivotButton="0" quotePrefix="0" xfId="3"/>
    <xf numFmtId="175" fontId="19" fillId="12" borderId="19" pivotButton="0" quotePrefix="0" xfId="3"/>
    <xf numFmtId="175" fontId="19" fillId="2" borderId="19" pivotButton="0" quotePrefix="0" xfId="3"/>
    <xf numFmtId="165" fontId="19" fillId="12" borderId="19" pivotButton="0" quotePrefix="0" xfId="2"/>
    <xf numFmtId="165" fontId="54" fillId="0" borderId="0" pivotButton="0" quotePrefix="0" xfId="2"/>
    <xf numFmtId="175" fontId="54" fillId="0" borderId="0" pivotButton="0" quotePrefix="0" xfId="3"/>
    <xf numFmtId="175" fontId="30" fillId="0" borderId="0" pivotButton="0" quotePrefix="0" xfId="3"/>
    <xf numFmtId="175" fontId="30" fillId="0" borderId="8" pivotButton="0" quotePrefix="0" xfId="3"/>
    <xf numFmtId="175" fontId="30" fillId="0" borderId="19" pivotButton="0" quotePrefix="0" xfId="3"/>
    <xf numFmtId="175" fontId="30" fillId="2" borderId="0" pivotButton="0" quotePrefix="0" xfId="3"/>
    <xf numFmtId="175" fontId="30" fillId="2" borderId="8" pivotButton="0" quotePrefix="0" xfId="3"/>
    <xf numFmtId="175" fontId="30" fillId="2" borderId="19" pivotButton="0" quotePrefix="0" xfId="3"/>
    <xf numFmtId="174" fontId="19" fillId="0" borderId="0" pivotButton="0" quotePrefix="0" xfId="2"/>
    <xf numFmtId="177" fontId="19" fillId="0" borderId="0" pivotButton="0" quotePrefix="0" xfId="3"/>
    <xf numFmtId="177" fontId="19" fillId="0" borderId="0" pivotButton="0" quotePrefix="0" xfId="2"/>
    <xf numFmtId="177" fontId="19" fillId="0" borderId="8" pivotButton="0" quotePrefix="0" xfId="2"/>
    <xf numFmtId="177" fontId="19" fillId="0" borderId="19" pivotButton="0" quotePrefix="0" xfId="2"/>
    <xf numFmtId="177" fontId="19" fillId="2" borderId="0" pivotButton="0" quotePrefix="0" xfId="2"/>
    <xf numFmtId="177" fontId="19" fillId="2" borderId="8" pivotButton="0" quotePrefix="0" xfId="2"/>
    <xf numFmtId="177" fontId="19" fillId="2" borderId="19" pivotButton="0" quotePrefix="0" xfId="2"/>
    <xf numFmtId="178" fontId="19" fillId="0" borderId="0" pivotButton="0" quotePrefix="0" xfId="2"/>
    <xf numFmtId="178" fontId="19" fillId="0" borderId="8" pivotButton="0" quotePrefix="0" xfId="2"/>
    <xf numFmtId="178" fontId="19" fillId="0" borderId="19" pivotButton="0" quotePrefix="0" xfId="2"/>
    <xf numFmtId="178" fontId="19" fillId="2" borderId="0" pivotButton="0" quotePrefix="0" xfId="2"/>
    <xf numFmtId="178" fontId="19" fillId="2" borderId="8" pivotButton="0" quotePrefix="0" xfId="2"/>
    <xf numFmtId="178" fontId="19" fillId="2" borderId="19" pivotButton="0" quotePrefix="0" xfId="2"/>
    <xf numFmtId="174" fontId="25" fillId="2" borderId="103" pivotButton="0" quotePrefix="0" xfId="0"/>
    <xf numFmtId="174" fontId="25" fillId="2" borderId="105" pivotButton="0" quotePrefix="0" xfId="0"/>
    <xf numFmtId="174" fontId="25" fillId="2" borderId="106" pivotButton="0" quotePrefix="0" xfId="0"/>
    <xf numFmtId="176" fontId="0" fillId="0" borderId="0" pivotButton="0" quotePrefix="0" xfId="0"/>
    <xf numFmtId="175" fontId="0" fillId="0" borderId="0" pivotButton="0" quotePrefix="0" xfId="3"/>
    <xf numFmtId="174" fontId="25" fillId="2" borderId="3" pivotButton="0" quotePrefix="0" xfId="0"/>
    <xf numFmtId="174" fontId="25" fillId="2" borderId="81" pivotButton="0" quotePrefix="0" xfId="0"/>
    <xf numFmtId="174" fontId="25" fillId="2" borderId="14" pivotButton="0" quotePrefix="0" xfId="0"/>
    <xf numFmtId="175" fontId="12" fillId="7" borderId="0" pivotButton="0" quotePrefix="0" xfId="3"/>
    <xf numFmtId="175" fontId="12" fillId="7" borderId="8" pivotButton="0" quotePrefix="0" xfId="3"/>
    <xf numFmtId="175" fontId="12" fillId="7" borderId="19" pivotButton="0" quotePrefix="0" xfId="3"/>
    <xf numFmtId="175" fontId="21" fillId="3" borderId="0" pivotButton="0" quotePrefix="0" xfId="3"/>
    <xf numFmtId="174" fontId="25" fillId="2" borderId="2" pivotButton="0" quotePrefix="0" xfId="0"/>
    <xf numFmtId="174" fontId="25" fillId="2" borderId="80" pivotButton="0" quotePrefix="0" xfId="0"/>
    <xf numFmtId="174" fontId="25" fillId="2" borderId="16" pivotButton="0" quotePrefix="0" xfId="0"/>
    <xf numFmtId="175" fontId="53" fillId="3" borderId="3" pivotButton="0" quotePrefix="0" xfId="3"/>
    <xf numFmtId="165" fontId="56" fillId="2" borderId="3" pivotButton="0" quotePrefix="0" xfId="2"/>
    <xf numFmtId="165" fontId="56" fillId="2" borderId="81" pivotButton="0" quotePrefix="0" xfId="2"/>
    <xf numFmtId="165" fontId="56" fillId="2" borderId="14" pivotButton="0" quotePrefix="0" xfId="2"/>
    <xf numFmtId="165" fontId="57" fillId="2" borderId="3" pivotButton="0" quotePrefix="0" xfId="2"/>
    <xf numFmtId="165" fontId="12" fillId="0" borderId="3" pivotButton="0" quotePrefix="0" xfId="0"/>
    <xf numFmtId="165" fontId="12" fillId="0" borderId="81" pivotButton="0" quotePrefix="0" xfId="0"/>
    <xf numFmtId="165" fontId="12" fillId="0" borderId="14" pivotButton="0" quotePrefix="0" xfId="0"/>
    <xf numFmtId="165" fontId="12" fillId="4" borderId="0" pivotButton="0" quotePrefix="0" xfId="0"/>
    <xf numFmtId="165" fontId="12" fillId="4" borderId="8" pivotButton="0" quotePrefix="0" xfId="0"/>
    <xf numFmtId="165" fontId="12" fillId="4" borderId="19" pivotButton="0" quotePrefix="0" xfId="0"/>
    <xf numFmtId="168" fontId="6" fillId="0" borderId="0" applyAlignment="1" pivotButton="0" quotePrefix="0" xfId="0">
      <alignment horizontal="right" wrapText="1"/>
    </xf>
    <xf numFmtId="168" fontId="6" fillId="0" borderId="8" applyAlignment="1" pivotButton="0" quotePrefix="0" xfId="0">
      <alignment horizontal="right" wrapText="1"/>
    </xf>
    <xf numFmtId="168" fontId="6" fillId="0" borderId="19" applyAlignment="1" pivotButton="0" quotePrefix="0" xfId="0">
      <alignment horizontal="right" wrapText="1"/>
    </xf>
    <xf numFmtId="165" fontId="12" fillId="0" borderId="1" pivotButton="0" quotePrefix="0" xfId="0"/>
    <xf numFmtId="165" fontId="31" fillId="3" borderId="0" pivotButton="0" quotePrefix="0" xfId="0"/>
    <xf numFmtId="165" fontId="0" fillId="0" borderId="19" pivotButton="0" quotePrefix="0" xfId="0"/>
    <xf numFmtId="165" fontId="6" fillId="6" borderId="2" applyAlignment="1" pivotButton="0" quotePrefix="0" xfId="2">
      <alignment horizontal="right" wrapText="1"/>
    </xf>
    <xf numFmtId="165" fontId="6" fillId="6" borderId="80" applyAlignment="1" pivotButton="0" quotePrefix="0" xfId="2">
      <alignment horizontal="right" wrapText="1"/>
    </xf>
    <xf numFmtId="165" fontId="6" fillId="6" borderId="16" applyAlignment="1" pivotButton="0" quotePrefix="0" xfId="2">
      <alignment horizontal="right" wrapText="1"/>
    </xf>
    <xf numFmtId="165" fontId="61" fillId="3" borderId="2" pivotButton="0" quotePrefix="0" xfId="2"/>
    <xf numFmtId="165" fontId="0" fillId="0" borderId="2" pivotButton="0" quotePrefix="0" xfId="0"/>
    <xf numFmtId="165" fontId="0" fillId="0" borderId="80" pivotButton="0" quotePrefix="0" xfId="0"/>
    <xf numFmtId="165" fontId="0" fillId="0" borderId="16" pivotButton="0" quotePrefix="0" xfId="0"/>
    <xf numFmtId="165" fontId="0" fillId="0" borderId="8" pivotButton="0" quotePrefix="0" xfId="0"/>
    <xf numFmtId="165" fontId="0" fillId="0" borderId="1" pivotButton="0" quotePrefix="0" xfId="0"/>
    <xf numFmtId="165" fontId="0" fillId="0" borderId="102" pivotButton="0" quotePrefix="0" xfId="0"/>
    <xf numFmtId="165" fontId="0" fillId="0" borderId="44" pivotButton="0" quotePrefix="0" xfId="0"/>
    <xf numFmtId="165" fontId="0" fillId="0" borderId="70" pivotButton="0" quotePrefix="0" xfId="0"/>
    <xf numFmtId="180" fontId="33" fillId="4" borderId="109" applyAlignment="1" pivotButton="0" quotePrefix="0" xfId="0">
      <alignment horizontal="center"/>
    </xf>
    <xf numFmtId="0" fontId="46" fillId="0" borderId="110" applyAlignment="1" pivotButton="0" quotePrefix="0" xfId="0">
      <alignment horizontal="center" vertical="center" wrapText="1"/>
    </xf>
    <xf numFmtId="165" fontId="67" fillId="0" borderId="0" pivotButton="0" quotePrefix="0" xfId="2"/>
    <xf numFmtId="165" fontId="67" fillId="0" borderId="55" pivotButton="0" quotePrefix="0" xfId="2"/>
    <xf numFmtId="165" fontId="22" fillId="0" borderId="46" applyAlignment="1" pivotButton="0" quotePrefix="0" xfId="0">
      <alignment horizontal="center"/>
    </xf>
    <xf numFmtId="165" fontId="22" fillId="2" borderId="46" applyAlignment="1" pivotButton="0" quotePrefix="0" xfId="0">
      <alignment horizontal="center"/>
    </xf>
    <xf numFmtId="165" fontId="67" fillId="2" borderId="0" pivotButton="0" quotePrefix="0" xfId="2"/>
    <xf numFmtId="165" fontId="67" fillId="2" borderId="55" pivotButton="0" quotePrefix="0" xfId="2"/>
    <xf numFmtId="165" fontId="67" fillId="2" borderId="12" pivotButton="0" quotePrefix="0" xfId="2"/>
    <xf numFmtId="165" fontId="67" fillId="2" borderId="33" pivotButton="0" quotePrefix="0" xfId="2"/>
    <xf numFmtId="165" fontId="0" fillId="2" borderId="12" pivotButton="0" quotePrefix="0" xfId="2"/>
    <xf numFmtId="165" fontId="67" fillId="2" borderId="70" pivotButton="0" quotePrefix="0" xfId="2"/>
    <xf numFmtId="165" fontId="0" fillId="2" borderId="33" pivotButton="0" quotePrefix="0" xfId="2"/>
    <xf numFmtId="0" fontId="46" fillId="0" borderId="111" applyAlignment="1" pivotButton="0" quotePrefix="0" xfId="0">
      <alignment horizontal="center" wrapText="1"/>
    </xf>
    <xf numFmtId="0" fontId="0" fillId="0" borderId="76" pivotButton="0" quotePrefix="0" xfId="0"/>
    <xf numFmtId="165" fontId="60" fillId="0" borderId="49" applyAlignment="1" pivotButton="0" quotePrefix="0" xfId="0">
      <alignment horizontal="center" wrapText="1"/>
    </xf>
    <xf numFmtId="0" fontId="46" fillId="0" borderId="112" applyAlignment="1" pivotButton="0" quotePrefix="0" xfId="0">
      <alignment horizontal="center" wrapText="1"/>
    </xf>
    <xf numFmtId="0" fontId="46" fillId="0" borderId="107" applyAlignment="1" pivotButton="0" quotePrefix="0" xfId="0">
      <alignment horizontal="center" wrapText="1"/>
    </xf>
    <xf numFmtId="0" fontId="0" fillId="0" borderId="14" pivotButton="0" quotePrefix="0" xfId="0"/>
    <xf numFmtId="165" fontId="67" fillId="0" borderId="3" pivotButton="0" quotePrefix="0" xfId="0"/>
    <xf numFmtId="165" fontId="67" fillId="0" borderId="59" pivotButton="0" quotePrefix="0" xfId="0"/>
    <xf numFmtId="165" fontId="67" fillId="0" borderId="68" pivotButton="0" quotePrefix="0" xfId="0"/>
    <xf numFmtId="165" fontId="67" fillId="0" borderId="37" pivotButton="0" quotePrefix="0" xfId="0"/>
    <xf numFmtId="165" fontId="0" fillId="0" borderId="68" pivotButton="0" quotePrefix="0" xfId="0"/>
    <xf numFmtId="165" fontId="67" fillId="0" borderId="74" pivotButton="0" quotePrefix="0" xfId="0"/>
    <xf numFmtId="165" fontId="0" fillId="0" borderId="37" pivotButton="0" quotePrefix="0" xfId="0"/>
    <xf numFmtId="165" fontId="22" fillId="0" borderId="50" applyAlignment="1" pivotButton="0" quotePrefix="0" xfId="0">
      <alignment horizontal="center"/>
    </xf>
    <xf numFmtId="0" fontId="46" fillId="2" borderId="107" applyAlignment="1" pivotButton="0" quotePrefix="0" xfId="0">
      <alignment horizontal="right" wrapText="1"/>
    </xf>
    <xf numFmtId="165" fontId="67" fillId="2" borderId="3" pivotButton="0" quotePrefix="0" xfId="0"/>
    <xf numFmtId="165" fontId="67" fillId="2" borderId="59" pivotButton="0" quotePrefix="0" xfId="0"/>
    <xf numFmtId="175" fontId="67" fillId="2" borderId="3" pivotButton="0" quotePrefix="0" xfId="3"/>
    <xf numFmtId="175" fontId="67" fillId="2" borderId="68" pivotButton="0" quotePrefix="0" xfId="3"/>
    <xf numFmtId="175" fontId="67" fillId="2" borderId="37" pivotButton="0" quotePrefix="0" xfId="3"/>
    <xf numFmtId="175" fontId="0" fillId="2" borderId="68" pivotButton="0" quotePrefix="0" xfId="3"/>
    <xf numFmtId="175" fontId="67" fillId="2" borderId="59" pivotButton="0" quotePrefix="0" xfId="3"/>
    <xf numFmtId="175" fontId="67" fillId="2" borderId="74" pivotButton="0" quotePrefix="0" xfId="3"/>
    <xf numFmtId="175" fontId="0" fillId="2" borderId="37" pivotButton="0" quotePrefix="0" xfId="3"/>
    <xf numFmtId="175" fontId="22" fillId="2" borderId="50" applyAlignment="1" pivotButton="0" quotePrefix="0" xfId="0">
      <alignment horizontal="center"/>
    </xf>
    <xf numFmtId="0" fontId="46" fillId="0" borderId="113" applyAlignment="1" pivotButton="0" quotePrefix="0" xfId="0">
      <alignment horizontal="center" wrapText="1"/>
    </xf>
    <xf numFmtId="0" fontId="0" fillId="0" borderId="114" pivotButton="0" quotePrefix="0" xfId="0"/>
    <xf numFmtId="165" fontId="67" fillId="0" borderId="0" pivotButton="0" quotePrefix="0" xfId="0"/>
    <xf numFmtId="165" fontId="67" fillId="0" borderId="55" pivotButton="0" quotePrefix="0" xfId="0"/>
    <xf numFmtId="165" fontId="67" fillId="0" borderId="12" pivotButton="0" quotePrefix="0" xfId="0"/>
    <xf numFmtId="165" fontId="67" fillId="0" borderId="33" pivotButton="0" quotePrefix="0" xfId="0"/>
    <xf numFmtId="165" fontId="0" fillId="0" borderId="12" pivotButton="0" quotePrefix="0" xfId="0"/>
    <xf numFmtId="165" fontId="67" fillId="0" borderId="70" pivotButton="0" quotePrefix="0" xfId="0"/>
    <xf numFmtId="165" fontId="0" fillId="0" borderId="33" pivotButton="0" quotePrefix="0" xfId="0"/>
    <xf numFmtId="0" fontId="46" fillId="2" borderId="113" applyAlignment="1" pivotButton="0" quotePrefix="0" xfId="0">
      <alignment horizontal="right" wrapText="1"/>
    </xf>
    <xf numFmtId="165" fontId="67" fillId="2" borderId="2" pivotButton="0" quotePrefix="0" xfId="0"/>
    <xf numFmtId="165" fontId="67" fillId="2" borderId="56" pivotButton="0" quotePrefix="0" xfId="0"/>
    <xf numFmtId="175" fontId="67" fillId="2" borderId="2" pivotButton="0" quotePrefix="0" xfId="3"/>
    <xf numFmtId="175" fontId="67" fillId="2" borderId="13" pivotButton="0" quotePrefix="0" xfId="3"/>
    <xf numFmtId="175" fontId="67" fillId="2" borderId="34" pivotButton="0" quotePrefix="0" xfId="3"/>
    <xf numFmtId="175" fontId="0" fillId="2" borderId="13" pivotButton="0" quotePrefix="0" xfId="3"/>
    <xf numFmtId="175" fontId="67" fillId="2" borderId="56" pivotButton="0" quotePrefix="0" xfId="3"/>
    <xf numFmtId="175" fontId="67" fillId="2" borderId="71" pivotButton="0" quotePrefix="0" xfId="3"/>
    <xf numFmtId="175" fontId="0" fillId="2" borderId="34" pivotButton="0" quotePrefix="0" xfId="3"/>
    <xf numFmtId="175" fontId="22" fillId="2" borderId="47" applyAlignment="1" pivotButton="0" quotePrefix="0" xfId="0">
      <alignment horizontal="center"/>
    </xf>
    <xf numFmtId="0" fontId="46" fillId="0" borderId="110" applyAlignment="1" pivotButton="0" quotePrefix="0" xfId="0">
      <alignment horizontal="center" wrapText="1"/>
    </xf>
    <xf numFmtId="165" fontId="67" fillId="0" borderId="12" pivotButton="0" quotePrefix="0" xfId="2"/>
    <xf numFmtId="165" fontId="67" fillId="0" borderId="33" pivotButton="0" quotePrefix="0" xfId="2"/>
    <xf numFmtId="165" fontId="0" fillId="0" borderId="12" pivotButton="0" quotePrefix="0" xfId="2"/>
    <xf numFmtId="165" fontId="67" fillId="0" borderId="70" pivotButton="0" quotePrefix="0" xfId="2"/>
    <xf numFmtId="165" fontId="0" fillId="0" borderId="33" pivotButton="0" quotePrefix="0" xfId="2"/>
    <xf numFmtId="165" fontId="67" fillId="0" borderId="2" pivotButton="0" quotePrefix="0" xfId="0"/>
    <xf numFmtId="165" fontId="67" fillId="0" borderId="56" pivotButton="0" quotePrefix="0" xfId="0"/>
    <xf numFmtId="165" fontId="67" fillId="0" borderId="13" pivotButton="0" quotePrefix="0" xfId="0"/>
    <xf numFmtId="165" fontId="67" fillId="0" borderId="34" pivotButton="0" quotePrefix="0" xfId="0"/>
    <xf numFmtId="165" fontId="0" fillId="0" borderId="13" pivotButton="0" quotePrefix="0" xfId="0"/>
    <xf numFmtId="165" fontId="67" fillId="0" borderId="71" pivotButton="0" quotePrefix="0" xfId="0"/>
    <xf numFmtId="165" fontId="0" fillId="0" borderId="34" pivotButton="0" quotePrefix="0" xfId="0"/>
    <xf numFmtId="165" fontId="22" fillId="0" borderId="47" applyAlignment="1" pivotButton="0" quotePrefix="0" xfId="0">
      <alignment horizontal="center"/>
    </xf>
    <xf numFmtId="165" fontId="67" fillId="2" borderId="68" pivotButton="0" quotePrefix="0" xfId="0"/>
    <xf numFmtId="165" fontId="67" fillId="2" borderId="37" pivotButton="0" quotePrefix="0" xfId="0"/>
    <xf numFmtId="165" fontId="0" fillId="2" borderId="68" pivotButton="0" quotePrefix="0" xfId="0"/>
    <xf numFmtId="165" fontId="67" fillId="2" borderId="74" pivotButton="0" quotePrefix="0" xfId="0"/>
    <xf numFmtId="165" fontId="0" fillId="2" borderId="37" pivotButton="0" quotePrefix="0" xfId="0"/>
    <xf numFmtId="165" fontId="22" fillId="2" borderId="50" applyAlignment="1" pivotButton="0" quotePrefix="0" xfId="0">
      <alignment horizontal="center"/>
    </xf>
    <xf numFmtId="0" fontId="46" fillId="0" borderId="115" applyAlignment="1" pivotButton="0" quotePrefix="0" xfId="0">
      <alignment horizontal="center" wrapText="1"/>
    </xf>
    <xf numFmtId="0" fontId="0" fillId="0" borderId="86" pivotButton="0" quotePrefix="0" xfId="0"/>
    <xf numFmtId="165" fontId="67" fillId="0" borderId="26" pivotButton="0" quotePrefix="0" xfId="0"/>
    <xf numFmtId="165" fontId="67" fillId="0" borderId="60" pivotButton="0" quotePrefix="0" xfId="0"/>
    <xf numFmtId="165" fontId="67" fillId="0" borderId="26" pivotButton="0" quotePrefix="0" xfId="2"/>
    <xf numFmtId="165" fontId="67" fillId="0" borderId="69" pivotButton="0" quotePrefix="0" xfId="2"/>
    <xf numFmtId="165" fontId="67" fillId="0" borderId="38" pivotButton="0" quotePrefix="0" xfId="2"/>
    <xf numFmtId="165" fontId="0" fillId="0" borderId="69" pivotButton="0" quotePrefix="0" xfId="2"/>
    <xf numFmtId="165" fontId="67" fillId="0" borderId="69" pivotButton="0" quotePrefix="0" xfId="0"/>
    <xf numFmtId="165" fontId="67" fillId="0" borderId="38" pivotButton="0" quotePrefix="0" xfId="0"/>
    <xf numFmtId="165" fontId="67" fillId="0" borderId="75" pivotButton="0" quotePrefix="0" xfId="0"/>
    <xf numFmtId="165" fontId="0" fillId="0" borderId="38" pivotButton="0" quotePrefix="0" xfId="0"/>
    <xf numFmtId="165" fontId="22" fillId="0" borderId="51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8" fillId="0" borderId="0" pivotButton="0" quotePrefix="0" xfId="0"/>
    <xf numFmtId="0" fontId="0" fillId="0" borderId="53" pivotButton="0" quotePrefix="0" xfId="0"/>
    <xf numFmtId="0" fontId="0" fillId="0" borderId="54" pivotButton="0" quotePrefix="0" xfId="0"/>
    <xf numFmtId="43" fontId="8" fillId="0" borderId="12" pivotButton="0" quotePrefix="0" xfId="0"/>
    <xf numFmtId="0" fontId="8" fillId="2" borderId="13" pivotButton="0" quotePrefix="0" xfId="0"/>
    <xf numFmtId="167" fontId="22" fillId="2" borderId="12" applyAlignment="1" pivotButton="0" quotePrefix="0" xfId="0">
      <alignment horizontal="center"/>
    </xf>
    <xf numFmtId="1" fontId="8" fillId="2" borderId="12" pivotButton="0" quotePrefix="0" xfId="0"/>
    <xf numFmtId="2" fontId="8" fillId="2" borderId="12" pivotButton="0" quotePrefix="0" xfId="0"/>
    <xf numFmtId="165" fontId="8" fillId="2" borderId="12" pivotButton="0" quotePrefix="0" xfId="0"/>
    <xf numFmtId="0" fontId="8" fillId="2" borderId="12" pivotButton="0" quotePrefix="0" xfId="0"/>
    <xf numFmtId="10" fontId="8" fillId="2" borderId="66" pivotButton="0" quotePrefix="0" xfId="0"/>
    <xf numFmtId="43" fontId="14" fillId="0" borderId="67" applyAlignment="1" pivotButton="0" quotePrefix="0" xfId="0">
      <alignment wrapText="1"/>
    </xf>
    <xf numFmtId="165" fontId="8" fillId="0" borderId="68" pivotButton="0" quotePrefix="0" xfId="0"/>
    <xf numFmtId="175" fontId="8" fillId="2" borderId="68" pivotButton="0" quotePrefix="0" xfId="0"/>
    <xf numFmtId="165" fontId="8" fillId="0" borderId="12" pivotButton="0" quotePrefix="0" xfId="0"/>
    <xf numFmtId="175" fontId="8" fillId="2" borderId="13" pivotButton="0" quotePrefix="0" xfId="0"/>
    <xf numFmtId="165" fontId="8" fillId="0" borderId="13" pivotButton="0" quotePrefix="0" xfId="0"/>
    <xf numFmtId="165" fontId="8" fillId="2" borderId="68" pivotButton="0" quotePrefix="0" xfId="0"/>
    <xf numFmtId="165" fontId="8" fillId="0" borderId="69" pivotButton="0" quotePrefix="0" xfId="0"/>
    <xf numFmtId="165" fontId="8" fillId="0" borderId="0" pivotButton="0" quotePrefix="0" xfId="0"/>
  </cellXfs>
  <cellStyles count="8">
    <cellStyle name="Normal" xfId="0" builtinId="0"/>
    <cellStyle name="Comma" xfId="1" builtinId="3"/>
    <cellStyle name="Currency" xfId="2" builtinId="4"/>
    <cellStyle name="Percent" xfId="3" builtinId="5"/>
    <cellStyle name="Normal 2" xfId="4"/>
    <cellStyle name="Normal 3" xfId="5"/>
    <cellStyle name="Normal 4" xfId="6"/>
    <cellStyle name="Normal 5" xfId="7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pivotCacheDefinition" Target="/xl/pivotCache/pivotCacheDefinition1.xml" Id="rId24"/><Relationship Type="http://schemas.openxmlformats.org/officeDocument/2006/relationships/pivotCacheDefinition" Target="/xl/pivotCache/pivotCacheDefinition2.xml" Id="rId25"/><Relationship Type="http://schemas.openxmlformats.org/officeDocument/2006/relationships/pivotCacheDefinition" Target="/xl/pivotCache/pivotCacheDefinition3.xml" Id="rId26"/><Relationship Type="http://schemas.openxmlformats.org/officeDocument/2006/relationships/pivotCacheDefinition" Target="/xl/pivotCache/pivotCacheDefinition4.xml" Id="rId27"/><Relationship Type="http://schemas.openxmlformats.org/officeDocument/2006/relationships/externalLink" Target="/xl/externalLinks/externalLink1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 b="0"/>
              <a:t>Cash</a:t>
            </a:r>
            <a:r>
              <a:rPr lang="en-US" b="0" baseline="0"/>
              <a:t xml:space="preserve"> Position - Student Count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09158659356062168"/>
          <y val="0.07888291551053785"/>
          <w val="0.8911934589547024"/>
          <h val="0.6867044373709305"/>
        </manualLayout>
      </layout>
      <areaChart>
        <grouping val="standard"/>
        <varyColors val="0"/>
        <ser>
          <idx val="1"/>
          <order val="0"/>
          <tx>
            <v>Expenses</v>
          </tx>
          <spPr>
            <a:solidFill xmlns:a="http://schemas.openxmlformats.org/drawingml/2006/main">
              <a:schemeClr val="accent3">
                <a:shade val="86000"/>
              </a:schemeClr>
            </a:solidFill>
            <a:ln xmlns:a="http://schemas.openxmlformats.org/drawingml/2006/main">
              <a:prstDash val="solid"/>
            </a:ln>
          </spPr>
          <cat>
            <numRef>
              <f>'Monthly Detail'!$AH$4:$AY$4</f>
              <numCache>
                <formatCode>m/d/yyyy</formatCode>
                <ptCount val="9"/>
                <pt idx="0">
                  <v>45777</v>
                </pt>
                <pt idx="1">
                  <v>45808</v>
                </pt>
                <pt idx="2">
                  <v>45838</v>
                </pt>
                <pt idx="3">
                  <v>45869</v>
                </pt>
                <pt idx="4">
                  <v>45900</v>
                </pt>
                <pt idx="5">
                  <v>45930</v>
                </pt>
                <pt idx="6">
                  <v>45961</v>
                </pt>
                <pt idx="7">
                  <v>45991</v>
                </pt>
                <pt idx="8">
                  <v>46022</v>
                </pt>
              </numCache>
            </numRef>
          </cat>
          <val>
            <numRef>
              <f>('Monthly Detail'!$K$97:$N$97,'Monthly Detail'!$T$97:$AM$97)</f>
            </numRef>
          </val>
        </ser>
        <ser>
          <idx val="2"/>
          <order val="1"/>
          <tx>
            <v>Cash Balance</v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solidFill>
                <a:sysClr val="windowText" lastClr="000000"/>
              </a:solidFill>
              <a:prstDash val="solid"/>
            </a:ln>
          </spPr>
          <cat>
            <numRef>
              <f>'Monthly Detail'!$AH$4:$AY$4</f>
              <numCache>
                <formatCode>m/d/yyyy</formatCode>
                <ptCount val="9"/>
                <pt idx="0">
                  <v>45777</v>
                </pt>
                <pt idx="1">
                  <v>45808</v>
                </pt>
                <pt idx="2">
                  <v>45838</v>
                </pt>
                <pt idx="3">
                  <v>45869</v>
                </pt>
                <pt idx="4">
                  <v>45900</v>
                </pt>
                <pt idx="5">
                  <v>45930</v>
                </pt>
                <pt idx="6">
                  <v>45961</v>
                </pt>
                <pt idx="7">
                  <v>45991</v>
                </pt>
                <pt idx="8">
                  <v>46022</v>
                </pt>
              </numCache>
            </numRef>
          </cat>
          <val>
            <numRef>
              <f>'Monthly Detail'!$AH$174:$AY$174</f>
              <numCache>
                <formatCode>_("$"* #,##0.00_);_("$"* \(#,##0.00\);_("$"* "-"??_);_(@_)</formatCode>
                <ptCount val="9"/>
                <pt idx="0">
                  <v>1331.530000000001</v>
                </pt>
                <pt idx="1">
                  <v>557.0800000000106</v>
                </pt>
                <pt idx="2">
                  <v>1059.500000000003</v>
                </pt>
                <pt idx="3">
                  <v>3158.830000000005</v>
                </pt>
                <pt idx="4">
                  <v>3999.470000000004</v>
                </pt>
                <pt idx="5">
                  <v>6133.200000000001</v>
                </pt>
                <pt idx="6">
                  <v>10262.87000000001</v>
                </pt>
                <pt idx="7">
                  <v>31672.69283022207</v>
                </pt>
                <pt idx="8">
                  <v>33443.47195465042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barChart>
        <barDir val="col"/>
        <grouping val="stacked"/>
        <varyColors val="0"/>
        <ser>
          <idx val="3"/>
          <order val="0"/>
          <tx>
            <v>Total Income</v>
          </tx>
          <spPr>
            <a:solidFill xmlns:a="http://schemas.openxmlformats.org/drawingml/2006/main">
              <a:schemeClr val="bg2">
                <a:lumMod val="75000"/>
              </a:schemeClr>
            </a:solidFill>
            <a:ln xmlns:a="http://schemas.openxmlformats.org/drawingml/2006/main">
              <a:solidFill>
                <a:sysClr val="windowText" lastClr="000000"/>
              </a:solidFill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5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6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7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8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9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10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11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12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13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14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15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cat>
            <numRef>
              <f>'Monthly Detail'!$AH$4:$AY$4</f>
              <numCache>
                <formatCode>m/d/yyyy</formatCode>
                <ptCount val="9"/>
                <pt idx="0">
                  <v>45777</v>
                </pt>
                <pt idx="1">
                  <v>45808</v>
                </pt>
                <pt idx="2">
                  <v>45838</v>
                </pt>
                <pt idx="3">
                  <v>45869</v>
                </pt>
                <pt idx="4">
                  <v>45900</v>
                </pt>
                <pt idx="5">
                  <v>45930</v>
                </pt>
                <pt idx="6">
                  <v>45961</v>
                </pt>
                <pt idx="7">
                  <v>45991</v>
                </pt>
                <pt idx="8">
                  <v>46022</v>
                </pt>
              </numCache>
            </numRef>
          </cat>
          <val>
            <numRef>
              <f>'Monthly Detail'!$AH$14:$AY$14</f>
              <numCache>
                <formatCode>_("$"* #,##0.00_);_("$"* \(#,##0.00\);_("$"* "-"??_);_(@_)</formatCode>
                <ptCount val="9"/>
                <pt idx="0">
                  <v>3756.25</v>
                </pt>
                <pt idx="1">
                  <v>6044.5</v>
                </pt>
                <pt idx="2">
                  <v>6916</v>
                </pt>
                <pt idx="3">
                  <v>14930</v>
                </pt>
                <pt idx="4">
                  <v>20457</v>
                </pt>
                <pt idx="5">
                  <v>28307.5</v>
                </pt>
                <pt idx="6">
                  <v>39363.13</v>
                </pt>
                <pt idx="7">
                  <v>12782.23696103655</v>
                </pt>
                <pt idx="8">
                  <v>11778.54027171923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2026245648"/>
        <axId val="2026246064"/>
      </barChart>
      <barChart>
        <barDir val="col"/>
        <grouping val="stacked"/>
        <varyColors val="0"/>
        <ser>
          <idx val="4"/>
          <order val="2"/>
          <tx>
            <v>EBITDA</v>
          </tx>
          <spPr>
            <a:solidFill xmlns:a="http://schemas.openxmlformats.org/drawingml/2006/main">
              <a:schemeClr val="bg2"/>
            </a:solidFill>
            <a:ln xmlns:a="http://schemas.openxmlformats.org/drawingml/2006/main">
              <a:solidFill>
                <a:sysClr val="windowText" lastClr="000000"/>
              </a:solidFill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6">
                  <a:lumMod val="20000"/>
                  <a:lumOff val="8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6">
                  <a:lumMod val="20000"/>
                  <a:lumOff val="8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6">
                  <a:lumMod val="20000"/>
                  <a:lumOff val="8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6">
                  <a:lumMod val="20000"/>
                  <a:lumOff val="8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chemeClr val="accent6">
                  <a:lumMod val="20000"/>
                  <a:lumOff val="8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5"/>
            <invertIfNegative val="0"/>
            <bubble3D val="0"/>
            <spPr>
              <a:solidFill xmlns:a="http://schemas.openxmlformats.org/drawingml/2006/main">
                <a:schemeClr val="accent6">
                  <a:lumMod val="20000"/>
                  <a:lumOff val="8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6"/>
            <invertIfNegative val="0"/>
            <bubble3D val="0"/>
            <spPr>
              <a:solidFill xmlns:a="http://schemas.openxmlformats.org/drawingml/2006/main">
                <a:schemeClr val="accent6">
                  <a:lumMod val="20000"/>
                  <a:lumOff val="8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7"/>
            <invertIfNegative val="0"/>
            <bubble3D val="0"/>
            <spPr>
              <a:solidFill xmlns:a="http://schemas.openxmlformats.org/drawingml/2006/main">
                <a:schemeClr val="accent6">
                  <a:lumMod val="20000"/>
                  <a:lumOff val="8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8"/>
            <invertIfNegative val="0"/>
            <bubble3D val="0"/>
            <spPr>
              <a:solidFill xmlns:a="http://schemas.openxmlformats.org/drawingml/2006/main">
                <a:schemeClr val="accent6">
                  <a:lumMod val="20000"/>
                  <a:lumOff val="8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9"/>
            <invertIfNegative val="0"/>
            <bubble3D val="0"/>
            <spPr>
              <a:solidFill xmlns:a="http://schemas.openxmlformats.org/drawingml/2006/main">
                <a:schemeClr val="accent6">
                  <a:lumMod val="20000"/>
                  <a:lumOff val="8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10"/>
            <invertIfNegative val="0"/>
            <bubble3D val="0"/>
            <spPr>
              <a:solidFill xmlns:a="http://schemas.openxmlformats.org/drawingml/2006/main">
                <a:schemeClr val="accent6">
                  <a:lumMod val="20000"/>
                  <a:lumOff val="8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11"/>
            <invertIfNegative val="0"/>
            <bubble3D val="0"/>
            <spPr>
              <a:solidFill xmlns:a="http://schemas.openxmlformats.org/drawingml/2006/main">
                <a:schemeClr val="accent6">
                  <a:lumMod val="20000"/>
                  <a:lumOff val="8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12"/>
            <invertIfNegative val="0"/>
            <bubble3D val="0"/>
            <spPr>
              <a:solidFill xmlns:a="http://schemas.openxmlformats.org/drawingml/2006/main">
                <a:schemeClr val="accent6">
                  <a:lumMod val="20000"/>
                  <a:lumOff val="8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13"/>
            <invertIfNegative val="0"/>
            <bubble3D val="0"/>
            <spPr>
              <a:solidFill xmlns:a="http://schemas.openxmlformats.org/drawingml/2006/main">
                <a:schemeClr val="accent6">
                  <a:lumMod val="20000"/>
                  <a:lumOff val="8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14"/>
            <invertIfNegative val="0"/>
            <bubble3D val="0"/>
            <spPr>
              <a:solidFill xmlns:a="http://schemas.openxmlformats.org/drawingml/2006/main">
                <a:schemeClr val="accent6">
                  <a:lumMod val="20000"/>
                  <a:lumOff val="8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15"/>
            <invertIfNegative val="0"/>
            <bubble3D val="0"/>
            <spPr>
              <a:solidFill xmlns:a="http://schemas.openxmlformats.org/drawingml/2006/main">
                <a:schemeClr val="accent6">
                  <a:lumMod val="20000"/>
                  <a:lumOff val="8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cat>
            <numRef>
              <f>'Monthly Detail'!$AH$4:$AY$4</f>
              <numCache>
                <formatCode>m/d/yyyy</formatCode>
                <ptCount val="9"/>
                <pt idx="0">
                  <v>45777</v>
                </pt>
                <pt idx="1">
                  <v>45808</v>
                </pt>
                <pt idx="2">
                  <v>45838</v>
                </pt>
                <pt idx="3">
                  <v>45869</v>
                </pt>
                <pt idx="4">
                  <v>45900</v>
                </pt>
                <pt idx="5">
                  <v>45930</v>
                </pt>
                <pt idx="6">
                  <v>45961</v>
                </pt>
                <pt idx="7">
                  <v>45991</v>
                </pt>
                <pt idx="8">
                  <v>46022</v>
                </pt>
              </numCache>
            </numRef>
          </cat>
          <val>
            <numRef>
              <f>'Monthly Detail'!$AH$99:$AY$99</f>
              <numCache>
                <formatCode>_("$"* #,##0.00_);_("$"* \(#,##0.00\);_("$"* "-"??_);_(@_)</formatCode>
                <ptCount val="9"/>
                <pt idx="0">
                  <v>-24.73999999999978</v>
                </pt>
                <pt idx="1">
                  <v>2096.14</v>
                </pt>
                <pt idx="2">
                  <v>2763.62</v>
                </pt>
                <pt idx="3">
                  <v>3837.110000000001</v>
                </pt>
                <pt idx="4">
                  <v>2124.959999999999</v>
                </pt>
                <pt idx="5">
                  <v>10712.56</v>
                </pt>
                <pt idx="6">
                  <v>14161.90000000001</v>
                </pt>
                <pt idx="7">
                  <v>4012.864061543764</v>
                </pt>
                <pt idx="8">
                  <v>2405.878063860269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2026245648"/>
        <axId val="2026246064"/>
      </barChart>
      <lineChart>
        <grouping val="standard"/>
        <varyColors val="0"/>
        <ser>
          <idx val="5"/>
          <order val="4"/>
          <tx>
            <strRef>
              <f>'Monthly Detail'!$C$17</f>
              <strCache>
                <ptCount val="1"/>
                <pt idx="0">
                  <v xml:space="preserve"> # of Students </v>
                </pt>
              </strCache>
            </strRef>
          </tx>
          <spPr>
            <a:ln xmlns:a="http://schemas.openxmlformats.org/drawingml/2006/main">
              <a:solidFill>
                <a:schemeClr val="tx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1"/>
            <bubble3D val="0"/>
            <spPr>
              <a:ln xmlns:a="http://schemas.openxmlformats.org/drawingml/2006/main">
                <a:solidFill>
                  <a:schemeClr val="accent6"/>
                </a:solidFill>
                <a:prstDash val="solid"/>
              </a:ln>
            </spPr>
          </dPt>
          <dPt>
            <idx val="2"/>
            <bubble3D val="0"/>
            <spPr>
              <a:ln xmlns:a="http://schemas.openxmlformats.org/drawingml/2006/main">
                <a:solidFill>
                  <a:schemeClr val="accent6"/>
                </a:solidFill>
                <a:prstDash val="solid"/>
              </a:ln>
            </spPr>
          </dPt>
          <dPt>
            <idx val="3"/>
            <bubble3D val="0"/>
            <spPr>
              <a:ln xmlns:a="http://schemas.openxmlformats.org/drawingml/2006/main">
                <a:solidFill>
                  <a:schemeClr val="accent6"/>
                </a:solidFill>
                <a:prstDash val="solid"/>
              </a:ln>
            </spPr>
          </dPt>
          <dPt>
            <idx val="4"/>
            <bubble3D val="0"/>
            <spPr>
              <a:ln xmlns:a="http://schemas.openxmlformats.org/drawingml/2006/main">
                <a:solidFill>
                  <a:schemeClr val="accent6"/>
                </a:solidFill>
                <a:prstDash val="solid"/>
              </a:ln>
            </spPr>
          </dPt>
          <dPt>
            <idx val="5"/>
            <bubble3D val="0"/>
            <spPr>
              <a:ln xmlns:a="http://schemas.openxmlformats.org/drawingml/2006/main">
                <a:solidFill>
                  <a:schemeClr val="accent6"/>
                </a:solidFill>
                <a:prstDash val="solid"/>
              </a:ln>
            </spPr>
          </dPt>
          <dPt>
            <idx val="6"/>
            <bubble3D val="0"/>
            <spPr>
              <a:ln xmlns:a="http://schemas.openxmlformats.org/drawingml/2006/main">
                <a:solidFill>
                  <a:schemeClr val="accent6"/>
                </a:solidFill>
                <a:prstDash val="solid"/>
              </a:ln>
            </spPr>
          </dPt>
          <dPt>
            <idx val="7"/>
            <bubble3D val="0"/>
            <spPr>
              <a:ln xmlns:a="http://schemas.openxmlformats.org/drawingml/2006/main">
                <a:solidFill>
                  <a:schemeClr val="accent6"/>
                </a:solidFill>
                <a:prstDash val="solid"/>
              </a:ln>
            </spPr>
          </dPt>
          <dPt>
            <idx val="8"/>
            <bubble3D val="0"/>
            <spPr>
              <a:ln xmlns:a="http://schemas.openxmlformats.org/drawingml/2006/main">
                <a:solidFill>
                  <a:schemeClr val="accent6"/>
                </a:solidFill>
                <a:prstDash val="solid"/>
              </a:ln>
            </spPr>
          </dPt>
          <dPt>
            <idx val="9"/>
            <bubble3D val="0"/>
            <spPr>
              <a:ln xmlns:a="http://schemas.openxmlformats.org/drawingml/2006/main">
                <a:solidFill>
                  <a:schemeClr val="accent6"/>
                </a:solidFill>
                <a:prstDash val="solid"/>
              </a:ln>
            </spPr>
          </dPt>
          <dPt>
            <idx val="10"/>
            <bubble3D val="0"/>
            <spPr>
              <a:ln xmlns:a="http://schemas.openxmlformats.org/drawingml/2006/main">
                <a:solidFill>
                  <a:schemeClr val="accent6"/>
                </a:solidFill>
                <a:prstDash val="solid"/>
              </a:ln>
            </spPr>
          </dPt>
          <dPt>
            <idx val="11"/>
            <bubble3D val="0"/>
            <spPr>
              <a:ln xmlns:a="http://schemas.openxmlformats.org/drawingml/2006/main">
                <a:solidFill>
                  <a:schemeClr val="accent6"/>
                </a:solidFill>
                <a:prstDash val="solid"/>
              </a:ln>
            </spPr>
          </dPt>
          <dPt>
            <idx val="12"/>
            <bubble3D val="0"/>
            <spPr>
              <a:ln xmlns:a="http://schemas.openxmlformats.org/drawingml/2006/main">
                <a:solidFill>
                  <a:schemeClr val="accent6"/>
                </a:solidFill>
                <a:prstDash val="solid"/>
              </a:ln>
            </spPr>
          </dPt>
          <dPt>
            <idx val="13"/>
            <bubble3D val="0"/>
            <spPr>
              <a:ln xmlns:a="http://schemas.openxmlformats.org/drawingml/2006/main">
                <a:solidFill>
                  <a:schemeClr val="accent6"/>
                </a:solidFill>
                <a:prstDash val="solid"/>
              </a:ln>
            </spPr>
          </dPt>
          <dPt>
            <idx val="14"/>
            <bubble3D val="0"/>
            <spPr>
              <a:ln xmlns:a="http://schemas.openxmlformats.org/drawingml/2006/main">
                <a:solidFill>
                  <a:schemeClr val="accent6"/>
                </a:solidFill>
                <a:prstDash val="solid"/>
              </a:ln>
            </spPr>
          </dPt>
          <dPt>
            <idx val="15"/>
            <bubble3D val="0"/>
            <spPr>
              <a:ln xmlns:a="http://schemas.openxmlformats.org/drawingml/2006/main">
                <a:solidFill>
                  <a:schemeClr val="accent6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'Monthly Detail'!$AH$4:$AY$4</f>
              <numCache>
                <formatCode>m/d/yyyy</formatCode>
                <ptCount val="9"/>
                <pt idx="0">
                  <v>45777</v>
                </pt>
                <pt idx="1">
                  <v>45808</v>
                </pt>
                <pt idx="2">
                  <v>45838</v>
                </pt>
                <pt idx="3">
                  <v>45869</v>
                </pt>
                <pt idx="4">
                  <v>45900</v>
                </pt>
                <pt idx="5">
                  <v>45930</v>
                </pt>
                <pt idx="6">
                  <v>45961</v>
                </pt>
                <pt idx="7">
                  <v>45991</v>
                </pt>
                <pt idx="8">
                  <v>46022</v>
                </pt>
              </numCache>
            </numRef>
          </cat>
          <val>
            <numRef>
              <f>'Monthly Detail'!$AH$17:$AY$17</f>
              <numCache>
                <formatCode>_(* #,##0_);_(* \(#,##0\);_(* "-"??_);_(@_)</formatCode>
                <ptCount val="9"/>
                <pt idx="0">
                  <v>23</v>
                </pt>
                <pt idx="1">
                  <v>20</v>
                </pt>
                <pt idx="2">
                  <v>25</v>
                </pt>
                <pt idx="3">
                  <v>35</v>
                </pt>
                <pt idx="4">
                  <v>48</v>
                </pt>
                <pt idx="5">
                  <v>57</v>
                </pt>
                <pt idx="6">
                  <v>67</v>
                </pt>
                <pt idx="7">
                  <v>62</v>
                </pt>
                <pt idx="8">
                  <v>37.6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154516912"/>
        <axId val="900006399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dateAx>
        <axId val="2026245648"/>
        <scaling>
          <orientation val="minMax"/>
        </scaling>
        <delete val="0"/>
        <axPos val="b"/>
        <numFmt formatCode="[$-409]mmm\-yy;@" sourceLinked="0"/>
        <majorTickMark val="out"/>
        <minorTickMark val="none"/>
        <tickLblPos val="low"/>
        <spPr>
          <a:noFill xmlns:a="http://schemas.openxmlformats.org/drawingml/2006/main"/>
          <a:ln xmlns:a="http://schemas.openxmlformats.org/drawingml/2006/main" w="25400" cap="flat" cmpd="sng" algn="ctr">
            <a:solidFill>
              <a:schemeClr val="tx1"/>
            </a:solidFill>
            <a:prstDash val="solid"/>
            <a:round/>
          </a:ln>
        </spPr>
        <txPr>
          <a:bodyPr xmlns:a="http://schemas.openxmlformats.org/drawingml/2006/main" rot="-18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26246064"/>
        <crosses val="autoZero"/>
        <lblOffset val="100"/>
        <baseTimeUnit val="months"/>
        <majorUnit val="3"/>
      </dateAx>
      <valAx>
        <axId val="2026246064"/>
        <scaling>
          <orientation val="minMax"/>
        </scaling>
        <delete val="0"/>
        <axPos val="l"/>
        <numFmt formatCode="&quot;$&quot;* #,##0_€;[Red]\(&quot;$&quot;* #,##0_€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26245648"/>
        <crosses val="autoZero"/>
        <crossBetween val="between"/>
      </valAx>
      <dateAx>
        <axId val="1154516912"/>
        <scaling>
          <orientation val="minMax"/>
        </scaling>
        <delete val="1"/>
        <axPos val="b"/>
        <numFmt formatCode="m/d/yyyy" sourceLinked="1"/>
        <majorTickMark val="out"/>
        <minorTickMark val="none"/>
        <tickLblPos val="nextTo"/>
        <crossAx val="900006399"/>
        <crosses val="autoZero"/>
        <lblOffset val="100"/>
        <baseTimeUnit val="months"/>
      </dateAx>
      <valAx>
        <axId val="900006399"/>
        <scaling>
          <orientation val="minMax"/>
        </scaling>
        <delete val="0"/>
        <axPos val="r"/>
        <numFmt formatCode="_(* #,##0_);_(* \(#,##0\);_(* &quot;-&quot;??_);_(@_)" sourceLinked="1"/>
        <majorTickMark val="out"/>
        <minorTickMark val="none"/>
        <tickLblPos val="nextTo"/>
        <crossAx val="1154516912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ysClr val="window" lastClr="FFFFFF"/>
    </a:solidFill>
    <a:ln xmlns:a="http://schemas.openxmlformats.org/drawingml/2006/main" w="19050" cap="flat" cmpd="sng" algn="ctr">
      <a:solidFill>
        <a:sysClr val="windowText" lastClr="000000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Position - Student</a:t>
            </a:r>
            <a:r>
              <a:rPr lang="en-US" baseline="0"/>
              <a:t xml:space="preserve"> Count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areaChart>
        <grouping val="standard"/>
        <varyColors val="0"/>
        <ser>
          <idx val="2"/>
          <order val="0"/>
          <tx>
            <strRef>
              <f>'2025 AOP'!$B$36</f>
              <strCache>
                <ptCount val="1"/>
                <pt idx="0">
                  <v>Operating Cash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solidFill>
                <a:sysClr val="windowText" lastClr="000000"/>
              </a:solidFill>
              <a:prstDash val="solid"/>
            </a:ln>
          </spPr>
          <cat>
            <strRef>
              <f>'2023 Overview'!$C$10:$N$10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'2025 AOP'!$C$36:$N$36</f>
              <numCache>
                <formatCode>_("$"* #,##0.00_);_("$"* \(#,##0.00\);_("$"* "-"??_);_(@_)</formatCode>
                <ptCount val="12"/>
                <pt idx="0">
                  <v>5910.491972538331</v>
                </pt>
                <pt idx="1">
                  <v>11084.27236104232</v>
                </pt>
                <pt idx="2">
                  <v>13626.6407479997</v>
                </pt>
                <pt idx="3">
                  <v>16286.34477384279</v>
                </pt>
                <pt idx="4">
                  <v>18578.00570587863</v>
                </pt>
                <pt idx="5">
                  <v>19238.67372369041</v>
                </pt>
                <pt idx="6">
                  <v>21452.6617137577</v>
                </pt>
                <pt idx="7">
                  <v>26002.17821108291</v>
                </pt>
                <pt idx="8">
                  <v>32304.32808387339</v>
                </pt>
                <pt idx="9">
                  <v>39688.85591512446</v>
                </pt>
                <pt idx="10">
                  <v>44161.64664981155</v>
                </pt>
                <pt idx="11">
                  <v>45353.46686473418</v>
                </pt>
              </numCache>
            </numRef>
          </val>
        </ser>
        <ser>
          <idx val="3"/>
          <order val="1"/>
          <tx>
            <strRef>
              <f>'2025 AOP'!$B$37</f>
              <strCache>
                <ptCount val="1"/>
                <pt idx="0">
                  <v>Cash Inflow (Outflow)</v>
                </pt>
              </strCache>
            </strRef>
          </tx>
          <spPr>
            <a:solidFill xmlns:a="http://schemas.openxmlformats.org/drawingml/2006/main">
              <a:schemeClr val="bg2"/>
            </a:solidFill>
            <a:ln xmlns:a="http://schemas.openxmlformats.org/drawingml/2006/main">
              <a:solidFill>
                <a:srgbClr val="FF0000"/>
              </a:solidFill>
              <a:prstDash val="solid"/>
            </a:ln>
          </spPr>
          <val>
            <numRef>
              <f>'2025 AOP'!$C$37:$N$37</f>
              <numCache>
                <formatCode>_("$"* #,##0.00_);_("$"* \(#,##0.00\);_("$"* "-"??_);_(@_)</formatCode>
                <ptCount val="12"/>
                <pt idx="0">
                  <v>1691.545298480226</v>
                </pt>
                <pt idx="1">
                  <v>5173.780388503994</v>
                </pt>
                <pt idx="2">
                  <v>2542.368386957378</v>
                </pt>
                <pt idx="3">
                  <v>2659.704025843085</v>
                </pt>
                <pt idx="4">
                  <v>2291.660932035839</v>
                </pt>
                <pt idx="5">
                  <v>660.6680178117831</v>
                </pt>
                <pt idx="6">
                  <v>2213.98799006729</v>
                </pt>
                <pt idx="7">
                  <v>4549.516497325214</v>
                </pt>
                <pt idx="8">
                  <v>6302.149872790482</v>
                </pt>
                <pt idx="9">
                  <v>7384.527831251073</v>
                </pt>
                <pt idx="10">
                  <v>4472.790734687082</v>
                </pt>
                <pt idx="11">
                  <v>1191.820214922631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barChart>
        <barDir val="col"/>
        <grouping val="stacked"/>
        <varyColors val="0"/>
        <ser>
          <idx val="4"/>
          <order val="2"/>
          <tx>
            <strRef>
              <f>'2025 AOP'!$B$12</f>
              <strCache>
                <ptCount val="1"/>
                <pt idx="0">
                  <v>Service Income</v>
                </pt>
              </strCache>
            </strRef>
          </tx>
          <spPr>
            <a:solidFill xmlns:a="http://schemas.openxmlformats.org/drawingml/2006/main">
              <a:schemeClr val="bg2">
                <a:lumMod val="75000"/>
              </a:schemeClr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dPt>
            <idx val="0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5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6"/>
            <invertIfNegative val="0"/>
            <bubble3D val="0"/>
            <spPr>
              <a:solidFill xmlns:a="http://schemas.openxmlformats.org/drawingml/2006/main">
                <a:schemeClr val="bg2">
                  <a:lumMod val="75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7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8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9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0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cat>
            <strRef>
              <f>'2025 Overview (Budget)'!$C$10:$N$10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'2025 AOP'!$C$12:$N$12</f>
              <numCache>
                <formatCode>_(* #,##0_);_(* \(#,##0\);_(* "-"??_);_(@_)</formatCode>
                <ptCount val="12"/>
                <pt idx="0">
                  <v>7677.132102272726</v>
                </pt>
                <pt idx="1">
                  <v>12691.95238095238</v>
                </pt>
                <pt idx="2">
                  <v>7473.9</v>
                </pt>
                <pt idx="3">
                  <v>9831.970588235292</v>
                </pt>
                <pt idx="4">
                  <v>10732.47282608695</v>
                </pt>
                <pt idx="5">
                  <v>5809.431249999998</v>
                </pt>
                <pt idx="6">
                  <v>10858.9</v>
                </pt>
                <pt idx="7">
                  <v>15862.28468899521</v>
                </pt>
                <pt idx="8">
                  <v>12122.44897959183</v>
                </pt>
                <pt idx="9">
                  <v>15626.953125</v>
                </pt>
                <pt idx="10">
                  <v>8797.316985645932</v>
                </pt>
                <pt idx="11">
                  <v>6287.478531855954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83418911"/>
        <axId val="1908237535"/>
      </barChart>
      <lineChart>
        <grouping val="standard"/>
        <varyColors val="0"/>
        <ser>
          <idx val="5"/>
          <order val="3"/>
          <tx>
            <strRef>
              <f>'2025 AOP'!$B$15</f>
              <strCache>
                <ptCount val="1"/>
                <pt idx="0">
                  <v xml:space="preserve"> # of Students </v>
                </pt>
              </strCache>
            </strRef>
          </tx>
          <spPr>
            <a:ln xmlns:a="http://schemas.openxmlformats.org/drawingml/2006/main">
              <a:solidFill>
                <a:sysClr val="windowText" lastClr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1"/>
            <bubble3D val="0"/>
            <spPr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ln xmlns:a="http://schemas.openxmlformats.org/drawingml/2006/main">
                <a:prstDash val="solid"/>
              </a:ln>
            </spPr>
          </dPt>
          <dPt>
            <idx val="6"/>
            <bubble3D val="0"/>
            <spPr>
              <a:ln xmlns:a="http://schemas.openxmlformats.org/drawingml/2006/main">
                <a:prstDash val="solid"/>
              </a:ln>
            </spPr>
          </dPt>
          <dPt>
            <idx val="7"/>
            <bubble3D val="0"/>
            <spPr>
              <a:ln xmlns:a="http://schemas.openxmlformats.org/drawingml/2006/main">
                <a:prstDash val="solid"/>
              </a:ln>
            </spPr>
          </dPt>
          <dPt>
            <idx val="8"/>
            <bubble3D val="0"/>
            <spPr>
              <a:ln xmlns:a="http://schemas.openxmlformats.org/drawingml/2006/main">
                <a:prstDash val="solid"/>
              </a:ln>
            </spPr>
          </dPt>
          <dPt>
            <idx val="9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0"/>
            <bubble3D val="0"/>
            <spPr>
              <a:ln xmlns:a="http://schemas.openxmlformats.org/drawingml/2006/main">
                <a:prstDash val="solid"/>
              </a:ln>
            </spPr>
          </dPt>
          <val>
            <numRef>
              <f>'2025 AOP'!$C$15:$N$15</f>
              <numCache>
                <formatCode>_(* #,##0_);_(* \(#,##0\);_(* "-"??_);_(@_)</formatCode>
                <ptCount val="12"/>
                <pt idx="0">
                  <v>34.8</v>
                </pt>
                <pt idx="1">
                  <v>35.8</v>
                </pt>
                <pt idx="2">
                  <v>33.59999999999999</v>
                </pt>
                <pt idx="3">
                  <v>32.39999999999999</v>
                </pt>
                <pt idx="4">
                  <v>33.39999999999999</v>
                </pt>
                <pt idx="5">
                  <v>29.19999999999999</v>
                </pt>
                <pt idx="6">
                  <v>31.19999999999999</v>
                </pt>
                <pt idx="7">
                  <v>37.19999999999999</v>
                </pt>
                <pt idx="8">
                  <v>43.19999999999999</v>
                </pt>
                <pt idx="9">
                  <v>44.99999999999999</v>
                </pt>
                <pt idx="10">
                  <v>43.59999999999999</v>
                </pt>
                <pt idx="11">
                  <v>42.19999999999999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637874879"/>
        <axId val="1637885439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catAx>
        <axId val="18341891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908237535"/>
        <crosses val="autoZero"/>
        <auto val="1"/>
        <lblAlgn val="ctr"/>
        <lblOffset val="100"/>
        <noMultiLvlLbl val="0"/>
      </catAx>
      <valAx>
        <axId val="1908237535"/>
        <scaling>
          <orientation val="minMax"/>
        </scaling>
        <delete val="0"/>
        <axPos val="l"/>
        <numFmt formatCode="_(&quot;$&quot;* #,##0.00_);_(&quot;$&quot;* \(#,##0.00\);_(&quot;$&quot;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3418911"/>
        <crosses val="autoZero"/>
        <crossBetween val="between"/>
      </valAx>
      <catAx>
        <axId val="1637874879"/>
        <scaling>
          <orientation val="minMax"/>
        </scaling>
        <delete val="1"/>
        <axPos val="b"/>
        <majorTickMark val="out"/>
        <minorTickMark val="none"/>
        <tickLblPos val="nextTo"/>
        <crossAx val="1637885439"/>
        <crosses val="autoZero"/>
        <auto val="1"/>
        <lblAlgn val="ctr"/>
        <lblOffset val="100"/>
        <noMultiLvlLbl val="0"/>
      </catAx>
      <valAx>
        <axId val="1637885439"/>
        <scaling>
          <orientation val="minMax"/>
        </scaling>
        <delete val="0"/>
        <axPos val="r"/>
        <numFmt formatCode="_(* #,##0_);_(* \(#,##0\);_(* &quot;-&quot;??_);_(@_)" sourceLinked="1"/>
        <majorTickMark val="out"/>
        <minorTickMark val="none"/>
        <tickLblPos val="nextTo"/>
        <crossAx val="1637874879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Position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'2023 Overview'!$B$29</f>
              <strCache>
                <ptCount val="1"/>
                <pt idx="0">
                  <v>Operating Cash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solidFill>
                <a:schemeClr val="accent6"/>
              </a:solidFill>
              <a:prstDash val="solid"/>
            </a:ln>
          </spPr>
          <invertIfNegative val="0"/>
          <dLbls>
            <dLbl>
              <idx val="11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'2023 Overview'!$C$10:$N$10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'2023 Overview'!$C$29:$N$29</f>
              <numCache>
                <formatCode>_("$"* #,##0.00_);_("$"* \(#,##0.00\);_("$"* "-"??_);_(@_)</formatCode>
                <ptCount val="12"/>
                <pt idx="0">
                  <v>169.9600000000012</v>
                </pt>
                <pt idx="1">
                  <v>212.9500000000012</v>
                </pt>
                <pt idx="2">
                  <v>127.3900000000012</v>
                </pt>
                <pt idx="3">
                  <v>395.4200000000014</v>
                </pt>
                <pt idx="4">
                  <v>300.2100000000019</v>
                </pt>
                <pt idx="5">
                  <v>433.570000000002</v>
                </pt>
                <pt idx="6">
                  <v>566.7299999999977</v>
                </pt>
                <pt idx="7">
                  <v>503.449999999998</v>
                </pt>
                <pt idx="8">
                  <v>741.1799999999976</v>
                </pt>
                <pt idx="9">
                  <v>653.2999999999993</v>
                </pt>
                <pt idx="10">
                  <v>727.4899999999989</v>
                </pt>
                <pt idx="11">
                  <v>997.0199999999988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83418911"/>
        <axId val="1908237535"/>
      </barChart>
      <lineChart>
        <grouping val="standard"/>
        <varyColors val="0"/>
        <ser>
          <idx val="1"/>
          <order val="1"/>
          <tx>
            <strRef>
              <f>'2023 Overview'!$B$30</f>
              <strCache>
                <ptCount val="1"/>
                <pt idx="0">
                  <v>Cash Inflow (Outflow)</v>
                </pt>
              </strCache>
            </strRef>
          </tx>
          <spPr>
            <a:ln xmlns:a="http://schemas.openxmlformats.org/drawingml/2006/main"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val>
            <numRef>
              <f>'2023 Overview'!$C$30:$N$30</f>
              <numCache>
                <formatCode>_("$"* #,##0.00_);_("$"* \(#,##0.00\);_("$"* "-"??_);_(@_)</formatCode>
                <ptCount val="12"/>
                <pt idx="0">
                  <v>225.860000000001</v>
                </pt>
                <pt idx="1">
                  <v>42.99000000000001</v>
                </pt>
                <pt idx="2">
                  <v>-85.55999999999995</v>
                </pt>
                <pt idx="3">
                  <v>268.0300000000002</v>
                </pt>
                <pt idx="4">
                  <v>-95.20999999999958</v>
                </pt>
                <pt idx="5">
                  <v>133.3600000000001</v>
                </pt>
                <pt idx="6">
                  <v>133.1599999999958</v>
                </pt>
                <pt idx="7">
                  <v>-63.27999999999975</v>
                </pt>
                <pt idx="8">
                  <v>237.7299999999996</v>
                </pt>
                <pt idx="9">
                  <v>-87.87999999999829</v>
                </pt>
                <pt idx="10">
                  <v>74.1899999999996</v>
                </pt>
                <pt idx="11">
                  <v>269.53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83418911"/>
        <axId val="1908237535"/>
      </lineChart>
      <catAx>
        <axId val="18341891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908237535"/>
        <crosses val="autoZero"/>
        <auto val="1"/>
        <lblAlgn val="ctr"/>
        <lblOffset val="100"/>
        <noMultiLvlLbl val="0"/>
      </catAx>
      <valAx>
        <axId val="190823753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&quot;$&quot;* #,##0.00_);_(&quot;$&quot;* \(#,##0.00\);_(&quot;$&quot;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341891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Position - Student</a:t>
            </a:r>
            <a:r>
              <a:rPr lang="en-US" baseline="0"/>
              <a:t xml:space="preserve"> Count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areaChart>
        <grouping val="standard"/>
        <varyColors val="0"/>
        <ser>
          <idx val="2"/>
          <order val="0"/>
          <tx>
            <strRef>
              <f>'2026 AOP'!$B$36</f>
              <strCache>
                <ptCount val="1"/>
                <pt idx="0">
                  <v>Operating Cash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solidFill>
                <a:sysClr val="windowText" lastClr="000000"/>
              </a:solidFill>
              <a:prstDash val="solid"/>
            </a:ln>
          </spPr>
          <cat>
            <strRef>
              <f>'2023 Overview'!$C$10:$N$10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'2026 AOP'!$C$36:$N$36</f>
              <numCache>
                <formatCode>_("$"* #,##0.00_);_("$"* \(#,##0.00\);_("$"* "-"??_);_(@_)</formatCode>
                <ptCount val="12"/>
                <pt idx="0">
                  <v>34481.55592878006</v>
                </pt>
                <pt idx="1">
                  <v>33113.497952619</v>
                </pt>
                <pt idx="2">
                  <v>35905.29927242275</v>
                </pt>
                <pt idx="3">
                  <v>32138.61389739793</v>
                </pt>
                <pt idx="4">
                  <v>31827.96560035842</v>
                </pt>
                <pt idx="5">
                  <v>32486.46424339388</v>
                </pt>
                <pt idx="6">
                  <v>34013.01383153562</v>
                </pt>
                <pt idx="7">
                  <v>34081.71709119495</v>
                </pt>
                <pt idx="8">
                  <v>36859.22700748758</v>
                </pt>
                <pt idx="9">
                  <v>46693.42412790291</v>
                </pt>
                <pt idx="10">
                  <v>49669.1987276178</v>
                </pt>
                <pt idx="11">
                  <v>51151.72313639133</v>
                </pt>
              </numCache>
            </numRef>
          </val>
        </ser>
        <ser>
          <idx val="3"/>
          <order val="1"/>
          <tx>
            <strRef>
              <f>'2026 AOP'!$B$37</f>
              <strCache>
                <ptCount val="1"/>
                <pt idx="0">
                  <v>Cash Inflow (Outflow)</v>
                </pt>
              </strCache>
            </strRef>
          </tx>
          <spPr>
            <a:solidFill xmlns:a="http://schemas.openxmlformats.org/drawingml/2006/main">
              <a:schemeClr val="bg2"/>
            </a:solidFill>
            <a:ln xmlns:a="http://schemas.openxmlformats.org/drawingml/2006/main">
              <a:solidFill>
                <a:srgbClr val="FF0000"/>
              </a:solidFill>
              <a:prstDash val="solid"/>
            </a:ln>
          </spPr>
          <val>
            <numRef>
              <f>'2026 AOP'!$C$37:$N$37</f>
              <numCache>
                <formatCode>_("$"* #,##0.00_);_("$"* \(#,##0.00\);_("$"* "-"??_);_(@_)</formatCode>
                <ptCount val="12"/>
                <pt idx="0">
                  <v>1038.083974129641</v>
                </pt>
                <pt idx="1">
                  <v>-1368.057976161066</v>
                </pt>
                <pt idx="2">
                  <v>2791.80131980375</v>
                </pt>
                <pt idx="3">
                  <v>-3766.68537502482</v>
                </pt>
                <pt idx="4">
                  <v>-310.648297039515</v>
                </pt>
                <pt idx="5">
                  <v>658.498643035467</v>
                </pt>
                <pt idx="6">
                  <v>1526.549588141735</v>
                </pt>
                <pt idx="7">
                  <v>68.70325965933125</v>
                </pt>
                <pt idx="8">
                  <v>2777.509916292629</v>
                </pt>
                <pt idx="9">
                  <v>9834.197120415327</v>
                </pt>
                <pt idx="10">
                  <v>2975.774599714899</v>
                </pt>
                <pt idx="11">
                  <v>1482.524408773524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barChart>
        <barDir val="col"/>
        <grouping val="stacked"/>
        <varyColors val="0"/>
        <ser>
          <idx val="4"/>
          <order val="2"/>
          <tx>
            <strRef>
              <f>'2026 AOP'!$B$12</f>
              <strCache>
                <ptCount val="1"/>
                <pt idx="0">
                  <v>Service Income</v>
                </pt>
              </strCache>
            </strRef>
          </tx>
          <spPr>
            <a:solidFill xmlns:a="http://schemas.openxmlformats.org/drawingml/2006/main">
              <a:schemeClr val="bg2">
                <a:lumMod val="75000"/>
              </a:schemeClr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dPt>
            <idx val="0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5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6"/>
            <invertIfNegative val="0"/>
            <bubble3D val="0"/>
            <spPr>
              <a:solidFill xmlns:a="http://schemas.openxmlformats.org/drawingml/2006/main">
                <a:schemeClr val="bg2">
                  <a:lumMod val="75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7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8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9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0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cat>
            <strRef>
              <f>'2025 Overview (Budget)'!$C$10:$N$10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'2026 AOP'!$C$12:$N$12</f>
              <numCache>
                <formatCode>_(* #,##0_);_(* \(#,##0\);_(* "-"??_);_(@_)</formatCode>
                <ptCount val="12"/>
                <pt idx="0">
                  <v>15019.84239130435</v>
                </pt>
                <pt idx="1">
                  <v>15669.75</v>
                </pt>
                <pt idx="2">
                  <v>17176.34285714285</v>
                </pt>
                <pt idx="3">
                  <v>8151.254347826085</v>
                </pt>
                <pt idx="4">
                  <v>14732.78625</v>
                </pt>
                <pt idx="5">
                  <v>12995.51314285714</v>
                </pt>
                <pt idx="6">
                  <v>19731.24896103896</v>
                </pt>
                <pt idx="7">
                  <v>21100.5</v>
                </pt>
                <pt idx="8">
                  <v>29721.02368421052</v>
                </pt>
                <pt idx="9">
                  <v>34737.84295911745</v>
                </pt>
                <pt idx="10">
                  <v>16315.45429271493</v>
                </pt>
                <pt idx="11">
                  <v>23177.17894736842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83418911"/>
        <axId val="1908237535"/>
      </barChart>
      <lineChart>
        <grouping val="standard"/>
        <varyColors val="0"/>
        <ser>
          <idx val="5"/>
          <order val="3"/>
          <tx>
            <strRef>
              <f>'2026 AOP'!$B$15</f>
              <strCache>
                <ptCount val="1"/>
                <pt idx="0">
                  <v xml:space="preserve"> # of Students </v>
                </pt>
              </strCache>
            </strRef>
          </tx>
          <spPr>
            <a:ln xmlns:a="http://schemas.openxmlformats.org/drawingml/2006/main">
              <a:solidFill>
                <a:sysClr val="windowText" lastClr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1"/>
            <bubble3D val="0"/>
            <spPr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ln xmlns:a="http://schemas.openxmlformats.org/drawingml/2006/main">
                <a:prstDash val="solid"/>
              </a:ln>
            </spPr>
          </dPt>
          <dPt>
            <idx val="6"/>
            <bubble3D val="0"/>
            <spPr>
              <a:ln xmlns:a="http://schemas.openxmlformats.org/drawingml/2006/main">
                <a:prstDash val="solid"/>
              </a:ln>
            </spPr>
          </dPt>
          <dPt>
            <idx val="7"/>
            <bubble3D val="0"/>
            <spPr>
              <a:ln xmlns:a="http://schemas.openxmlformats.org/drawingml/2006/main">
                <a:prstDash val="solid"/>
              </a:ln>
            </spPr>
          </dPt>
          <dPt>
            <idx val="8"/>
            <bubble3D val="0"/>
            <spPr>
              <a:ln xmlns:a="http://schemas.openxmlformats.org/drawingml/2006/main">
                <a:prstDash val="solid"/>
              </a:ln>
            </spPr>
          </dPt>
          <dPt>
            <idx val="9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0"/>
            <bubble3D val="0"/>
            <spPr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'2026 AOP'!$C$15:$N$15</f>
              <numCache>
                <formatCode>_(* #,##0_);_(* \(#,##0\);_(* "-"??_);_(@_)</formatCode>
                <ptCount val="12"/>
                <pt idx="0">
                  <v>40.36</v>
                </pt>
                <pt idx="1">
                  <v>49.16</v>
                </pt>
                <pt idx="2">
                  <v>49.91999999999999</v>
                </pt>
                <pt idx="3">
                  <v>48.67999999999999</v>
                </pt>
                <pt idx="4">
                  <v>51.47999999999999</v>
                </pt>
                <pt idx="5">
                  <v>45.23999999999999</v>
                </pt>
                <pt idx="6">
                  <v>45.03999999999999</v>
                </pt>
                <pt idx="7">
                  <v>51.83999999999999</v>
                </pt>
                <pt idx="8">
                  <v>61.63999999999999</v>
                </pt>
                <pt idx="9">
                  <v>66.39999999999998</v>
                </pt>
                <pt idx="10">
                  <v>68.11999999999998</v>
                </pt>
                <pt idx="11">
                  <v>67.83999999999997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637874879"/>
        <axId val="1637885439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catAx>
        <axId val="18341891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908237535"/>
        <crosses val="autoZero"/>
        <auto val="1"/>
        <lblAlgn val="ctr"/>
        <lblOffset val="100"/>
        <noMultiLvlLbl val="0"/>
      </catAx>
      <valAx>
        <axId val="1908237535"/>
        <scaling>
          <orientation val="minMax"/>
        </scaling>
        <delete val="0"/>
        <axPos val="l"/>
        <numFmt formatCode="_(&quot;$&quot;* #,##0.00_);_(&quot;$&quot;* \(#,##0.00\);_(&quot;$&quot;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3418911"/>
        <crosses val="autoZero"/>
        <crossBetween val="between"/>
      </valAx>
      <catAx>
        <axId val="1637874879"/>
        <scaling>
          <orientation val="minMax"/>
        </scaling>
        <delete val="1"/>
        <axPos val="b"/>
        <majorTickMark val="out"/>
        <minorTickMark val="none"/>
        <tickLblPos val="nextTo"/>
        <crossAx val="1637885439"/>
        <crosses val="autoZero"/>
        <auto val="1"/>
        <lblAlgn val="ctr"/>
        <lblOffset val="100"/>
        <noMultiLvlLbl val="0"/>
      </catAx>
      <valAx>
        <axId val="1637885439"/>
        <scaling>
          <orientation val="minMax"/>
        </scaling>
        <delete val="0"/>
        <axPos val="r"/>
        <numFmt formatCode="_(* #,##0_);_(* \(#,##0\);_(* &quot;-&quot;??_);_(@_)" sourceLinked="1"/>
        <majorTickMark val="out"/>
        <minorTickMark val="none"/>
        <tickLblPos val="nextTo"/>
        <crossAx val="1637874879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Position - Student</a:t>
            </a:r>
            <a:r>
              <a:rPr lang="en-US" baseline="0"/>
              <a:t xml:space="preserve"> Count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areaChart>
        <grouping val="standard"/>
        <varyColors val="0"/>
        <ser>
          <idx val="2"/>
          <order val="0"/>
          <tx>
            <strRef>
              <f>'2025 Overview (Rolling)'!$B$36</f>
              <strCache>
                <ptCount val="1"/>
                <pt idx="0">
                  <v>Operating Cash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solidFill>
                <a:sysClr val="windowText" lastClr="000000"/>
              </a:solidFill>
              <a:prstDash val="solid"/>
            </a:ln>
          </spPr>
          <cat>
            <strRef>
              <f>'2023 Overview'!$C$10:$N$10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'2025 Overview (Rolling)'!$C$36:$N$36</f>
              <numCache>
                <formatCode>_("$"* #,##0.00_);_("$"* \(#,##0.00\);_("$"* "-"??_);_(@_)</formatCode>
                <ptCount val="12"/>
                <pt idx="0">
                  <v>3823.590000000001</v>
                </pt>
                <pt idx="1">
                  <v>494.2500000000009</v>
                </pt>
                <pt idx="2">
                  <v>985.1900000000011</v>
                </pt>
                <pt idx="3">
                  <v>1331.530000000001</v>
                </pt>
                <pt idx="4">
                  <v>557.0800000000106</v>
                </pt>
                <pt idx="5">
                  <v>1059.500000000003</v>
                </pt>
                <pt idx="6">
                  <v>3158.830000000005</v>
                </pt>
                <pt idx="7">
                  <v>3999.470000000004</v>
                </pt>
                <pt idx="8">
                  <v>6133.200000000001</v>
                </pt>
                <pt idx="9">
                  <v>10262.87000000001</v>
                </pt>
                <pt idx="10">
                  <v>31672.69283022207</v>
                </pt>
                <pt idx="11">
                  <v>33443.47195465042</v>
                </pt>
              </numCache>
            </numRef>
          </val>
        </ser>
        <ser>
          <idx val="3"/>
          <order val="1"/>
          <tx>
            <strRef>
              <f>'2025 Overview (Rolling)'!$B$37</f>
              <strCache>
                <ptCount val="1"/>
                <pt idx="0">
                  <v>Cash Inflow (Outflow)</v>
                </pt>
              </strCache>
            </strRef>
          </tx>
          <spPr>
            <a:solidFill xmlns:a="http://schemas.openxmlformats.org/drawingml/2006/main">
              <a:schemeClr val="bg2"/>
            </a:solidFill>
            <a:ln xmlns:a="http://schemas.openxmlformats.org/drawingml/2006/main">
              <a:solidFill>
                <a:srgbClr val="FF0000"/>
              </a:solidFill>
              <a:prstDash val="solid"/>
            </a:ln>
          </spPr>
          <val>
            <numRef>
              <f>'2025 Overview (Rolling)'!$C$37:$N$37</f>
              <numCache>
                <formatCode>_("$"* #,##0.00_);_("$"* \(#,##0.00\);_("$"* "-"??_);_(@_)</formatCode>
                <ptCount val="12"/>
                <pt idx="0">
                  <v>3530.76</v>
                </pt>
                <pt idx="1">
                  <v>-3329.34</v>
                </pt>
                <pt idx="2">
                  <v>490.9400000000002</v>
                </pt>
                <pt idx="3">
                  <v>346.3400000000003</v>
                </pt>
                <pt idx="4">
                  <v>-774.4499999999907</v>
                </pt>
                <pt idx="5">
                  <v>502.4199999999928</v>
                </pt>
                <pt idx="6">
                  <v>2099.330000000002</v>
                </pt>
                <pt idx="7">
                  <v>840.639999999999</v>
                </pt>
                <pt idx="8">
                  <v>2133.729999999996</v>
                </pt>
                <pt idx="9">
                  <v>4129.670000000006</v>
                </pt>
                <pt idx="10">
                  <v>21409.82283022206</v>
                </pt>
                <pt idx="11">
                  <v>1770.779124428351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barChart>
        <barDir val="col"/>
        <grouping val="stacked"/>
        <varyColors val="0"/>
        <ser>
          <idx val="4"/>
          <order val="2"/>
          <tx>
            <strRef>
              <f>'2025 Overview (Rolling)'!$B$12</f>
              <strCache>
                <ptCount val="1"/>
                <pt idx="0">
                  <v>Service Income</v>
                </pt>
              </strCache>
            </strRef>
          </tx>
          <spPr>
            <a:solidFill xmlns:a="http://schemas.openxmlformats.org/drawingml/2006/main">
              <a:schemeClr val="bg2">
                <a:lumMod val="75000"/>
              </a:schemeClr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chemeClr val="tx1"/>
                </a:solidFill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chemeClr val="tx1"/>
                </a:solidFill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chemeClr val="tx1"/>
                </a:solidFill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chemeClr val="tx1"/>
                </a:solidFill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chemeClr val="tx1"/>
                </a:solidFill>
                <a:prstDash val="solid"/>
              </a:ln>
            </spPr>
          </dPt>
          <dPt>
            <idx val="5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chemeClr val="tx1"/>
                </a:solidFill>
                <a:prstDash val="solid"/>
              </a:ln>
            </spPr>
          </dPt>
          <dPt>
            <idx val="6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7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chemeClr val="tx1"/>
                </a:solidFill>
                <a:prstDash val="solid"/>
              </a:ln>
            </spPr>
          </dPt>
          <dPt>
            <idx val="8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chemeClr val="tx1"/>
                </a:solidFill>
                <a:prstDash val="solid"/>
              </a:ln>
            </spPr>
          </dPt>
          <dPt>
            <idx val="9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chemeClr val="tx1"/>
                </a:solidFill>
                <a:prstDash val="solid"/>
              </a:ln>
            </spPr>
          </dPt>
          <dPt>
            <idx val="10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cat>
            <strRef>
              <f>'2025 Overview (Budget)'!$C$10:$N$10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'2025 Overview (Rolling)'!$C$12:$N$12</f>
              <numCache>
                <formatCode>_(* #,##0_);_(* \(#,##0\);_(* "-"??_);_(@_)</formatCode>
                <ptCount val="12"/>
                <pt idx="0">
                  <v>6477.5</v>
                </pt>
                <pt idx="1">
                  <v>8052.5</v>
                </pt>
                <pt idx="2">
                  <v>7630</v>
                </pt>
                <pt idx="3">
                  <v>3756.25</v>
                </pt>
                <pt idx="4">
                  <v>6032.5</v>
                </pt>
                <pt idx="5">
                  <v>6822.5</v>
                </pt>
                <pt idx="6">
                  <v>14855</v>
                </pt>
                <pt idx="7">
                  <v>20412.5</v>
                </pt>
                <pt idx="8">
                  <v>28257.5</v>
                </pt>
                <pt idx="9">
                  <v>39333.76</v>
                </pt>
                <pt idx="10">
                  <v>12728.27153110048</v>
                </pt>
                <pt idx="11">
                  <v>11728.81235697941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83418911"/>
        <axId val="1908237535"/>
      </barChart>
      <lineChart>
        <grouping val="standard"/>
        <varyColors val="0"/>
        <ser>
          <idx val="5"/>
          <order val="3"/>
          <tx>
            <strRef>
              <f>'2025 Overview (Rolling)'!$B$15</f>
              <strCache>
                <ptCount val="1"/>
                <pt idx="0">
                  <v xml:space="preserve"> # of Students </v>
                </pt>
              </strCache>
            </strRef>
          </tx>
          <spPr>
            <a:ln xmlns:a="http://schemas.openxmlformats.org/drawingml/2006/main">
              <a:solidFill>
                <a:sysClr val="windowText" lastClr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1"/>
            <bubble3D val="0"/>
            <spPr>
              <a:ln xmlns:a="http://schemas.openxmlformats.org/drawingml/2006/main">
                <a:solidFill>
                  <a:schemeClr val="accent6"/>
                </a:solidFill>
                <a:prstDash val="solid"/>
              </a:ln>
            </spPr>
          </dPt>
          <dPt>
            <idx val="2"/>
            <bubble3D val="0"/>
            <spPr>
              <a:ln xmlns:a="http://schemas.openxmlformats.org/drawingml/2006/main">
                <a:solidFill>
                  <a:schemeClr val="accent6"/>
                </a:solidFill>
                <a:prstDash val="solid"/>
              </a:ln>
            </spPr>
          </dPt>
          <dPt>
            <idx val="3"/>
            <bubble3D val="0"/>
            <spPr>
              <a:ln xmlns:a="http://schemas.openxmlformats.org/drawingml/2006/main">
                <a:solidFill>
                  <a:schemeClr val="accent6"/>
                </a:solidFill>
                <a:prstDash val="solid"/>
              </a:ln>
            </spPr>
          </dPt>
          <dPt>
            <idx val="4"/>
            <bubble3D val="0"/>
            <spPr>
              <a:ln xmlns:a="http://schemas.openxmlformats.org/drawingml/2006/main">
                <a:solidFill>
                  <a:schemeClr val="accent6"/>
                </a:solidFill>
                <a:prstDash val="solid"/>
              </a:ln>
            </spPr>
          </dPt>
          <dPt>
            <idx val="5"/>
            <bubble3D val="0"/>
            <spPr>
              <a:ln xmlns:a="http://schemas.openxmlformats.org/drawingml/2006/main">
                <a:solidFill>
                  <a:schemeClr val="accent6"/>
                </a:solidFill>
                <a:prstDash val="solid"/>
              </a:ln>
            </spPr>
          </dPt>
          <dPt>
            <idx val="6"/>
            <bubble3D val="0"/>
            <spPr>
              <a:ln xmlns:a="http://schemas.openxmlformats.org/drawingml/2006/main">
                <a:solidFill>
                  <a:schemeClr val="accent6"/>
                </a:solidFill>
                <a:prstDash val="solid"/>
              </a:ln>
            </spPr>
          </dPt>
          <dPt>
            <idx val="7"/>
            <bubble3D val="0"/>
            <spPr>
              <a:ln xmlns:a="http://schemas.openxmlformats.org/drawingml/2006/main">
                <a:solidFill>
                  <a:schemeClr val="accent6"/>
                </a:solidFill>
                <a:prstDash val="solid"/>
              </a:ln>
            </spPr>
          </dPt>
          <dPt>
            <idx val="8"/>
            <bubble3D val="0"/>
            <spPr>
              <a:ln xmlns:a="http://schemas.openxmlformats.org/drawingml/2006/main">
                <a:solidFill>
                  <a:schemeClr val="accent6"/>
                </a:solidFill>
                <a:prstDash val="solid"/>
              </a:ln>
            </spPr>
          </dPt>
          <dPt>
            <idx val="9"/>
            <bubble3D val="0"/>
            <spPr>
              <a:ln xmlns:a="http://schemas.openxmlformats.org/drawingml/2006/main">
                <a:solidFill>
                  <a:schemeClr val="accent6"/>
                </a:solidFill>
                <a:prstDash val="solid"/>
              </a:ln>
            </spPr>
          </dPt>
          <dPt>
            <idx val="10"/>
            <bubble3D val="0"/>
            <spPr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'2025 Overview (Rolling)'!$C$15:$N$15</f>
              <numCache>
                <formatCode>_(* #,##0_);_(* \(#,##0\);_(* "-"??_);_(@_)</formatCode>
                <ptCount val="12"/>
                <pt idx="0">
                  <v>24</v>
                </pt>
                <pt idx="1">
                  <v>28</v>
                </pt>
                <pt idx="2">
                  <v>24</v>
                </pt>
                <pt idx="3">
                  <v>23</v>
                </pt>
                <pt idx="4">
                  <v>20</v>
                </pt>
                <pt idx="5">
                  <v>25</v>
                </pt>
                <pt idx="6">
                  <v>35</v>
                </pt>
                <pt idx="7">
                  <v>48</v>
                </pt>
                <pt idx="8">
                  <v>57</v>
                </pt>
                <pt idx="9">
                  <v>67</v>
                </pt>
                <pt idx="10">
                  <v>62</v>
                </pt>
                <pt idx="11">
                  <v>37.6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637874879"/>
        <axId val="1637885439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catAx>
        <axId val="18341891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908237535"/>
        <crosses val="autoZero"/>
        <auto val="1"/>
        <lblAlgn val="ctr"/>
        <lblOffset val="100"/>
        <noMultiLvlLbl val="0"/>
      </catAx>
      <valAx>
        <axId val="1908237535"/>
        <scaling>
          <orientation val="minMax"/>
        </scaling>
        <delete val="0"/>
        <axPos val="l"/>
        <numFmt formatCode="_(&quot;$&quot;* #,##0.00_);_(&quot;$&quot;* \(#,##0.00\);_(&quot;$&quot;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3418911"/>
        <crosses val="autoZero"/>
        <crossBetween val="between"/>
      </valAx>
      <catAx>
        <axId val="1637874879"/>
        <scaling>
          <orientation val="minMax"/>
        </scaling>
        <delete val="1"/>
        <axPos val="b"/>
        <majorTickMark val="out"/>
        <minorTickMark val="none"/>
        <tickLblPos val="nextTo"/>
        <crossAx val="1637885439"/>
        <crosses val="autoZero"/>
        <auto val="1"/>
        <lblAlgn val="ctr"/>
        <lblOffset val="100"/>
        <noMultiLvlLbl val="0"/>
      </catAx>
      <valAx>
        <axId val="1637885439"/>
        <scaling>
          <orientation val="minMax"/>
        </scaling>
        <delete val="0"/>
        <axPos val="r"/>
        <numFmt formatCode="_(* #,##0_);_(* \(#,##0\);_(* &quot;-&quot;??_);_(@_)" sourceLinked="1"/>
        <majorTickMark val="out"/>
        <minorTickMark val="none"/>
        <tickLblPos val="nextTo"/>
        <crossAx val="1637874879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Position - Student</a:t>
            </a:r>
            <a:r>
              <a:rPr lang="en-US" baseline="0"/>
              <a:t xml:space="preserve"> Count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areaChart>
        <grouping val="standard"/>
        <varyColors val="0"/>
        <ser>
          <idx val="1"/>
          <order val="0"/>
          <tx>
            <strRef>
              <f>'2025 Overview (Budget)'!$B$32</f>
              <strCache>
                <ptCount val="1"/>
                <pt idx="0">
                  <v>Operating Cash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solidFill>
                <a:sysClr val="windowText" lastClr="000000"/>
              </a:solidFill>
              <a:prstDash val="solid"/>
            </a:ln>
          </spPr>
          <cat>
            <strRef>
              <f>'2023 Overview'!$C$10:$N$10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'2025 Overview (Budget)'!$C$32:$N$32</f>
              <numCache>
                <formatCode>_("$"* #,##0.00_);_("$"* \(#,##0.00\);_("$"* "-"??_);_(@_)</formatCode>
                <ptCount val="12"/>
                <pt idx="0">
                  <v>3823.590000000001</v>
                </pt>
                <pt idx="1">
                  <v>494.2500000000009</v>
                </pt>
                <pt idx="2">
                  <v>985.1900000000011</v>
                </pt>
                <pt idx="3">
                  <v>1331.530000000001</v>
                </pt>
                <pt idx="4">
                  <v>557.0800000000106</v>
                </pt>
                <pt idx="5">
                  <v>1059.500000000003</v>
                </pt>
                <pt idx="6">
                  <v>3158.830000000005</v>
                </pt>
                <pt idx="7">
                  <v>3999.470000000004</v>
                </pt>
                <pt idx="8">
                  <v>6133.200000000001</v>
                </pt>
                <pt idx="9">
                  <v>10262.87000000001</v>
                </pt>
                <pt idx="10">
                  <v>36536.59004355026</v>
                </pt>
                <pt idx="11">
                  <v>38730.02535341259</v>
                </pt>
              </numCache>
            </numRef>
          </val>
        </ser>
        <ser>
          <idx val="2"/>
          <order val="1"/>
          <tx>
            <strRef>
              <f>'2025 Overview (Budget)'!$B$33</f>
              <strCache>
                <ptCount val="1"/>
                <pt idx="0">
                  <v>Cash Inflow (Outflow)</v>
                </pt>
              </strCache>
            </strRef>
          </tx>
          <spPr>
            <a:solidFill xmlns:a="http://schemas.openxmlformats.org/drawingml/2006/main">
              <a:schemeClr val="bg2"/>
            </a:solidFill>
            <a:ln xmlns:a="http://schemas.openxmlformats.org/drawingml/2006/main">
              <a:solidFill>
                <a:srgbClr val="FF0000"/>
              </a:solidFill>
              <a:prstDash val="solid"/>
            </a:ln>
          </spPr>
          <cat>
            <strRef>
              <f>'2025 Overview (Budget)'!$C$10:$N$10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'2025 Overview (Budget)'!$C$33:$N$33</f>
              <numCache>
                <formatCode>_("$"* #,##0.00_);_("$"* \(#,##0.00\);_("$"* "-"??_);_(@_)</formatCode>
                <ptCount val="12"/>
                <pt idx="0">
                  <v>3530.76</v>
                </pt>
                <pt idx="1">
                  <v>-3329.34</v>
                </pt>
                <pt idx="2">
                  <v>490.9400000000002</v>
                </pt>
                <pt idx="3">
                  <v>346.3400000000003</v>
                </pt>
                <pt idx="4">
                  <v>-774.4499999999907</v>
                </pt>
                <pt idx="5">
                  <v>502.4199999999928</v>
                </pt>
                <pt idx="6">
                  <v>2099.330000000002</v>
                </pt>
                <pt idx="7">
                  <v>840.639999999999</v>
                </pt>
                <pt idx="8">
                  <v>2133.729999999996</v>
                </pt>
                <pt idx="9">
                  <v>4129.670000000006</v>
                </pt>
                <pt idx="10">
                  <v>1814.056337769992</v>
                </pt>
                <pt idx="11">
                  <v>2193.435309862332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barChart>
        <barDir val="col"/>
        <grouping val="stacked"/>
        <varyColors val="0"/>
        <ser>
          <idx val="3"/>
          <order val="2"/>
          <tx>
            <strRef>
              <f>'2025 Overview (Budget)'!$B$12</f>
              <strCache>
                <ptCount val="1"/>
                <pt idx="0">
                  <v>Service Income</v>
                </pt>
              </strCache>
            </strRef>
          </tx>
          <spPr>
            <a:solidFill xmlns:a="http://schemas.openxmlformats.org/drawingml/2006/main">
              <a:schemeClr val="bg2">
                <a:lumMod val="75000"/>
              </a:schemeClr>
            </a:solidFill>
            <a:ln xmlns:a="http://schemas.openxmlformats.org/drawingml/2006/main">
              <a:solidFill>
                <a:sysClr val="windowText" lastClr="000000"/>
              </a:solidFill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5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6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7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8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9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10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cat>
            <strRef>
              <f>'2025 Overview (Budget)'!$C$10:$N$10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'2025 Overview (Budget)'!$C$12:$N$12</f>
              <numCache>
                <formatCode>_(* #,##0_);_(* \(#,##0\);_(* "-"??_);_(@_)</formatCode>
                <ptCount val="12"/>
                <pt idx="0">
                  <v>6477.5</v>
                </pt>
                <pt idx="1">
                  <v>8052.5</v>
                </pt>
                <pt idx="2">
                  <v>7630</v>
                </pt>
                <pt idx="3">
                  <v>3756.25</v>
                </pt>
                <pt idx="4">
                  <v>6032.5</v>
                </pt>
                <pt idx="5">
                  <v>6822.5</v>
                </pt>
                <pt idx="6">
                  <v>14855</v>
                </pt>
                <pt idx="7">
                  <v>20412.5</v>
                </pt>
                <pt idx="8">
                  <v>28257.5</v>
                </pt>
                <pt idx="9">
                  <v>39333.76</v>
                </pt>
                <pt idx="10">
                  <v>8797.316985645932</v>
                </pt>
                <pt idx="11">
                  <v>6287.478531855954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83418911"/>
        <axId val="1908237535"/>
      </barChart>
      <lineChart>
        <grouping val="standard"/>
        <varyColors val="0"/>
        <ser>
          <idx val="4"/>
          <order val="3"/>
          <tx>
            <strRef>
              <f>'2025 Overview (Budget)'!$B$15</f>
              <strCache>
                <ptCount val="1"/>
                <pt idx="0">
                  <v xml:space="preserve"> # of Students </v>
                </pt>
              </strCache>
            </strRef>
          </tx>
          <spPr>
            <a:ln xmlns:a="http://schemas.openxmlformats.org/drawingml/2006/main">
              <a:solidFill>
                <a:sysClr val="windowText" lastClr="0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1"/>
            <bubble3D val="0"/>
            <spPr>
              <a:ln xmlns:a="http://schemas.openxmlformats.org/drawingml/2006/main">
                <a:solidFill>
                  <a:schemeClr val="accent6"/>
                </a:solidFill>
                <a:prstDash val="solid"/>
              </a:ln>
            </spPr>
          </dPt>
          <dPt>
            <idx val="2"/>
            <bubble3D val="0"/>
            <spPr>
              <a:ln xmlns:a="http://schemas.openxmlformats.org/drawingml/2006/main">
                <a:solidFill>
                  <a:schemeClr val="accent6"/>
                </a:solidFill>
                <a:prstDash val="solid"/>
              </a:ln>
            </spPr>
          </dPt>
          <dPt>
            <idx val="3"/>
            <bubble3D val="0"/>
            <spPr>
              <a:ln xmlns:a="http://schemas.openxmlformats.org/drawingml/2006/main">
                <a:solidFill>
                  <a:schemeClr val="accent6"/>
                </a:solidFill>
                <a:prstDash val="solid"/>
              </a:ln>
            </spPr>
          </dPt>
          <dPt>
            <idx val="4"/>
            <bubble3D val="0"/>
            <spPr>
              <a:ln xmlns:a="http://schemas.openxmlformats.org/drawingml/2006/main">
                <a:solidFill>
                  <a:schemeClr val="accent6"/>
                </a:solidFill>
                <a:prstDash val="solid"/>
              </a:ln>
            </spPr>
          </dPt>
          <dPt>
            <idx val="5"/>
            <bubble3D val="0"/>
            <spPr>
              <a:ln xmlns:a="http://schemas.openxmlformats.org/drawingml/2006/main">
                <a:solidFill>
                  <a:schemeClr val="accent6"/>
                </a:solidFill>
                <a:prstDash val="solid"/>
              </a:ln>
            </spPr>
          </dPt>
          <dPt>
            <idx val="6"/>
            <bubble3D val="0"/>
            <spPr>
              <a:ln xmlns:a="http://schemas.openxmlformats.org/drawingml/2006/main">
                <a:solidFill>
                  <a:schemeClr val="accent6"/>
                </a:solidFill>
                <a:prstDash val="solid"/>
              </a:ln>
            </spPr>
          </dPt>
          <dPt>
            <idx val="7"/>
            <bubble3D val="0"/>
            <spPr>
              <a:ln xmlns:a="http://schemas.openxmlformats.org/drawingml/2006/main">
                <a:solidFill>
                  <a:schemeClr val="accent6"/>
                </a:solidFill>
                <a:prstDash val="solid"/>
              </a:ln>
            </spPr>
          </dPt>
          <dPt>
            <idx val="8"/>
            <bubble3D val="0"/>
            <spPr>
              <a:ln xmlns:a="http://schemas.openxmlformats.org/drawingml/2006/main">
                <a:solidFill>
                  <a:schemeClr val="accent6"/>
                </a:solidFill>
                <a:prstDash val="solid"/>
              </a:ln>
            </spPr>
          </dPt>
          <dPt>
            <idx val="9"/>
            <bubble3D val="0"/>
            <spPr>
              <a:ln xmlns:a="http://schemas.openxmlformats.org/drawingml/2006/main">
                <a:solidFill>
                  <a:schemeClr val="accent6"/>
                </a:solidFill>
                <a:prstDash val="solid"/>
              </a:ln>
            </spPr>
          </dPt>
          <dPt>
            <idx val="10"/>
            <bubble3D val="0"/>
            <spPr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'2025 Overview (Budget)'!$C$15:$N$15</f>
              <numCache>
                <formatCode>_(* #,##0_);_(* \(#,##0\);_(* "-"??_);_(@_)</formatCode>
                <ptCount val="12"/>
                <pt idx="0">
                  <v>24</v>
                </pt>
                <pt idx="1">
                  <v>28</v>
                </pt>
                <pt idx="2">
                  <v>24</v>
                </pt>
                <pt idx="3">
                  <v>23</v>
                </pt>
                <pt idx="4">
                  <v>20</v>
                </pt>
                <pt idx="5">
                  <v>25</v>
                </pt>
                <pt idx="6">
                  <v>35</v>
                </pt>
                <pt idx="7">
                  <v>48</v>
                </pt>
                <pt idx="8">
                  <v>57</v>
                </pt>
                <pt idx="9">
                  <v>67</v>
                </pt>
                <pt idx="10">
                  <v>43.59999999999999</v>
                </pt>
                <pt idx="11">
                  <v>42.19999999999999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73784431"/>
        <axId val="1073801231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catAx>
        <axId val="18341891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908237535"/>
        <crosses val="autoZero"/>
        <auto val="1"/>
        <lblAlgn val="ctr"/>
        <lblOffset val="100"/>
        <noMultiLvlLbl val="0"/>
      </catAx>
      <valAx>
        <axId val="1908237535"/>
        <scaling>
          <orientation val="minMax"/>
        </scaling>
        <delete val="0"/>
        <axPos val="l"/>
        <numFmt formatCode="_(&quot;$&quot;* #,##0.00_);_(&quot;$&quot;* \(#,##0.00\);_(&quot;$&quot;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3418911"/>
        <crosses val="autoZero"/>
        <crossBetween val="between"/>
      </valAx>
      <catAx>
        <axId val="1073784431"/>
        <scaling>
          <orientation val="minMax"/>
        </scaling>
        <delete val="1"/>
        <axPos val="b"/>
        <majorTickMark val="out"/>
        <minorTickMark val="none"/>
        <tickLblPos val="nextTo"/>
        <crossAx val="1073801231"/>
        <crosses val="autoZero"/>
        <auto val="1"/>
        <lblAlgn val="ctr"/>
        <lblOffset val="100"/>
        <noMultiLvlLbl val="0"/>
      </catAx>
      <valAx>
        <axId val="1073801231"/>
        <scaling>
          <orientation val="minMax"/>
        </scaling>
        <delete val="0"/>
        <axPos val="r"/>
        <numFmt formatCode="_(* #,##0_);_(* \(#,##0\);_(* &quot;-&quot;??_);_(@_)" sourceLinked="1"/>
        <majorTickMark val="out"/>
        <minorTickMark val="none"/>
        <tickLblPos val="nextTo"/>
        <crossAx val="1073784431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Position - Student</a:t>
            </a:r>
            <a:r>
              <a:rPr lang="en-US" baseline="0"/>
              <a:t xml:space="preserve"> Count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areaChart>
        <grouping val="standard"/>
        <varyColors val="0"/>
        <ser>
          <idx val="2"/>
          <order val="0"/>
          <tx>
            <strRef>
              <f>'2024 Overview (Rolling)'!$B$36</f>
              <strCache>
                <ptCount val="1"/>
                <pt idx="0">
                  <v>Operating Cash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solidFill>
                <a:sysClr val="windowText" lastClr="000000"/>
              </a:solidFill>
              <a:prstDash val="solid"/>
            </a:ln>
          </spPr>
          <cat>
            <strRef>
              <f>'2023 Overview'!$C$10:$N$10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'2024 Overview (Rolling)'!$C$36:$N$36</f>
              <numCache>
                <formatCode>_("$"* #,##0.00_);_("$"* \(#,##0.00\);_("$"* "-"??_);_(@_)</formatCode>
                <ptCount val="12"/>
                <pt idx="0">
                  <v>1291.779999999999</v>
                </pt>
                <pt idx="1">
                  <v>551.319999999999</v>
                </pt>
                <pt idx="2">
                  <v>177.7899999999993</v>
                </pt>
                <pt idx="3">
                  <v>1342.989999999999</v>
                </pt>
                <pt idx="4">
                  <v>1278.089999999999</v>
                </pt>
                <pt idx="5">
                  <v>1615.699999999999</v>
                </pt>
                <pt idx="6">
                  <v>3158.980000000002</v>
                </pt>
                <pt idx="7">
                  <v>3192.600000000003</v>
                </pt>
                <pt idx="8">
                  <v>4237.520000000003</v>
                </pt>
                <pt idx="9">
                  <v>5429.670000000005</v>
                </pt>
                <pt idx="10">
                  <v>3714.400000000004</v>
                </pt>
                <pt idx="11">
                  <v>292.8300000000008</v>
                </pt>
              </numCache>
            </numRef>
          </val>
        </ser>
        <ser>
          <idx val="3"/>
          <order val="1"/>
          <tx>
            <strRef>
              <f>'2024 Overview (Rolling)'!$B$37</f>
              <strCache>
                <ptCount val="1"/>
                <pt idx="0">
                  <v>Cash Inflow (Outflow)</v>
                </pt>
              </strCache>
            </strRef>
          </tx>
          <spPr>
            <a:solidFill xmlns:a="http://schemas.openxmlformats.org/drawingml/2006/main">
              <a:schemeClr val="bg2"/>
            </a:solidFill>
            <a:ln xmlns:a="http://schemas.openxmlformats.org/drawingml/2006/main">
              <a:solidFill>
                <a:srgbClr val="FF0000"/>
              </a:solidFill>
              <a:prstDash val="solid"/>
            </a:ln>
          </spPr>
          <val>
            <numRef>
              <f>'2024 Overview (Rolling)'!$C$37:$N$37</f>
              <numCache>
                <formatCode>_("$"* #,##0.00_);_("$"* \(#,##0.00\);_("$"* "-"??_);_(@_)</formatCode>
                <ptCount val="12"/>
                <pt idx="0">
                  <v>294.7600000000002</v>
                </pt>
                <pt idx="1">
                  <v>-740.46</v>
                </pt>
                <pt idx="2">
                  <v>-373.5299999999997</v>
                </pt>
                <pt idx="3">
                  <v>1165.2</v>
                </pt>
                <pt idx="4">
                  <v>-64.90000000000009</v>
                </pt>
                <pt idx="5">
                  <v>337.6100000000001</v>
                </pt>
                <pt idx="6">
                  <v>1543.280000000003</v>
                </pt>
                <pt idx="7">
                  <v>33.6200000000008</v>
                </pt>
                <pt idx="8">
                  <v>1044.92</v>
                </pt>
                <pt idx="9">
                  <v>1192.150000000001</v>
                </pt>
                <pt idx="10">
                  <v>-1715.27</v>
                </pt>
                <pt idx="11">
                  <v>-3421.570000000003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barChart>
        <barDir val="col"/>
        <grouping val="stacked"/>
        <varyColors val="0"/>
        <ser>
          <idx val="4"/>
          <order val="2"/>
          <tx>
            <strRef>
              <f>'2024 Overview (Rolling)'!$B$12</f>
              <strCache>
                <ptCount val="1"/>
                <pt idx="0">
                  <v>Service Income</v>
                </pt>
              </strCache>
            </strRef>
          </tx>
          <spPr>
            <a:solidFill xmlns:a="http://schemas.openxmlformats.org/drawingml/2006/main">
              <a:schemeClr val="accent6">
                <a:lumMod val="20000"/>
                <a:lumOff val="80000"/>
              </a:schemeClr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dPt>
            <idx val="0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5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6"/>
            <invertIfNegative val="0"/>
            <bubble3D val="0"/>
            <spPr>
              <a:solidFill xmlns:a="http://schemas.openxmlformats.org/drawingml/2006/main">
                <a:schemeClr val="accent6">
                  <a:lumMod val="20000"/>
                  <a:lumOff val="8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7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8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9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0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cat>
            <strRef>
              <f>'2025 Overview (Budget)'!$C$10:$N$10</f>
              <strCache>
                <ptCount val="12"/>
                <pt idx="0">
                  <v>January</v>
                </pt>
                <pt idx="1">
                  <v>February</v>
                </pt>
                <pt idx="2">
                  <v>March</v>
                </pt>
                <pt idx="3">
                  <v>April</v>
                </pt>
                <pt idx="4">
                  <v>May</v>
                </pt>
                <pt idx="5">
                  <v>June</v>
                </pt>
                <pt idx="6">
                  <v>July</v>
                </pt>
                <pt idx="7">
                  <v>August</v>
                </pt>
                <pt idx="8">
                  <v>September</v>
                </pt>
                <pt idx="9">
                  <v>October</v>
                </pt>
                <pt idx="10">
                  <v>November</v>
                </pt>
                <pt idx="11">
                  <v>December</v>
                </pt>
              </strCache>
            </strRef>
          </cat>
          <val>
            <numRef>
              <f>'2024 Overview (Rolling)'!$C$12:$N$12</f>
              <numCache>
                <formatCode>_(* #,##0_);_(* \(#,##0\);_(* "-"??_);_(@_)</formatCode>
                <ptCount val="12"/>
                <pt idx="0">
                  <v>2885</v>
                </pt>
                <pt idx="1">
                  <v>4357.5</v>
                </pt>
                <pt idx="2">
                  <v>3467.5</v>
                </pt>
                <pt idx="3">
                  <v>4000</v>
                </pt>
                <pt idx="4">
                  <v>5370</v>
                </pt>
                <pt idx="5">
                  <v>4296.26</v>
                </pt>
                <pt idx="6">
                  <v>9031.27</v>
                </pt>
                <pt idx="7">
                  <v>14073.76</v>
                </pt>
                <pt idx="8">
                  <v>9897.5</v>
                </pt>
                <pt idx="9">
                  <v>17386.25</v>
                </pt>
                <pt idx="10">
                  <v>9563.75</v>
                </pt>
                <pt idx="11">
                  <v>5160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83418911"/>
        <axId val="1908237535"/>
      </barChart>
      <lineChart>
        <grouping val="standard"/>
        <varyColors val="0"/>
        <ser>
          <idx val="5"/>
          <order val="3"/>
          <tx>
            <strRef>
              <f>'2024 Overview (Rolling)'!$B$15</f>
              <strCache>
                <ptCount val="1"/>
                <pt idx="0">
                  <v xml:space="preserve"> # of Students </v>
                </pt>
              </strCache>
            </strRef>
          </tx>
          <spPr>
            <a:ln xmlns:a="http://schemas.openxmlformats.org/drawingml/2006/main">
              <a:solidFill>
                <a:schemeClr val="accent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1"/>
            <bubble3D val="0"/>
            <spPr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ln xmlns:a="http://schemas.openxmlformats.org/drawingml/2006/main">
                <a:prstDash val="solid"/>
              </a:ln>
            </spPr>
          </dPt>
          <dPt>
            <idx val="6"/>
            <bubble3D val="0"/>
            <spPr>
              <a:ln xmlns:a="http://schemas.openxmlformats.org/drawingml/2006/main">
                <a:prstDash val="solid"/>
              </a:ln>
            </spPr>
          </dPt>
          <dPt>
            <idx val="7"/>
            <bubble3D val="0"/>
            <spPr>
              <a:ln xmlns:a="http://schemas.openxmlformats.org/drawingml/2006/main">
                <a:prstDash val="solid"/>
              </a:ln>
            </spPr>
          </dPt>
          <dPt>
            <idx val="8"/>
            <bubble3D val="0"/>
            <spPr>
              <a:ln xmlns:a="http://schemas.openxmlformats.org/drawingml/2006/main">
                <a:prstDash val="solid"/>
              </a:ln>
            </spPr>
          </dPt>
          <dPt>
            <idx val="9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0"/>
            <bubble3D val="0"/>
            <spPr>
              <a:ln xmlns:a="http://schemas.openxmlformats.org/drawingml/2006/main">
                <a:prstDash val="solid"/>
              </a:ln>
            </spPr>
          </dPt>
          <val>
            <numRef>
              <f>'2024 Overview (Rolling)'!$C$15:$N$15</f>
              <numCache>
                <formatCode>_(* #,##0_);_(* \(#,##0\);_(* "-"??_);_(@_)</formatCode>
                <ptCount val="12"/>
                <pt idx="0">
                  <v>16</v>
                </pt>
                <pt idx="1">
                  <v>15</v>
                </pt>
                <pt idx="2">
                  <v>20</v>
                </pt>
                <pt idx="3">
                  <v>17</v>
                </pt>
                <pt idx="4">
                  <v>20</v>
                </pt>
                <pt idx="5">
                  <v>24</v>
                </pt>
                <pt idx="6">
                  <v>30</v>
                </pt>
                <pt idx="7">
                  <v>38</v>
                </pt>
                <pt idx="8">
                  <v>42</v>
                </pt>
                <pt idx="9">
                  <v>48</v>
                </pt>
                <pt idx="10">
                  <v>44</v>
                </pt>
                <pt idx="11">
                  <v>23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637874879"/>
        <axId val="1637885439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catAx>
        <axId val="18341891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908237535"/>
        <crosses val="autoZero"/>
        <auto val="1"/>
        <lblAlgn val="ctr"/>
        <lblOffset val="100"/>
        <noMultiLvlLbl val="0"/>
      </catAx>
      <valAx>
        <axId val="1908237535"/>
        <scaling>
          <orientation val="minMax"/>
        </scaling>
        <delete val="0"/>
        <axPos val="l"/>
        <numFmt formatCode="_(&quot;$&quot;* #,##0.00_);_(&quot;$&quot;* \(#,##0.00\);_(&quot;$&quot;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3418911"/>
        <crosses val="autoZero"/>
        <crossBetween val="between"/>
      </valAx>
      <catAx>
        <axId val="1637874879"/>
        <scaling>
          <orientation val="minMax"/>
        </scaling>
        <delete val="1"/>
        <axPos val="b"/>
        <majorTickMark val="out"/>
        <minorTickMark val="none"/>
        <tickLblPos val="nextTo"/>
        <crossAx val="1637885439"/>
        <crosses val="autoZero"/>
        <auto val="1"/>
        <lblAlgn val="ctr"/>
        <lblOffset val="100"/>
        <noMultiLvlLbl val="0"/>
      </catAx>
      <valAx>
        <axId val="1637885439"/>
        <scaling>
          <orientation val="minMax"/>
        </scaling>
        <delete val="0"/>
        <axPos val="r"/>
        <numFmt formatCode="_(* #,##0_);_(* \(#,##0\);_(* &quot;-&quot;??_);_(@_)" sourceLinked="1"/>
        <majorTickMark val="out"/>
        <minorTickMark val="none"/>
        <tickLblPos val="nextTo"/>
        <crossAx val="1637874879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Position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'2024 AOP'!$B$31</f>
              <strCache>
                <ptCount val="1"/>
                <pt idx="0">
                  <v>Operating Cash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solidFill>
                <a:schemeClr val="accent6"/>
              </a:solidFill>
              <a:prstDash val="solid"/>
            </a:ln>
          </spPr>
          <invertIfNegative val="0"/>
          <dLbls>
            <dLbl>
              <idx val="3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1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strLit>
              <ptCount val="12"/>
              <pt idx="0">
                <v>January</v>
              </pt>
              <pt idx="1">
                <v>February</v>
              </pt>
              <pt idx="2">
                <v>March</v>
              </pt>
              <pt idx="3">
                <v>April</v>
              </pt>
              <pt idx="4">
                <v>May</v>
              </pt>
              <pt idx="5">
                <v>June</v>
              </pt>
              <pt idx="6">
                <v>July</v>
              </pt>
              <pt idx="7">
                <v>August</v>
              </pt>
              <pt idx="8">
                <v>September</v>
              </pt>
              <pt idx="9">
                <v>October</v>
              </pt>
              <pt idx="10">
                <v>November</v>
              </pt>
              <pt idx="11">
                <v>December</v>
              </pt>
            </strLit>
          </cat>
          <val>
            <numRef>
              <f>'2024 AOP'!$C$31:$N$31</f>
              <numCache>
                <formatCode>_("$"* #,##0.00_);_("$"* \(#,##0.00\);_("$"* "-"??_);_(@_)</formatCode>
                <ptCount val="12"/>
                <pt idx="0">
                  <v>583.9352373458239</v>
                </pt>
                <pt idx="1">
                  <v>3316.641228245538</v>
                </pt>
                <pt idx="2">
                  <v>5497.800518344566</v>
                </pt>
                <pt idx="3">
                  <v>8902.783648626997</v>
                </pt>
                <pt idx="4">
                  <v>15222.71810150201</v>
                </pt>
                <pt idx="5">
                  <v>20447.59003079357</v>
                </pt>
                <pt idx="6">
                  <v>26375.12213383965</v>
                </pt>
                <pt idx="7">
                  <v>28510.12740648337</v>
                </pt>
                <pt idx="8">
                  <v>33013.07954277593</v>
                </pt>
                <pt idx="9">
                  <v>34722.53370578027</v>
                </pt>
                <pt idx="10">
                  <v>36536.59004355026</v>
                </pt>
                <pt idx="11">
                  <v>38730.02535341259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83418911"/>
        <axId val="1908237535"/>
      </barChart>
      <lineChart>
        <grouping val="standard"/>
        <varyColors val="0"/>
        <ser>
          <idx val="1"/>
          <order val="1"/>
          <tx>
            <strRef>
              <f>'2024 AOP'!$B$32</f>
              <strCache>
                <ptCount val="1"/>
                <pt idx="0">
                  <v>Cash Inflow (Outflow)</v>
                </pt>
              </strCache>
            </strRef>
          </tx>
          <spPr>
            <a:ln xmlns:a="http://schemas.openxmlformats.org/drawingml/2006/main"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val>
            <numRef>
              <f>'2024 AOP'!$C$32:$N$32</f>
              <numCache>
                <formatCode>_("$"* #,##0.00_);_("$"* \(#,##0.00\);_("$"* "-"??_);_(@_)</formatCode>
                <ptCount val="12"/>
                <pt idx="0">
                  <v>-413.0847626541758</v>
                </pt>
                <pt idx="1">
                  <v>2732.705990899713</v>
                </pt>
                <pt idx="2">
                  <v>2181.159290099028</v>
                </pt>
                <pt idx="3">
                  <v>3404.983130282431</v>
                </pt>
                <pt idx="4">
                  <v>6319.934452875008</v>
                </pt>
                <pt idx="5">
                  <v>5224.871929291568</v>
                </pt>
                <pt idx="6">
                  <v>5927.532103046078</v>
                </pt>
                <pt idx="7">
                  <v>2135.005272643717</v>
                </pt>
                <pt idx="8">
                  <v>4502.952136292559</v>
                </pt>
                <pt idx="9">
                  <v>1709.454163004337</v>
                </pt>
                <pt idx="10">
                  <v>1814.056337769992</v>
                </pt>
                <pt idx="11">
                  <v>2193.435309862332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83418911"/>
        <axId val="1908237535"/>
      </lineChart>
      <catAx>
        <axId val="18341891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908237535"/>
        <crosses val="autoZero"/>
        <auto val="1"/>
        <lblAlgn val="ctr"/>
        <lblOffset val="100"/>
        <noMultiLvlLbl val="0"/>
      </catAx>
      <valAx>
        <axId val="1908237535"/>
        <scaling>
          <orientation val="minMax"/>
        </scaling>
        <delete val="0"/>
        <axPos val="l"/>
        <numFmt formatCode="_(&quot;$&quot;* #,##0.00_);_(&quot;$&quot;* \(#,##0.00\);_(&quot;$&quot;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8341891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Actual/Forecast vs</a:t>
            </a:r>
            <a:r>
              <a:rPr lang="en-US" baseline="0"/>
              <a:t xml:space="preserve"> AOP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v>2025 AOP Total Income</v>
          </tx>
          <spPr>
            <a:solidFill xmlns:a="http://schemas.openxmlformats.org/drawingml/2006/main">
              <a:schemeClr val="tx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('Quarterly Overview'!$C$37,'Quarterly Overview'!$D$37,'Quarterly Overview'!$F$37,'Quarterly Overview'!$H$37)</f>
              <strCache>
                <ptCount val="4"/>
                <pt idx="0">
                  <v>Q1</v>
                </pt>
                <pt idx="1">
                  <v>Q2</v>
                </pt>
                <pt idx="2">
                  <v>Q3</v>
                </pt>
                <pt idx="3">
                  <v>Q4</v>
                </pt>
              </strCache>
            </strRef>
          </cat>
          <val>
            <numRef>
              <f>('Quarterly Overview'!$C$38,'Quarterly Overview'!$D$38,'Quarterly Overview'!$F$38,'Quarterly Overview'!$H$38)</f>
              <numCache>
                <formatCode>_("$"* #,##0.00_);_("$"* \(#,##0.00\);_("$"* "-"??_);_(@_)</formatCode>
                <ptCount val="4"/>
                <pt idx="0">
                  <v>27893.46579395031</v>
                </pt>
                <pt idx="1">
                  <v>26421.69237448041</v>
                </pt>
                <pt idx="2">
                  <v>38914.05993851874</v>
                </pt>
                <pt idx="3">
                  <v>30767.43122663975</v>
                </pt>
              </numCache>
            </numRef>
          </val>
        </ser>
        <ser>
          <idx val="1"/>
          <order val="1"/>
          <tx>
            <v>Rolling Forecast Total Income</v>
          </tx>
          <spPr>
            <a:solidFill xmlns:a="http://schemas.openxmlformats.org/drawingml/2006/main">
              <a:schemeClr val="bg2"/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chemeClr val="tx1"/>
                </a:solidFill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chemeClr val="tx1"/>
                </a:solidFill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bg2"/>
              </a:solidFill>
              <a:ln xmlns:a="http://schemas.openxmlformats.org/drawingml/2006/main">
                <a:solidFill>
                  <a:schemeClr val="tx1"/>
                </a:solidFill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chemeClr val="bg2"/>
              </a:solidFill>
              <a:ln xmlns:a="http://schemas.openxmlformats.org/drawingml/2006/main">
                <a:solidFill>
                  <a:schemeClr val="tx1"/>
                </a:solidFill>
                <a:prstDash val="solid"/>
              </a:ln>
            </spPr>
          </dPt>
          <dPt>
            <idx val="5"/>
            <invertIfNegative val="0"/>
            <bubble3D val="0"/>
            <spPr>
              <a:solidFill xmlns:a="http://schemas.openxmlformats.org/drawingml/2006/main">
                <a:schemeClr val="bg2"/>
              </a:solidFill>
              <a:ln xmlns:a="http://schemas.openxmlformats.org/drawingml/2006/main">
                <a:solidFill>
                  <a:schemeClr val="tx1"/>
                </a:solidFill>
                <a:prstDash val="solid"/>
              </a:ln>
            </spPr>
          </dPt>
          <cat>
            <strRef>
              <f>('Quarterly Overview'!$C$37,'Quarterly Overview'!$D$37,'Quarterly Overview'!$F$37,'Quarterly Overview'!$H$37)</f>
              <strCache>
                <ptCount val="4"/>
                <pt idx="0">
                  <v>Q1</v>
                </pt>
                <pt idx="1">
                  <v>Q2</v>
                </pt>
                <pt idx="2">
                  <v>Q3</v>
                </pt>
                <pt idx="3">
                  <v>Q4</v>
                </pt>
              </strCache>
            </strRef>
          </cat>
          <val>
            <numRef>
              <f>('Quarterly Overview'!$C$14,'Quarterly Overview'!$D$14,'Quarterly Overview'!$F$14,'Quarterly Overview'!$H$14)</f>
              <numCache>
                <formatCode>_("$"* #,##0_);_("$"* \(#,##0\);_("$"* "-"??_);_(@_)</formatCode>
                <ptCount val="4"/>
                <pt idx="0">
                  <v>22379.99</v>
                </pt>
                <pt idx="1">
                  <v>16716.75</v>
                </pt>
                <pt idx="2">
                  <v>63694.5</v>
                </pt>
                <pt idx="3">
                  <v>63923.90723275579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93793967"/>
        <axId val="493786287"/>
      </barChart>
      <lineChart>
        <grouping val="standard"/>
        <varyColors val="0"/>
        <ser>
          <idx val="2"/>
          <order val="2"/>
          <tx>
            <v>2025 AOP # of Students</v>
          </tx>
          <spPr>
            <a:ln xmlns:a="http://schemas.openxmlformats.org/drawingml/2006/main" w="28575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('Quarterly Overview'!$C$37,'Quarterly Overview'!$D$37,'Quarterly Overview'!$F$37,'Quarterly Overview'!$H$37)</f>
              <strCache>
                <ptCount val="4"/>
                <pt idx="0">
                  <v>Q1</v>
                </pt>
                <pt idx="1">
                  <v>Q2</v>
                </pt>
                <pt idx="2">
                  <v>Q3</v>
                </pt>
                <pt idx="3">
                  <v>Q4</v>
                </pt>
              </strCache>
            </strRef>
          </cat>
          <val>
            <numRef>
              <f>('Quarterly Overview'!$C$40,'Quarterly Overview'!$D$40,'Quarterly Overview'!$F$40,'Quarterly Overview'!$H$40)</f>
              <numCache>
                <formatCode>_(* #,##0_);_(* \(#,##0\);_(* "-"??_);_(@_)</formatCode>
                <ptCount val="4"/>
                <pt idx="0">
                  <v>34.73333333333333</v>
                </pt>
                <pt idx="1">
                  <v>31.66666666666666</v>
                </pt>
                <pt idx="2">
                  <v>37.19999999999999</v>
                </pt>
                <pt idx="3">
                  <v>43.59999999999999</v>
                </pt>
              </numCache>
            </numRef>
          </val>
          <smooth val="0"/>
        </ser>
        <ser>
          <idx val="3"/>
          <order val="3"/>
          <tx>
            <v>Rolling Forecast # of Students</v>
          </tx>
          <spPr>
            <a:ln xmlns:a="http://schemas.openxmlformats.org/drawingml/2006/main" w="28575" cap="rnd">
              <a:solidFill>
                <a:schemeClr val="bg2">
                  <a:lumMod val="9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1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28575" cap="rnd">
                <a:solidFill>
                  <a:schemeClr val="accent6"/>
                </a:solidFill>
                <a:prstDash val="solid"/>
                <a:round/>
              </a:ln>
            </spPr>
          </dPt>
          <dPt>
            <idx val="2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28575" cap="rnd">
                <a:solidFill>
                  <a:schemeClr val="accent6"/>
                </a:solidFill>
                <a:prstDash val="solid"/>
                <a:round/>
              </a:ln>
            </spPr>
          </dPt>
          <dPt>
            <idx val="3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28575" cap="rnd">
                <a:solidFill>
                  <a:schemeClr val="bg2">
                    <a:lumMod val="90000"/>
                  </a:schemeClr>
                </a:solidFill>
                <a:prstDash val="solid"/>
                <a:round/>
              </a:ln>
            </spPr>
          </dPt>
          <dPt>
            <idx val="4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28575" cap="rnd">
                <a:solidFill>
                  <a:schemeClr val="bg2">
                    <a:lumMod val="90000"/>
                  </a:schemeClr>
                </a:solidFill>
                <a:prstDash val="solid"/>
                <a:round/>
              </a:ln>
            </spPr>
          </dPt>
          <dPt>
            <idx val="5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28575" cap="rnd">
                <a:solidFill>
                  <a:schemeClr val="bg2">
                    <a:lumMod val="90000"/>
                  </a:schemeClr>
                </a:solidFill>
                <a:prstDash val="solid"/>
                <a:round/>
              </a:ln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('Quarterly Overview'!$C$37,'Quarterly Overview'!$D$37,'Quarterly Overview'!$F$37,'Quarterly Overview'!$H$37)</f>
              <strCache>
                <ptCount val="4"/>
                <pt idx="0">
                  <v>Q1</v>
                </pt>
                <pt idx="1">
                  <v>Q2</v>
                </pt>
                <pt idx="2">
                  <v>Q3</v>
                </pt>
                <pt idx="3">
                  <v>Q4</v>
                </pt>
              </strCache>
            </strRef>
          </cat>
          <val>
            <numRef>
              <f>('Quarterly Overview'!$C$15,'Quarterly Overview'!$D$15,'Quarterly Overview'!$F$15,'Quarterly Overview'!$H$15)</f>
              <numCache>
                <formatCode>_(* #,##0_);_(* \(#,##0\);_(* "-"??_);_(@_)</formatCode>
                <ptCount val="4"/>
                <pt idx="0">
                  <v>25.33333333333333</v>
                </pt>
                <pt idx="1">
                  <v>22.66666666666667</v>
                </pt>
                <pt idx="2">
                  <v>46.66666666666666</v>
                </pt>
                <pt idx="3">
                  <v>55.53333333333333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93798287"/>
        <axId val="493784847"/>
      </lineChart>
      <catAx>
        <axId val="49379396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93786287"/>
        <crosses val="autoZero"/>
        <auto val="1"/>
        <lblAlgn val="ctr"/>
        <lblOffset val="100"/>
        <noMultiLvlLbl val="0"/>
      </catAx>
      <valAx>
        <axId val="493786287"/>
        <scaling>
          <orientation val="minMax"/>
        </scaling>
        <delete val="0"/>
        <axPos val="l"/>
        <numFmt formatCode="_(&quot;$&quot;* #,##0.00_);_(&quot;$&quot;* \(#,##0.00\);_(&quot;$&quot;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93793967"/>
        <crosses val="autoZero"/>
        <crossBetween val="between"/>
      </valAx>
      <catAx>
        <axId val="493798287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493784847"/>
        <crosses val="autoZero"/>
        <auto val="1"/>
        <lblAlgn val="ctr"/>
        <lblOffset val="100"/>
        <noMultiLvlLbl val="0"/>
      </catAx>
      <valAx>
        <axId val="493784847"/>
        <scaling>
          <orientation val="minMax"/>
        </scaling>
        <delete val="0"/>
        <axPos val="r"/>
        <numFmt formatCode="_(* #,##0_);_(* \(#,##0\);_(* &quot;-&quot;??_);_(@_)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93798287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ysClr val="windowText" lastClr="000000"/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Actual/Forecast vs</a:t>
            </a:r>
            <a:r>
              <a:rPr lang="en-US" baseline="0"/>
              <a:t xml:space="preserve"> AOP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v>2025 AOP Total Income</v>
          </tx>
          <spPr>
            <a:solidFill xmlns:a="http://schemas.openxmlformats.org/drawingml/2006/main">
              <a:schemeClr val="tx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Lit>
              <ptCount val="12"/>
              <pt idx="0">
                <v>January</v>
              </pt>
              <pt idx="1">
                <v>February</v>
              </pt>
              <pt idx="2">
                <v>March</v>
              </pt>
              <pt idx="3">
                <v>April</v>
              </pt>
              <pt idx="4">
                <v>May</v>
              </pt>
              <pt idx="5">
                <v>June</v>
              </pt>
              <pt idx="6">
                <v>July</v>
              </pt>
              <pt idx="7">
                <v>August</v>
              </pt>
              <pt idx="8">
                <v>September</v>
              </pt>
              <pt idx="9">
                <v>October</v>
              </pt>
              <pt idx="10">
                <v>November</v>
              </pt>
              <pt idx="11">
                <v>December</v>
              </pt>
            </strLit>
          </cat>
          <val>
            <numRef>
              <f>'2025 AOP'!$C$14:$N$14</f>
              <numCache>
                <formatCode>_("$"* #,##0_);_("$"* \(#,##0\);_("$"* "-"??_);_(@_)</formatCode>
                <ptCount val="12"/>
                <pt idx="0">
                  <v>7691.051288679153</v>
                </pt>
                <pt idx="1">
                  <v>12714.96379311757</v>
                </pt>
                <pt idx="2">
                  <v>7487.450712153591</v>
                </pt>
                <pt idx="3">
                  <v>9849.796650042883</v>
                </pt>
                <pt idx="4">
                  <v>10751.93156248462</v>
                </pt>
                <pt idx="5">
                  <v>5819.964161952904</v>
                </pt>
                <pt idx="6">
                  <v>10878.58795785395</v>
                </pt>
                <pt idx="7">
                  <v>15891.04413907066</v>
                </pt>
                <pt idx="8">
                  <v>12144.42784159414</v>
                </pt>
                <pt idx="9">
                  <v>15655.28590221598</v>
                </pt>
                <pt idx="10">
                  <v>8813.267146899947</v>
                </pt>
                <pt idx="11">
                  <v>6298.87817752382</v>
                </pt>
              </numCache>
            </numRef>
          </val>
        </ser>
        <ser>
          <idx val="1"/>
          <order val="1"/>
          <tx>
            <v>Rolling Forecast Total Income</v>
          </tx>
          <spPr>
            <a:solidFill xmlns:a="http://schemas.openxmlformats.org/drawingml/2006/main">
              <a:schemeClr val="bg2"/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chemeClr val="accent6"/>
                </a:solidFill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chemeClr val="tx1"/>
                </a:solidFill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chemeClr val="tx1"/>
                </a:solidFill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chemeClr val="tx1"/>
                </a:solidFill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chemeClr val="tx1"/>
                </a:solidFill>
                <a:prstDash val="solid"/>
              </a:ln>
            </spPr>
          </dPt>
          <dPt>
            <idx val="5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chemeClr val="tx1"/>
                </a:solidFill>
                <a:prstDash val="solid"/>
              </a:ln>
            </spPr>
          </dPt>
          <dPt>
            <idx val="6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chemeClr val="tx1"/>
                </a:solidFill>
                <a:prstDash val="solid"/>
              </a:ln>
            </spPr>
          </dPt>
          <dPt>
            <idx val="7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chemeClr val="tx1"/>
                </a:solidFill>
                <a:prstDash val="solid"/>
              </a:ln>
            </spPr>
          </dPt>
          <dPt>
            <idx val="8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chemeClr val="tx1"/>
                </a:solidFill>
                <a:prstDash val="solid"/>
              </a:ln>
            </spPr>
          </dPt>
          <dPt>
            <idx val="9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chemeClr val="tx1"/>
                </a:solidFill>
                <a:prstDash val="solid"/>
              </a:ln>
            </spPr>
          </dPt>
          <cat>
            <strLit>
              <ptCount val="12"/>
              <pt idx="0">
                <v>January</v>
              </pt>
              <pt idx="1">
                <v>February</v>
              </pt>
              <pt idx="2">
                <v>March</v>
              </pt>
              <pt idx="3">
                <v>April</v>
              </pt>
              <pt idx="4">
                <v>May</v>
              </pt>
              <pt idx="5">
                <v>June</v>
              </pt>
              <pt idx="6">
                <v>July</v>
              </pt>
              <pt idx="7">
                <v>August</v>
              </pt>
              <pt idx="8">
                <v>September</v>
              </pt>
              <pt idx="9">
                <v>October</v>
              </pt>
              <pt idx="10">
                <v>November</v>
              </pt>
              <pt idx="11">
                <v>December</v>
              </pt>
            </strLit>
          </cat>
          <val>
            <numRef>
              <f>'2025 Overview (Rolling)'!$C$14:$N$14</f>
              <numCache>
                <formatCode>_("$"* #,##0_);_("$"* \(#,##0\);_("$"* "-"??_);_(@_)</formatCode>
                <ptCount val="12"/>
                <pt idx="0">
                  <v>6585.5</v>
                </pt>
                <pt idx="1">
                  <v>8112.12</v>
                </pt>
                <pt idx="2">
                  <v>7682.37</v>
                </pt>
                <pt idx="3">
                  <v>3756.25</v>
                </pt>
                <pt idx="4">
                  <v>6044.5</v>
                </pt>
                <pt idx="5">
                  <v>6916</v>
                </pt>
                <pt idx="6">
                  <v>14930</v>
                </pt>
                <pt idx="7">
                  <v>20457</v>
                </pt>
                <pt idx="8">
                  <v>28307.5</v>
                </pt>
                <pt idx="9">
                  <v>39363.13</v>
                </pt>
                <pt idx="10">
                  <v>12782.23696103655</v>
                </pt>
                <pt idx="11">
                  <v>11778.54027171923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93793967"/>
        <axId val="493786287"/>
      </barChart>
      <lineChart>
        <grouping val="standard"/>
        <varyColors val="0"/>
        <ser>
          <idx val="2"/>
          <order val="2"/>
          <tx>
            <v>2025 AOP # of Students</v>
          </tx>
          <spPr>
            <a:ln xmlns:a="http://schemas.openxmlformats.org/drawingml/2006/main" w="28575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6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Lit>
              <ptCount val="12"/>
              <pt idx="0">
                <v>January</v>
              </pt>
              <pt idx="1">
                <v>February</v>
              </pt>
              <pt idx="2">
                <v>March</v>
              </pt>
              <pt idx="3">
                <v>April</v>
              </pt>
              <pt idx="4">
                <v>May</v>
              </pt>
              <pt idx="5">
                <v>June</v>
              </pt>
              <pt idx="6">
                <v>July</v>
              </pt>
              <pt idx="7">
                <v>August</v>
              </pt>
              <pt idx="8">
                <v>September</v>
              </pt>
              <pt idx="9">
                <v>October</v>
              </pt>
              <pt idx="10">
                <v>November</v>
              </pt>
              <pt idx="11">
                <v>December</v>
              </pt>
            </strLit>
          </cat>
          <val>
            <numRef>
              <f>'2025 AOP'!$C$15:$N$15</f>
              <numCache>
                <formatCode>_(* #,##0_);_(* \(#,##0\);_(* "-"??_);_(@_)</formatCode>
                <ptCount val="12"/>
                <pt idx="0">
                  <v>34.8</v>
                </pt>
                <pt idx="1">
                  <v>35.8</v>
                </pt>
                <pt idx="2">
                  <v>33.59999999999999</v>
                </pt>
                <pt idx="3">
                  <v>32.39999999999999</v>
                </pt>
                <pt idx="4">
                  <v>33.39999999999999</v>
                </pt>
                <pt idx="5">
                  <v>29.19999999999999</v>
                </pt>
                <pt idx="6">
                  <v>31.19999999999999</v>
                </pt>
                <pt idx="7">
                  <v>37.19999999999999</v>
                </pt>
                <pt idx="8">
                  <v>43.19999999999999</v>
                </pt>
                <pt idx="9">
                  <v>44.99999999999999</v>
                </pt>
                <pt idx="10">
                  <v>43.59999999999999</v>
                </pt>
                <pt idx="11">
                  <v>42.19999999999999</v>
                </pt>
              </numCache>
            </numRef>
          </val>
          <smooth val="0"/>
        </ser>
        <ser>
          <idx val="3"/>
          <order val="3"/>
          <tx>
            <v>Rolling Forecast # of Students</v>
          </tx>
          <spPr>
            <a:ln xmlns:a="http://schemas.openxmlformats.org/drawingml/2006/main" w="28575" cap="rnd">
              <a:solidFill>
                <a:schemeClr val="bg2">
                  <a:lumMod val="9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1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28575" cap="rnd">
                <a:solidFill>
                  <a:schemeClr val="accent6"/>
                </a:solidFill>
                <a:prstDash val="solid"/>
                <a:round/>
              </a:ln>
            </spPr>
          </dPt>
          <dPt>
            <idx val="2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28575" cap="rnd">
                <a:solidFill>
                  <a:schemeClr val="accent6"/>
                </a:solidFill>
                <a:prstDash val="solid"/>
                <a:round/>
              </a:ln>
            </spPr>
          </dPt>
          <dPt>
            <idx val="3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28575" cap="rnd">
                <a:solidFill>
                  <a:schemeClr val="accent6"/>
                </a:solidFill>
                <a:prstDash val="solid"/>
                <a:round/>
              </a:ln>
            </spPr>
          </dPt>
          <dPt>
            <idx val="4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28575" cap="rnd">
                <a:solidFill>
                  <a:schemeClr val="accent6"/>
                </a:solidFill>
                <a:prstDash val="solid"/>
                <a:round/>
              </a:ln>
            </spPr>
          </dPt>
          <dPt>
            <idx val="5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28575" cap="rnd">
                <a:solidFill>
                  <a:schemeClr val="accent6"/>
                </a:solidFill>
                <a:prstDash val="solid"/>
                <a:round/>
              </a:ln>
            </spPr>
          </dPt>
          <dPt>
            <idx val="6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28575" cap="rnd">
                <a:solidFill>
                  <a:schemeClr val="accent6"/>
                </a:solidFill>
                <a:prstDash val="solid"/>
                <a:round/>
              </a:ln>
            </spPr>
          </dPt>
          <dPt>
            <idx val="7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28575" cap="rnd">
                <a:solidFill>
                  <a:schemeClr val="accent6"/>
                </a:solidFill>
                <a:prstDash val="solid"/>
                <a:round/>
              </a:ln>
            </spPr>
          </dPt>
          <dPt>
            <idx val="8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28575" cap="rnd">
                <a:solidFill>
                  <a:schemeClr val="accent6"/>
                </a:solidFill>
                <a:prstDash val="solid"/>
                <a:round/>
              </a:ln>
            </spPr>
          </dPt>
          <dPt>
            <idx val="9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28575" cap="rnd">
                <a:solidFill>
                  <a:schemeClr val="accent6"/>
                </a:solidFill>
                <a:prstDash val="solid"/>
                <a:round/>
              </a:ln>
            </spPr>
          </dPt>
          <dLbls>
            <dLbl>
              <idx val="4"/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1100" b="0" i="0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1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b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Lit>
              <ptCount val="12"/>
              <pt idx="0">
                <v>January</v>
              </pt>
              <pt idx="1">
                <v>February</v>
              </pt>
              <pt idx="2">
                <v>March</v>
              </pt>
              <pt idx="3">
                <v>April</v>
              </pt>
              <pt idx="4">
                <v>May</v>
              </pt>
              <pt idx="5">
                <v>June</v>
              </pt>
              <pt idx="6">
                <v>July</v>
              </pt>
              <pt idx="7">
                <v>August</v>
              </pt>
              <pt idx="8">
                <v>September</v>
              </pt>
              <pt idx="9">
                <v>October</v>
              </pt>
              <pt idx="10">
                <v>November</v>
              </pt>
              <pt idx="11">
                <v>December</v>
              </pt>
            </strLit>
          </cat>
          <val>
            <numRef>
              <f>'2025 Overview (Rolling)'!$C$15:$N$15</f>
              <numCache>
                <formatCode>_(* #,##0_);_(* \(#,##0\);_(* "-"??_);_(@_)</formatCode>
                <ptCount val="12"/>
                <pt idx="0">
                  <v>24</v>
                </pt>
                <pt idx="1">
                  <v>28</v>
                </pt>
                <pt idx="2">
                  <v>24</v>
                </pt>
                <pt idx="3">
                  <v>23</v>
                </pt>
                <pt idx="4">
                  <v>20</v>
                </pt>
                <pt idx="5">
                  <v>25</v>
                </pt>
                <pt idx="6">
                  <v>35</v>
                </pt>
                <pt idx="7">
                  <v>48</v>
                </pt>
                <pt idx="8">
                  <v>57</v>
                </pt>
                <pt idx="9">
                  <v>67</v>
                </pt>
                <pt idx="10">
                  <v>62</v>
                </pt>
                <pt idx="11">
                  <v>37.6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93798287"/>
        <axId val="493784847"/>
      </lineChart>
      <catAx>
        <axId val="49379396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93786287"/>
        <crosses val="autoZero"/>
        <auto val="1"/>
        <lblAlgn val="ctr"/>
        <lblOffset val="100"/>
        <noMultiLvlLbl val="0"/>
      </catAx>
      <valAx>
        <axId val="493786287"/>
        <scaling>
          <orientation val="minMax"/>
        </scaling>
        <delete val="0"/>
        <axPos val="l"/>
        <numFmt formatCode="_(&quot;$&quot;* #,##0_);_(&quot;$&quot;* \(#,##0\);_(&quot;$&quot;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93793967"/>
        <crosses val="autoZero"/>
        <crossBetween val="between"/>
      </valAx>
      <catAx>
        <axId val="493798287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493784847"/>
        <crosses val="autoZero"/>
        <auto val="1"/>
        <lblAlgn val="ctr"/>
        <lblOffset val="100"/>
        <noMultiLvlLbl val="0"/>
      </catAx>
      <valAx>
        <axId val="493784847"/>
        <scaling>
          <orientation val="minMax"/>
        </scaling>
        <delete val="0"/>
        <axPos val="r"/>
        <numFmt formatCode="_(* #,##0_);_(* \(#,##0\);_(* &quot;-&quot;??_);_(@_)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93798287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ysClr val="windowText" lastClr="000000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tc={CCC7538D-2355-416C-8AFF-CC11EF5D4A45}</author>
  </authors>
  <commentList>
    <comment ref="I19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be closer to $15k</t>
      </text>
    </comment>
  </commentList>
</comments>
</file>

<file path=xl/comments/comment2.xml><?xml version="1.0" encoding="utf-8"?>
<comments xmlns="http://schemas.openxmlformats.org/spreadsheetml/2006/main">
  <authors>
    <author>tc={50E27788-15FE-4EC4-9024-B35DEBE0CA1B}</author>
    <author>tc={C5C475C1-3117-4D7D-9520-18979528AADE}</author>
    <author>tc={FB01E4C4-9D80-4C18-98EE-5B6EBC55EED5}</author>
    <author>tc={E3297F0B-31AD-479D-A121-525B48D06CC1}</author>
    <author>tc={26B4DB3F-A17D-E84B-A9C0-A7EA443040D9}</author>
    <author>tc={502DE87D-E9C4-7F40-8FE3-CD4A56D8E94E}</author>
    <author>tc={FF368B87-FB45-46B1-A11F-8FAD2BEDDF94}</author>
    <author>tc={CE704105-41F6-4C56-9350-3448E5DD668D}</author>
    <author>tc={735C9239-FB8A-4B36-9D20-C68BC4D2B976}</author>
    <author>tc={701A54C3-1B46-4893-BC62-B2EFF266C055}</author>
    <author>tc={E9A4DEB7-8F9C-D94C-9291-1B8148076C2C}</author>
    <author>tc={C6FCD979-1374-4A1B-A294-11D803D8AB2C}</author>
    <author>tc={652DF29B-C80F-474D-9452-32A45BAD392F}</author>
    <author>tc={973B5C3F-CC1C-478B-AAEB-95C45A193E9C}</author>
  </authors>
  <commentList>
    <comment ref="AN26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Formula!</t>
      </text>
    </comment>
    <comment ref="AO26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Formula!</t>
      </text>
    </comment>
    <comment ref="AP26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Formula!</t>
      </text>
    </comment>
    <comment ref="AQ26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Formula!</t>
      </text>
    </comment>
    <comment ref="AR26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Formula!</t>
      </text>
    </comment>
    <comment ref="AP31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For some reason this was not being pulled in the Time Last Month report</t>
      </text>
    </comment>
    <comment ref="AO44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Adjusted for Recurring Students</t>
      </text>
    </comment>
    <comment ref="AM64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$599 intern expense</t>
      </text>
    </comment>
    <comment ref="S88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Tax Advice JMM Group LLC</t>
      </text>
    </comment>
    <comment ref="T88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Offboarding JMM Group LLC</t>
      </text>
    </comment>
    <comment ref="AS137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Adjusted for Cash</t>
      </text>
    </comment>
    <comment ref="AE149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$4k Contribution for taxes</t>
      </text>
    </comment>
    <comment ref="AD150" authorId="1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Maximum $800 Distribution</t>
      </text>
    </comment>
    <comment ref="AE150" authorId="1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Estimated 2023 Tax Payment</t>
      </text>
    </comment>
  </commentList>
</comments>
</file>

<file path=xl/comments/comment3.xml><?xml version="1.0" encoding="utf-8"?>
<comments xmlns="http://schemas.openxmlformats.org/spreadsheetml/2006/main">
  <authors>
    <author>tc={67D2E087-3C84-4785-B259-0CC55E404C8B}</author>
    <author>tc={D1238F7C-0EDC-4167-877F-EC5127568767}</author>
  </authors>
  <commentList>
    <comment ref="M1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Est charges $75 pays her 50
Reply:
    Max about 3 hours per client - Always left (half time hour less)</t>
      </text>
    </comment>
    <comment ref="N13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Fix for overage on SAT/ACT prep hours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jpe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image" Target="/xl/media/image2.jpeg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image" Target="/xl/media/image3.jpeg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image" Target="/xl/media/image4.jpeg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image" Target="/xl/media/image5.jpeg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image" Target="/xl/media/image6.jpeg" Id="rId2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image" Target="/xl/media/image7.jpeg" Id="rId2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image" Target="/xl/media/image8.jpeg" Id="rId2"/><Relationship Type="http://schemas.openxmlformats.org/officeDocument/2006/relationships/image" Target="/xl/media/image9.jpeg" Id="rId3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image" Target="/xl/media/image10.jpeg" Id="rId2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1.jpeg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image" Target="/xl/media/image12.jpeg" Id="rId2"/></Relationships>
</file>

<file path=xl/drawings/drawing1.xml><?xml version="1.0" encoding="utf-8"?>
<wsDr xmlns="http://schemas.openxmlformats.org/drawingml/2006/spreadsheetDrawing">
  <twoCellAnchor>
    <from>
      <col>16</col>
      <colOff>192406</colOff>
      <row>9</row>
      <rowOff>114300</rowOff>
    </from>
    <to>
      <col>27</col>
      <colOff>310515</colOff>
      <row>35</row>
      <rowOff>85725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</col>
      <colOff>185824</colOff>
      <row>2</row>
      <rowOff>166775</rowOff>
    </from>
    <to>
      <col>2</col>
      <colOff>615835</colOff>
      <row>8</row>
      <rowOff>71661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97733" y="547775"/>
          <a:ext cx="1049540" cy="10018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</col>
      <colOff>11206</colOff>
      <row>37</row>
      <rowOff>177950</rowOff>
    </from>
    <to>
      <col>16</col>
      <colOff>8565</colOff>
      <row>57</row>
      <rowOff>11206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6</col>
      <colOff>848847</colOff>
      <row>0</row>
      <rowOff>45721</rowOff>
    </from>
    <to>
      <col>8</col>
      <colOff>192616</colOff>
      <row>6</row>
      <rowOff>111227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569687" y="45721"/>
          <a:ext cx="1248769" cy="11627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0</col>
      <colOff>594360</colOff>
      <row>30</row>
      <rowOff>64770</rowOff>
    </from>
    <to>
      <col>14</col>
      <colOff>15240</colOff>
      <row>47</row>
      <rowOff>60960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5</col>
      <colOff>180976</colOff>
      <row>0</row>
      <rowOff>76201</rowOff>
    </from>
    <to>
      <col>7</col>
      <colOff>190500</colOff>
      <row>8</row>
      <rowOff>104775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419726" y="76201"/>
          <a:ext cx="1552574" cy="15525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1</col>
      <colOff>11206</colOff>
      <row>37</row>
      <rowOff>177950</rowOff>
    </from>
    <to>
      <col>16</col>
      <colOff>8565</colOff>
      <row>57</row>
      <rowOff>11206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6</col>
      <colOff>848847</colOff>
      <row>0</row>
      <rowOff>45721</rowOff>
    </from>
    <to>
      <col>8</col>
      <colOff>192616</colOff>
      <row>6</row>
      <rowOff>111227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569687" y="45721"/>
          <a:ext cx="1248769" cy="11627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>
    <from>
      <col>1</col>
      <colOff>11206</colOff>
      <row>37</row>
      <rowOff>177950</rowOff>
    </from>
    <to>
      <col>16</col>
      <colOff>8565</colOff>
      <row>57</row>
      <rowOff>11206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6</col>
      <colOff>848847</colOff>
      <row>0</row>
      <rowOff>45721</rowOff>
    </from>
    <to>
      <col>8</col>
      <colOff>192616</colOff>
      <row>6</row>
      <rowOff>111227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392522" y="45721"/>
          <a:ext cx="1201144" cy="120850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>
    <from>
      <col>0</col>
      <colOff>603884</colOff>
      <row>33</row>
      <rowOff>81915</rowOff>
    </from>
    <to>
      <col>16</col>
      <colOff>9525</colOff>
      <row>50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6</col>
      <colOff>837545</colOff>
      <row>0</row>
      <rowOff>0</rowOff>
    </from>
    <to>
      <col>8</col>
      <colOff>82384</colOff>
      <row>6</row>
      <rowOff>147729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445709" y="0"/>
          <a:ext cx="1318478" cy="127199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1</col>
      <colOff>11206</colOff>
      <row>37</row>
      <rowOff>177950</rowOff>
    </from>
    <to>
      <col>16</col>
      <colOff>8565</colOff>
      <row>57</row>
      <rowOff>11206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6</col>
      <colOff>862454</colOff>
      <row>0</row>
      <rowOff>18507</rowOff>
    </from>
    <to>
      <col>8</col>
      <colOff>138187</colOff>
      <row>6</row>
      <rowOff>84013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407490" y="18507"/>
          <a:ext cx="1194340" cy="120850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1</col>
      <colOff>38100</colOff>
      <row>32</row>
      <rowOff>144780</rowOff>
    </from>
    <to>
      <col>14</col>
      <colOff>69075</colOff>
      <row>49</row>
      <rowOff>60218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5</col>
      <colOff>180976</colOff>
      <row>0</row>
      <rowOff>76201</rowOff>
    </from>
    <to>
      <col>6</col>
      <colOff>803089</colOff>
      <row>8</row>
      <rowOff>104775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499736" y="76201"/>
          <a:ext cx="1594484" cy="14916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180976</colOff>
      <row>0</row>
      <rowOff>76201</rowOff>
    </from>
    <to>
      <col>6</col>
      <colOff>803089</colOff>
      <row>8</row>
      <rowOff>104775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499736" y="76201"/>
          <a:ext cx="1594484" cy="14916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>
    <from>
      <col>11</col>
      <colOff>483220</colOff>
      <row>8</row>
      <rowOff>148684</rowOff>
    </from>
    <to>
      <col>21</col>
      <colOff>364738</colOff>
      <row>33</row>
      <rowOff>10455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5</col>
      <colOff>112396</colOff>
      <row>0</row>
      <rowOff>15241</rowOff>
    </from>
    <to>
      <col>6</col>
      <colOff>470302</colOff>
      <row>8</row>
      <rowOff>41910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568316" y="15241"/>
          <a:ext cx="1621154" cy="148970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5</col>
      <colOff>180976</colOff>
      <row>0</row>
      <rowOff>76201</rowOff>
    </from>
    <to>
      <col>11</col>
      <colOff>173354</colOff>
      <row>8</row>
      <rowOff>104775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362576" y="76201"/>
          <a:ext cx="1552574" cy="15525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>
    <from>
      <col>1</col>
      <colOff>18317</colOff>
      <row>50</row>
      <rowOff>109308</rowOff>
    </from>
    <to>
      <col>81</col>
      <colOff>1325217</colOff>
      <row>82</row>
      <rowOff>182217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18</col>
      <colOff>398584</colOff>
      <row>4</row>
      <rowOff>121865</rowOff>
    </from>
    <to>
      <col>77</col>
      <colOff>43803</colOff>
      <row>12</row>
      <rowOff>117669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768969" y="895588"/>
          <a:ext cx="1737544" cy="1550870"/>
        </a:xfrm>
        <a:prstGeom xmlns:a="http://schemas.openxmlformats.org/drawingml/2006/main" prst="rect">
          <avLst/>
        </a:prstGeom>
        <a:ln xmlns:a="http://schemas.openxmlformats.org/drawingml/2006/main">
          <a:solidFill>
            <a:sysClr val="windowText" lastClr="000000"/>
          </a:solidFill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J:\My%20Drive\Work\JMM%20Group%20LLC\Current%20Clients\Week%201\03%20-%20Est%20Institute%20LLC\EI%20-%20SHARED\Est%20Institute%20LLC\03%20-%20EI%20FFM\2025.07_EI_FFM_08.06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Annual Summary"/>
      <sheetName val="2025 AOP"/>
      <sheetName val="2023 Overview"/>
      <sheetName val="2025 Overview (Rolling)"/>
      <sheetName val="2025 Overview (Budget)"/>
      <sheetName val="2024 Overview (Rolling)"/>
      <sheetName val="2024 AOP"/>
      <sheetName val="Quarterly Overview"/>
      <sheetName val="2022 Overview"/>
      <sheetName val="2"/>
      <sheetName val="Monthly Detail"/>
      <sheetName val="3"/>
      <sheetName val="October"/>
      <sheetName val="September"/>
      <sheetName val="August"/>
      <sheetName val="People Plan"/>
      <sheetName val="Actual vs. Forecast"/>
      <sheetName val="Holidays"/>
      <sheetName val="December"/>
      <sheetName val="November"/>
      <sheetName val="Riv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D4">
            <v>44592</v>
          </cell>
          <cell r="E4">
            <v>44620</v>
          </cell>
          <cell r="F4">
            <v>44651</v>
          </cell>
          <cell r="G4">
            <v>44681</v>
          </cell>
          <cell r="H4">
            <v>44712</v>
          </cell>
          <cell r="I4">
            <v>44742</v>
          </cell>
          <cell r="J4">
            <v>44773</v>
          </cell>
          <cell r="K4">
            <v>44804</v>
          </cell>
          <cell r="L4">
            <v>44834</v>
          </cell>
          <cell r="M4">
            <v>44865</v>
          </cell>
          <cell r="N4">
            <v>44895</v>
          </cell>
          <cell r="O4">
            <v>44926</v>
          </cell>
          <cell r="P4">
            <v>44957</v>
          </cell>
          <cell r="Q4">
            <v>44985</v>
          </cell>
          <cell r="R4">
            <v>45016</v>
          </cell>
          <cell r="S4">
            <v>45046</v>
          </cell>
          <cell r="T4">
            <v>45077</v>
          </cell>
          <cell r="U4">
            <v>45107</v>
          </cell>
          <cell r="V4">
            <v>45138</v>
          </cell>
          <cell r="W4">
            <v>45169</v>
          </cell>
          <cell r="X4">
            <v>45199</v>
          </cell>
          <cell r="Y4">
            <v>45230</v>
          </cell>
          <cell r="Z4">
            <v>45260</v>
          </cell>
          <cell r="AA4">
            <v>45291</v>
          </cell>
          <cell r="AB4">
            <v>45322</v>
          </cell>
          <cell r="AC4">
            <v>45351</v>
          </cell>
          <cell r="AD4">
            <v>45382</v>
          </cell>
          <cell r="AE4">
            <v>45412</v>
          </cell>
          <cell r="AF4">
            <v>45443</v>
          </cell>
          <cell r="AG4">
            <v>45473</v>
          </cell>
          <cell r="AH4">
            <v>45504</v>
          </cell>
          <cell r="AI4">
            <v>45535</v>
          </cell>
          <cell r="AJ4">
            <v>45565</v>
          </cell>
          <cell r="AK4">
            <v>45596</v>
          </cell>
          <cell r="AL4">
            <v>45626</v>
          </cell>
          <cell r="AM4">
            <v>45657</v>
          </cell>
          <cell r="AN4">
            <v>45688</v>
          </cell>
          <cell r="AO4">
            <v>45716</v>
          </cell>
          <cell r="AP4">
            <v>45747</v>
          </cell>
          <cell r="AQ4">
            <v>45777</v>
          </cell>
          <cell r="AR4">
            <v>45808</v>
          </cell>
          <cell r="AS4">
            <v>45838</v>
          </cell>
          <cell r="AT4">
            <v>45869</v>
          </cell>
          <cell r="AU4">
            <v>45900</v>
          </cell>
          <cell r="AV4">
            <v>45930</v>
          </cell>
          <cell r="AW4">
            <v>45961</v>
          </cell>
          <cell r="AX4">
            <v>45991</v>
          </cell>
          <cell r="AY4">
            <v>46022</v>
          </cell>
          <cell r="AZ4">
            <v>46053</v>
          </cell>
          <cell r="BA4">
            <v>46081</v>
          </cell>
          <cell r="BB4">
            <v>46112</v>
          </cell>
          <cell r="BC4">
            <v>46142</v>
          </cell>
          <cell r="BD4">
            <v>46173</v>
          </cell>
          <cell r="BE4">
            <v>46203</v>
          </cell>
          <cell r="BF4">
            <v>46234</v>
          </cell>
          <cell r="BG4">
            <v>46265</v>
          </cell>
          <cell r="BH4">
            <v>46295</v>
          </cell>
          <cell r="BI4">
            <v>46326</v>
          </cell>
          <cell r="BJ4">
            <v>46356</v>
          </cell>
          <cell r="BK4">
            <v>46387</v>
          </cell>
          <cell r="BL4">
            <v>46418</v>
          </cell>
          <cell r="BM4">
            <v>46446</v>
          </cell>
          <cell r="BN4">
            <v>46477</v>
          </cell>
          <cell r="BO4">
            <v>46507</v>
          </cell>
          <cell r="BP4">
            <v>46538</v>
          </cell>
          <cell r="BQ4">
            <v>46568</v>
          </cell>
          <cell r="BR4">
            <v>46599</v>
          </cell>
          <cell r="BS4">
            <v>46630</v>
          </cell>
          <cell r="BT4">
            <v>46660</v>
          </cell>
          <cell r="BU4">
            <v>46691</v>
          </cell>
          <cell r="BV4">
            <v>46721</v>
          </cell>
          <cell r="BW4">
            <v>46752</v>
          </cell>
          <cell r="BX4">
            <v>46783</v>
          </cell>
          <cell r="BY4">
            <v>46812</v>
          </cell>
          <cell r="BZ4">
            <v>46843</v>
          </cell>
          <cell r="CA4">
            <v>46873</v>
          </cell>
          <cell r="CB4">
            <v>46904</v>
          </cell>
          <cell r="CC4">
            <v>46934</v>
          </cell>
          <cell r="CD4">
            <v>46965</v>
          </cell>
          <cell r="CE4">
            <v>46996</v>
          </cell>
          <cell r="CF4">
            <v>47026</v>
          </cell>
          <cell r="CG4">
            <v>47057</v>
          </cell>
          <cell r="CH4">
            <v>47087</v>
          </cell>
          <cell r="CI4">
            <v>47118</v>
          </cell>
          <cell r="CJ4">
            <v>47149</v>
          </cell>
          <cell r="CK4">
            <v>47177</v>
          </cell>
          <cell r="CL4">
            <v>47208</v>
          </cell>
          <cell r="CM4">
            <v>47238</v>
          </cell>
          <cell r="CN4">
            <v>47269</v>
          </cell>
          <cell r="CO4">
            <v>47299</v>
          </cell>
          <cell r="CP4">
            <v>47330</v>
          </cell>
          <cell r="CQ4">
            <v>47361</v>
          </cell>
          <cell r="CR4">
            <v>47391</v>
          </cell>
          <cell r="CS4">
            <v>47422</v>
          </cell>
          <cell r="CT4">
            <v>47452</v>
          </cell>
          <cell r="CU4">
            <v>47483</v>
          </cell>
          <cell r="CV4">
            <v>47514</v>
          </cell>
          <cell r="CW4">
            <v>47542</v>
          </cell>
          <cell r="CX4">
            <v>47573</v>
          </cell>
          <cell r="CY4">
            <v>47603</v>
          </cell>
          <cell r="CZ4">
            <v>47634</v>
          </cell>
          <cell r="DA4">
            <v>47664</v>
          </cell>
          <cell r="DB4">
            <v>47695</v>
          </cell>
          <cell r="DC4">
            <v>47726</v>
          </cell>
          <cell r="DD4">
            <v>47756</v>
          </cell>
          <cell r="DE4">
            <v>47787</v>
          </cell>
          <cell r="DF4">
            <v>47817</v>
          </cell>
          <cell r="DG4">
            <v>47848</v>
          </cell>
        </row>
        <row r="14">
          <cell r="B14" t="str">
            <v>Total Income</v>
          </cell>
          <cell r="C14" t="str">
            <v>Total Revenue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375</v>
          </cell>
          <cell r="L14">
            <v>1075</v>
          </cell>
          <cell r="M14">
            <v>3765</v>
          </cell>
          <cell r="N14">
            <v>2090</v>
          </cell>
          <cell r="O14">
            <v>2032.5</v>
          </cell>
          <cell r="P14">
            <v>1545.99</v>
          </cell>
          <cell r="Q14">
            <v>1255.75</v>
          </cell>
          <cell r="R14">
            <v>1206.75</v>
          </cell>
          <cell r="S14">
            <v>1957.41</v>
          </cell>
          <cell r="T14">
            <v>2486.9299999999998</v>
          </cell>
          <cell r="U14">
            <v>2043.43</v>
          </cell>
          <cell r="V14">
            <v>2835.5</v>
          </cell>
          <cell r="W14">
            <v>7078.66</v>
          </cell>
          <cell r="X14">
            <v>8756.09</v>
          </cell>
          <cell r="Y14">
            <v>8196.3700000000008</v>
          </cell>
          <cell r="Z14">
            <v>4938.12</v>
          </cell>
          <cell r="AA14">
            <v>2144.5</v>
          </cell>
          <cell r="AB14">
            <v>3002</v>
          </cell>
          <cell r="AC14">
            <v>4357.5</v>
          </cell>
          <cell r="AD14">
            <v>3479.5</v>
          </cell>
          <cell r="AE14">
            <v>4018</v>
          </cell>
          <cell r="AF14">
            <v>5420.08</v>
          </cell>
          <cell r="AG14">
            <v>4308.26</v>
          </cell>
          <cell r="AH14">
            <v>9060.8900000000012</v>
          </cell>
          <cell r="AI14">
            <v>14111.26</v>
          </cell>
          <cell r="AJ14">
            <v>9897.5</v>
          </cell>
          <cell r="AK14">
            <v>17405.75</v>
          </cell>
          <cell r="AL14">
            <v>9573.5</v>
          </cell>
          <cell r="AM14">
            <v>5194</v>
          </cell>
          <cell r="AN14">
            <v>6585.5</v>
          </cell>
          <cell r="AO14">
            <v>8112.12</v>
          </cell>
          <cell r="AP14">
            <v>7682.37</v>
          </cell>
          <cell r="AQ14">
            <v>3756.25</v>
          </cell>
          <cell r="AR14">
            <v>6044.5</v>
          </cell>
          <cell r="AS14">
            <v>6916</v>
          </cell>
          <cell r="AT14">
            <v>14930</v>
          </cell>
          <cell r="AU14">
            <v>17228.12892164422</v>
          </cell>
          <cell r="AV14">
            <v>12136.734132406653</v>
          </cell>
          <cell r="AW14">
            <v>15648.27876867807</v>
          </cell>
          <cell r="AX14">
            <v>8808.0596213501212</v>
          </cell>
          <cell r="AY14">
            <v>9856.0556521362669</v>
          </cell>
          <cell r="AZ14">
            <v>13132.057758509623</v>
          </cell>
          <cell r="BA14">
            <v>14910.523906402243</v>
          </cell>
          <cell r="BB14">
            <v>17619.886695387399</v>
          </cell>
          <cell r="BC14">
            <v>7812.2071194254695</v>
          </cell>
          <cell r="BD14">
            <v>14317.990251150253</v>
          </cell>
          <cell r="BE14">
            <v>9262.9361296165862</v>
          </cell>
          <cell r="BF14">
            <v>14803.365179452212</v>
          </cell>
          <cell r="BG14">
            <v>24057.967192236261</v>
          </cell>
          <cell r="BH14">
            <v>17465.607165426121</v>
          </cell>
          <cell r="BI14">
            <v>21583.204373102933</v>
          </cell>
          <cell r="BJ14">
            <v>14547.504923004066</v>
          </cell>
          <cell r="BK14">
            <v>15493.004306516776</v>
          </cell>
          <cell r="BL14">
            <v>17680.807042219571</v>
          </cell>
          <cell r="BM14">
            <v>20841.794167255321</v>
          </cell>
          <cell r="BN14">
            <v>26094.730867892507</v>
          </cell>
          <cell r="BO14">
            <v>11200.84615611516</v>
          </cell>
          <cell r="BP14">
            <v>20449.896542055387</v>
          </cell>
          <cell r="BQ14">
            <v>13148.930985058214</v>
          </cell>
          <cell r="BR14">
            <v>19972.425717024118</v>
          </cell>
          <cell r="BS14">
            <v>35417.469819441307</v>
          </cell>
          <cell r="BT14">
            <v>24643.779780667184</v>
          </cell>
          <cell r="BU14">
            <v>28868.522978411784</v>
          </cell>
          <cell r="BV14">
            <v>21455.404954150785</v>
          </cell>
          <cell r="BW14">
            <v>21710.767415064445</v>
          </cell>
          <cell r="BX14">
            <v>24775.063622960784</v>
          </cell>
          <cell r="BY14">
            <v>30775.782493038118</v>
          </cell>
          <cell r="BZ14">
            <v>36352.027228421204</v>
          </cell>
          <cell r="CA14">
            <v>14209.950313164829</v>
          </cell>
          <cell r="CB14">
            <v>31140.87094126195</v>
          </cell>
          <cell r="CC14">
            <v>18260.559412503768</v>
          </cell>
          <cell r="CD14">
            <v>26418.207461034646</v>
          </cell>
          <cell r="CE14">
            <v>51778.951685811204</v>
          </cell>
          <cell r="CF14">
            <v>33170.140851465454</v>
          </cell>
          <cell r="CG14">
            <v>42768.155191829101</v>
          </cell>
          <cell r="CH14">
            <v>30603.122837765681</v>
          </cell>
          <cell r="CI14">
            <v>28099.333062650407</v>
          </cell>
          <cell r="CJ14">
            <v>38552.964191528372</v>
          </cell>
          <cell r="CK14">
            <v>41495.526881293503</v>
          </cell>
          <cell r="CL14">
            <v>49437.521971544273</v>
          </cell>
          <cell r="CM14">
            <v>21050.477349007444</v>
          </cell>
          <cell r="CN14">
            <v>44100.372527509186</v>
          </cell>
          <cell r="CO14">
            <v>24693.03157355525</v>
          </cell>
          <cell r="CP14">
            <v>39267.465314249057</v>
          </cell>
          <cell r="CQ14">
            <v>72925.729392856621</v>
          </cell>
          <cell r="CR14">
            <v>44452.65417340953</v>
          </cell>
          <cell r="CS14">
            <v>63183.837598229773</v>
          </cell>
          <cell r="CT14">
            <v>43013.046540121519</v>
          </cell>
          <cell r="CU14">
            <v>39639.441317108969</v>
          </cell>
          <cell r="CV14">
            <v>54238.399499325773</v>
          </cell>
          <cell r="CW14">
            <v>58445.09018536083</v>
          </cell>
          <cell r="CX14">
            <v>66155.294628125979</v>
          </cell>
          <cell r="CY14">
            <v>30980.791902630706</v>
          </cell>
          <cell r="CZ14">
            <v>61884.279598439251</v>
          </cell>
          <cell r="DA14">
            <v>32938.985933081509</v>
          </cell>
          <cell r="DB14">
            <v>57564.028807487914</v>
          </cell>
          <cell r="DC14">
            <v>97884.123030114541</v>
          </cell>
          <cell r="DD14">
            <v>65259.187202174355</v>
          </cell>
          <cell r="DE14">
            <v>88345.599217745388</v>
          </cell>
          <cell r="DF14">
            <v>57547.36850839149</v>
          </cell>
          <cell r="DG14">
            <v>58305.02027252617</v>
          </cell>
        </row>
        <row r="17">
          <cell r="C17" t="str">
            <v># of Students</v>
          </cell>
          <cell r="E17">
            <v>12</v>
          </cell>
          <cell r="F17">
            <v>8</v>
          </cell>
          <cell r="G17">
            <v>7</v>
          </cell>
          <cell r="H17">
            <v>10</v>
          </cell>
          <cell r="I17">
            <v>13</v>
          </cell>
          <cell r="J17">
            <v>11</v>
          </cell>
          <cell r="K17">
            <v>5</v>
          </cell>
          <cell r="L17">
            <v>9</v>
          </cell>
          <cell r="M17">
            <v>17</v>
          </cell>
          <cell r="N17">
            <v>11</v>
          </cell>
          <cell r="O17">
            <v>7</v>
          </cell>
          <cell r="P17">
            <v>12</v>
          </cell>
          <cell r="Q17">
            <v>10</v>
          </cell>
          <cell r="R17">
            <v>10</v>
          </cell>
          <cell r="S17">
            <v>7</v>
          </cell>
          <cell r="T17">
            <v>9</v>
          </cell>
          <cell r="U17">
            <v>13</v>
          </cell>
          <cell r="V17">
            <v>8</v>
          </cell>
          <cell r="W17">
            <v>19</v>
          </cell>
          <cell r="X17">
            <v>29</v>
          </cell>
          <cell r="Y17">
            <v>32</v>
          </cell>
          <cell r="Z17">
            <v>32</v>
          </cell>
          <cell r="AA17">
            <v>19</v>
          </cell>
          <cell r="AB17">
            <v>16</v>
          </cell>
          <cell r="AC17">
            <v>15</v>
          </cell>
          <cell r="AD17">
            <v>20</v>
          </cell>
          <cell r="AE17">
            <v>17</v>
          </cell>
          <cell r="AF17">
            <v>20</v>
          </cell>
          <cell r="AG17">
            <v>24</v>
          </cell>
          <cell r="AH17">
            <v>30</v>
          </cell>
          <cell r="AI17">
            <v>38</v>
          </cell>
          <cell r="AJ17">
            <v>42</v>
          </cell>
          <cell r="AK17">
            <v>48</v>
          </cell>
          <cell r="AL17">
            <v>44</v>
          </cell>
          <cell r="AM17">
            <v>23</v>
          </cell>
          <cell r="AN17">
            <v>24</v>
          </cell>
          <cell r="AO17">
            <v>28</v>
          </cell>
          <cell r="AP17">
            <v>24</v>
          </cell>
          <cell r="AQ17">
            <v>23</v>
          </cell>
          <cell r="AR17">
            <v>20</v>
          </cell>
          <cell r="AS17">
            <v>25</v>
          </cell>
          <cell r="AT17">
            <v>35</v>
          </cell>
          <cell r="AU17">
            <v>36</v>
          </cell>
          <cell r="AV17">
            <v>43</v>
          </cell>
          <cell r="AW17">
            <v>44.8</v>
          </cell>
          <cell r="AX17">
            <v>43.4</v>
          </cell>
          <cell r="AY17">
            <v>42</v>
          </cell>
          <cell r="AZ17">
            <v>45.72</v>
          </cell>
          <cell r="BA17">
            <v>54.319999999999993</v>
          </cell>
          <cell r="BB17">
            <v>53.039999999999992</v>
          </cell>
          <cell r="BC17">
            <v>49.759999999999991</v>
          </cell>
          <cell r="BD17">
            <v>52.359999999999985</v>
          </cell>
          <cell r="BE17">
            <v>45.079999999999984</v>
          </cell>
          <cell r="BF17">
            <v>45.679999999999978</v>
          </cell>
          <cell r="BG17">
            <v>53.279999999999973</v>
          </cell>
          <cell r="BH17">
            <v>61.879999999999967</v>
          </cell>
          <cell r="BI17">
            <v>64.599999999999966</v>
          </cell>
          <cell r="BJ17">
            <v>61.439999999999962</v>
          </cell>
          <cell r="BK17">
            <v>60.279999999999959</v>
          </cell>
          <cell r="BL17">
            <v>64.487999999999957</v>
          </cell>
          <cell r="BM17">
            <v>75.927999999999955</v>
          </cell>
          <cell r="BN17">
            <v>75.135999999999953</v>
          </cell>
          <cell r="BO17">
            <v>71.343999999999951</v>
          </cell>
          <cell r="BP17">
            <v>74.783999999999949</v>
          </cell>
          <cell r="BQ17">
            <v>63.991999999999948</v>
          </cell>
          <cell r="BR17">
            <v>64.431999999999945</v>
          </cell>
          <cell r="BS17">
            <v>74.871999999999943</v>
          </cell>
          <cell r="BT17">
            <v>87.311999999999941</v>
          </cell>
          <cell r="BU17">
            <v>90.519999999999939</v>
          </cell>
          <cell r="BV17">
            <v>86.495999999999938</v>
          </cell>
          <cell r="BW17">
            <v>84.471999999999937</v>
          </cell>
          <cell r="BX17">
            <v>90.363199999999921</v>
          </cell>
          <cell r="BY17">
            <v>106.77919999999992</v>
          </cell>
          <cell r="BZ17">
            <v>104.67039999999992</v>
          </cell>
          <cell r="CA17">
            <v>99.561599999999913</v>
          </cell>
          <cell r="CB17">
            <v>103.97759999999991</v>
          </cell>
          <cell r="CC17">
            <v>88.868799999999908</v>
          </cell>
          <cell r="CD17">
            <v>89.284799999999905</v>
          </cell>
          <cell r="CE17">
            <v>104.7007999999999</v>
          </cell>
          <cell r="CF17">
            <v>123.1167999999999</v>
          </cell>
          <cell r="CG17">
            <v>128.0079999999999</v>
          </cell>
          <cell r="CH17">
            <v>123.37439999999989</v>
          </cell>
          <cell r="CI17">
            <v>119.74079999999989</v>
          </cell>
          <cell r="CJ17">
            <v>128.38847999999987</v>
          </cell>
          <cell r="CK17">
            <v>151.17087999999984</v>
          </cell>
          <cell r="CL17">
            <v>148.81855999999982</v>
          </cell>
          <cell r="CM17">
            <v>140.4662399999998</v>
          </cell>
          <cell r="CN17">
            <v>147.2486399999998</v>
          </cell>
          <cell r="CO17">
            <v>125.89631999999978</v>
          </cell>
          <cell r="CP17">
            <v>126.67871999999976</v>
          </cell>
          <cell r="CQ17">
            <v>147.46111999999974</v>
          </cell>
          <cell r="CR17">
            <v>173.24351999999971</v>
          </cell>
          <cell r="CS17">
            <v>180.89119999999969</v>
          </cell>
          <cell r="CT17">
            <v>173.40415999999968</v>
          </cell>
          <cell r="CU17">
            <v>168.91711999999967</v>
          </cell>
          <cell r="CV17">
            <v>180.62387199999966</v>
          </cell>
          <cell r="CW17">
            <v>212.91923199999962</v>
          </cell>
          <cell r="CX17">
            <v>208.62598399999962</v>
          </cell>
          <cell r="CY17">
            <v>197.33273599999961</v>
          </cell>
          <cell r="CZ17">
            <v>206.62809599999957</v>
          </cell>
          <cell r="DA17">
            <v>176.33484799999957</v>
          </cell>
          <cell r="DB17">
            <v>177.63020799999953</v>
          </cell>
          <cell r="DC17">
            <v>206.92556799999949</v>
          </cell>
          <cell r="DD17">
            <v>242.22092799999945</v>
          </cell>
          <cell r="DE17">
            <v>252.92767999999944</v>
          </cell>
          <cell r="DF17">
            <v>243.04582399999941</v>
          </cell>
          <cell r="DG17">
            <v>237.16396799999939</v>
          </cell>
        </row>
        <row r="19">
          <cell r="C19" t="str">
            <v>Net New Students</v>
          </cell>
          <cell r="E19">
            <v>12</v>
          </cell>
          <cell r="F19">
            <v>-4</v>
          </cell>
          <cell r="G19">
            <v>-1</v>
          </cell>
          <cell r="H19">
            <v>3</v>
          </cell>
          <cell r="I19">
            <v>3</v>
          </cell>
          <cell r="J19">
            <v>-2</v>
          </cell>
          <cell r="K19">
            <v>-6</v>
          </cell>
          <cell r="L19">
            <v>4</v>
          </cell>
          <cell r="M19">
            <v>8</v>
          </cell>
          <cell r="N19">
            <v>-6</v>
          </cell>
          <cell r="O19">
            <v>-4</v>
          </cell>
          <cell r="P19">
            <v>5</v>
          </cell>
          <cell r="Q19">
            <v>-2</v>
          </cell>
          <cell r="R19">
            <v>0</v>
          </cell>
          <cell r="S19">
            <v>-3</v>
          </cell>
          <cell r="T19">
            <v>2</v>
          </cell>
          <cell r="U19">
            <v>4</v>
          </cell>
          <cell r="V19">
            <v>-5</v>
          </cell>
          <cell r="W19">
            <v>11</v>
          </cell>
          <cell r="X19">
            <v>10</v>
          </cell>
          <cell r="Y19">
            <v>3</v>
          </cell>
          <cell r="Z19">
            <v>0</v>
          </cell>
          <cell r="AA19">
            <v>-13</v>
          </cell>
          <cell r="AB19">
            <v>-3</v>
          </cell>
          <cell r="AC19">
            <v>-1</v>
          </cell>
          <cell r="AD19">
            <v>5</v>
          </cell>
          <cell r="AE19">
            <v>-3</v>
          </cell>
          <cell r="AF19">
            <v>3</v>
          </cell>
          <cell r="AG19">
            <v>4</v>
          </cell>
          <cell r="AH19">
            <v>6</v>
          </cell>
          <cell r="AI19">
            <v>8</v>
          </cell>
          <cell r="AJ19">
            <v>4</v>
          </cell>
          <cell r="AK19">
            <v>6</v>
          </cell>
          <cell r="AL19">
            <v>-4</v>
          </cell>
          <cell r="AM19">
            <v>-21</v>
          </cell>
          <cell r="AN19">
            <v>1</v>
          </cell>
          <cell r="AO19">
            <v>4</v>
          </cell>
          <cell r="AP19">
            <v>-4</v>
          </cell>
          <cell r="AQ19">
            <v>-1</v>
          </cell>
          <cell r="AR19">
            <v>-3</v>
          </cell>
          <cell r="AS19">
            <v>5</v>
          </cell>
          <cell r="AT19">
            <v>10</v>
          </cell>
          <cell r="AU19">
            <v>1</v>
          </cell>
          <cell r="AV19">
            <v>7</v>
          </cell>
          <cell r="AW19">
            <v>1.7999999999999989</v>
          </cell>
          <cell r="AX19">
            <v>-1.4000000000000004</v>
          </cell>
          <cell r="AY19">
            <v>-1.4000000000000004</v>
          </cell>
          <cell r="AZ19">
            <v>3.7199999999999971</v>
          </cell>
          <cell r="BA19">
            <v>8.5999999999999979</v>
          </cell>
          <cell r="BB19">
            <v>-1.2800000000000029</v>
          </cell>
          <cell r="BC19">
            <v>-3.2800000000000029</v>
          </cell>
          <cell r="BD19">
            <v>2.5999999999999979</v>
          </cell>
          <cell r="BE19">
            <v>-7.2800000000000029</v>
          </cell>
          <cell r="BF19">
            <v>0.59999999999999787</v>
          </cell>
          <cell r="BG19">
            <v>7.5999999999999979</v>
          </cell>
          <cell r="BH19">
            <v>8.5999999999999979</v>
          </cell>
          <cell r="BI19">
            <v>2.7199999999999971</v>
          </cell>
          <cell r="BJ19">
            <v>-3.160000000000001</v>
          </cell>
          <cell r="BK19">
            <v>-1.160000000000001</v>
          </cell>
          <cell r="BL19">
            <v>4.2079999999999949</v>
          </cell>
          <cell r="BM19">
            <v>11.439999999999994</v>
          </cell>
          <cell r="BN19">
            <v>-0.79200000000000514</v>
          </cell>
          <cell r="BO19">
            <v>-3.7920000000000051</v>
          </cell>
          <cell r="BP19">
            <v>3.4399999999999942</v>
          </cell>
          <cell r="BQ19">
            <v>-10.792000000000005</v>
          </cell>
          <cell r="BR19">
            <v>0.43999999999999417</v>
          </cell>
          <cell r="BS19">
            <v>10.439999999999994</v>
          </cell>
          <cell r="BT19">
            <v>12.439999999999994</v>
          </cell>
          <cell r="BU19">
            <v>3.2079999999999949</v>
          </cell>
          <cell r="BV19">
            <v>-4.0240000000000027</v>
          </cell>
          <cell r="BW19">
            <v>-2.0240000000000027</v>
          </cell>
          <cell r="BX19">
            <v>5.8911999999999907</v>
          </cell>
          <cell r="BY19">
            <v>16.41599999999999</v>
          </cell>
          <cell r="BZ19">
            <v>-2.1088000000000093</v>
          </cell>
          <cell r="CA19">
            <v>-5.1088000000000093</v>
          </cell>
          <cell r="CB19">
            <v>4.4159999999999897</v>
          </cell>
          <cell r="CC19">
            <v>-15.108800000000009</v>
          </cell>
          <cell r="CD19">
            <v>0.41599999999998971</v>
          </cell>
          <cell r="CE19">
            <v>15.41599999999999</v>
          </cell>
          <cell r="CF19">
            <v>18.41599999999999</v>
          </cell>
          <cell r="CG19">
            <v>4.8911999999999907</v>
          </cell>
          <cell r="CH19">
            <v>-4.6336000000000048</v>
          </cell>
          <cell r="CI19">
            <v>-3.6336000000000048</v>
          </cell>
          <cell r="CJ19">
            <v>8.6476799999999869</v>
          </cell>
          <cell r="CK19">
            <v>22.782399999999981</v>
          </cell>
          <cell r="CL19">
            <v>-2.3523200000000131</v>
          </cell>
          <cell r="CM19">
            <v>-8.3523200000000131</v>
          </cell>
          <cell r="CN19">
            <v>6.7823999999999813</v>
          </cell>
          <cell r="CO19">
            <v>-21.352320000000013</v>
          </cell>
          <cell r="CP19">
            <v>0.78239999999998133</v>
          </cell>
          <cell r="CQ19">
            <v>20.782399999999981</v>
          </cell>
          <cell r="CR19">
            <v>25.782399999999981</v>
          </cell>
          <cell r="CS19">
            <v>7.6476799999999869</v>
          </cell>
          <cell r="CT19">
            <v>-7.4870400000000075</v>
          </cell>
          <cell r="CU19">
            <v>-4.4870400000000075</v>
          </cell>
          <cell r="CV19">
            <v>11.70675199999998</v>
          </cell>
          <cell r="CW19">
            <v>32.295359999999974</v>
          </cell>
          <cell r="CX19">
            <v>-4.2932480000000197</v>
          </cell>
          <cell r="CY19">
            <v>-11.29324800000002</v>
          </cell>
          <cell r="CZ19">
            <v>9.2953599999999739</v>
          </cell>
          <cell r="DA19">
            <v>-30.29324800000002</v>
          </cell>
          <cell r="DB19">
            <v>1.2953599999999739</v>
          </cell>
          <cell r="DC19">
            <v>29.295359999999974</v>
          </cell>
          <cell r="DD19">
            <v>35.295359999999974</v>
          </cell>
          <cell r="DE19">
            <v>10.70675199999998</v>
          </cell>
          <cell r="DF19">
            <v>-9.8818560000000133</v>
          </cell>
          <cell r="DG19">
            <v>-5.8818560000000133</v>
          </cell>
        </row>
        <row r="22">
          <cell r="C22" t="str">
            <v># of Sessions</v>
          </cell>
          <cell r="P22">
            <v>21</v>
          </cell>
          <cell r="Q22">
            <v>22</v>
          </cell>
          <cell r="R22">
            <v>20</v>
          </cell>
          <cell r="S22">
            <v>16</v>
          </cell>
          <cell r="T22">
            <v>25</v>
          </cell>
          <cell r="U22">
            <v>22</v>
          </cell>
          <cell r="V22">
            <v>23</v>
          </cell>
          <cell r="W22">
            <v>70</v>
          </cell>
          <cell r="X22">
            <v>110</v>
          </cell>
          <cell r="Y22">
            <v>114</v>
          </cell>
          <cell r="Z22">
            <v>73</v>
          </cell>
          <cell r="AA22">
            <v>31</v>
          </cell>
          <cell r="AB22">
            <v>34</v>
          </cell>
          <cell r="AC22">
            <v>56</v>
          </cell>
          <cell r="AD22">
            <v>36</v>
          </cell>
          <cell r="AE22">
            <v>49</v>
          </cell>
          <cell r="AF22">
            <v>76</v>
          </cell>
          <cell r="AG22">
            <v>45</v>
          </cell>
          <cell r="AH22">
            <v>118</v>
          </cell>
          <cell r="AI22">
            <v>169</v>
          </cell>
          <cell r="AJ22">
            <v>125</v>
          </cell>
          <cell r="AK22">
            <v>173</v>
          </cell>
          <cell r="AL22">
            <v>90</v>
          </cell>
          <cell r="AM22">
            <v>50</v>
          </cell>
          <cell r="AN22">
            <v>56</v>
          </cell>
          <cell r="AO22">
            <v>66</v>
          </cell>
          <cell r="AP22">
            <v>73</v>
          </cell>
          <cell r="AQ22">
            <v>37</v>
          </cell>
          <cell r="AR22">
            <v>62</v>
          </cell>
          <cell r="AS22">
            <v>51</v>
          </cell>
          <cell r="AT22">
            <v>120</v>
          </cell>
          <cell r="AU22">
            <v>77.666666666666671</v>
          </cell>
          <cell r="AV22">
            <v>56.147678118759352</v>
          </cell>
          <cell r="AW22">
            <v>72.222882103716216</v>
          </cell>
          <cell r="AX22">
            <v>40.551245251160829</v>
          </cell>
          <cell r="AY22">
            <v>46.28236019601006</v>
          </cell>
          <cell r="AZ22">
            <v>62.260994771841595</v>
          </cell>
          <cell r="BA22">
            <v>71.604072454387676</v>
          </cell>
          <cell r="BB22">
            <v>85.030814893431682</v>
          </cell>
          <cell r="BC22">
            <v>37.752049277401525</v>
          </cell>
          <cell r="BD22">
            <v>69.177284947235094</v>
          </cell>
          <cell r="BE22">
            <v>43.491306459546905</v>
          </cell>
          <cell r="BF22">
            <v>69.683449677916443</v>
          </cell>
          <cell r="BG22">
            <v>108.45647412410294</v>
          </cell>
          <cell r="BH22">
            <v>80.800426092763388</v>
          </cell>
          <cell r="BI22">
            <v>99.614868056872496</v>
          </cell>
          <cell r="BJ22">
            <v>66.974959898691395</v>
          </cell>
          <cell r="BK22">
            <v>72.752511870925346</v>
          </cell>
          <cell r="BL22">
            <v>83.827276353870303</v>
          </cell>
          <cell r="BM22">
            <v>100.08751865457927</v>
          </cell>
          <cell r="BN22">
            <v>125.92908617866125</v>
          </cell>
          <cell r="BO22">
            <v>54.127455861071816</v>
          </cell>
          <cell r="BP22">
            <v>98.803553810046395</v>
          </cell>
          <cell r="BQ22">
            <v>61.736816392176685</v>
          </cell>
          <cell r="BR22">
            <v>94.015617768450895</v>
          </cell>
          <cell r="BS22">
            <v>159.66660309741559</v>
          </cell>
          <cell r="BT22">
            <v>114.00851330011889</v>
          </cell>
          <cell r="BU22">
            <v>133.23944201144812</v>
          </cell>
          <cell r="BV22">
            <v>98.778099338680121</v>
          </cell>
          <cell r="BW22">
            <v>101.95006938886537</v>
          </cell>
          <cell r="BX22">
            <v>117.46217805824418</v>
          </cell>
          <cell r="BY22">
            <v>147.79302010479799</v>
          </cell>
          <cell r="BZ22">
            <v>175.42919268998804</v>
          </cell>
          <cell r="CA22">
            <v>68.668781594141663</v>
          </cell>
          <cell r="CB22">
            <v>150.45693318834941</v>
          </cell>
          <cell r="CC22">
            <v>85.736916936383764</v>
          </cell>
          <cell r="CD22">
            <v>124.35765840236377</v>
          </cell>
          <cell r="CE22">
            <v>233.42631107659091</v>
          </cell>
          <cell r="CF22">
            <v>153.45366977340905</v>
          </cell>
          <cell r="CG22">
            <v>197.39164133473889</v>
          </cell>
          <cell r="CH22">
            <v>140.89309030533269</v>
          </cell>
          <cell r="CI22">
            <v>131.9496865656761</v>
          </cell>
          <cell r="CJ22">
            <v>182.78520747537155</v>
          </cell>
          <cell r="CK22">
            <v>199.2719190816189</v>
          </cell>
          <cell r="CL22">
            <v>238.57774185646764</v>
          </cell>
          <cell r="CM22">
            <v>101.72524179709642</v>
          </cell>
          <cell r="CN22">
            <v>213.07068821126188</v>
          </cell>
          <cell r="CO22">
            <v>115.93863852165111</v>
          </cell>
          <cell r="CP22">
            <v>184.84259558785391</v>
          </cell>
          <cell r="CQ22">
            <v>328.75876085782033</v>
          </cell>
          <cell r="CR22">
            <v>205.64950099621205</v>
          </cell>
          <cell r="CS22">
            <v>291.61794221427965</v>
          </cell>
          <cell r="CT22">
            <v>198.02688381220358</v>
          </cell>
          <cell r="CU22">
            <v>186.14007121696764</v>
          </cell>
          <cell r="CV22">
            <v>257.15213637956396</v>
          </cell>
          <cell r="CW22">
            <v>280.66796971760965</v>
          </cell>
          <cell r="CX22">
            <v>319.25509561972456</v>
          </cell>
          <cell r="CY22">
            <v>149.71292551279049</v>
          </cell>
          <cell r="CZ22">
            <v>298.9935297093586</v>
          </cell>
          <cell r="DA22">
            <v>154.65501560590477</v>
          </cell>
          <cell r="DB22">
            <v>270.96947592919884</v>
          </cell>
          <cell r="DC22">
            <v>441.27447559252079</v>
          </cell>
          <cell r="DD22">
            <v>301.90591615052233</v>
          </cell>
          <cell r="DE22">
            <v>407.74924137067899</v>
          </cell>
          <cell r="DF22">
            <v>264.94115097565719</v>
          </cell>
          <cell r="DG22">
            <v>273.79045378095401</v>
          </cell>
        </row>
        <row r="25">
          <cell r="C25" t="str">
            <v>Hours / Day / Student</v>
          </cell>
          <cell r="E25">
            <v>4.3859649122807015E-3</v>
          </cell>
          <cell r="F25">
            <v>5.434782608695652E-3</v>
          </cell>
          <cell r="G25">
            <v>6.8027210884353739E-3</v>
          </cell>
          <cell r="H25">
            <v>4.7619047619047615E-3</v>
          </cell>
          <cell r="I25">
            <v>3.4965034965034965E-3</v>
          </cell>
          <cell r="J25">
            <v>4.5454545454545461E-3</v>
          </cell>
          <cell r="K25">
            <v>6.5217391304347824E-2</v>
          </cell>
          <cell r="L25">
            <v>0.10846560846560846</v>
          </cell>
          <cell r="M25">
            <v>0.16036414565826332</v>
          </cell>
          <cell r="N25">
            <v>0.13419913419913421</v>
          </cell>
          <cell r="O25">
            <v>0.10204081632653061</v>
          </cell>
          <cell r="P25">
            <v>0.10448412698412697</v>
          </cell>
          <cell r="Q25">
            <v>0.1118421052631579</v>
          </cell>
          <cell r="R25">
            <v>9.1304347826086957E-2</v>
          </cell>
          <cell r="S25">
            <v>0.13035714285714287</v>
          </cell>
          <cell r="T25">
            <v>0.21338383838383837</v>
          </cell>
          <cell r="U25">
            <v>0.14685314685314685</v>
          </cell>
          <cell r="V25">
            <v>0.19843749999999999</v>
          </cell>
          <cell r="W25">
            <v>0.19279176201372997</v>
          </cell>
          <cell r="X25">
            <v>0.22500000000000001</v>
          </cell>
          <cell r="Y25">
            <v>0.19353693181818182</v>
          </cell>
          <cell r="Z25">
            <v>0.13125000000000001</v>
          </cell>
          <cell r="AA25">
            <v>9.5567867036011084E-2</v>
          </cell>
          <cell r="AB25">
            <v>0.12784090909090909</v>
          </cell>
          <cell r="AC25">
            <v>0.2365079365079365</v>
          </cell>
          <cell r="AD25">
            <v>0.14345238095238094</v>
          </cell>
          <cell r="AE25">
            <v>0.18649732620320855</v>
          </cell>
          <cell r="AF25">
            <v>0.19456521739130433</v>
          </cell>
          <cell r="AG25">
            <v>0.12395833333333334</v>
          </cell>
          <cell r="AH25">
            <v>0.20568181818181819</v>
          </cell>
          <cell r="AI25">
            <v>0.26525119617224879</v>
          </cell>
          <cell r="AJ25">
            <v>0.16241496598639454</v>
          </cell>
          <cell r="AK25">
            <v>0.19180253623188406</v>
          </cell>
          <cell r="AL25">
            <v>0.14204545454545456</v>
          </cell>
          <cell r="AM25">
            <v>0.14359267734553777</v>
          </cell>
          <cell r="AN25">
            <v>0.1693840579710145</v>
          </cell>
          <cell r="AO25">
            <v>0.18035714285714285</v>
          </cell>
          <cell r="AP25">
            <v>0.19940476190476189</v>
          </cell>
          <cell r="AQ25">
            <v>9.4367588932806321E-2</v>
          </cell>
          <cell r="AR25">
            <v>0.17215909090909093</v>
          </cell>
          <cell r="AS25">
            <v>0.12</v>
          </cell>
          <cell r="AT25">
            <v>0.18149350649350651</v>
          </cell>
          <cell r="AU25">
            <v>0.26525119617224879</v>
          </cell>
          <cell r="AV25">
            <v>0.16241496598639454</v>
          </cell>
          <cell r="AW25">
            <v>0.19180253623188406</v>
          </cell>
          <cell r="AX25">
            <v>0.14204545454545456</v>
          </cell>
          <cell r="AY25">
            <v>0.14359267734553777</v>
          </cell>
          <cell r="AZ25">
            <v>0.1693840579710145</v>
          </cell>
          <cell r="BA25">
            <v>0.18035714285714285</v>
          </cell>
          <cell r="BB25">
            <v>0.19940476190476189</v>
          </cell>
          <cell r="BC25">
            <v>9.4367588932806321E-2</v>
          </cell>
          <cell r="BD25">
            <v>0.17215909090909093</v>
          </cell>
          <cell r="BE25">
            <v>0.12</v>
          </cell>
          <cell r="BF25">
            <v>0.18149350649350651</v>
          </cell>
          <cell r="BG25">
            <v>0.26525119617224879</v>
          </cell>
          <cell r="BH25">
            <v>0.16241496598639454</v>
          </cell>
          <cell r="BI25">
            <v>0.19180253623188406</v>
          </cell>
          <cell r="BJ25">
            <v>0.14204545454545456</v>
          </cell>
          <cell r="BK25">
            <v>0.14359267734553777</v>
          </cell>
          <cell r="BL25">
            <v>0.1693840579710145</v>
          </cell>
          <cell r="BM25">
            <v>0.18035714285714285</v>
          </cell>
          <cell r="BN25">
            <v>0.19940476190476189</v>
          </cell>
          <cell r="BO25">
            <v>9.4367588932806321E-2</v>
          </cell>
          <cell r="BP25">
            <v>0.17215909090909093</v>
          </cell>
          <cell r="BQ25">
            <v>0.12</v>
          </cell>
          <cell r="BR25">
            <v>0.18149350649350651</v>
          </cell>
          <cell r="BS25">
            <v>0.26525119617224879</v>
          </cell>
          <cell r="BT25">
            <v>0.16241496598639454</v>
          </cell>
          <cell r="BU25">
            <v>0.19180253623188406</v>
          </cell>
          <cell r="BV25">
            <v>0.14204545454545456</v>
          </cell>
          <cell r="BW25">
            <v>0.14359267734553777</v>
          </cell>
          <cell r="BX25">
            <v>0.1693840579710145</v>
          </cell>
          <cell r="BY25">
            <v>0.18035714285714285</v>
          </cell>
          <cell r="BZ25">
            <v>0.19940476190476189</v>
          </cell>
          <cell r="CA25">
            <v>9.4367588932806321E-2</v>
          </cell>
          <cell r="CB25">
            <v>0.17215909090909093</v>
          </cell>
          <cell r="CC25">
            <v>0.12</v>
          </cell>
          <cell r="CD25">
            <v>0.18149350649350651</v>
          </cell>
          <cell r="CE25">
            <v>0.26525119617224879</v>
          </cell>
          <cell r="CF25">
            <v>0.16241496598639454</v>
          </cell>
          <cell r="CG25">
            <v>0.19180253623188406</v>
          </cell>
          <cell r="CH25">
            <v>0.14204545454545456</v>
          </cell>
          <cell r="CI25">
            <v>0.14359267734553777</v>
          </cell>
          <cell r="CJ25">
            <v>0.1693840579710145</v>
          </cell>
          <cell r="CK25">
            <v>0.18035714285714285</v>
          </cell>
          <cell r="CL25">
            <v>0.19940476190476189</v>
          </cell>
          <cell r="CM25">
            <v>9.4367588932806321E-2</v>
          </cell>
          <cell r="CN25">
            <v>0.17215909090909093</v>
          </cell>
          <cell r="CO25">
            <v>0.12</v>
          </cell>
          <cell r="CP25">
            <v>0.18149350649350651</v>
          </cell>
          <cell r="CQ25">
            <v>0.26525119617224879</v>
          </cell>
          <cell r="CR25">
            <v>0.16241496598639454</v>
          </cell>
          <cell r="CS25">
            <v>0.19180253623188406</v>
          </cell>
          <cell r="CT25">
            <v>0.14204545454545456</v>
          </cell>
          <cell r="CU25">
            <v>0.14359267734553777</v>
          </cell>
          <cell r="CV25">
            <v>0.1693840579710145</v>
          </cell>
          <cell r="CW25">
            <v>0.18035714285714285</v>
          </cell>
          <cell r="CX25">
            <v>0.19940476190476189</v>
          </cell>
          <cell r="CY25">
            <v>9.4367588932806321E-2</v>
          </cell>
          <cell r="CZ25">
            <v>0.17215909090909093</v>
          </cell>
          <cell r="DA25">
            <v>0.12</v>
          </cell>
          <cell r="DB25">
            <v>0.18149350649350651</v>
          </cell>
          <cell r="DC25">
            <v>0.26525119617224879</v>
          </cell>
          <cell r="DD25">
            <v>0.16241496598639454</v>
          </cell>
          <cell r="DE25">
            <v>0.19180253623188406</v>
          </cell>
          <cell r="DF25">
            <v>0.14204545454545456</v>
          </cell>
          <cell r="DG25">
            <v>0.14359267734553777</v>
          </cell>
        </row>
        <row r="26">
          <cell r="C26" t="str">
            <v>Total Bill Hours</v>
          </cell>
          <cell r="E26">
            <v>1</v>
          </cell>
          <cell r="F26">
            <v>1</v>
          </cell>
          <cell r="G26">
            <v>1</v>
          </cell>
          <cell r="H26">
            <v>1</v>
          </cell>
          <cell r="I26">
            <v>1</v>
          </cell>
          <cell r="J26">
            <v>1</v>
          </cell>
          <cell r="K26">
            <v>7.5</v>
          </cell>
          <cell r="L26">
            <v>20.5</v>
          </cell>
          <cell r="M26">
            <v>57.25</v>
          </cell>
          <cell r="N26">
            <v>31</v>
          </cell>
          <cell r="O26">
            <v>15</v>
          </cell>
          <cell r="P26">
            <v>26.33</v>
          </cell>
          <cell r="Q26">
            <v>21.25</v>
          </cell>
          <cell r="R26">
            <v>21</v>
          </cell>
          <cell r="S26">
            <v>18.25</v>
          </cell>
          <cell r="T26">
            <v>42.25</v>
          </cell>
          <cell r="U26">
            <v>42</v>
          </cell>
          <cell r="V26">
            <v>31.75</v>
          </cell>
          <cell r="W26">
            <v>84.25</v>
          </cell>
          <cell r="X26">
            <v>130.5</v>
          </cell>
          <cell r="Y26">
            <v>136.25</v>
          </cell>
          <cell r="Z26">
            <v>84</v>
          </cell>
          <cell r="AA26">
            <v>34.5</v>
          </cell>
          <cell r="AB26">
            <v>45</v>
          </cell>
          <cell r="AC26">
            <v>74.5</v>
          </cell>
          <cell r="AD26">
            <v>60.25</v>
          </cell>
          <cell r="AE26">
            <v>69.75</v>
          </cell>
          <cell r="AF26">
            <v>89.5</v>
          </cell>
          <cell r="AG26">
            <v>59.5</v>
          </cell>
          <cell r="AH26">
            <v>135.75</v>
          </cell>
          <cell r="AI26">
            <v>221.75</v>
          </cell>
          <cell r="AJ26">
            <v>143.25</v>
          </cell>
          <cell r="AK26">
            <v>211.75</v>
          </cell>
          <cell r="AL26">
            <v>118.75</v>
          </cell>
          <cell r="AM26">
            <v>62.75</v>
          </cell>
          <cell r="AN26">
            <v>93.5</v>
          </cell>
          <cell r="AO26">
            <v>101</v>
          </cell>
          <cell r="AP26">
            <v>100.5</v>
          </cell>
          <cell r="AQ26">
            <v>47.75</v>
          </cell>
          <cell r="AR26">
            <v>75.75</v>
          </cell>
          <cell r="AS26">
            <v>63</v>
          </cell>
          <cell r="AT26">
            <v>139.75</v>
          </cell>
          <cell r="AU26">
            <v>212.52990430622009</v>
          </cell>
          <cell r="AV26">
            <v>153.64455782312925</v>
          </cell>
          <cell r="AW26">
            <v>197.63333333333333</v>
          </cell>
          <cell r="AX26">
            <v>110.96590909090909</v>
          </cell>
          <cell r="AY26">
            <v>126.64874141876432</v>
          </cell>
          <cell r="AZ26">
            <v>170.3732608695652</v>
          </cell>
          <cell r="BA26">
            <v>195.93999999999997</v>
          </cell>
          <cell r="BB26">
            <v>232.68142857142854</v>
          </cell>
          <cell r="BC26">
            <v>103.30608695652171</v>
          </cell>
          <cell r="BD26">
            <v>189.29924999999997</v>
          </cell>
          <cell r="BE26">
            <v>119.01119999999996</v>
          </cell>
          <cell r="BF26">
            <v>190.68433766233758</v>
          </cell>
          <cell r="BG26">
            <v>296.7842583732056</v>
          </cell>
          <cell r="BH26">
            <v>221.10523809523795</v>
          </cell>
          <cell r="BI26">
            <v>272.58976449275349</v>
          </cell>
          <cell r="BJ26">
            <v>183.27272727272717</v>
          </cell>
          <cell r="BK26">
            <v>199.08263157894726</v>
          </cell>
          <cell r="BL26">
            <v>229.38802173913029</v>
          </cell>
          <cell r="BM26">
            <v>273.88314285714267</v>
          </cell>
          <cell r="BN26">
            <v>344.59695238095213</v>
          </cell>
          <cell r="BO26">
            <v>148.11634782608684</v>
          </cell>
          <cell r="BP26">
            <v>270.36965454545441</v>
          </cell>
          <cell r="BQ26">
            <v>168.93887999999987</v>
          </cell>
          <cell r="BR26">
            <v>257.26777142857122</v>
          </cell>
          <cell r="BS26">
            <v>436.91752631578913</v>
          </cell>
          <cell r="BT26">
            <v>311.97706122448955</v>
          </cell>
          <cell r="BU26">
            <v>364.60127717391282</v>
          </cell>
          <cell r="BV26">
            <v>270.29999999999984</v>
          </cell>
          <cell r="BW26">
            <v>278.97989473684191</v>
          </cell>
          <cell r="BX26">
            <v>321.42779565217364</v>
          </cell>
          <cell r="BY26">
            <v>404.42621999999972</v>
          </cell>
          <cell r="BZ26">
            <v>480.05085238095194</v>
          </cell>
          <cell r="CA26">
            <v>187.90776284584962</v>
          </cell>
          <cell r="CB26">
            <v>411.71584909090876</v>
          </cell>
          <cell r="CC26">
            <v>234.61363199999974</v>
          </cell>
          <cell r="CD26">
            <v>340.29683999999969</v>
          </cell>
          <cell r="CE26">
            <v>638.75628612440119</v>
          </cell>
          <cell r="CF26">
            <v>419.91622857142818</v>
          </cell>
          <cell r="CG26">
            <v>540.14969927536185</v>
          </cell>
          <cell r="CH26">
            <v>385.54499999999973</v>
          </cell>
          <cell r="CI26">
            <v>361.07194324942759</v>
          </cell>
          <cell r="CJ26">
            <v>500.18011999999953</v>
          </cell>
          <cell r="CK26">
            <v>545.29495999999949</v>
          </cell>
          <cell r="CL26">
            <v>652.85284952380869</v>
          </cell>
          <cell r="CM26">
            <v>278.36466830039484</v>
          </cell>
          <cell r="CN26">
            <v>583.05441599999926</v>
          </cell>
          <cell r="CO26">
            <v>317.25872639999938</v>
          </cell>
          <cell r="CP26">
            <v>505.81003199999907</v>
          </cell>
          <cell r="CQ26">
            <v>899.62748478468734</v>
          </cell>
          <cell r="CR26">
            <v>562.74680816326429</v>
          </cell>
          <cell r="CS26">
            <v>797.99399166666524</v>
          </cell>
          <cell r="CT26">
            <v>541.88799999999901</v>
          </cell>
          <cell r="CU26">
            <v>509.3604917162462</v>
          </cell>
          <cell r="CV26">
            <v>703.68050133333202</v>
          </cell>
          <cell r="CW26">
            <v>768.03008685714155</v>
          </cell>
          <cell r="CX26">
            <v>873.62130799999841</v>
          </cell>
          <cell r="CY26">
            <v>409.67991930434704</v>
          </cell>
          <cell r="CZ26">
            <v>818.17681876363474</v>
          </cell>
          <cell r="DA26">
            <v>423.20363519999893</v>
          </cell>
          <cell r="DB26">
            <v>741.49077410908899</v>
          </cell>
          <cell r="DC26">
            <v>1207.5195974736812</v>
          </cell>
          <cell r="DD26">
            <v>826.14637942856939</v>
          </cell>
          <cell r="DE26">
            <v>1115.7799216666642</v>
          </cell>
          <cell r="DF26">
            <v>724.99464545454384</v>
          </cell>
          <cell r="DG26">
            <v>749.21020097024984</v>
          </cell>
        </row>
        <row r="27">
          <cell r="C27" t="str">
            <v>River Hours</v>
          </cell>
          <cell r="L27">
            <v>3.75</v>
          </cell>
          <cell r="M27">
            <v>14.75</v>
          </cell>
          <cell r="N27">
            <v>13.5</v>
          </cell>
          <cell r="O27">
            <v>14</v>
          </cell>
          <cell r="P27">
            <v>14</v>
          </cell>
          <cell r="Q27">
            <v>14</v>
          </cell>
          <cell r="R27">
            <v>5.5</v>
          </cell>
          <cell r="S27">
            <v>4.5</v>
          </cell>
          <cell r="T27">
            <v>5</v>
          </cell>
          <cell r="U27">
            <v>25.75</v>
          </cell>
          <cell r="V27">
            <v>11.75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</row>
        <row r="33">
          <cell r="C33" t="str">
            <v>Realized / Effective Bill Rate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50</v>
          </cell>
          <cell r="L33">
            <v>44.329896907216494</v>
          </cell>
          <cell r="M33">
            <v>52.291666666666664</v>
          </cell>
          <cell r="N33">
            <v>46.966292134831463</v>
          </cell>
          <cell r="O33">
            <v>70.08620689655173</v>
          </cell>
          <cell r="P33">
            <v>58.71591340676035</v>
          </cell>
          <cell r="Q33">
            <v>59.094117647058823</v>
          </cell>
          <cell r="R33">
            <v>57.464285714285715</v>
          </cell>
          <cell r="S33">
            <v>46.329230769230769</v>
          </cell>
          <cell r="T33">
            <v>58.862248520710054</v>
          </cell>
          <cell r="U33">
            <v>48.65309523809524</v>
          </cell>
          <cell r="V33">
            <v>53.5</v>
          </cell>
          <cell r="W33">
            <v>67.096303317535543</v>
          </cell>
          <cell r="X33">
            <v>67.096475095785436</v>
          </cell>
          <cell r="Y33">
            <v>60.156844036697251</v>
          </cell>
          <cell r="Z33">
            <v>58.787142857142854</v>
          </cell>
          <cell r="AA33">
            <v>62.159420289855071</v>
          </cell>
          <cell r="AB33">
            <v>66.711111111111109</v>
          </cell>
          <cell r="AC33">
            <v>58.489932885906043</v>
          </cell>
          <cell r="AD33">
            <v>57.751037344398341</v>
          </cell>
          <cell r="AE33">
            <v>57.605734767025091</v>
          </cell>
          <cell r="AF33">
            <v>60.559553072625697</v>
          </cell>
          <cell r="AG33">
            <v>72.407731092436975</v>
          </cell>
          <cell r="AH33">
            <v>66.746887661141812</v>
          </cell>
          <cell r="AI33">
            <v>63.635896279594135</v>
          </cell>
          <cell r="AJ33">
            <v>69.092495636998251</v>
          </cell>
          <cell r="AK33">
            <v>82.199527744982291</v>
          </cell>
          <cell r="AL33">
            <v>80.618947368421047</v>
          </cell>
          <cell r="AM33">
            <v>82.772908366533869</v>
          </cell>
          <cell r="AN33">
            <v>70.433155080213908</v>
          </cell>
          <cell r="AO33">
            <v>80.318019801980199</v>
          </cell>
          <cell r="AP33">
            <v>76.441492537313437</v>
          </cell>
          <cell r="AQ33">
            <v>78.66492146596859</v>
          </cell>
          <cell r="AR33">
            <v>79.795379537953792</v>
          </cell>
          <cell r="AS33">
            <v>109.77777777777777</v>
          </cell>
          <cell r="AT33">
            <v>106.83363148479428</v>
          </cell>
          <cell r="AU33">
            <v>81.062140303895134</v>
          </cell>
          <cell r="AV33">
            <v>78.992281304086788</v>
          </cell>
          <cell r="AW33">
            <v>79.178337503852603</v>
          </cell>
          <cell r="AX33">
            <v>79.376266940994441</v>
          </cell>
          <cell r="AY33">
            <v>77.821978661021191</v>
          </cell>
          <cell r="AZ33">
            <v>77.078161746069398</v>
          </cell>
          <cell r="BA33">
            <v>76.097396684710858</v>
          </cell>
          <cell r="BB33">
            <v>75.725367527466616</v>
          </cell>
          <cell r="BC33">
            <v>75.621943968445748</v>
          </cell>
          <cell r="BD33">
            <v>75.636803902552472</v>
          </cell>
          <cell r="BE33">
            <v>77.832473999225186</v>
          </cell>
          <cell r="BF33">
            <v>77.632832150409243</v>
          </cell>
          <cell r="BG33">
            <v>81.062140303895148</v>
          </cell>
          <cell r="BH33">
            <v>78.992281304086788</v>
          </cell>
          <cell r="BI33">
            <v>79.178337503852603</v>
          </cell>
          <cell r="BJ33">
            <v>79.376266940994455</v>
          </cell>
          <cell r="BK33">
            <v>77.821978661021191</v>
          </cell>
          <cell r="BL33">
            <v>77.078161746069412</v>
          </cell>
          <cell r="BM33">
            <v>76.097396684710858</v>
          </cell>
          <cell r="BN33">
            <v>75.725367527466602</v>
          </cell>
          <cell r="BO33">
            <v>75.621943968445748</v>
          </cell>
          <cell r="BP33">
            <v>75.636803902552458</v>
          </cell>
          <cell r="BQ33">
            <v>77.832473999225186</v>
          </cell>
          <cell r="BR33">
            <v>77.632832150409229</v>
          </cell>
          <cell r="BS33">
            <v>81.062140303895163</v>
          </cell>
          <cell r="BT33">
            <v>78.992281304086788</v>
          </cell>
          <cell r="BU33">
            <v>79.178337503852617</v>
          </cell>
          <cell r="BV33">
            <v>79.376266940994441</v>
          </cell>
          <cell r="BW33">
            <v>77.821978661021177</v>
          </cell>
          <cell r="BX33">
            <v>77.078161746069412</v>
          </cell>
          <cell r="BY33">
            <v>76.097396684710844</v>
          </cell>
          <cell r="BZ33">
            <v>75.725367527466602</v>
          </cell>
          <cell r="CA33">
            <v>75.621943968445734</v>
          </cell>
          <cell r="CB33">
            <v>75.636803902552472</v>
          </cell>
          <cell r="CC33">
            <v>77.832473999225201</v>
          </cell>
          <cell r="CD33">
            <v>77.632832150409243</v>
          </cell>
          <cell r="CE33">
            <v>81.062140303895148</v>
          </cell>
          <cell r="CF33">
            <v>78.992281304086774</v>
          </cell>
          <cell r="CG33">
            <v>79.178337503852632</v>
          </cell>
          <cell r="CH33">
            <v>79.376266940994441</v>
          </cell>
          <cell r="CI33">
            <v>77.821978661021191</v>
          </cell>
          <cell r="CJ33">
            <v>77.078161746069412</v>
          </cell>
          <cell r="CK33">
            <v>76.097396684710858</v>
          </cell>
          <cell r="CL33">
            <v>75.725367527466616</v>
          </cell>
          <cell r="CM33">
            <v>75.621943968445748</v>
          </cell>
          <cell r="CN33">
            <v>75.636803902552458</v>
          </cell>
          <cell r="CO33">
            <v>77.832473999225186</v>
          </cell>
          <cell r="CP33">
            <v>77.632832150409243</v>
          </cell>
          <cell r="CQ33">
            <v>81.062140303895148</v>
          </cell>
          <cell r="CR33">
            <v>78.992281304086774</v>
          </cell>
          <cell r="CS33">
            <v>79.178337503852617</v>
          </cell>
          <cell r="CT33">
            <v>79.376266940994441</v>
          </cell>
          <cell r="CU33">
            <v>77.821978661021177</v>
          </cell>
          <cell r="CV33">
            <v>77.078161746069412</v>
          </cell>
          <cell r="CW33">
            <v>76.097396684710844</v>
          </cell>
          <cell r="CX33">
            <v>75.725367527466602</v>
          </cell>
          <cell r="CY33">
            <v>75.621943968445748</v>
          </cell>
          <cell r="CZ33">
            <v>75.636803902552472</v>
          </cell>
          <cell r="DA33">
            <v>77.832473999225215</v>
          </cell>
          <cell r="DB33">
            <v>77.632832150409229</v>
          </cell>
          <cell r="DC33">
            <v>81.062140303895148</v>
          </cell>
          <cell r="DD33">
            <v>78.992281304086774</v>
          </cell>
          <cell r="DE33">
            <v>79.178337503852632</v>
          </cell>
          <cell r="DF33">
            <v>79.376266940994441</v>
          </cell>
          <cell r="DG33">
            <v>77.821978661021177</v>
          </cell>
        </row>
        <row r="49">
          <cell r="C49" t="str">
            <v>Utilization %</v>
          </cell>
          <cell r="E49">
            <v>5.4824561403508769E-4</v>
          </cell>
          <cell r="F49">
            <v>6.793478260869565E-4</v>
          </cell>
          <cell r="G49">
            <v>8.5034013605442174E-4</v>
          </cell>
          <cell r="H49">
            <v>5.9523809523809518E-4</v>
          </cell>
          <cell r="I49">
            <v>4.3706293706293706E-4</v>
          </cell>
          <cell r="J49">
            <v>5.6818181818181826E-4</v>
          </cell>
          <cell r="K49">
            <v>8.152173913043478E-3</v>
          </cell>
          <cell r="L49">
            <v>1.3558201058201057E-2</v>
          </cell>
          <cell r="M49">
            <v>2.0045518207282915E-2</v>
          </cell>
          <cell r="N49">
            <v>1.6774891774891776E-2</v>
          </cell>
          <cell r="O49">
            <v>1.2755102040816327E-2</v>
          </cell>
          <cell r="P49">
            <v>1.3060515873015871E-2</v>
          </cell>
          <cell r="Q49">
            <v>1.3980263157894737E-2</v>
          </cell>
          <cell r="R49">
            <v>1.141304347826087E-2</v>
          </cell>
          <cell r="S49">
            <v>1.6294642857142858E-2</v>
          </cell>
          <cell r="T49">
            <v>2.6672979797979796E-2</v>
          </cell>
          <cell r="U49">
            <v>1.8356643356643356E-2</v>
          </cell>
          <cell r="V49">
            <v>2.4804687499999999E-2</v>
          </cell>
          <cell r="W49">
            <v>2.4098970251716246E-2</v>
          </cell>
          <cell r="X49">
            <v>2.8125000000000001E-2</v>
          </cell>
          <cell r="Y49">
            <v>2.4192116477272728E-2</v>
          </cell>
          <cell r="Z49">
            <v>1.6406250000000001E-2</v>
          </cell>
          <cell r="AA49">
            <v>1.1945983379501385E-2</v>
          </cell>
          <cell r="AB49">
            <v>1.5980113636363636E-2</v>
          </cell>
          <cell r="AC49">
            <v>2.9563492063492063E-2</v>
          </cell>
          <cell r="AD49">
            <v>1.7931547619047618E-2</v>
          </cell>
          <cell r="AE49">
            <v>2.3312165775401069E-2</v>
          </cell>
          <cell r="AF49">
            <v>2.4320652173913042E-2</v>
          </cell>
          <cell r="AG49">
            <v>1.5494791666666667E-2</v>
          </cell>
          <cell r="AH49">
            <v>2.5710227272727273E-2</v>
          </cell>
          <cell r="AI49">
            <v>3.3156399521531099E-2</v>
          </cell>
          <cell r="AJ49">
            <v>2.0301870748299318E-2</v>
          </cell>
          <cell r="AK49">
            <v>2.3975317028985508E-2</v>
          </cell>
          <cell r="AL49">
            <v>1.775568181818182E-2</v>
          </cell>
          <cell r="AM49">
            <v>1.7949084668192221E-2</v>
          </cell>
          <cell r="AN49">
            <v>2.1173007246376812E-2</v>
          </cell>
          <cell r="AO49">
            <v>2.2544642857142857E-2</v>
          </cell>
          <cell r="AP49">
            <v>2.4925595238095236E-2</v>
          </cell>
          <cell r="AQ49">
            <v>1.179594861660079E-2</v>
          </cell>
          <cell r="AR49">
            <v>2.1519886363636366E-2</v>
          </cell>
          <cell r="AS49">
            <v>1.4999999999999999E-2</v>
          </cell>
          <cell r="AT49">
            <v>2.2686688311688314E-2</v>
          </cell>
          <cell r="AU49">
            <v>3.3156399521531099E-2</v>
          </cell>
          <cell r="AV49">
            <v>2.0301870748299318E-2</v>
          </cell>
          <cell r="AW49">
            <v>2.3975317028985508E-2</v>
          </cell>
          <cell r="AX49">
            <v>1.775568181818182E-2</v>
          </cell>
          <cell r="AY49">
            <v>1.7949084668192221E-2</v>
          </cell>
          <cell r="AZ49">
            <v>2.1173007246376812E-2</v>
          </cell>
          <cell r="BA49">
            <v>2.2544642857142857E-2</v>
          </cell>
          <cell r="BB49">
            <v>2.4925595238095236E-2</v>
          </cell>
          <cell r="BC49">
            <v>1.179594861660079E-2</v>
          </cell>
          <cell r="BD49">
            <v>2.1519886363636366E-2</v>
          </cell>
          <cell r="BE49">
            <v>1.4999999999999999E-2</v>
          </cell>
          <cell r="BF49">
            <v>2.2686688311688314E-2</v>
          </cell>
          <cell r="BG49">
            <v>3.3156399521531099E-2</v>
          </cell>
          <cell r="BH49">
            <v>2.0301870748299318E-2</v>
          </cell>
          <cell r="BI49">
            <v>2.3975317028985508E-2</v>
          </cell>
          <cell r="BJ49">
            <v>1.775568181818182E-2</v>
          </cell>
          <cell r="BK49">
            <v>1.7949084668192221E-2</v>
          </cell>
          <cell r="BL49">
            <v>2.1173007246376812E-2</v>
          </cell>
          <cell r="BM49">
            <v>2.2544642857142857E-2</v>
          </cell>
          <cell r="BN49">
            <v>2.4925595238095236E-2</v>
          </cell>
          <cell r="BO49">
            <v>1.179594861660079E-2</v>
          </cell>
          <cell r="BP49">
            <v>2.1519886363636366E-2</v>
          </cell>
          <cell r="BQ49">
            <v>1.4999999999999999E-2</v>
          </cell>
          <cell r="BR49">
            <v>2.2686688311688314E-2</v>
          </cell>
          <cell r="BS49">
            <v>3.3156399521531099E-2</v>
          </cell>
          <cell r="BT49">
            <v>2.0301870748299318E-2</v>
          </cell>
          <cell r="BU49">
            <v>2.3975317028985508E-2</v>
          </cell>
          <cell r="BV49">
            <v>1.775568181818182E-2</v>
          </cell>
          <cell r="BW49">
            <v>1.7949084668192221E-2</v>
          </cell>
          <cell r="BX49">
            <v>2.1173007246376812E-2</v>
          </cell>
          <cell r="BY49">
            <v>2.2544642857142857E-2</v>
          </cell>
          <cell r="BZ49">
            <v>2.4925595238095236E-2</v>
          </cell>
          <cell r="CA49">
            <v>1.179594861660079E-2</v>
          </cell>
          <cell r="CB49">
            <v>2.1519886363636366E-2</v>
          </cell>
          <cell r="CC49">
            <v>1.4999999999999999E-2</v>
          </cell>
          <cell r="CD49">
            <v>2.2686688311688314E-2</v>
          </cell>
          <cell r="CE49">
            <v>3.3156399521531099E-2</v>
          </cell>
          <cell r="CF49">
            <v>2.0301870748299318E-2</v>
          </cell>
          <cell r="CG49">
            <v>2.3975317028985508E-2</v>
          </cell>
          <cell r="CH49">
            <v>1.775568181818182E-2</v>
          </cell>
          <cell r="CI49">
            <v>1.7949084668192221E-2</v>
          </cell>
          <cell r="CJ49">
            <v>2.1173007246376812E-2</v>
          </cell>
          <cell r="CK49">
            <v>2.2544642857142857E-2</v>
          </cell>
          <cell r="CL49">
            <v>2.4925595238095236E-2</v>
          </cell>
          <cell r="CM49">
            <v>1.179594861660079E-2</v>
          </cell>
          <cell r="CN49">
            <v>2.1519886363636366E-2</v>
          </cell>
          <cell r="CO49">
            <v>1.4999999999999999E-2</v>
          </cell>
          <cell r="CP49">
            <v>2.2686688311688314E-2</v>
          </cell>
          <cell r="CQ49">
            <v>3.3156399521531099E-2</v>
          </cell>
          <cell r="CR49">
            <v>2.0301870748299318E-2</v>
          </cell>
          <cell r="CS49">
            <v>2.3975317028985508E-2</v>
          </cell>
          <cell r="CT49">
            <v>1.775568181818182E-2</v>
          </cell>
          <cell r="CU49">
            <v>1.7949084668192221E-2</v>
          </cell>
          <cell r="CV49">
            <v>2.1173007246376812E-2</v>
          </cell>
          <cell r="CW49">
            <v>2.2544642857142857E-2</v>
          </cell>
          <cell r="CX49">
            <v>2.4925595238095236E-2</v>
          </cell>
          <cell r="CY49">
            <v>1.179594861660079E-2</v>
          </cell>
          <cell r="CZ49">
            <v>2.1519886363636366E-2</v>
          </cell>
          <cell r="DA49">
            <v>1.4999999999999999E-2</v>
          </cell>
          <cell r="DB49">
            <v>2.2686688311688314E-2</v>
          </cell>
          <cell r="DC49">
            <v>3.3156399521531099E-2</v>
          </cell>
          <cell r="DD49">
            <v>2.0301870748299318E-2</v>
          </cell>
          <cell r="DE49">
            <v>2.3975317028985508E-2</v>
          </cell>
          <cell r="DF49">
            <v>1.775568181818182E-2</v>
          </cell>
          <cell r="DG49">
            <v>1.7949084668192221E-2</v>
          </cell>
        </row>
        <row r="69">
          <cell r="B69" t="str">
            <v xml:space="preserve">   30200 Events/Sponsorships</v>
          </cell>
          <cell r="AC69">
            <v>1179.44</v>
          </cell>
          <cell r="AE69">
            <v>2400</v>
          </cell>
          <cell r="AG69">
            <v>665.56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G69">
            <v>0</v>
          </cell>
        </row>
        <row r="83">
          <cell r="B83" t="str">
            <v xml:space="preserve">      60200 Computer &amp; Software Expenses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12</v>
          </cell>
          <cell r="M83">
            <v>271.2</v>
          </cell>
          <cell r="N83">
            <v>12</v>
          </cell>
          <cell r="O83">
            <v>12</v>
          </cell>
          <cell r="P83">
            <v>12</v>
          </cell>
          <cell r="Q83">
            <v>12</v>
          </cell>
          <cell r="R83">
            <v>12</v>
          </cell>
          <cell r="S83">
            <v>12</v>
          </cell>
          <cell r="T83">
            <v>53</v>
          </cell>
          <cell r="U83">
            <v>156</v>
          </cell>
          <cell r="V83">
            <v>12</v>
          </cell>
          <cell r="W83">
            <v>12</v>
          </cell>
          <cell r="X83">
            <v>240.91</v>
          </cell>
          <cell r="Y83">
            <v>352.91</v>
          </cell>
          <cell r="Z83">
            <v>28.91</v>
          </cell>
          <cell r="AA83">
            <v>28.91</v>
          </cell>
          <cell r="AB83">
            <v>78.91</v>
          </cell>
          <cell r="AC83">
            <v>28.91</v>
          </cell>
          <cell r="AD83">
            <v>86.19</v>
          </cell>
          <cell r="AE83">
            <v>12</v>
          </cell>
          <cell r="AF83">
            <v>154.47</v>
          </cell>
          <cell r="AG83">
            <v>310.12</v>
          </cell>
          <cell r="AH83">
            <v>1251.1300000000001</v>
          </cell>
          <cell r="AI83">
            <v>14.81</v>
          </cell>
          <cell r="AJ83">
            <v>76.75</v>
          </cell>
          <cell r="AK83">
            <v>90.81</v>
          </cell>
          <cell r="AL83">
            <v>100.41</v>
          </cell>
          <cell r="AM83">
            <v>107.82</v>
          </cell>
          <cell r="AN83">
            <v>218.17</v>
          </cell>
          <cell r="AO83">
            <v>118.63</v>
          </cell>
          <cell r="AP83">
            <v>118.81</v>
          </cell>
          <cell r="AQ83">
            <v>202.32</v>
          </cell>
          <cell r="AR83">
            <v>241.38</v>
          </cell>
          <cell r="AS83">
            <v>433.68</v>
          </cell>
          <cell r="AT83">
            <v>209.45</v>
          </cell>
          <cell r="AU83">
            <v>150</v>
          </cell>
          <cell r="AV83">
            <v>150</v>
          </cell>
          <cell r="AW83">
            <v>150</v>
          </cell>
          <cell r="AX83">
            <v>150</v>
          </cell>
          <cell r="AY83">
            <v>150</v>
          </cell>
          <cell r="AZ83">
            <v>191.89</v>
          </cell>
          <cell r="BA83">
            <v>191.89</v>
          </cell>
          <cell r="BB83">
            <v>191.89</v>
          </cell>
          <cell r="BC83">
            <v>191.89</v>
          </cell>
          <cell r="BD83">
            <v>191.89</v>
          </cell>
          <cell r="BE83">
            <v>191.89</v>
          </cell>
          <cell r="BF83">
            <v>191.89</v>
          </cell>
          <cell r="BG83">
            <v>191.89</v>
          </cell>
          <cell r="BH83">
            <v>191.89</v>
          </cell>
          <cell r="BI83">
            <v>191.89</v>
          </cell>
          <cell r="BJ83">
            <v>191.89</v>
          </cell>
          <cell r="BK83">
            <v>191.89</v>
          </cell>
          <cell r="BL83">
            <v>230.26799999999997</v>
          </cell>
          <cell r="BM83">
            <v>230.26799999999997</v>
          </cell>
          <cell r="BN83">
            <v>230.26799999999997</v>
          </cell>
          <cell r="BO83">
            <v>230.26799999999997</v>
          </cell>
          <cell r="BP83">
            <v>230.26799999999997</v>
          </cell>
          <cell r="BQ83">
            <v>230.26799999999997</v>
          </cell>
          <cell r="BR83">
            <v>230.26799999999997</v>
          </cell>
          <cell r="BS83">
            <v>230.26799999999997</v>
          </cell>
          <cell r="BT83">
            <v>230.26799999999997</v>
          </cell>
          <cell r="BU83">
            <v>230.26799999999997</v>
          </cell>
          <cell r="BV83">
            <v>230.26799999999997</v>
          </cell>
          <cell r="BW83">
            <v>230.26799999999997</v>
          </cell>
          <cell r="BX83">
            <v>276.32159999999999</v>
          </cell>
          <cell r="BY83">
            <v>276.32159999999999</v>
          </cell>
          <cell r="BZ83">
            <v>276.32159999999999</v>
          </cell>
          <cell r="CA83">
            <v>276.32159999999999</v>
          </cell>
          <cell r="CB83">
            <v>276.32159999999999</v>
          </cell>
          <cell r="CC83">
            <v>276.32159999999999</v>
          </cell>
          <cell r="CD83">
            <v>276.32159999999999</v>
          </cell>
          <cell r="CE83">
            <v>276.32159999999999</v>
          </cell>
          <cell r="CF83">
            <v>276.32159999999999</v>
          </cell>
          <cell r="CG83">
            <v>276.32159999999999</v>
          </cell>
          <cell r="CH83">
            <v>276.32159999999999</v>
          </cell>
          <cell r="CI83">
            <v>276.32159999999999</v>
          </cell>
          <cell r="CJ83">
            <v>331.58591999999999</v>
          </cell>
          <cell r="CK83">
            <v>331.58591999999999</v>
          </cell>
          <cell r="CL83">
            <v>331.58591999999999</v>
          </cell>
          <cell r="CM83">
            <v>331.58591999999999</v>
          </cell>
          <cell r="CN83">
            <v>331.58591999999999</v>
          </cell>
          <cell r="CO83">
            <v>331.58591999999999</v>
          </cell>
          <cell r="CP83">
            <v>331.58591999999999</v>
          </cell>
          <cell r="CQ83">
            <v>331.58591999999999</v>
          </cell>
          <cell r="CR83">
            <v>331.58591999999999</v>
          </cell>
          <cell r="CS83">
            <v>331.58591999999999</v>
          </cell>
          <cell r="CT83">
            <v>331.58591999999999</v>
          </cell>
          <cell r="CU83">
            <v>331.58591999999999</v>
          </cell>
          <cell r="CV83">
            <v>397.90310399999998</v>
          </cell>
          <cell r="CW83">
            <v>397.90310399999998</v>
          </cell>
          <cell r="CX83">
            <v>397.90310399999998</v>
          </cell>
          <cell r="CY83">
            <v>397.90310399999998</v>
          </cell>
          <cell r="CZ83">
            <v>397.90310399999998</v>
          </cell>
          <cell r="DA83">
            <v>397.90310399999998</v>
          </cell>
          <cell r="DB83">
            <v>397.90310399999998</v>
          </cell>
          <cell r="DC83">
            <v>397.90310399999998</v>
          </cell>
          <cell r="DD83">
            <v>397.90310399999998</v>
          </cell>
          <cell r="DE83">
            <v>397.90310399999998</v>
          </cell>
          <cell r="DF83">
            <v>397.90310399999998</v>
          </cell>
          <cell r="DG83">
            <v>397.90310399999998</v>
          </cell>
        </row>
        <row r="84">
          <cell r="B84" t="str">
            <v xml:space="preserve">      60300 Donations/Gifts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50</v>
          </cell>
          <cell r="N84">
            <v>250</v>
          </cell>
          <cell r="O84">
            <v>0</v>
          </cell>
          <cell r="X84">
            <v>150</v>
          </cell>
          <cell r="Z84">
            <v>430</v>
          </cell>
          <cell r="AD84">
            <v>50</v>
          </cell>
          <cell r="AF84">
            <v>141.19</v>
          </cell>
          <cell r="AJ84">
            <v>80</v>
          </cell>
          <cell r="AK84">
            <v>65</v>
          </cell>
          <cell r="AL84">
            <v>387.9</v>
          </cell>
          <cell r="AM84">
            <v>45</v>
          </cell>
          <cell r="AN84">
            <v>485</v>
          </cell>
          <cell r="AO84">
            <v>424</v>
          </cell>
          <cell r="AP84">
            <v>152.63</v>
          </cell>
          <cell r="AR84">
            <v>346.05</v>
          </cell>
          <cell r="AS84">
            <v>100</v>
          </cell>
          <cell r="AT84">
            <v>79.040000000000006</v>
          </cell>
          <cell r="AU84">
            <v>100</v>
          </cell>
          <cell r="AV84">
            <v>100</v>
          </cell>
          <cell r="AW84">
            <v>50</v>
          </cell>
          <cell r="AX84">
            <v>50</v>
          </cell>
          <cell r="AY84">
            <v>50</v>
          </cell>
          <cell r="AZ84">
            <v>50</v>
          </cell>
          <cell r="BA84">
            <v>50</v>
          </cell>
          <cell r="BB84">
            <v>50</v>
          </cell>
          <cell r="BC84">
            <v>50</v>
          </cell>
          <cell r="BD84">
            <v>50</v>
          </cell>
          <cell r="BE84">
            <v>50</v>
          </cell>
          <cell r="BF84">
            <v>50</v>
          </cell>
          <cell r="BG84">
            <v>50</v>
          </cell>
          <cell r="BH84">
            <v>50</v>
          </cell>
          <cell r="BI84">
            <v>50</v>
          </cell>
          <cell r="BJ84">
            <v>50</v>
          </cell>
          <cell r="BK84">
            <v>50</v>
          </cell>
          <cell r="BL84">
            <v>50</v>
          </cell>
          <cell r="BM84">
            <v>50</v>
          </cell>
          <cell r="BN84">
            <v>50</v>
          </cell>
          <cell r="BO84">
            <v>50</v>
          </cell>
          <cell r="BP84">
            <v>50</v>
          </cell>
          <cell r="BQ84">
            <v>50</v>
          </cell>
          <cell r="BR84">
            <v>50</v>
          </cell>
          <cell r="BS84">
            <v>50</v>
          </cell>
          <cell r="BT84">
            <v>50</v>
          </cell>
          <cell r="BU84">
            <v>50</v>
          </cell>
          <cell r="BV84">
            <v>50</v>
          </cell>
          <cell r="BW84">
            <v>50</v>
          </cell>
          <cell r="BX84">
            <v>50</v>
          </cell>
          <cell r="BY84">
            <v>50</v>
          </cell>
          <cell r="BZ84">
            <v>50</v>
          </cell>
          <cell r="CA84">
            <v>50</v>
          </cell>
          <cell r="CB84">
            <v>50</v>
          </cell>
          <cell r="CC84">
            <v>50</v>
          </cell>
          <cell r="CD84">
            <v>50</v>
          </cell>
          <cell r="CE84">
            <v>50</v>
          </cell>
          <cell r="CF84">
            <v>50</v>
          </cell>
          <cell r="CG84">
            <v>50</v>
          </cell>
          <cell r="CH84">
            <v>50</v>
          </cell>
          <cell r="CI84">
            <v>50</v>
          </cell>
          <cell r="CJ84">
            <v>50</v>
          </cell>
          <cell r="CK84">
            <v>50</v>
          </cell>
          <cell r="CL84">
            <v>50</v>
          </cell>
          <cell r="CM84">
            <v>50</v>
          </cell>
          <cell r="CN84">
            <v>50</v>
          </cell>
          <cell r="CO84">
            <v>50</v>
          </cell>
          <cell r="CP84">
            <v>50</v>
          </cell>
          <cell r="CQ84">
            <v>50</v>
          </cell>
          <cell r="CR84">
            <v>50</v>
          </cell>
          <cell r="CS84">
            <v>50</v>
          </cell>
          <cell r="CT84">
            <v>50</v>
          </cell>
          <cell r="CU84">
            <v>50</v>
          </cell>
          <cell r="CV84">
            <v>50</v>
          </cell>
          <cell r="CW84">
            <v>50</v>
          </cell>
          <cell r="CX84">
            <v>50</v>
          </cell>
          <cell r="CY84">
            <v>50</v>
          </cell>
          <cell r="CZ84">
            <v>50</v>
          </cell>
          <cell r="DA84">
            <v>50</v>
          </cell>
          <cell r="DB84">
            <v>50</v>
          </cell>
          <cell r="DC84">
            <v>50</v>
          </cell>
          <cell r="DD84">
            <v>50</v>
          </cell>
          <cell r="DE84">
            <v>50</v>
          </cell>
          <cell r="DF84">
            <v>50</v>
          </cell>
          <cell r="DG84">
            <v>50</v>
          </cell>
        </row>
        <row r="85">
          <cell r="B85" t="str">
            <v xml:space="preserve">      60400 Fees/Subscriptions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15</v>
          </cell>
          <cell r="M85">
            <v>19</v>
          </cell>
          <cell r="N85">
            <v>0</v>
          </cell>
          <cell r="O85">
            <v>0</v>
          </cell>
          <cell r="Y85">
            <v>13.86</v>
          </cell>
          <cell r="AI85">
            <v>42.58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</row>
        <row r="86">
          <cell r="B86" t="str">
            <v xml:space="preserve">      60500 Finance &amp; Accounting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279.60000000000002</v>
          </cell>
          <cell r="N86">
            <v>75</v>
          </cell>
          <cell r="O86">
            <v>75</v>
          </cell>
          <cell r="P86">
            <v>75</v>
          </cell>
          <cell r="Q86">
            <v>75</v>
          </cell>
          <cell r="S86">
            <v>75</v>
          </cell>
          <cell r="T86">
            <v>165</v>
          </cell>
          <cell r="U86">
            <v>225</v>
          </cell>
          <cell r="V86">
            <v>75</v>
          </cell>
          <cell r="W86">
            <v>75</v>
          </cell>
          <cell r="X86">
            <v>225</v>
          </cell>
          <cell r="Y86">
            <v>75</v>
          </cell>
          <cell r="Z86">
            <v>75</v>
          </cell>
          <cell r="AA86">
            <v>225</v>
          </cell>
          <cell r="AB86">
            <v>75</v>
          </cell>
          <cell r="AC86">
            <v>112.5</v>
          </cell>
          <cell r="AD86">
            <v>225</v>
          </cell>
          <cell r="AE86">
            <v>75</v>
          </cell>
          <cell r="AF86">
            <v>75</v>
          </cell>
          <cell r="AG86">
            <v>225</v>
          </cell>
          <cell r="AH86">
            <v>185</v>
          </cell>
          <cell r="AI86">
            <v>207.5</v>
          </cell>
          <cell r="AJ86">
            <v>208.75</v>
          </cell>
          <cell r="AK86">
            <v>350</v>
          </cell>
          <cell r="AL86">
            <v>241.25</v>
          </cell>
          <cell r="AM86">
            <v>140</v>
          </cell>
          <cell r="AN86">
            <v>711.25</v>
          </cell>
          <cell r="AO86">
            <v>412.5</v>
          </cell>
          <cell r="AP86">
            <v>1155.73</v>
          </cell>
          <cell r="AQ86">
            <v>415</v>
          </cell>
          <cell r="AR86">
            <v>356.25</v>
          </cell>
          <cell r="AS86">
            <v>281.25</v>
          </cell>
          <cell r="AT86">
            <v>450</v>
          </cell>
          <cell r="AU86">
            <v>500</v>
          </cell>
          <cell r="AV86">
            <v>325</v>
          </cell>
          <cell r="AW86">
            <v>500</v>
          </cell>
          <cell r="AX86">
            <v>325</v>
          </cell>
          <cell r="AY86">
            <v>325</v>
          </cell>
          <cell r="AZ86">
            <v>500</v>
          </cell>
          <cell r="BA86">
            <v>325</v>
          </cell>
          <cell r="BB86">
            <v>325</v>
          </cell>
          <cell r="BC86">
            <v>500</v>
          </cell>
          <cell r="BD86">
            <v>325</v>
          </cell>
          <cell r="BE86">
            <v>325</v>
          </cell>
          <cell r="BF86">
            <v>500</v>
          </cell>
          <cell r="BG86">
            <v>325</v>
          </cell>
          <cell r="BH86">
            <v>325</v>
          </cell>
          <cell r="BI86">
            <v>500</v>
          </cell>
          <cell r="BJ86">
            <v>325</v>
          </cell>
          <cell r="BK86">
            <v>325</v>
          </cell>
          <cell r="BL86">
            <v>500</v>
          </cell>
          <cell r="BM86">
            <v>325</v>
          </cell>
          <cell r="BN86">
            <v>325</v>
          </cell>
          <cell r="BO86">
            <v>500</v>
          </cell>
          <cell r="BP86">
            <v>325</v>
          </cell>
          <cell r="BQ86">
            <v>325</v>
          </cell>
          <cell r="BR86">
            <v>500</v>
          </cell>
          <cell r="BS86">
            <v>325</v>
          </cell>
          <cell r="BT86">
            <v>325</v>
          </cell>
          <cell r="BU86">
            <v>500</v>
          </cell>
          <cell r="BV86">
            <v>325</v>
          </cell>
          <cell r="BW86">
            <v>325</v>
          </cell>
          <cell r="BX86">
            <v>500</v>
          </cell>
          <cell r="BY86">
            <v>325</v>
          </cell>
          <cell r="BZ86">
            <v>325</v>
          </cell>
          <cell r="CA86">
            <v>500</v>
          </cell>
          <cell r="CB86">
            <v>325</v>
          </cell>
          <cell r="CC86">
            <v>325</v>
          </cell>
          <cell r="CD86">
            <v>500</v>
          </cell>
          <cell r="CE86">
            <v>325</v>
          </cell>
          <cell r="CF86">
            <v>325</v>
          </cell>
          <cell r="CG86">
            <v>500</v>
          </cell>
          <cell r="CH86">
            <v>325</v>
          </cell>
          <cell r="CI86">
            <v>325</v>
          </cell>
          <cell r="CJ86">
            <v>500</v>
          </cell>
          <cell r="CK86">
            <v>325</v>
          </cell>
          <cell r="CL86">
            <v>325</v>
          </cell>
          <cell r="CM86">
            <v>500</v>
          </cell>
          <cell r="CN86">
            <v>325</v>
          </cell>
          <cell r="CO86">
            <v>325</v>
          </cell>
          <cell r="CP86">
            <v>500</v>
          </cell>
          <cell r="CQ86">
            <v>325</v>
          </cell>
          <cell r="CR86">
            <v>325</v>
          </cell>
          <cell r="CS86">
            <v>500</v>
          </cell>
          <cell r="CT86">
            <v>325</v>
          </cell>
          <cell r="CU86">
            <v>325</v>
          </cell>
          <cell r="CV86">
            <v>500</v>
          </cell>
          <cell r="CW86">
            <v>325</v>
          </cell>
          <cell r="CX86">
            <v>325</v>
          </cell>
          <cell r="CY86">
            <v>500</v>
          </cell>
          <cell r="CZ86">
            <v>325</v>
          </cell>
          <cell r="DA86">
            <v>325</v>
          </cell>
          <cell r="DB86">
            <v>500</v>
          </cell>
          <cell r="DC86">
            <v>325</v>
          </cell>
          <cell r="DD86">
            <v>325</v>
          </cell>
          <cell r="DE86">
            <v>500</v>
          </cell>
          <cell r="DF86">
            <v>325</v>
          </cell>
          <cell r="DG86">
            <v>325</v>
          </cell>
        </row>
        <row r="87">
          <cell r="B87" t="str">
            <v xml:space="preserve">      60600 Bank Fees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26.86</v>
          </cell>
          <cell r="N87">
            <v>105.23</v>
          </cell>
          <cell r="O87">
            <v>22.43</v>
          </cell>
          <cell r="P87">
            <v>118.13</v>
          </cell>
          <cell r="Q87">
            <v>36.76</v>
          </cell>
          <cell r="R87">
            <v>63.36</v>
          </cell>
          <cell r="S87">
            <v>153.85</v>
          </cell>
          <cell r="T87">
            <v>72.88</v>
          </cell>
          <cell r="U87">
            <v>27.48</v>
          </cell>
          <cell r="V87">
            <v>17.2</v>
          </cell>
          <cell r="W87">
            <v>33.76</v>
          </cell>
          <cell r="X87">
            <v>48.31</v>
          </cell>
          <cell r="Y87">
            <v>29</v>
          </cell>
          <cell r="Z87">
            <v>29</v>
          </cell>
          <cell r="AD87">
            <v>1.75</v>
          </cell>
          <cell r="AE87">
            <v>4.55</v>
          </cell>
          <cell r="AF87">
            <v>3.5</v>
          </cell>
          <cell r="AH87">
            <v>31.6</v>
          </cell>
          <cell r="AK87">
            <v>29</v>
          </cell>
          <cell r="AP87">
            <v>52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10.4</v>
          </cell>
          <cell r="AV87">
            <v>10.4</v>
          </cell>
          <cell r="AW87">
            <v>10.4</v>
          </cell>
          <cell r="AX87">
            <v>10.4</v>
          </cell>
          <cell r="AY87">
            <v>10.4</v>
          </cell>
          <cell r="AZ87">
            <v>10.4</v>
          </cell>
          <cell r="BA87">
            <v>10.4</v>
          </cell>
          <cell r="BB87">
            <v>10.4</v>
          </cell>
          <cell r="BC87">
            <v>10.4</v>
          </cell>
          <cell r="BD87">
            <v>10.4</v>
          </cell>
          <cell r="BE87">
            <v>10.4</v>
          </cell>
          <cell r="BF87">
            <v>10.4</v>
          </cell>
          <cell r="BG87">
            <v>10.4</v>
          </cell>
          <cell r="BH87">
            <v>10.4</v>
          </cell>
          <cell r="BI87">
            <v>10.4</v>
          </cell>
          <cell r="BJ87">
            <v>10.4</v>
          </cell>
          <cell r="BK87">
            <v>10.4</v>
          </cell>
          <cell r="BL87">
            <v>10.4</v>
          </cell>
          <cell r="BM87">
            <v>10.4</v>
          </cell>
          <cell r="BN87">
            <v>10.4</v>
          </cell>
          <cell r="BO87">
            <v>10.4</v>
          </cell>
          <cell r="BP87">
            <v>10.4</v>
          </cell>
          <cell r="BQ87">
            <v>10.4</v>
          </cell>
          <cell r="BR87">
            <v>10.4</v>
          </cell>
          <cell r="BS87">
            <v>10.4</v>
          </cell>
          <cell r="BT87">
            <v>10.4</v>
          </cell>
          <cell r="BU87">
            <v>10.4</v>
          </cell>
          <cell r="BV87">
            <v>10.4</v>
          </cell>
          <cell r="BW87">
            <v>10.4</v>
          </cell>
          <cell r="BX87">
            <v>10.4</v>
          </cell>
          <cell r="BY87">
            <v>10.4</v>
          </cell>
          <cell r="BZ87">
            <v>10.4</v>
          </cell>
          <cell r="CA87">
            <v>10.4</v>
          </cell>
          <cell r="CB87">
            <v>10.4</v>
          </cell>
          <cell r="CC87">
            <v>10.4</v>
          </cell>
          <cell r="CD87">
            <v>10.4</v>
          </cell>
          <cell r="CE87">
            <v>10.4</v>
          </cell>
          <cell r="CF87">
            <v>10.4</v>
          </cell>
          <cell r="CG87">
            <v>10.4</v>
          </cell>
          <cell r="CH87">
            <v>10.4</v>
          </cell>
          <cell r="CI87">
            <v>10.4</v>
          </cell>
          <cell r="CJ87">
            <v>10.4</v>
          </cell>
          <cell r="CK87">
            <v>10.4</v>
          </cell>
          <cell r="CL87">
            <v>10.4</v>
          </cell>
          <cell r="CM87">
            <v>10.4</v>
          </cell>
          <cell r="CN87">
            <v>10.4</v>
          </cell>
          <cell r="CO87">
            <v>10.4</v>
          </cell>
          <cell r="CP87">
            <v>10.4</v>
          </cell>
          <cell r="CQ87">
            <v>10.4</v>
          </cell>
          <cell r="CR87">
            <v>10.4</v>
          </cell>
          <cell r="CS87">
            <v>10.4</v>
          </cell>
          <cell r="CT87">
            <v>10.4</v>
          </cell>
          <cell r="CU87">
            <v>10.4</v>
          </cell>
          <cell r="CV87">
            <v>10.4</v>
          </cell>
          <cell r="CW87">
            <v>10.4</v>
          </cell>
          <cell r="CX87">
            <v>10.4</v>
          </cell>
          <cell r="CY87">
            <v>10.4</v>
          </cell>
          <cell r="CZ87">
            <v>10.4</v>
          </cell>
          <cell r="DA87">
            <v>10.4</v>
          </cell>
          <cell r="DB87">
            <v>10.4</v>
          </cell>
          <cell r="DC87">
            <v>10.4</v>
          </cell>
          <cell r="DD87">
            <v>10.4</v>
          </cell>
          <cell r="DE87">
            <v>10.4</v>
          </cell>
          <cell r="DF87">
            <v>10.4</v>
          </cell>
          <cell r="DG87">
            <v>10.4</v>
          </cell>
        </row>
        <row r="88">
          <cell r="B88" t="str">
            <v xml:space="preserve">      60700 Meals and Entertainment</v>
          </cell>
          <cell r="T88">
            <v>22</v>
          </cell>
          <cell r="AH88">
            <v>218.02</v>
          </cell>
          <cell r="AI88">
            <v>57.06</v>
          </cell>
          <cell r="AJ88">
            <v>44.41</v>
          </cell>
          <cell r="AL88">
            <v>837.07</v>
          </cell>
          <cell r="AN88">
            <v>50</v>
          </cell>
          <cell r="AO88">
            <v>251.46</v>
          </cell>
          <cell r="AR88">
            <v>285.64999999999998</v>
          </cell>
          <cell r="AS88">
            <v>315.29000000000002</v>
          </cell>
          <cell r="AT88">
            <v>326.19</v>
          </cell>
          <cell r="AU88">
            <v>294.64750000000004</v>
          </cell>
          <cell r="AV88">
            <v>294.64750000000004</v>
          </cell>
          <cell r="AW88">
            <v>294.64750000000004</v>
          </cell>
          <cell r="AX88">
            <v>294.64750000000004</v>
          </cell>
          <cell r="AY88">
            <v>294.64750000000004</v>
          </cell>
          <cell r="AZ88">
            <v>294.64750000000004</v>
          </cell>
          <cell r="BA88">
            <v>294.64750000000004</v>
          </cell>
          <cell r="BB88">
            <v>294.64750000000004</v>
          </cell>
          <cell r="BC88">
            <v>294.64750000000004</v>
          </cell>
          <cell r="BD88">
            <v>294.64750000000004</v>
          </cell>
          <cell r="BE88">
            <v>294.64750000000004</v>
          </cell>
          <cell r="BF88">
            <v>294.64750000000004</v>
          </cell>
          <cell r="BG88">
            <v>294.64750000000004</v>
          </cell>
          <cell r="BH88">
            <v>294.64750000000004</v>
          </cell>
          <cell r="BI88">
            <v>294.64750000000004</v>
          </cell>
          <cell r="BJ88">
            <v>294.64750000000004</v>
          </cell>
          <cell r="BK88">
            <v>294.64750000000004</v>
          </cell>
          <cell r="BL88">
            <v>294.64750000000004</v>
          </cell>
          <cell r="BM88">
            <v>294.64750000000004</v>
          </cell>
          <cell r="BN88">
            <v>294.64750000000004</v>
          </cell>
          <cell r="BO88">
            <v>294.64750000000004</v>
          </cell>
          <cell r="BP88">
            <v>294.64750000000004</v>
          </cell>
          <cell r="BQ88">
            <v>294.64750000000004</v>
          </cell>
          <cell r="BR88">
            <v>294.64750000000004</v>
          </cell>
          <cell r="BS88">
            <v>294.64750000000004</v>
          </cell>
          <cell r="BT88">
            <v>294.64750000000004</v>
          </cell>
          <cell r="BU88">
            <v>294.64750000000004</v>
          </cell>
          <cell r="BV88">
            <v>294.64750000000004</v>
          </cell>
          <cell r="BW88">
            <v>294.64750000000004</v>
          </cell>
          <cell r="BX88">
            <v>294.64750000000004</v>
          </cell>
          <cell r="BY88">
            <v>294.64750000000004</v>
          </cell>
          <cell r="BZ88">
            <v>294.64750000000004</v>
          </cell>
          <cell r="CA88">
            <v>294.64750000000004</v>
          </cell>
          <cell r="CB88">
            <v>294.64750000000004</v>
          </cell>
          <cell r="CC88">
            <v>294.64750000000004</v>
          </cell>
          <cell r="CD88">
            <v>294.64750000000004</v>
          </cell>
          <cell r="CE88">
            <v>294.64750000000004</v>
          </cell>
          <cell r="CF88">
            <v>294.64750000000004</v>
          </cell>
          <cell r="CG88">
            <v>294.64750000000004</v>
          </cell>
          <cell r="CH88">
            <v>294.64750000000004</v>
          </cell>
          <cell r="CI88">
            <v>294.64750000000004</v>
          </cell>
          <cell r="CJ88">
            <v>294.64750000000004</v>
          </cell>
          <cell r="CK88">
            <v>294.64750000000004</v>
          </cell>
          <cell r="CL88">
            <v>294.64750000000004</v>
          </cell>
          <cell r="CM88">
            <v>294.64750000000004</v>
          </cell>
          <cell r="CN88">
            <v>294.64750000000004</v>
          </cell>
          <cell r="CO88">
            <v>294.64750000000004</v>
          </cell>
          <cell r="CP88">
            <v>294.64750000000004</v>
          </cell>
          <cell r="CQ88">
            <v>294.64750000000004</v>
          </cell>
          <cell r="CR88">
            <v>294.64750000000004</v>
          </cell>
          <cell r="CS88">
            <v>294.64750000000004</v>
          </cell>
          <cell r="CT88">
            <v>294.64750000000004</v>
          </cell>
          <cell r="CU88">
            <v>294.64750000000004</v>
          </cell>
          <cell r="CV88">
            <v>294.64750000000004</v>
          </cell>
          <cell r="CW88">
            <v>294.64750000000004</v>
          </cell>
          <cell r="CX88">
            <v>294.64750000000004</v>
          </cell>
          <cell r="CY88">
            <v>294.64750000000004</v>
          </cell>
          <cell r="CZ88">
            <v>294.64750000000004</v>
          </cell>
          <cell r="DA88">
            <v>294.64750000000004</v>
          </cell>
          <cell r="DB88">
            <v>294.64750000000004</v>
          </cell>
          <cell r="DC88">
            <v>294.64750000000004</v>
          </cell>
          <cell r="DD88">
            <v>294.64750000000004</v>
          </cell>
          <cell r="DE88">
            <v>294.64750000000004</v>
          </cell>
          <cell r="DF88">
            <v>294.64750000000004</v>
          </cell>
          <cell r="DG88">
            <v>294.64750000000004</v>
          </cell>
        </row>
        <row r="89">
          <cell r="B89" t="str">
            <v xml:space="preserve">      60800 QB Fees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30</v>
          </cell>
          <cell r="O89">
            <v>52.67</v>
          </cell>
          <cell r="P89">
            <v>30</v>
          </cell>
          <cell r="Q89">
            <v>30</v>
          </cell>
          <cell r="R89">
            <v>30</v>
          </cell>
          <cell r="S89">
            <v>31.99</v>
          </cell>
          <cell r="T89">
            <v>45.38</v>
          </cell>
          <cell r="U89">
            <v>51.04</v>
          </cell>
          <cell r="V89">
            <v>92.49</v>
          </cell>
          <cell r="W89">
            <v>194.71</v>
          </cell>
          <cell r="X89">
            <v>210.47</v>
          </cell>
          <cell r="Y89">
            <v>313.33999999999997</v>
          </cell>
          <cell r="Z89">
            <v>205.12</v>
          </cell>
          <cell r="AA89">
            <v>105.16</v>
          </cell>
          <cell r="AB89">
            <v>124.93</v>
          </cell>
          <cell r="AC89">
            <v>156.19</v>
          </cell>
          <cell r="AD89">
            <v>141.66999999999999</v>
          </cell>
          <cell r="AE89">
            <v>145.28</v>
          </cell>
          <cell r="AF89">
            <v>173.37</v>
          </cell>
          <cell r="AG89">
            <v>236.32</v>
          </cell>
          <cell r="AH89">
            <v>228.28</v>
          </cell>
          <cell r="AI89">
            <v>404.2</v>
          </cell>
          <cell r="AJ89">
            <v>334.27</v>
          </cell>
          <cell r="AK89">
            <v>523.21</v>
          </cell>
          <cell r="AL89">
            <v>315.97000000000003</v>
          </cell>
          <cell r="AM89">
            <v>199.98</v>
          </cell>
          <cell r="AN89">
            <v>229.96</v>
          </cell>
          <cell r="AO89">
            <v>281.20999999999998</v>
          </cell>
          <cell r="AP89">
            <v>303.5</v>
          </cell>
          <cell r="AQ89">
            <v>167.72</v>
          </cell>
          <cell r="AR89">
            <v>171.91</v>
          </cell>
          <cell r="AS89">
            <v>212.1</v>
          </cell>
          <cell r="AT89">
            <v>440.63</v>
          </cell>
          <cell r="AU89">
            <v>509.55028256194942</v>
          </cell>
          <cell r="AV89">
            <v>358.96389762776693</v>
          </cell>
          <cell r="AW89">
            <v>462.82361273548446</v>
          </cell>
          <cell r="AX89">
            <v>260.51286760704778</v>
          </cell>
          <cell r="AY89">
            <v>291.50907596139746</v>
          </cell>
          <cell r="AZ89">
            <v>388.40223287752127</v>
          </cell>
          <cell r="BA89">
            <v>441.00329781656046</v>
          </cell>
          <cell r="BB89">
            <v>521.13716383121402</v>
          </cell>
          <cell r="BC89">
            <v>231.05888998396287</v>
          </cell>
          <cell r="BD89">
            <v>423.47813923234543</v>
          </cell>
          <cell r="BE89">
            <v>273.96658938798794</v>
          </cell>
          <cell r="BF89">
            <v>437.8339020078393</v>
          </cell>
          <cell r="BG89">
            <v>711.55399616664488</v>
          </cell>
          <cell r="BH89">
            <v>516.574092679214</v>
          </cell>
          <cell r="BI89">
            <v>638.35881057809604</v>
          </cell>
          <cell r="BJ89">
            <v>430.2664135961561</v>
          </cell>
          <cell r="BK89">
            <v>458.23111482530567</v>
          </cell>
          <cell r="BL89">
            <v>522.93898340682142</v>
          </cell>
          <cell r="BM89">
            <v>616.43038285375155</v>
          </cell>
          <cell r="BN89">
            <v>771.79463582999767</v>
          </cell>
          <cell r="BO89">
            <v>331.28346959436971</v>
          </cell>
          <cell r="BP89">
            <v>604.83936524735873</v>
          </cell>
          <cell r="BQ89">
            <v>388.90128633797951</v>
          </cell>
          <cell r="BR89">
            <v>590.71737934184875</v>
          </cell>
          <cell r="BS89">
            <v>1047.529992154439</v>
          </cell>
          <cell r="BT89">
            <v>728.88036813198971</v>
          </cell>
          <cell r="BU89">
            <v>853.8341051253268</v>
          </cell>
          <cell r="BV89">
            <v>634.57893231421178</v>
          </cell>
          <cell r="BW89">
            <v>642.13169760323842</v>
          </cell>
          <cell r="BX89">
            <v>732.7633039540267</v>
          </cell>
          <cell r="BY89">
            <v>910.24444597063223</v>
          </cell>
          <cell r="BZ89">
            <v>1075.1710664685393</v>
          </cell>
          <cell r="CA89">
            <v>420.28268015615492</v>
          </cell>
          <cell r="CB89">
            <v>921.0425380210603</v>
          </cell>
          <cell r="CC89">
            <v>540.08611444106486</v>
          </cell>
          <cell r="CD89">
            <v>781.36198874379397</v>
          </cell>
          <cell r="CE89">
            <v>1531.447760941679</v>
          </cell>
          <cell r="CF89">
            <v>981.06153723110185</v>
          </cell>
          <cell r="CG89">
            <v>1264.9386164780326</v>
          </cell>
          <cell r="CH89">
            <v>905.13775234584807</v>
          </cell>
          <cell r="CI89">
            <v>831.08404673520147</v>
          </cell>
          <cell r="CJ89">
            <v>1140.2674014537818</v>
          </cell>
          <cell r="CK89">
            <v>1227.2985385462348</v>
          </cell>
          <cell r="CL89">
            <v>1462.1961214902954</v>
          </cell>
          <cell r="CM89">
            <v>622.6025315944155</v>
          </cell>
          <cell r="CN89">
            <v>1304.341137954226</v>
          </cell>
          <cell r="CO89">
            <v>730.33707100999459</v>
          </cell>
          <cell r="CP89">
            <v>1161.3999487332346</v>
          </cell>
          <cell r="CQ89">
            <v>2156.8985342036744</v>
          </cell>
          <cell r="CR89">
            <v>1314.7604477368682</v>
          </cell>
          <cell r="CS89">
            <v>1868.7660423226994</v>
          </cell>
          <cell r="CT89">
            <v>1272.1816813684172</v>
          </cell>
          <cell r="CU89">
            <v>1172.4017515538189</v>
          </cell>
          <cell r="CV89">
            <v>1604.189980019705</v>
          </cell>
          <cell r="CW89">
            <v>1728.6097842520098</v>
          </cell>
          <cell r="CX89">
            <v>1956.651777105081</v>
          </cell>
          <cell r="CY89">
            <v>916.30793685004642</v>
          </cell>
          <cell r="CZ89">
            <v>1830.329474485842</v>
          </cell>
          <cell r="DA89">
            <v>974.22474987515454</v>
          </cell>
          <cell r="DB89">
            <v>1702.5509431502614</v>
          </cell>
          <cell r="DC89">
            <v>2895.0841252216105</v>
          </cell>
          <cell r="DD89">
            <v>1930.1479243549511</v>
          </cell>
          <cell r="DE89">
            <v>2612.9665763036678</v>
          </cell>
          <cell r="DF89">
            <v>1702.0581873698304</v>
          </cell>
          <cell r="DG89">
            <v>1724.4669859256251</v>
          </cell>
        </row>
        <row r="90">
          <cell r="B90" t="str">
            <v xml:space="preserve">      60900 Professional/Legal Fees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1150</v>
          </cell>
          <cell r="N90">
            <v>0</v>
          </cell>
          <cell r="O90">
            <v>0</v>
          </cell>
          <cell r="U90">
            <v>50</v>
          </cell>
          <cell r="V90">
            <v>55</v>
          </cell>
          <cell r="W90">
            <v>200</v>
          </cell>
          <cell r="X90">
            <v>633.5</v>
          </cell>
          <cell r="AI90">
            <v>490</v>
          </cell>
          <cell r="AK90">
            <v>262.5</v>
          </cell>
          <cell r="AP90">
            <v>707</v>
          </cell>
          <cell r="AQ90">
            <v>235.5</v>
          </cell>
          <cell r="AT90">
            <v>275</v>
          </cell>
          <cell r="AU90">
            <v>405.83333333333331</v>
          </cell>
          <cell r="AV90">
            <v>0</v>
          </cell>
          <cell r="AW90">
            <v>262.5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707</v>
          </cell>
          <cell r="BC90">
            <v>235.5</v>
          </cell>
          <cell r="BD90">
            <v>0</v>
          </cell>
          <cell r="BE90">
            <v>0</v>
          </cell>
          <cell r="BF90">
            <v>275</v>
          </cell>
          <cell r="BG90">
            <v>405.83333333333331</v>
          </cell>
          <cell r="BH90">
            <v>0</v>
          </cell>
          <cell r="BI90">
            <v>262.5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707</v>
          </cell>
          <cell r="BO90">
            <v>235.5</v>
          </cell>
          <cell r="BP90">
            <v>0</v>
          </cell>
          <cell r="BQ90">
            <v>0</v>
          </cell>
          <cell r="BR90">
            <v>275</v>
          </cell>
          <cell r="BS90">
            <v>405.83333333333331</v>
          </cell>
          <cell r="BT90">
            <v>0</v>
          </cell>
          <cell r="BU90">
            <v>262.5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707</v>
          </cell>
          <cell r="CA90">
            <v>235.5</v>
          </cell>
          <cell r="CB90">
            <v>0</v>
          </cell>
          <cell r="CC90">
            <v>0</v>
          </cell>
          <cell r="CD90">
            <v>275</v>
          </cell>
          <cell r="CE90">
            <v>405.83333333333331</v>
          </cell>
          <cell r="CF90">
            <v>0</v>
          </cell>
          <cell r="CG90">
            <v>262.5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707</v>
          </cell>
          <cell r="CM90">
            <v>235.5</v>
          </cell>
          <cell r="CN90">
            <v>0</v>
          </cell>
          <cell r="CO90">
            <v>0</v>
          </cell>
          <cell r="CP90">
            <v>275</v>
          </cell>
          <cell r="CQ90">
            <v>405.83333333333331</v>
          </cell>
          <cell r="CR90">
            <v>0</v>
          </cell>
          <cell r="CS90">
            <v>262.5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707</v>
          </cell>
          <cell r="CY90">
            <v>235.5</v>
          </cell>
          <cell r="CZ90">
            <v>0</v>
          </cell>
          <cell r="DA90">
            <v>0</v>
          </cell>
          <cell r="DB90">
            <v>275</v>
          </cell>
          <cell r="DC90">
            <v>405.83333333333331</v>
          </cell>
          <cell r="DD90">
            <v>0</v>
          </cell>
          <cell r="DE90">
            <v>262.5</v>
          </cell>
          <cell r="DF90">
            <v>0</v>
          </cell>
          <cell r="DG90">
            <v>0</v>
          </cell>
        </row>
        <row r="91">
          <cell r="B91" t="str">
            <v xml:space="preserve">      61100 Utilities</v>
          </cell>
          <cell r="T91">
            <v>192.74</v>
          </cell>
          <cell r="U91">
            <v>137.74</v>
          </cell>
          <cell r="V91">
            <v>181.07</v>
          </cell>
          <cell r="W91">
            <v>286.48</v>
          </cell>
          <cell r="X91">
            <v>138.16999999999999</v>
          </cell>
          <cell r="Y91">
            <v>263.36</v>
          </cell>
          <cell r="Z91">
            <v>138.4</v>
          </cell>
          <cell r="AA91">
            <v>138.4</v>
          </cell>
          <cell r="AB91">
            <v>138.4</v>
          </cell>
          <cell r="AC91">
            <v>138.41999999999999</v>
          </cell>
          <cell r="AD91">
            <v>138.41999999999999</v>
          </cell>
          <cell r="AE91">
            <v>145.97</v>
          </cell>
          <cell r="AF91">
            <v>142.41999999999999</v>
          </cell>
          <cell r="AG91">
            <v>142.41999999999999</v>
          </cell>
          <cell r="AH91">
            <v>219.14</v>
          </cell>
          <cell r="AI91">
            <v>164.46</v>
          </cell>
          <cell r="AJ91">
            <v>134.46</v>
          </cell>
          <cell r="AK91">
            <v>260.35000000000002</v>
          </cell>
          <cell r="AL91">
            <v>157.41</v>
          </cell>
          <cell r="AM91">
            <v>127.41</v>
          </cell>
          <cell r="AN91">
            <v>128.5</v>
          </cell>
          <cell r="AO91">
            <v>155.68</v>
          </cell>
          <cell r="AP91">
            <v>123.02</v>
          </cell>
          <cell r="AQ91">
            <v>123.02</v>
          </cell>
          <cell r="AR91">
            <v>123.01</v>
          </cell>
          <cell r="AS91">
            <v>123.01</v>
          </cell>
          <cell r="AT91">
            <v>123.01</v>
          </cell>
          <cell r="AU91">
            <v>123.01</v>
          </cell>
          <cell r="AV91">
            <v>123.01</v>
          </cell>
          <cell r="AW91">
            <v>123.01</v>
          </cell>
          <cell r="AX91">
            <v>123.01</v>
          </cell>
          <cell r="AY91">
            <v>123.01</v>
          </cell>
          <cell r="AZ91">
            <v>123.01</v>
          </cell>
          <cell r="BA91">
            <v>123.01</v>
          </cell>
          <cell r="BB91">
            <v>123.01</v>
          </cell>
          <cell r="BC91">
            <v>123.01</v>
          </cell>
          <cell r="BD91">
            <v>123.01</v>
          </cell>
          <cell r="BE91">
            <v>123.01</v>
          </cell>
          <cell r="BF91">
            <v>123.01</v>
          </cell>
          <cell r="BG91">
            <v>123.01</v>
          </cell>
          <cell r="BH91">
            <v>123.01</v>
          </cell>
          <cell r="BI91">
            <v>123.01</v>
          </cell>
          <cell r="BJ91">
            <v>123.01</v>
          </cell>
          <cell r="BK91">
            <v>123.01</v>
          </cell>
          <cell r="BL91">
            <v>123.01</v>
          </cell>
          <cell r="BM91">
            <v>123.01</v>
          </cell>
          <cell r="BN91">
            <v>123.01</v>
          </cell>
          <cell r="BO91">
            <v>123.01</v>
          </cell>
          <cell r="BP91">
            <v>123.01</v>
          </cell>
          <cell r="BQ91">
            <v>123.01</v>
          </cell>
          <cell r="BR91">
            <v>123.01</v>
          </cell>
          <cell r="BS91">
            <v>123.01</v>
          </cell>
          <cell r="BT91">
            <v>123.01</v>
          </cell>
          <cell r="BU91">
            <v>123.01</v>
          </cell>
          <cell r="BV91">
            <v>123.01</v>
          </cell>
          <cell r="BW91">
            <v>123.01</v>
          </cell>
          <cell r="BX91">
            <v>123.01</v>
          </cell>
          <cell r="BY91">
            <v>123.01</v>
          </cell>
          <cell r="BZ91">
            <v>123.01</v>
          </cell>
          <cell r="CA91">
            <v>123.01</v>
          </cell>
          <cell r="CB91">
            <v>123.01</v>
          </cell>
          <cell r="CC91">
            <v>123.01</v>
          </cell>
          <cell r="CD91">
            <v>123.01</v>
          </cell>
          <cell r="CE91">
            <v>123.01</v>
          </cell>
          <cell r="CF91">
            <v>123.01</v>
          </cell>
          <cell r="CG91">
            <v>123.01</v>
          </cell>
          <cell r="CH91">
            <v>123.01</v>
          </cell>
          <cell r="CI91">
            <v>123.01</v>
          </cell>
          <cell r="CJ91">
            <v>123.01</v>
          </cell>
          <cell r="CK91">
            <v>123.01</v>
          </cell>
          <cell r="CL91">
            <v>123.01</v>
          </cell>
          <cell r="CM91">
            <v>123.01</v>
          </cell>
          <cell r="CN91">
            <v>123.01</v>
          </cell>
          <cell r="CO91">
            <v>123.01</v>
          </cell>
          <cell r="CP91">
            <v>123.01</v>
          </cell>
          <cell r="CQ91">
            <v>123.01</v>
          </cell>
          <cell r="CR91">
            <v>123.01</v>
          </cell>
          <cell r="CS91">
            <v>123.01</v>
          </cell>
          <cell r="CT91">
            <v>123.01</v>
          </cell>
          <cell r="CU91">
            <v>123.01</v>
          </cell>
          <cell r="CV91">
            <v>123.01</v>
          </cell>
          <cell r="CW91">
            <v>123.01</v>
          </cell>
          <cell r="CX91">
            <v>123.01</v>
          </cell>
          <cell r="CY91">
            <v>123.01</v>
          </cell>
          <cell r="CZ91">
            <v>123.01</v>
          </cell>
          <cell r="DA91">
            <v>123.01</v>
          </cell>
          <cell r="DB91">
            <v>123.01</v>
          </cell>
          <cell r="DC91">
            <v>123.01</v>
          </cell>
          <cell r="DD91">
            <v>123.01</v>
          </cell>
          <cell r="DE91">
            <v>123.01</v>
          </cell>
          <cell r="DF91">
            <v>123.01</v>
          </cell>
          <cell r="DG91">
            <v>123.01</v>
          </cell>
        </row>
        <row r="103">
          <cell r="B103" t="str">
            <v xml:space="preserve">   Interest Income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0.02</v>
          </cell>
          <cell r="N103">
            <v>0.03</v>
          </cell>
          <cell r="O103">
            <v>0.01</v>
          </cell>
          <cell r="P103">
            <v>0</v>
          </cell>
          <cell r="Q103">
            <v>0</v>
          </cell>
          <cell r="R103">
            <v>0</v>
          </cell>
          <cell r="S103">
            <v>0.01</v>
          </cell>
          <cell r="T103">
            <v>0.01</v>
          </cell>
          <cell r="U103">
            <v>0.01</v>
          </cell>
          <cell r="V103">
            <v>0.03</v>
          </cell>
          <cell r="W103">
            <v>0.01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G103">
            <v>0</v>
          </cell>
          <cell r="AI103">
            <v>0.43</v>
          </cell>
          <cell r="AJ103">
            <v>0.69</v>
          </cell>
          <cell r="AK103">
            <v>1.74</v>
          </cell>
          <cell r="AL103">
            <v>2.41</v>
          </cell>
          <cell r="AM103">
            <v>0.08</v>
          </cell>
          <cell r="AN103">
            <v>0.01</v>
          </cell>
          <cell r="AO103">
            <v>0.01</v>
          </cell>
          <cell r="AP103">
            <v>0.01</v>
          </cell>
          <cell r="AQ103">
            <v>0.01</v>
          </cell>
          <cell r="AR103">
            <v>0.06</v>
          </cell>
          <cell r="AS103">
            <v>0.01</v>
          </cell>
          <cell r="AT103">
            <v>0.03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</row>
        <row r="170">
          <cell r="AQ170">
            <v>1</v>
          </cell>
          <cell r="AR170">
            <v>-746.48999999999069</v>
          </cell>
          <cell r="AS170">
            <v>-37.680000000000291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4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jordan lee" refreshedDate="44895.9301931713" createdVersion="8" refreshedVersion="8" minRefreshableVersion="3" recordCount="40" r:id="rId1">
  <cacheSource type="worksheet">
    <worksheetSource ref="A1:K41" sheet="October"/>
  </cacheSource>
  <cacheFields count="11">
    <cacheField name="Student" uniqueList="1" numFmtId="0" sqlType="0" hierarchy="0" level="0" databaseField="1">
      <sharedItems count="17">
        <s v="Abby Owen"/>
        <s v="Addison O'Connor"/>
        <s v="Caroline Frey"/>
        <s v="Claire Cecotti"/>
        <s v="Elle Mishler"/>
        <s v="Gabby Bagot"/>
        <s v="Julia Cecotti"/>
        <s v="Kathryn Oakford"/>
        <s v="Kaylie Thompson"/>
        <s v="Maddie Wilson"/>
        <s v="Maddox Rogers"/>
        <s v="Naura Peters"/>
        <s v="Nicolette Batori"/>
        <s v="Rohan Skanda"/>
        <s v="Sienna Cormier"/>
        <s v="Sophia Gonzales"/>
        <s v="Sujay Penugonda"/>
      </sharedItems>
    </cacheField>
    <cacheField name="Date" uniqueList="1" numFmtId="16" sqlType="0" hierarchy="0" level="0" databaseField="1">
      <sharedItems count="0" containsDate="1" containsNonDate="0" containsSemiMixedTypes="0" containsString="0" minDate="2022-10-02T00:00:00" maxDate="2022-11-01T00:00:00"/>
    </cacheField>
    <cacheField name="Hours" uniqueList="1" numFmtId="0" sqlType="0" hierarchy="0" level="0" databaseField="1">
      <sharedItems count="0" containsNumber="1" containsSemiMixedTypes="0" containsString="0" minValue="0.5" maxValue="5"/>
    </cacheField>
    <cacheField name="Rate ($/hr)" uniqueList="1" numFmtId="0" sqlType="0" hierarchy="0" level="0" databaseField="1">
      <sharedItems count="0" containsInteger="1" containsNumber="1" containsSemiMixedTypes="0" containsString="0" minValue="50" maxValue="60"/>
    </cacheField>
    <cacheField name="Coin" uniqueList="1" numFmtId="0" sqlType="0" hierarchy="0" level="0" databaseField="1">
      <sharedItems count="0" containsNumber="1" containsSemiMixedTypes="0" containsString="0" minValue="25" maxValue="175"/>
    </cacheField>
    <cacheField name="Billed?" uniqueList="1" numFmtId="0" sqlType="0" hierarchy="0" level="0" databaseField="1">
      <sharedItems count="0"/>
    </cacheField>
    <cacheField name="Received payment?" uniqueList="1" numFmtId="0" sqlType="0" hierarchy="0" level="0" databaseField="1">
      <sharedItems count="0"/>
    </cacheField>
    <cacheField name="Topic" uniqueList="1" numFmtId="0" sqlType="0" hierarchy="0" level="0" databaseField="1">
      <sharedItems count="0"/>
    </cacheField>
    <cacheField name="Tip?" uniqueList="1" numFmtId="0" sqlType="0" hierarchy="0" level="0" databaseField="1">
      <sharedItems count="0"/>
    </cacheField>
    <cacheField name="Paid via invoice?" uniqueList="1" numFmtId="0" sqlType="0" hierarchy="0" level="0" databaseField="1">
      <sharedItems count="0"/>
    </cacheField>
    <cacheField name="Totals" uniqueList="1" numFmtId="0" sqlType="0" hierarchy="0" level="0" databaseField="1">
      <sharedItems count="0" containsNumber="1" containsSemiMixedTypes="0" containsString="0" minValue="25" maxValue="250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jordan lee" refreshedDate="44895.92983055556" createdVersion="8" refreshedVersion="8" minRefreshableVersion="3" recordCount="15" r:id="rId1">
  <cacheSource type="worksheet">
    <worksheetSource ref="A1:J16" sheet="September"/>
  </cacheSource>
  <cacheFields count="10">
    <cacheField name="Student" uniqueList="1" numFmtId="0" sqlType="0" hierarchy="0" level="0" databaseField="1">
      <sharedItems count="9">
        <s v="Rohan Skanda"/>
        <s v="Maddie Wilson"/>
        <s v="Caroline Frey"/>
        <s v="Kathryn Oakford"/>
        <s v="Kaylie Thompson"/>
        <s v="Abby Owen"/>
        <s v="Mckenzie Frey"/>
        <s v="Claire Cecotti"/>
        <s v="Sam Cormier"/>
      </sharedItems>
    </cacheField>
    <cacheField name="Date" uniqueList="1" numFmtId="16" sqlType="0" hierarchy="0" level="0" databaseField="1">
      <sharedItems count="0" containsDate="1" containsNonDate="0" containsSemiMixedTypes="0" containsString="0" minDate="2022-09-18T00:00:00" maxDate="2022-09-29T00:00:00"/>
    </cacheField>
    <cacheField name="Hours" uniqueList="1" numFmtId="0" sqlType="0" hierarchy="0" level="0" databaseField="1">
      <sharedItems count="0" containsNumber="1" containsSemiMixedTypes="0" containsString="0" minValue="0.5" maxValue="2"/>
    </cacheField>
    <cacheField name="Rate ($/hr)" uniqueList="1" numFmtId="0" sqlType="0" hierarchy="0" level="0" databaseField="1">
      <sharedItems count="0" containsInteger="1" containsNumber="1" containsSemiMixedTypes="0" containsString="0" minValue="50" maxValue="100"/>
    </cacheField>
    <cacheField name="Coin" uniqueList="1" numFmtId="0" sqlType="0" hierarchy="0" level="0" databaseField="1">
      <sharedItems count="0" containsInteger="1" containsNumber="1" containsSemiMixedTypes="0" containsString="0" minValue="25" maxValue="100"/>
    </cacheField>
    <cacheField name="Billed?" uniqueList="1" numFmtId="0" sqlType="0" hierarchy="0" level="0" databaseField="1">
      <sharedItems count="0"/>
    </cacheField>
    <cacheField name="Received payment?" uniqueList="1" numFmtId="0" sqlType="0" hierarchy="0" level="0" databaseField="1">
      <sharedItems count="0"/>
    </cacheField>
    <cacheField name="Topic" uniqueList="1" numFmtId="0" sqlType="0" hierarchy="0" level="0" databaseField="1">
      <sharedItems count="0"/>
    </cacheField>
    <cacheField name="Tip?" uniqueList="1" numFmtId="0" sqlType="0" hierarchy="0" level="0" databaseField="1">
      <sharedItems count="0" containsBlank="1" containsInteger="1" containsMixedTypes="1" containsNumber="1" minValue="25" maxValue="25"/>
    </cacheField>
    <cacheField name="Totals" uniqueList="1" numFmtId="0" sqlType="0" hierarchy="0" level="0" databaseField="1">
      <sharedItems count="0" containsBlank="1" containsInteger="1" containsNumber="1" containsString="0" minValue="50" maxValue="100"/>
    </cacheField>
  </cacheFields>
</pivotCacheDefinition>
</file>

<file path=xl/pivotCache/pivotCacheDefinition3.xml><?xml version="1.0" encoding="utf-8"?>
<pivotCacheDefinition xmlns="http://schemas.openxmlformats.org/spreadsheetml/2006/main" invalid="1" refreshedBy="jordan lee" refreshedDate="44895.92856608796" createdVersion="8" refreshedVersion="8" minRefreshableVersion="3" recordCount="6">
  <cacheSource type="worksheet">
    <worksheetSource ref="A1:J7" sheet="August"/>
  </cacheSource>
  <cacheFields count="10">
    <cacheField name="Student" uniqueList="1" numFmtId="0" sqlType="0" hierarchy="0" level="0" databaseField="1">
      <sharedItems count="5">
        <s v="Caroline Frey"/>
        <s v="Nicolette Batori"/>
        <s v="Maddie Wilson"/>
        <s v="Sujay Penugonda"/>
        <s v="Matthew Aasen"/>
      </sharedItems>
    </cacheField>
    <cacheField name="Date" uniqueList="1" numFmtId="14" sqlType="0" hierarchy="0" level="0" databaseField="1">
      <sharedItems count="0" containsDate="1" containsNonDate="0" containsSemiMixedTypes="0" containsString="0" minDate="2022-08-20T00:00:00" maxDate="2022-08-24T00:00:00"/>
    </cacheField>
    <cacheField name="Hours" uniqueList="1" numFmtId="0" sqlType="0" hierarchy="0" level="0" databaseField="1">
      <sharedItems count="0" containsNumber="1" containsSemiMixedTypes="0" containsString="0" minValue="0.5" maxValue="2"/>
    </cacheField>
    <cacheField name="Rate ($/hr)" uniqueList="1" numFmtId="0" sqlType="0" hierarchy="0" level="0" databaseField="1">
      <sharedItems count="0" containsInteger="1" containsNumber="1" containsSemiMixedTypes="0" containsString="0" minValue="50" maxValue="50"/>
    </cacheField>
    <cacheField name="Coin" uniqueList="1" numFmtId="0" sqlType="0" hierarchy="0" level="0" databaseField="1">
      <sharedItems count="0" containsInteger="1" containsNumber="1" containsSemiMixedTypes="0" containsString="0" minValue="25" maxValue="100"/>
    </cacheField>
    <cacheField name="Billed?" uniqueList="1" numFmtId="0" sqlType="0" hierarchy="0" level="0" databaseField="1">
      <sharedItems count="0"/>
    </cacheField>
    <cacheField name="Received payment?" uniqueList="1" numFmtId="0" sqlType="0" hierarchy="0" level="0" databaseField="1">
      <sharedItems count="0"/>
    </cacheField>
    <cacheField name="Topic" uniqueList="1" numFmtId="0" sqlType="0" hierarchy="0" level="0" databaseField="1">
      <sharedItems count="0"/>
    </cacheField>
    <cacheField name="Tip?" uniqueList="1" numFmtId="0" sqlType="0" hierarchy="0" level="0" databaseField="1">
      <sharedItems count="0" containsBlank="1" containsInteger="1" containsNumber="1" containsString="0" minValue="0" maxValue="10"/>
    </cacheField>
    <cacheField name="Totals" uniqueList="1" numFmtId="0" sqlType="0" hierarchy="0" level="0" databaseField="1">
      <sharedItems count="0" containsInteger="1" containsNumber="1" containsSemiMixedTypes="0" containsString="0" minValue="25" maxValue="100"/>
    </cacheField>
  </cacheFields>
</pivotCacheDefinition>
</file>

<file path=xl/pivotCache/pivotCacheDefinition4.xml><?xml version="1.0" encoding="utf-8"?>
<pivotCacheDefinition xmlns:r="http://schemas.openxmlformats.org/officeDocument/2006/relationships" xmlns="http://schemas.openxmlformats.org/spreadsheetml/2006/main" refreshedBy="jordan lee" refreshedDate="44910.78434560185" createdVersion="8" refreshedVersion="8" minRefreshableVersion="3" recordCount="24" r:id="rId1">
  <cacheSource type="worksheet">
    <worksheetSource ref="A1:K25" sheet="November"/>
  </cacheSource>
  <cacheFields count="11">
    <cacheField name="Student" uniqueList="1" numFmtId="0" sqlType="0" hierarchy="0" level="0" databaseField="1">
      <sharedItems count="11">
        <s v="Abby Owen"/>
        <s v="Brayden Wulff"/>
        <s v="Elle Mishler"/>
        <s v="Emma Thacker"/>
        <s v="Julia Cecotti"/>
        <s v="Kathryn Oakford"/>
        <s v="Naura Peters"/>
        <s v="Nicolette Batori"/>
        <s v="Rohan Skanda"/>
        <s v="Sienna Cormier"/>
        <s v="Sophia Gonzales"/>
      </sharedItems>
    </cacheField>
    <cacheField name="Date" uniqueList="1" numFmtId="16" sqlType="0" hierarchy="0" level="0" databaseField="1">
      <sharedItems count="0" containsDate="1" containsNonDate="0" containsSemiMixedTypes="0" containsString="0" minDate="2022-11-03T00:00:00" maxDate="2022-12-01T00:00:00"/>
    </cacheField>
    <cacheField name="Hours" uniqueList="1" numFmtId="0" sqlType="0" hierarchy="0" level="0" databaseField="1">
      <sharedItems count="0" containsNumber="1" containsSemiMixedTypes="0" containsString="0" minValue="0.5" maxValue="2"/>
    </cacheField>
    <cacheField name="Rate ($/hr)" uniqueList="1" numFmtId="0" sqlType="0" hierarchy="0" level="0" databaseField="1">
      <sharedItems count="0" containsInteger="1" containsNumber="1" containsSemiMixedTypes="0" containsString="0" minValue="50" maxValue="60"/>
    </cacheField>
    <cacheField name="Coin" uniqueList="1" numFmtId="0" sqlType="0" hierarchy="0" level="0" databaseField="1">
      <sharedItems count="0" containsNumber="1" containsSemiMixedTypes="0" containsString="0" minValue="30" maxValue="100"/>
    </cacheField>
    <cacheField name="Billed?" uniqueList="1" numFmtId="0" sqlType="0" hierarchy="0" level="0" databaseField="1">
      <sharedItems count="0"/>
    </cacheField>
    <cacheField name="Received payment?" uniqueList="1" numFmtId="0" sqlType="0" hierarchy="0" level="0" databaseField="1">
      <sharedItems count="0"/>
    </cacheField>
    <cacheField name="Topic" uniqueList="1" numFmtId="0" sqlType="0" hierarchy="0" level="0" databaseField="1">
      <sharedItems count="0"/>
    </cacheField>
    <cacheField name="Tip?" uniqueList="1" numFmtId="0" sqlType="0" hierarchy="0" level="0" databaseField="1">
      <sharedItems count="0" containsBlank="1"/>
    </cacheField>
    <cacheField name="Paid via invoice?" uniqueList="1" numFmtId="0" sqlType="0" hierarchy="0" level="0" databaseField="1">
      <sharedItems count="0"/>
    </cacheField>
    <cacheField name="Totals" uniqueList="1" numFmtId="0" sqlType="0" hierarchy="0" level="0" databaseField="1">
      <sharedItems count="0" containsNumber="1" containsSemiMixedTypes="0" containsString="0" minValue="30" maxValue="100"/>
    </cacheField>
  </cacheFields>
</pivotCacheDefinition>
</file>

<file path=xl/pivotCache/pivotCacheRecords1.xml><?xml version="1.0" encoding="utf-8"?>
<pivotCacheRecords xmlns="http://schemas.openxmlformats.org/spreadsheetml/2006/main" count="40">
  <r>
    <x v="0"/>
    <d v="2022-10-02T00:00:00"/>
    <n v="1"/>
    <n v="50"/>
    <n v="50"/>
    <s v="Yes"/>
    <s v="Yes"/>
    <s v="Math (general homework)"/>
    <s v="No"/>
    <s v="No"/>
    <n v="50"/>
  </r>
  <r>
    <x v="0"/>
    <d v="2022-10-12T00:00:00"/>
    <n v="2"/>
    <n v="50"/>
    <n v="100"/>
    <s v="Yes"/>
    <s v="Yes"/>
    <s v="Algebra 2"/>
    <s v="No"/>
    <s v="YES"/>
    <n v="100"/>
  </r>
  <r>
    <x v="0"/>
    <d v="2022-10-24T00:00:00"/>
    <n v="1"/>
    <n v="50"/>
    <n v="50"/>
    <s v="Yes"/>
    <s v="Yes"/>
    <s v="Emergency Math Lab"/>
    <s v="No"/>
    <s v="YES"/>
    <n v="50"/>
  </r>
  <r>
    <x v="0"/>
    <d v="2022-10-25T00:00:00"/>
    <n v="0.75"/>
    <n v="50"/>
    <n v="37.5"/>
    <s v="Yes"/>
    <s v="Yes"/>
    <s v="Logarithmic Functions Review"/>
    <s v="No"/>
    <s v="YES"/>
    <n v="37.5"/>
  </r>
  <r>
    <x v="0"/>
    <d v="2022-10-27T00:00:00"/>
    <n v="1"/>
    <n v="50"/>
    <n v="50"/>
    <s v="Yes"/>
    <s v="Yes"/>
    <s v="Precalc - Exponentials and Logs"/>
    <s v="No"/>
    <s v="YES"/>
    <n v="50"/>
  </r>
  <r>
    <x v="1"/>
    <d v="2022-10-15T00:00:00"/>
    <n v="1"/>
    <n v="60"/>
    <n v="60"/>
    <s v="Yes"/>
    <s v="Yes"/>
    <s v="Choreography Review"/>
    <s v="No"/>
    <s v="YES"/>
    <n v="60"/>
  </r>
  <r>
    <x v="2"/>
    <d v="2022-10-18T00:00:00"/>
    <n v="3.5"/>
    <n v="50"/>
    <n v="175"/>
    <s v="Yes"/>
    <s v="Yes"/>
    <s v="TN and CoC Essay Supplement Finalization"/>
    <s v="Yes"/>
    <s v="No - Venmo b/c tip; sent to personal account but transferred accordingly (sent to Eric and Eric venmo'd business acc)"/>
    <n v="200"/>
  </r>
  <r>
    <x v="2"/>
    <d v="2022-10-23T00:00:00"/>
    <n v="1"/>
    <n v="50"/>
    <n v="50"/>
    <s v="Yes"/>
    <s v="Yes"/>
    <s v="Bama Honors Appliation"/>
    <s v="No"/>
    <s v="No - venmo b/c tip"/>
    <n v="50"/>
  </r>
  <r>
    <x v="3"/>
    <d v="2022-10-03T00:00:00"/>
    <n v="1"/>
    <n v="50"/>
    <n v="50"/>
    <s v="Yes"/>
    <s v="Yes"/>
    <s v="SAT Math, Piecewise Functions Test"/>
    <s v="No"/>
    <s v="YES"/>
    <n v="50"/>
  </r>
  <r>
    <x v="4"/>
    <d v="2022-10-08T00:00:00"/>
    <n v="1"/>
    <n v="60"/>
    <n v="60"/>
    <s v="Yes"/>
    <s v="Yes"/>
    <s v="Algebra 1"/>
    <s v="No"/>
    <s v="YES"/>
    <n v="60"/>
  </r>
  <r>
    <x v="4"/>
    <d v="2022-10-12T00:00:00"/>
    <n v="1"/>
    <n v="60"/>
    <n v="60"/>
    <s v="Yes"/>
    <s v="Yes"/>
    <s v="Algebra 1"/>
    <s v="No"/>
    <s v="YES"/>
    <n v="60"/>
  </r>
  <r>
    <x v="4"/>
    <d v="2022-10-19T00:00:00"/>
    <n v="1.25"/>
    <n v="60"/>
    <n v="75"/>
    <s v="Yes"/>
    <s v="Yes"/>
    <s v="Algebra 1 Review"/>
    <s v="No"/>
    <s v="YES"/>
    <n v="75"/>
  </r>
  <r>
    <x v="5"/>
    <d v="2022-10-22T00:00:00"/>
    <n v="1"/>
    <n v="60"/>
    <n v="60"/>
    <s v="Yes"/>
    <s v="Yes"/>
    <s v="Algebra 1"/>
    <s v="No"/>
    <s v="YES"/>
    <n v="60"/>
  </r>
  <r>
    <x v="6"/>
    <d v="2022-10-11T00:00:00"/>
    <n v="1"/>
    <n v="50"/>
    <n v="50"/>
    <s v="Yes"/>
    <s v="Yes"/>
    <s v="Precalc - piecewise functions"/>
    <s v="No"/>
    <s v="YES"/>
    <n v="50"/>
  </r>
  <r>
    <x v="6"/>
    <d v="2022-10-17T00:00:00"/>
    <n v="1.5"/>
    <n v="50"/>
    <n v="75"/>
    <s v="Yes"/>
    <s v="Yes"/>
    <s v="Limits and Discontinuity"/>
    <s v="No"/>
    <s v="YES"/>
    <n v="75"/>
  </r>
  <r>
    <x v="7"/>
    <d v="2022-10-17T00:00:00"/>
    <n v="1.5"/>
    <n v="50"/>
    <n v="75"/>
    <s v="Yes"/>
    <s v="Yes"/>
    <s v="Business Calculus"/>
    <s v="No"/>
    <s v="YES"/>
    <n v="75"/>
  </r>
  <r>
    <x v="7"/>
    <d v="2022-10-23T00:00:00"/>
    <n v="1.5"/>
    <n v="50"/>
    <n v="75"/>
    <s v="Yes"/>
    <s v="Yes"/>
    <s v="Business Calculus"/>
    <s v="No"/>
    <s v="YES"/>
    <n v="75"/>
  </r>
  <r>
    <x v="8"/>
    <d v="2022-10-02T00:00:00"/>
    <n v="1.5"/>
    <n v="50"/>
    <n v="75"/>
    <s v="Yes"/>
    <s v="Yes"/>
    <s v="Common App Finalizaiton"/>
    <s v="No"/>
    <s v="No"/>
    <n v="75"/>
  </r>
  <r>
    <x v="9"/>
    <d v="2022-10-02T00:00:00"/>
    <n v="2"/>
    <n v="50"/>
    <n v="100"/>
    <s v="Yes"/>
    <s v="Yes"/>
    <s v="ACT Math"/>
    <s v="No"/>
    <s v="No"/>
    <n v="100"/>
  </r>
  <r>
    <x v="9"/>
    <d v="2022-10-20T00:00:00"/>
    <n v="1.5"/>
    <n v="50"/>
    <n v="75"/>
    <s v="Yes"/>
    <s v="Yes"/>
    <s v="ACT Math"/>
    <s v="No"/>
    <s v="No - received via PayPal and Transferred"/>
    <n v="75"/>
  </r>
  <r>
    <x v="10"/>
    <d v="2022-10-13T00:00:00"/>
    <n v="2"/>
    <n v="50"/>
    <n v="100"/>
    <s v="Yes"/>
    <s v="Yes"/>
    <s v="College Essay"/>
    <s v="No"/>
    <s v="YES"/>
    <n v="100"/>
  </r>
  <r>
    <x v="11"/>
    <d v="2022-10-22T00:00:00"/>
    <n v="0.5"/>
    <n v="60"/>
    <n v="30"/>
    <s v="Yes"/>
    <s v="Yes"/>
    <s v="Private lesson"/>
    <s v="No"/>
    <s v="YES"/>
    <n v="30"/>
  </r>
  <r>
    <x v="12"/>
    <d v="2022-10-23T00:00:00"/>
    <n v="2"/>
    <n v="50"/>
    <n v="100"/>
    <s v="Yes"/>
    <s v="Yes"/>
    <s v="AP Test Advice, Volunteering advice, SAT Math"/>
    <s v="No"/>
    <s v="YES"/>
    <n v="100"/>
  </r>
  <r>
    <x v="12"/>
    <d v="2022-10-29T00:00:00"/>
    <n v="1"/>
    <n v="50"/>
    <n v="50"/>
    <s v="Yes"/>
    <s v="Yes"/>
    <s v="SAT Math"/>
    <s v="No"/>
    <s v="YES"/>
    <n v="50"/>
  </r>
  <r>
    <x v="12"/>
    <d v="2022-10-31T00:00:00"/>
    <n v="1"/>
    <n v="50"/>
    <n v="50"/>
    <s v="Yes"/>
    <s v="Yes"/>
    <s v="SAT Math"/>
    <s v="No"/>
    <s v="YES"/>
    <n v="50"/>
  </r>
  <r>
    <x v="13"/>
    <d v="2022-10-04T00:00:00"/>
    <n v="1"/>
    <n v="50"/>
    <n v="50"/>
    <s v="Yes"/>
    <s v="Yes"/>
    <s v="AOS Integrated Math + Science"/>
    <s v="No"/>
    <s v="YES"/>
    <n v="50"/>
  </r>
  <r>
    <x v="13"/>
    <d v="2022-10-06T00:00:00"/>
    <n v="2"/>
    <n v="50"/>
    <n v="100"/>
    <s v="Yes"/>
    <s v="Yes"/>
    <s v="AOS Integrated Math + Science"/>
    <s v="No"/>
    <s v="YES"/>
    <n v="100"/>
  </r>
  <r>
    <x v="13"/>
    <d v="2022-10-17T00:00:00"/>
    <n v="1.5"/>
    <n v="50"/>
    <n v="75"/>
    <s v="Yes"/>
    <s v="Yes"/>
    <s v="Math and Physics Review"/>
    <s v="No"/>
    <s v="YES"/>
    <n v="75"/>
  </r>
  <r>
    <x v="13"/>
    <d v="2022-10-23T00:00:00"/>
    <n v="1"/>
    <n v="50"/>
    <n v="75"/>
    <s v="Yes"/>
    <s v="Yes"/>
    <s v="AOS Integrated Math + Science"/>
    <s v="No"/>
    <s v="YES"/>
    <n v="75"/>
  </r>
  <r>
    <x v="13"/>
    <d v="2022-10-24T00:00:00"/>
    <n v="1"/>
    <n v="50"/>
    <n v="50"/>
    <s v="Yes"/>
    <s v="Yes"/>
    <s v="AOS Integrated Math + Science"/>
    <s v="No"/>
    <s v="YES"/>
    <n v="50"/>
  </r>
  <r>
    <x v="13"/>
    <d v="2022-10-25T00:00:00"/>
    <n v="1"/>
    <n v="50"/>
    <n v="50"/>
    <s v="Yes"/>
    <s v="Yes"/>
    <s v="AOS Integrated Math + Science"/>
    <s v="No"/>
    <s v="YES"/>
    <n v="50"/>
  </r>
  <r>
    <x v="13"/>
    <d v="2022-10-26T00:00:00"/>
    <n v="1.25"/>
    <n v="50"/>
    <n v="62.5"/>
    <s v="Yes"/>
    <s v="Yes"/>
    <s v="AOS Integrated Math + Science"/>
    <s v="No"/>
    <s v="YES"/>
    <n v="62.5"/>
  </r>
  <r>
    <x v="14"/>
    <d v="2022-10-12T00:00:00"/>
    <n v="1.5"/>
    <n v="50"/>
    <n v="75"/>
    <s v="Yes"/>
    <s v="Yes"/>
    <s v="Geometry"/>
    <s v="No"/>
    <s v="YES"/>
    <n v="75"/>
  </r>
  <r>
    <x v="15"/>
    <d v="2022-10-26T00:00:00"/>
    <n v="1"/>
    <n v="60"/>
    <n v="60"/>
    <s v="Yes (folded into next-day invoice)"/>
    <s v="Yes"/>
    <s v="Physics"/>
    <s v="No"/>
    <s v="YES"/>
    <n v="60"/>
  </r>
  <r>
    <x v="15"/>
    <d v="2022-10-27T00:00:00"/>
    <n v="1"/>
    <n v="60"/>
    <n v="60"/>
    <s v="Yes"/>
    <s v="Yes"/>
    <s v="Physics"/>
    <s v="No"/>
    <s v="YES"/>
    <n v="60"/>
  </r>
  <r>
    <x v="16"/>
    <d v="2022-10-06T00:00:00"/>
    <n v="1.5"/>
    <n v="50"/>
    <n v="75"/>
    <s v="Yes"/>
    <s v="Yes"/>
    <s v="Supplemental Essays"/>
    <s v="No"/>
    <s v="YES"/>
    <n v="75"/>
  </r>
  <r>
    <x v="16"/>
    <d v="2022-10-21T00:00:00"/>
    <n v="2"/>
    <n v="50"/>
    <n v="100"/>
    <s v="Yes"/>
    <s v="Yes"/>
    <s v="College Essay"/>
    <s v="No"/>
    <s v="YES"/>
    <n v="100"/>
  </r>
  <r>
    <x v="16"/>
    <d v="2022-10-23T00:00:00"/>
    <n v="0.5"/>
    <n v="50"/>
    <n v="25"/>
    <s v="No"/>
    <s v="Yes"/>
    <s v="College Essay"/>
    <s v="No"/>
    <s v="YES"/>
    <n v="25"/>
  </r>
  <r>
    <x v="16"/>
    <d v="2022-10-29T00:00:00"/>
    <n v="5"/>
    <n v="50"/>
    <n v="125"/>
    <s v="Yes"/>
    <s v="Yes"/>
    <s v="College Essay"/>
    <s v="No"/>
    <s v="YES"/>
    <n v="250"/>
  </r>
  <r>
    <x v="16"/>
    <d v="2022-10-30T00:00:00"/>
    <n v="2.5"/>
    <n v="50"/>
    <n v="125"/>
    <s v="Yes"/>
    <s v="Yes"/>
    <s v="College Essay"/>
    <s v="No"/>
    <s v="No - asked to send via Zelle. Transferred from personal to biz immediately."/>
    <n v="125"/>
  </r>
</pivotCacheRecords>
</file>

<file path=xl/pivotCache/pivotCacheRecords2.xml><?xml version="1.0" encoding="utf-8"?>
<pivotCacheRecords xmlns="http://schemas.openxmlformats.org/spreadsheetml/2006/main" count="40">
  <r>
    <x v="0"/>
    <d v="2022-10-02T00:00:00"/>
    <n v="1"/>
    <n v="50"/>
    <n v="50"/>
    <s v="Yes"/>
    <s v="Yes"/>
    <s v="Math (general homework)"/>
    <s v="No"/>
    <s v="No"/>
    <n v="50"/>
  </r>
  <r>
    <x v="0"/>
    <d v="2022-10-12T00:00:00"/>
    <n v="2"/>
    <n v="50"/>
    <n v="100"/>
    <s v="Yes"/>
    <s v="Yes"/>
    <s v="Algebra 2"/>
    <s v="No"/>
    <s v="YES"/>
    <n v="100"/>
  </r>
  <r>
    <x v="0"/>
    <d v="2022-10-24T00:00:00"/>
    <n v="1"/>
    <n v="50"/>
    <n v="50"/>
    <s v="Yes"/>
    <s v="Yes"/>
    <s v="Emergency Math Lab"/>
    <s v="No"/>
    <s v="YES"/>
    <n v="50"/>
  </r>
  <r>
    <x v="0"/>
    <d v="2022-10-25T00:00:00"/>
    <n v="0.75"/>
    <n v="50"/>
    <n v="37.5"/>
    <s v="Yes"/>
    <s v="Yes"/>
    <s v="Logarithmic Functions Review"/>
    <s v="No"/>
    <s v="YES"/>
    <n v="37.5"/>
  </r>
  <r>
    <x v="0"/>
    <d v="2022-10-27T00:00:00"/>
    <n v="1"/>
    <n v="50"/>
    <n v="50"/>
    <s v="Yes"/>
    <s v="Yes"/>
    <s v="Precalc - Exponentials and Logs"/>
    <s v="No"/>
    <s v="YES"/>
    <n v="50"/>
  </r>
  <r>
    <x v="1"/>
    <d v="2022-10-15T00:00:00"/>
    <n v="1"/>
    <n v="60"/>
    <n v="60"/>
    <s v="Yes"/>
    <s v="Yes"/>
    <s v="Choreography Review"/>
    <s v="No"/>
    <s v="YES"/>
    <n v="60"/>
  </r>
  <r>
    <x v="2"/>
    <d v="2022-10-18T00:00:00"/>
    <n v="3.5"/>
    <n v="50"/>
    <n v="175"/>
    <s v="Yes"/>
    <s v="Yes"/>
    <s v="TN and CoC Essay Supplement Finalization"/>
    <s v="Yes"/>
    <s v="No - Venmo b/c tip; sent to personal account but transferred accordingly (sent to Eric and Eric venmo'd business acc)"/>
    <n v="200"/>
  </r>
  <r>
    <x v="2"/>
    <d v="2022-10-23T00:00:00"/>
    <n v="1"/>
    <n v="50"/>
    <n v="50"/>
    <s v="Yes"/>
    <s v="Yes"/>
    <s v="Bama Honors Appliation"/>
    <s v="No"/>
    <s v="No - venmo b/c tip"/>
    <n v="50"/>
  </r>
  <r>
    <x v="3"/>
    <d v="2022-10-03T00:00:00"/>
    <n v="1"/>
    <n v="50"/>
    <n v="50"/>
    <s v="Yes"/>
    <s v="Yes"/>
    <s v="SAT Math, Piecewise Functions Test"/>
    <s v="No"/>
    <s v="YES"/>
    <n v="50"/>
  </r>
  <r>
    <x v="4"/>
    <d v="2022-10-08T00:00:00"/>
    <n v="1"/>
    <n v="60"/>
    <n v="60"/>
    <s v="Yes"/>
    <s v="Yes"/>
    <s v="Algebra 1"/>
    <s v="No"/>
    <s v="YES"/>
    <n v="60"/>
  </r>
  <r>
    <x v="4"/>
    <d v="2022-10-12T00:00:00"/>
    <n v="1"/>
    <n v="60"/>
    <n v="60"/>
    <s v="Yes"/>
    <s v="Yes"/>
    <s v="Algebra 1"/>
    <s v="No"/>
    <s v="YES"/>
    <n v="60"/>
  </r>
  <r>
    <x v="4"/>
    <d v="2022-10-19T00:00:00"/>
    <n v="1.25"/>
    <n v="60"/>
    <n v="75"/>
    <s v="Yes"/>
    <s v="Yes"/>
    <s v="Algebra 1 Review"/>
    <s v="No"/>
    <s v="YES"/>
    <n v="75"/>
  </r>
  <r>
    <x v="5"/>
    <d v="2022-10-22T00:00:00"/>
    <n v="1"/>
    <n v="60"/>
    <n v="60"/>
    <s v="Yes"/>
    <s v="Yes"/>
    <s v="Algebra 1"/>
    <s v="No"/>
    <s v="YES"/>
    <n v="60"/>
  </r>
  <r>
    <x v="6"/>
    <d v="2022-10-11T00:00:00"/>
    <n v="1"/>
    <n v="50"/>
    <n v="50"/>
    <s v="Yes"/>
    <s v="Yes"/>
    <s v="Precalc - piecewise functions"/>
    <s v="No"/>
    <s v="YES"/>
    <n v="50"/>
  </r>
  <r>
    <x v="6"/>
    <d v="2022-10-17T00:00:00"/>
    <n v="1.5"/>
    <n v="50"/>
    <n v="75"/>
    <s v="Yes"/>
    <s v="Yes"/>
    <s v="Limits and Discontinuity"/>
    <s v="No"/>
    <s v="YES"/>
    <n v="75"/>
  </r>
  <r>
    <x v="7"/>
    <d v="2022-10-17T00:00:00"/>
    <n v="1.5"/>
    <n v="50"/>
    <n v="75"/>
    <s v="Yes"/>
    <s v="Yes"/>
    <s v="Business Calculus"/>
    <s v="No"/>
    <s v="YES"/>
    <n v="75"/>
  </r>
  <r>
    <x v="7"/>
    <d v="2022-10-23T00:00:00"/>
    <n v="1.5"/>
    <n v="50"/>
    <n v="75"/>
    <s v="Yes"/>
    <s v="Yes"/>
    <s v="Business Calculus"/>
    <s v="No"/>
    <s v="YES"/>
    <n v="75"/>
  </r>
  <r>
    <x v="8"/>
    <d v="2022-10-02T00:00:00"/>
    <n v="1.5"/>
    <n v="50"/>
    <n v="75"/>
    <s v="Yes"/>
    <s v="Yes"/>
    <s v="Common App Finalizaiton"/>
    <s v="No"/>
    <s v="No"/>
    <n v="75"/>
  </r>
  <r>
    <x v="9"/>
    <d v="2022-10-02T00:00:00"/>
    <n v="2"/>
    <n v="50"/>
    <n v="100"/>
    <s v="Yes"/>
    <s v="Yes"/>
    <s v="ACT Math"/>
    <s v="No"/>
    <s v="No"/>
    <n v="100"/>
  </r>
  <r>
    <x v="9"/>
    <d v="2022-10-20T00:00:00"/>
    <n v="1.5"/>
    <n v="50"/>
    <n v="75"/>
    <s v="Yes"/>
    <s v="Yes"/>
    <s v="ACT Math"/>
    <s v="No"/>
    <s v="No - received via PayPal and Transferred"/>
    <n v="75"/>
  </r>
  <r>
    <x v="10"/>
    <d v="2022-10-13T00:00:00"/>
    <n v="2"/>
    <n v="50"/>
    <n v="100"/>
    <s v="Yes"/>
    <s v="Yes"/>
    <s v="College Essay"/>
    <s v="No"/>
    <s v="YES"/>
    <n v="100"/>
  </r>
  <r>
    <x v="11"/>
    <d v="2022-10-22T00:00:00"/>
    <n v="0.5"/>
    <n v="60"/>
    <n v="30"/>
    <s v="Yes"/>
    <s v="Yes"/>
    <s v="Private lesson"/>
    <s v="No"/>
    <s v="YES"/>
    <n v="30"/>
  </r>
  <r>
    <x v="12"/>
    <d v="2022-10-23T00:00:00"/>
    <n v="2"/>
    <n v="50"/>
    <n v="100"/>
    <s v="Yes"/>
    <s v="Yes"/>
    <s v="AP Test Advice, Volunteering advice, SAT Math"/>
    <s v="No"/>
    <s v="YES"/>
    <n v="100"/>
  </r>
  <r>
    <x v="12"/>
    <d v="2022-10-29T00:00:00"/>
    <n v="1"/>
    <n v="50"/>
    <n v="50"/>
    <s v="Yes"/>
    <s v="Yes"/>
    <s v="SAT Math"/>
    <s v="No"/>
    <s v="YES"/>
    <n v="50"/>
  </r>
  <r>
    <x v="12"/>
    <d v="2022-10-31T00:00:00"/>
    <n v="1"/>
    <n v="50"/>
    <n v="50"/>
    <s v="Yes"/>
    <s v="Yes"/>
    <s v="SAT Math"/>
    <s v="No"/>
    <s v="YES"/>
    <n v="50"/>
  </r>
  <r>
    <x v="13"/>
    <d v="2022-10-04T00:00:00"/>
    <n v="1"/>
    <n v="50"/>
    <n v="50"/>
    <s v="Yes"/>
    <s v="Yes"/>
    <s v="AOS Integrated Math + Science"/>
    <s v="No"/>
    <s v="YES"/>
    <n v="50"/>
  </r>
  <r>
    <x v="13"/>
    <d v="2022-10-06T00:00:00"/>
    <n v="2"/>
    <n v="50"/>
    <n v="100"/>
    <s v="Yes"/>
    <s v="Yes"/>
    <s v="AOS Integrated Math + Science"/>
    <s v="No"/>
    <s v="YES"/>
    <n v="100"/>
  </r>
  <r>
    <x v="13"/>
    <d v="2022-10-17T00:00:00"/>
    <n v="1.5"/>
    <n v="50"/>
    <n v="75"/>
    <s v="Yes"/>
    <s v="Yes"/>
    <s v="Math and Physics Review"/>
    <s v="No"/>
    <s v="YES"/>
    <n v="75"/>
  </r>
  <r>
    <x v="13"/>
    <d v="2022-10-23T00:00:00"/>
    <n v="1"/>
    <n v="50"/>
    <n v="75"/>
    <s v="Yes"/>
    <s v="Yes"/>
    <s v="AOS Integrated Math + Science"/>
    <s v="No"/>
    <s v="YES"/>
    <n v="75"/>
  </r>
  <r>
    <x v="13"/>
    <d v="2022-10-24T00:00:00"/>
    <n v="1"/>
    <n v="50"/>
    <n v="50"/>
    <s v="Yes"/>
    <s v="Yes"/>
    <s v="AOS Integrated Math + Science"/>
    <s v="No"/>
    <s v="YES"/>
    <n v="50"/>
  </r>
  <r>
    <x v="13"/>
    <d v="2022-10-25T00:00:00"/>
    <n v="1"/>
    <n v="50"/>
    <n v="50"/>
    <s v="Yes"/>
    <s v="Yes"/>
    <s v="AOS Integrated Math + Science"/>
    <s v="No"/>
    <s v="YES"/>
    <n v="50"/>
  </r>
  <r>
    <x v="13"/>
    <d v="2022-10-26T00:00:00"/>
    <n v="1.25"/>
    <n v="50"/>
    <n v="62.5"/>
    <s v="Yes"/>
    <s v="Yes"/>
    <s v="AOS Integrated Math + Science"/>
    <s v="No"/>
    <s v="YES"/>
    <n v="62.5"/>
  </r>
  <r>
    <x v="14"/>
    <d v="2022-10-12T00:00:00"/>
    <n v="1.5"/>
    <n v="50"/>
    <n v="75"/>
    <s v="Yes"/>
    <s v="Yes"/>
    <s v="Geometry"/>
    <s v="No"/>
    <s v="YES"/>
    <n v="75"/>
  </r>
  <r>
    <x v="15"/>
    <d v="2022-10-26T00:00:00"/>
    <n v="1"/>
    <n v="60"/>
    <n v="60"/>
    <s v="Yes (folded into next-day invoice)"/>
    <s v="Yes"/>
    <s v="Physics"/>
    <s v="No"/>
    <s v="YES"/>
    <n v="60"/>
  </r>
  <r>
    <x v="15"/>
    <d v="2022-10-27T00:00:00"/>
    <n v="1"/>
    <n v="60"/>
    <n v="60"/>
    <s v="Yes"/>
    <s v="Yes"/>
    <s v="Physics"/>
    <s v="No"/>
    <s v="YES"/>
    <n v="60"/>
  </r>
  <r>
    <x v="16"/>
    <d v="2022-10-06T00:00:00"/>
    <n v="1.5"/>
    <n v="50"/>
    <n v="75"/>
    <s v="Yes"/>
    <s v="Yes"/>
    <s v="Supplemental Essays"/>
    <s v="No"/>
    <s v="YES"/>
    <n v="75"/>
  </r>
  <r>
    <x v="16"/>
    <d v="2022-10-21T00:00:00"/>
    <n v="2"/>
    <n v="50"/>
    <n v="100"/>
    <s v="Yes"/>
    <s v="Yes"/>
    <s v="College Essay"/>
    <s v="No"/>
    <s v="YES"/>
    <n v="100"/>
  </r>
  <r>
    <x v="16"/>
    <d v="2022-10-23T00:00:00"/>
    <n v="0.5"/>
    <n v="50"/>
    <n v="25"/>
    <s v="No"/>
    <s v="Yes"/>
    <s v="College Essay"/>
    <s v="No"/>
    <s v="YES"/>
    <n v="25"/>
  </r>
  <r>
    <x v="16"/>
    <d v="2022-10-29T00:00:00"/>
    <n v="5"/>
    <n v="50"/>
    <n v="125"/>
    <s v="Yes"/>
    <s v="Yes"/>
    <s v="College Essay"/>
    <s v="No"/>
    <s v="YES"/>
    <n v="250"/>
  </r>
  <r>
    <x v="16"/>
    <d v="2022-10-30T00:00:00"/>
    <n v="2.5"/>
    <n v="50"/>
    <n v="125"/>
    <s v="Yes"/>
    <s v="Yes"/>
    <s v="College Essay"/>
    <s v="No"/>
    <s v="No - asked to send via Zelle. Transferred from personal to biz immediately."/>
    <n v="125"/>
  </r>
</pivotCacheRecords>
</file>

<file path=xl/pivotCache/pivotCacheRecords4.xml><?xml version="1.0" encoding="utf-8"?>
<pivotCacheRecords xmlns="http://schemas.openxmlformats.org/spreadsheetml/2006/main" count="40">
  <r>
    <x v="0"/>
    <d v="2022-10-02T00:00:00"/>
    <n v="1"/>
    <n v="50"/>
    <n v="50"/>
    <s v="Yes"/>
    <s v="Yes"/>
    <s v="Math (general homework)"/>
    <s v="No"/>
    <s v="No"/>
    <n v="50"/>
  </r>
  <r>
    <x v="0"/>
    <d v="2022-10-12T00:00:00"/>
    <n v="2"/>
    <n v="50"/>
    <n v="100"/>
    <s v="Yes"/>
    <s v="Yes"/>
    <s v="Algebra 2"/>
    <s v="No"/>
    <s v="YES"/>
    <n v="100"/>
  </r>
  <r>
    <x v="0"/>
    <d v="2022-10-24T00:00:00"/>
    <n v="1"/>
    <n v="50"/>
    <n v="50"/>
    <s v="Yes"/>
    <s v="Yes"/>
    <s v="Emergency Math Lab"/>
    <s v="No"/>
    <s v="YES"/>
    <n v="50"/>
  </r>
  <r>
    <x v="0"/>
    <d v="2022-10-25T00:00:00"/>
    <n v="0.75"/>
    <n v="50"/>
    <n v="37.5"/>
    <s v="Yes"/>
    <s v="Yes"/>
    <s v="Logarithmic Functions Review"/>
    <s v="No"/>
    <s v="YES"/>
    <n v="37.5"/>
  </r>
  <r>
    <x v="0"/>
    <d v="2022-10-27T00:00:00"/>
    <n v="1"/>
    <n v="50"/>
    <n v="50"/>
    <s v="Yes"/>
    <s v="Yes"/>
    <s v="Precalc - Exponentials and Logs"/>
    <s v="No"/>
    <s v="YES"/>
    <n v="50"/>
  </r>
  <r>
    <x v="1"/>
    <d v="2022-10-15T00:00:00"/>
    <n v="1"/>
    <n v="60"/>
    <n v="60"/>
    <s v="Yes"/>
    <s v="Yes"/>
    <s v="Choreography Review"/>
    <s v="No"/>
    <s v="YES"/>
    <n v="60"/>
  </r>
  <r>
    <x v="2"/>
    <d v="2022-10-18T00:00:00"/>
    <n v="3.5"/>
    <n v="50"/>
    <n v="175"/>
    <s v="Yes"/>
    <s v="Yes"/>
    <s v="TN and CoC Essay Supplement Finalization"/>
    <s v="Yes"/>
    <s v="No - Venmo b/c tip; sent to personal account but transferred accordingly (sent to Eric and Eric venmo'd business acc)"/>
    <n v="200"/>
  </r>
  <r>
    <x v="2"/>
    <d v="2022-10-23T00:00:00"/>
    <n v="1"/>
    <n v="50"/>
    <n v="50"/>
    <s v="Yes"/>
    <s v="Yes"/>
    <s v="Bama Honors Appliation"/>
    <s v="No"/>
    <s v="No - venmo b/c tip"/>
    <n v="50"/>
  </r>
  <r>
    <x v="3"/>
    <d v="2022-10-03T00:00:00"/>
    <n v="1"/>
    <n v="50"/>
    <n v="50"/>
    <s v="Yes"/>
    <s v="Yes"/>
    <s v="SAT Math, Piecewise Functions Test"/>
    <s v="No"/>
    <s v="YES"/>
    <n v="50"/>
  </r>
  <r>
    <x v="4"/>
    <d v="2022-10-08T00:00:00"/>
    <n v="1"/>
    <n v="60"/>
    <n v="60"/>
    <s v="Yes"/>
    <s v="Yes"/>
    <s v="Algebra 1"/>
    <s v="No"/>
    <s v="YES"/>
    <n v="60"/>
  </r>
  <r>
    <x v="4"/>
    <d v="2022-10-12T00:00:00"/>
    <n v="1"/>
    <n v="60"/>
    <n v="60"/>
    <s v="Yes"/>
    <s v="Yes"/>
    <s v="Algebra 1"/>
    <s v="No"/>
    <s v="YES"/>
    <n v="60"/>
  </r>
  <r>
    <x v="4"/>
    <d v="2022-10-19T00:00:00"/>
    <n v="1.25"/>
    <n v="60"/>
    <n v="75"/>
    <s v="Yes"/>
    <s v="Yes"/>
    <s v="Algebra 1 Review"/>
    <s v="No"/>
    <s v="YES"/>
    <n v="75"/>
  </r>
  <r>
    <x v="5"/>
    <d v="2022-10-22T00:00:00"/>
    <n v="1"/>
    <n v="60"/>
    <n v="60"/>
    <s v="Yes"/>
    <s v="Yes"/>
    <s v="Algebra 1"/>
    <s v="No"/>
    <s v="YES"/>
    <n v="60"/>
  </r>
  <r>
    <x v="6"/>
    <d v="2022-10-11T00:00:00"/>
    <n v="1"/>
    <n v="50"/>
    <n v="50"/>
    <s v="Yes"/>
    <s v="Yes"/>
    <s v="Precalc - piecewise functions"/>
    <s v="No"/>
    <s v="YES"/>
    <n v="50"/>
  </r>
  <r>
    <x v="6"/>
    <d v="2022-10-17T00:00:00"/>
    <n v="1.5"/>
    <n v="50"/>
    <n v="75"/>
    <s v="Yes"/>
    <s v="Yes"/>
    <s v="Limits and Discontinuity"/>
    <s v="No"/>
    <s v="YES"/>
    <n v="75"/>
  </r>
  <r>
    <x v="7"/>
    <d v="2022-10-17T00:00:00"/>
    <n v="1.5"/>
    <n v="50"/>
    <n v="75"/>
    <s v="Yes"/>
    <s v="Yes"/>
    <s v="Business Calculus"/>
    <s v="No"/>
    <s v="YES"/>
    <n v="75"/>
  </r>
  <r>
    <x v="7"/>
    <d v="2022-10-23T00:00:00"/>
    <n v="1.5"/>
    <n v="50"/>
    <n v="75"/>
    <s v="Yes"/>
    <s v="Yes"/>
    <s v="Business Calculus"/>
    <s v="No"/>
    <s v="YES"/>
    <n v="75"/>
  </r>
  <r>
    <x v="8"/>
    <d v="2022-10-02T00:00:00"/>
    <n v="1.5"/>
    <n v="50"/>
    <n v="75"/>
    <s v="Yes"/>
    <s v="Yes"/>
    <s v="Common App Finalizaiton"/>
    <s v="No"/>
    <s v="No"/>
    <n v="75"/>
  </r>
  <r>
    <x v="9"/>
    <d v="2022-10-02T00:00:00"/>
    <n v="2"/>
    <n v="50"/>
    <n v="100"/>
    <s v="Yes"/>
    <s v="Yes"/>
    <s v="ACT Math"/>
    <s v="No"/>
    <s v="No"/>
    <n v="100"/>
  </r>
  <r>
    <x v="9"/>
    <d v="2022-10-20T00:00:00"/>
    <n v="1.5"/>
    <n v="50"/>
    <n v="75"/>
    <s v="Yes"/>
    <s v="Yes"/>
    <s v="ACT Math"/>
    <s v="No"/>
    <s v="No - received via PayPal and Transferred"/>
    <n v="75"/>
  </r>
  <r>
    <x v="10"/>
    <d v="2022-10-13T00:00:00"/>
    <n v="2"/>
    <n v="50"/>
    <n v="100"/>
    <s v="Yes"/>
    <s v="Yes"/>
    <s v="College Essay"/>
    <s v="No"/>
    <s v="YES"/>
    <n v="100"/>
  </r>
  <r>
    <x v="11"/>
    <d v="2022-10-22T00:00:00"/>
    <n v="0.5"/>
    <n v="60"/>
    <n v="30"/>
    <s v="Yes"/>
    <s v="Yes"/>
    <s v="Private lesson"/>
    <s v="No"/>
    <s v="YES"/>
    <n v="30"/>
  </r>
  <r>
    <x v="12"/>
    <d v="2022-10-23T00:00:00"/>
    <n v="2"/>
    <n v="50"/>
    <n v="100"/>
    <s v="Yes"/>
    <s v="Yes"/>
    <s v="AP Test Advice, Volunteering advice, SAT Math"/>
    <s v="No"/>
    <s v="YES"/>
    <n v="100"/>
  </r>
  <r>
    <x v="12"/>
    <d v="2022-10-29T00:00:00"/>
    <n v="1"/>
    <n v="50"/>
    <n v="50"/>
    <s v="Yes"/>
    <s v="Yes"/>
    <s v="SAT Math"/>
    <s v="No"/>
    <s v="YES"/>
    <n v="50"/>
  </r>
  <r>
    <x v="12"/>
    <d v="2022-10-31T00:00:00"/>
    <n v="1"/>
    <n v="50"/>
    <n v="50"/>
    <s v="Yes"/>
    <s v="Yes"/>
    <s v="SAT Math"/>
    <s v="No"/>
    <s v="YES"/>
    <n v="50"/>
  </r>
  <r>
    <x v="13"/>
    <d v="2022-10-04T00:00:00"/>
    <n v="1"/>
    <n v="50"/>
    <n v="50"/>
    <s v="Yes"/>
    <s v="Yes"/>
    <s v="AOS Integrated Math + Science"/>
    <s v="No"/>
    <s v="YES"/>
    <n v="50"/>
  </r>
  <r>
    <x v="13"/>
    <d v="2022-10-06T00:00:00"/>
    <n v="2"/>
    <n v="50"/>
    <n v="100"/>
    <s v="Yes"/>
    <s v="Yes"/>
    <s v="AOS Integrated Math + Science"/>
    <s v="No"/>
    <s v="YES"/>
    <n v="100"/>
  </r>
  <r>
    <x v="13"/>
    <d v="2022-10-17T00:00:00"/>
    <n v="1.5"/>
    <n v="50"/>
    <n v="75"/>
    <s v="Yes"/>
    <s v="Yes"/>
    <s v="Math and Physics Review"/>
    <s v="No"/>
    <s v="YES"/>
    <n v="75"/>
  </r>
  <r>
    <x v="13"/>
    <d v="2022-10-23T00:00:00"/>
    <n v="1"/>
    <n v="50"/>
    <n v="75"/>
    <s v="Yes"/>
    <s v="Yes"/>
    <s v="AOS Integrated Math + Science"/>
    <s v="No"/>
    <s v="YES"/>
    <n v="75"/>
  </r>
  <r>
    <x v="13"/>
    <d v="2022-10-24T00:00:00"/>
    <n v="1"/>
    <n v="50"/>
    <n v="50"/>
    <s v="Yes"/>
    <s v="Yes"/>
    <s v="AOS Integrated Math + Science"/>
    <s v="No"/>
    <s v="YES"/>
    <n v="50"/>
  </r>
  <r>
    <x v="13"/>
    <d v="2022-10-25T00:00:00"/>
    <n v="1"/>
    <n v="50"/>
    <n v="50"/>
    <s v="Yes"/>
    <s v="Yes"/>
    <s v="AOS Integrated Math + Science"/>
    <s v="No"/>
    <s v="YES"/>
    <n v="50"/>
  </r>
  <r>
    <x v="13"/>
    <d v="2022-10-26T00:00:00"/>
    <n v="1.25"/>
    <n v="50"/>
    <n v="62.5"/>
    <s v="Yes"/>
    <s v="Yes"/>
    <s v="AOS Integrated Math + Science"/>
    <s v="No"/>
    <s v="YES"/>
    <n v="62.5"/>
  </r>
  <r>
    <x v="14"/>
    <d v="2022-10-12T00:00:00"/>
    <n v="1.5"/>
    <n v="50"/>
    <n v="75"/>
    <s v="Yes"/>
    <s v="Yes"/>
    <s v="Geometry"/>
    <s v="No"/>
    <s v="YES"/>
    <n v="75"/>
  </r>
  <r>
    <x v="15"/>
    <d v="2022-10-26T00:00:00"/>
    <n v="1"/>
    <n v="60"/>
    <n v="60"/>
    <s v="Yes (folded into next-day invoice)"/>
    <s v="Yes"/>
    <s v="Physics"/>
    <s v="No"/>
    <s v="YES"/>
    <n v="60"/>
  </r>
  <r>
    <x v="15"/>
    <d v="2022-10-27T00:00:00"/>
    <n v="1"/>
    <n v="60"/>
    <n v="60"/>
    <s v="Yes"/>
    <s v="Yes"/>
    <s v="Physics"/>
    <s v="No"/>
    <s v="YES"/>
    <n v="60"/>
  </r>
  <r>
    <x v="16"/>
    <d v="2022-10-06T00:00:00"/>
    <n v="1.5"/>
    <n v="50"/>
    <n v="75"/>
    <s v="Yes"/>
    <s v="Yes"/>
    <s v="Supplemental Essays"/>
    <s v="No"/>
    <s v="YES"/>
    <n v="75"/>
  </r>
  <r>
    <x v="16"/>
    <d v="2022-10-21T00:00:00"/>
    <n v="2"/>
    <n v="50"/>
    <n v="100"/>
    <s v="Yes"/>
    <s v="Yes"/>
    <s v="College Essay"/>
    <s v="No"/>
    <s v="YES"/>
    <n v="100"/>
  </r>
  <r>
    <x v="16"/>
    <d v="2022-10-23T00:00:00"/>
    <n v="0.5"/>
    <n v="50"/>
    <n v="25"/>
    <s v="No"/>
    <s v="Yes"/>
    <s v="College Essay"/>
    <s v="No"/>
    <s v="YES"/>
    <n v="25"/>
  </r>
  <r>
    <x v="16"/>
    <d v="2022-10-29T00:00:00"/>
    <n v="5"/>
    <n v="50"/>
    <n v="125"/>
    <s v="Yes"/>
    <s v="Yes"/>
    <s v="College Essay"/>
    <s v="No"/>
    <s v="YES"/>
    <n v="250"/>
  </r>
  <r>
    <x v="16"/>
    <d v="2022-10-30T00:00:00"/>
    <n v="2.5"/>
    <n v="50"/>
    <n v="125"/>
    <s v="Yes"/>
    <s v="Yes"/>
    <s v="College Essay"/>
    <s v="No"/>
    <s v="No - asked to send via Zelle. Transferred from personal to biz immediately."/>
    <n v="125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3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4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3" cacheId="2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O18:Q36" firstHeaderRow="0" firstDataRow="1" firstDataCol="1"/>
  <pivotFields count="11">
    <pivotField axis="axisRow" showDropDowns="1" compact="1" outline="1" subtotalTop="1" dragToRow="1" dragToCol="1" dragToPage="1" dragToData="1" dragOff="1" showAll="0" topAutoShow="1" itemPageCount="10" sortType="manual" defaultSubtotal="1">
      <items count="1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efault" sd="1"/>
      </items>
    </pivotField>
    <pivotField showDropDowns="1" compact="1" numFmtId="16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1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um of Hours" fld="2" subtotal="sum" showDataAs="normal" baseField="0" baseItem="0"/>
    <dataField name="Sum of Coin" fld="4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2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O10:Q20" firstHeaderRow="0" firstDataRow="1" firstDataCol="1"/>
  <pivotFields count="10">
    <pivotField axis="axisRow" showDropDowns="1" compact="1" outline="1" subtotalTop="1" dragToRow="1" dragToCol="1" dragToPage="1" dragToData="1" dragOff="1" showAll="0" topAutoShow="1" itemPageCount="10" sortType="manual" defaultSubtotal="1">
      <items count="10">
        <item t="data" sd="1" x="5"/>
        <item t="data" sd="1" x="2"/>
        <item t="data" sd="1" x="7"/>
        <item t="data" sd="1" x="3"/>
        <item t="data" sd="1" x="4"/>
        <item t="data" sd="1" x="1"/>
        <item t="data" sd="1" x="6"/>
        <item t="data" sd="1" x="0"/>
        <item t="data" sd="1" x="8"/>
        <item t="default" sd="1"/>
      </items>
    </pivotField>
    <pivotField showDropDowns="1" compact="1" numFmtId="16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1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um of Hours" fld="2" subtotal="sum" showDataAs="normal" baseField="0" baseItem="0"/>
    <dataField name="Sum of Coin" fld="4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1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O5:Q11" firstHeaderRow="0" firstDataRow="1" firstDataCol="1"/>
  <pivotFields count="10"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0"/>
        <item t="data" sd="1" x="2"/>
        <item t="data" sd="1" x="4"/>
        <item t="data" sd="1" x="1"/>
        <item t="data" sd="1" x="3"/>
        <item t="default" sd="1"/>
      </items>
    </pivotField>
    <pivotField showDropDowns="1" compact="1" numFmtId="14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um of Hours" fld="2" subtotal="sum" showDataAs="normal" baseField="0" baseItem="0"/>
    <dataField name="Sum of Coin" fld="4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3" cacheId="3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R2:T14" firstHeaderRow="0" firstDataRow="1" firstDataCol="1"/>
  <pivotFields count="11">
    <pivotField axis="axisRow" showDropDowns="1" compact="1" outline="1" subtotalTop="1" dragToRow="1" dragToCol="1" dragToPage="1" dragToData="1" dragOff="1" showAll="0" topAutoShow="1" itemPageCount="10" sortType="manual" defaultSubtotal="1">
      <items count="1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efault" sd="1"/>
      </items>
    </pivotField>
    <pivotField showDropDowns="1" compact="1" numFmtId="16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1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um of Hours" fld="2" subtotal="sum" showDataAs="normal" baseField="0" baseItem="0"/>
    <dataField name="Sum of Coin" fld="4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5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16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_rels/sheet17.xml.rels><Relationships xmlns="http://schemas.openxmlformats.org/package/2006/relationships"><Relationship Type="http://schemas.openxmlformats.org/officeDocument/2006/relationships/pivotTable" Target="/xl/pivotTables/pivotTable3.xml" Id="rId1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22.xml.rels><Relationships xmlns="http://schemas.openxmlformats.org/package/2006/relationships"><Relationship Type="http://schemas.openxmlformats.org/officeDocument/2006/relationships/pivotTable" Target="/xl/pivotTables/pivot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B2" sqref="B2"/>
    </sheetView>
  </sheetViews>
  <sheetFormatPr baseColWidth="8" defaultColWidth="8.6640625" defaultRowHeight="14.4"/>
  <sheetData/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>
  <sheetPr>
    <tabColor theme="1"/>
    <outlinePr summaryBelow="1" summaryRight="1"/>
    <pageSetUpPr fitToPage="1"/>
  </sheetPr>
  <dimension ref="B3:AB38"/>
  <sheetViews>
    <sheetView showGridLines="0" topLeftCell="C14" zoomScale="102" zoomScaleNormal="100" workbookViewId="0">
      <selection activeCell="J37" sqref="J37"/>
    </sheetView>
  </sheetViews>
  <sheetFormatPr baseColWidth="8" defaultColWidth="8.6640625" defaultRowHeight="14.4"/>
  <cols>
    <col width="34" bestFit="1" customWidth="1" min="3" max="3"/>
    <col outlineLevel="1" width="11.6640625" customWidth="1" min="4" max="4"/>
    <col width="11.6640625" bestFit="1" customWidth="1" min="5" max="5"/>
    <col hidden="1" outlineLevel="1" width="11.6640625" customWidth="1" min="6" max="6"/>
    <col collapsed="1" width="12.77734375" bestFit="1" customWidth="1" min="7" max="7"/>
    <col width="11.6640625" bestFit="1" customWidth="1" min="8" max="9"/>
    <col width="10.44140625" bestFit="1" customWidth="1" min="10" max="10"/>
    <col width="11.6640625" bestFit="1" customWidth="1" min="11" max="11"/>
    <col width="12.77734375" bestFit="1" customWidth="1" min="12" max="12"/>
    <col hidden="1" outlineLevel="1" width="11.33203125" customWidth="1" min="13" max="13"/>
    <col hidden="1" outlineLevel="1" width="11.44140625" customWidth="1" min="14" max="14"/>
    <col hidden="1" outlineLevel="1" width="11.6640625" customWidth="1" min="15" max="15"/>
    <col collapsed="1" width="8.6640625" customWidth="1" min="16" max="16"/>
  </cols>
  <sheetData>
    <row r="2" ht="15" customHeight="1" thickBot="1"/>
    <row r="3">
      <c r="B3" s="92" t="n"/>
      <c r="C3" s="93" t="n"/>
      <c r="D3" s="94" t="n"/>
      <c r="E3" s="94" t="n"/>
      <c r="F3" s="94" t="n"/>
      <c r="G3" s="94" t="n"/>
      <c r="H3" s="94" t="n"/>
      <c r="I3" s="94" t="n"/>
      <c r="J3" s="94" t="n"/>
      <c r="K3" s="94" t="n"/>
      <c r="L3" s="94" t="n"/>
      <c r="M3" s="94" t="n"/>
      <c r="N3" s="94" t="n"/>
      <c r="O3" s="94" t="n"/>
      <c r="P3" s="95" t="n"/>
      <c r="Q3" s="92" t="n"/>
      <c r="R3" s="94" t="n"/>
      <c r="S3" s="94" t="n"/>
      <c r="T3" s="94" t="n"/>
      <c r="U3" s="94" t="n"/>
      <c r="V3" s="94" t="n"/>
      <c r="W3" s="94" t="n"/>
      <c r="X3" s="94" t="n"/>
      <c r="Y3" s="94" t="n"/>
      <c r="Z3" s="94" t="n"/>
      <c r="AA3" s="94" t="n"/>
      <c r="AB3" s="95" t="n"/>
    </row>
    <row r="4">
      <c r="B4" s="96" t="n"/>
      <c r="C4" s="7" t="n"/>
      <c r="P4" s="97" t="n"/>
      <c r="Q4" s="96" t="n"/>
      <c r="AB4" s="97" t="n"/>
    </row>
    <row r="5">
      <c r="B5" s="96" t="n"/>
      <c r="C5" s="7" t="n"/>
      <c r="P5" s="97" t="n"/>
      <c r="Q5" s="96" t="n"/>
      <c r="AB5" s="97" t="n"/>
    </row>
    <row r="6">
      <c r="B6" s="96" t="n"/>
      <c r="C6" s="7" t="n"/>
      <c r="P6" s="97" t="n"/>
      <c r="Q6" s="96" t="n"/>
      <c r="AB6" s="97" t="n"/>
    </row>
    <row r="7">
      <c r="B7" s="96" t="n"/>
      <c r="C7" s="7" t="n"/>
      <c r="P7" s="97" t="n"/>
      <c r="Q7" s="96" t="n"/>
      <c r="AB7" s="97" t="n"/>
    </row>
    <row r="8">
      <c r="B8" s="96" t="n"/>
      <c r="C8" s="7" t="n"/>
      <c r="P8" s="97" t="n"/>
      <c r="Q8" s="96" t="n"/>
      <c r="AB8" s="97" t="n"/>
    </row>
    <row r="9">
      <c r="B9" s="96" t="n"/>
      <c r="C9" s="7" t="n"/>
      <c r="P9" s="97" t="n"/>
      <c r="Q9" s="96" t="n"/>
      <c r="AB9" s="97" t="n"/>
    </row>
    <row r="10" ht="15" customHeight="1" thickBot="1">
      <c r="B10" s="96" t="n"/>
      <c r="C10" s="7" t="n"/>
      <c r="P10" s="97" t="n"/>
      <c r="Q10" s="96" t="n"/>
      <c r="AB10" s="97" t="n"/>
    </row>
    <row r="11" ht="15.6" customHeight="1">
      <c r="B11" s="98" t="n"/>
      <c r="C11" s="335" t="n"/>
      <c r="D11" s="336" t="n">
        <v>2022</v>
      </c>
      <c r="E11" s="336">
        <f>+D11+1</f>
        <v/>
      </c>
      <c r="F11" s="548" t="inlineStr">
        <is>
          <t>Variance</t>
        </is>
      </c>
      <c r="G11" s="336">
        <f>+E11+1</f>
        <v/>
      </c>
      <c r="H11" s="548" t="inlineStr">
        <is>
          <t>Variance</t>
        </is>
      </c>
      <c r="I11" s="336">
        <f>+G11+1</f>
        <v/>
      </c>
      <c r="J11" s="548" t="inlineStr">
        <is>
          <t>Variance</t>
        </is>
      </c>
      <c r="K11" s="336">
        <f>+I11+1</f>
        <v/>
      </c>
      <c r="L11" s="337">
        <f>+K11+1</f>
        <v/>
      </c>
      <c r="M11" s="336">
        <f>+L11+1</f>
        <v/>
      </c>
      <c r="N11" s="336">
        <f>+M11+1</f>
        <v/>
      </c>
      <c r="O11" s="337">
        <f>+N11+1</f>
        <v/>
      </c>
      <c r="P11" s="99" t="n"/>
      <c r="Q11" s="98" t="n"/>
      <c r="R11" s="100" t="n"/>
      <c r="S11" s="100" t="n"/>
      <c r="T11" s="100" t="n"/>
      <c r="U11" s="100" t="n"/>
      <c r="V11" s="100" t="n"/>
      <c r="W11" s="100" t="n"/>
      <c r="X11" s="100" t="n"/>
      <c r="Y11" s="100" t="n"/>
      <c r="Z11" s="100" t="n"/>
      <c r="AA11" s="100" t="n"/>
      <c r="AB11" s="99" t="n"/>
    </row>
    <row r="12" ht="6.45" customHeight="1">
      <c r="B12" s="96" t="n"/>
      <c r="C12" s="338" t="n"/>
      <c r="D12" s="339" t="n"/>
      <c r="E12" s="339" t="n"/>
      <c r="F12" s="549" t="n"/>
      <c r="G12" s="339" t="n"/>
      <c r="H12" s="549" t="n"/>
      <c r="I12" s="339" t="n"/>
      <c r="J12" s="549" t="n"/>
      <c r="K12" s="339" t="n"/>
      <c r="L12" s="340" t="n"/>
      <c r="M12" s="339" t="n"/>
      <c r="N12" s="339" t="n"/>
      <c r="O12" s="340" t="n"/>
      <c r="P12" s="97" t="n"/>
      <c r="Q12" s="96" t="n"/>
      <c r="AB12" s="97" t="n"/>
    </row>
    <row r="13">
      <c r="B13" s="96" t="n"/>
      <c r="C13" s="341" t="inlineStr">
        <is>
          <t>Service Income</t>
        </is>
      </c>
      <c r="D13" s="377">
        <f>SUMIF('Monthly Detail'!$1:$1,'Annual Summary'!D$11, 'Monthly Detail'!12:12)</f>
        <v/>
      </c>
      <c r="E13" s="377">
        <f>SUMIF('Monthly Detail'!$1:$1,'Annual Summary'!E$11, 'Monthly Detail'!12:12)</f>
        <v/>
      </c>
      <c r="F13" s="550">
        <f>+E13-D13</f>
        <v/>
      </c>
      <c r="G13" s="377">
        <f>SUMIF('Monthly Detail'!$1:$1,'Annual Summary'!G$11, 'Monthly Detail'!12:12)</f>
        <v/>
      </c>
      <c r="H13" s="550">
        <f>+G13-E13</f>
        <v/>
      </c>
      <c r="I13" s="377">
        <f>SUMIF('Monthly Detail'!$1:$1,'Annual Summary'!I$11, 'Monthly Detail'!12:12)</f>
        <v/>
      </c>
      <c r="J13" s="550">
        <f>+I13-G13</f>
        <v/>
      </c>
      <c r="K13" s="377">
        <f>SUMIF('Monthly Detail'!$1:$1,'Annual Summary'!K$11, 'Monthly Detail'!12:12)</f>
        <v/>
      </c>
      <c r="L13" s="342">
        <f>SUMIF('Monthly Detail'!$1:$1,'Annual Summary'!L$11, 'Monthly Detail'!12:12)</f>
        <v/>
      </c>
      <c r="M13" s="377">
        <f>SUMIF('Monthly Detail'!$1:$1,'Annual Summary'!M$11, 'Monthly Detail'!12:12)</f>
        <v/>
      </c>
      <c r="N13" s="377">
        <f>SUMIF('Monthly Detail'!$1:$1,'Annual Summary'!N$11, 'Monthly Detail'!12:12)</f>
        <v/>
      </c>
      <c r="O13" s="342">
        <f>SUMIF('Monthly Detail'!$1:$1,'Annual Summary'!O$11, 'Monthly Detail'!12:12)</f>
        <v/>
      </c>
      <c r="P13" s="97" t="n"/>
      <c r="Q13" s="96" t="n"/>
      <c r="AB13" s="97" t="n"/>
    </row>
    <row r="14">
      <c r="B14" s="96" t="n"/>
      <c r="C14" s="341" t="inlineStr">
        <is>
          <t>Tips</t>
        </is>
      </c>
      <c r="D14" s="377">
        <f>SUMIF('Monthly Detail'!$1:$1,'Annual Summary'!D$11, 'Monthly Detail'!13:13)</f>
        <v/>
      </c>
      <c r="E14" s="377">
        <f>SUMIF('Monthly Detail'!$1:$1,'Annual Summary'!E$11, 'Monthly Detail'!13:13)</f>
        <v/>
      </c>
      <c r="F14" s="550">
        <f>+E14-D14</f>
        <v/>
      </c>
      <c r="G14" s="377">
        <f>SUMIF('Monthly Detail'!$1:$1,'Annual Summary'!G$11, 'Monthly Detail'!13:13)</f>
        <v/>
      </c>
      <c r="H14" s="550">
        <f>+G14-E14</f>
        <v/>
      </c>
      <c r="I14" s="377">
        <f>SUMIF('Monthly Detail'!$1:$1,'Annual Summary'!I$11, 'Monthly Detail'!13:13)</f>
        <v/>
      </c>
      <c r="J14" s="550">
        <f>+I14-G14</f>
        <v/>
      </c>
      <c r="K14" s="377">
        <f>SUMIF('Monthly Detail'!$1:$1,'Annual Summary'!K$11, 'Monthly Detail'!13:13)</f>
        <v/>
      </c>
      <c r="L14" s="342">
        <f>SUMIF('Monthly Detail'!$1:$1,'Annual Summary'!L$11, 'Monthly Detail'!13:13)</f>
        <v/>
      </c>
      <c r="M14" s="377">
        <f>SUMIF('Monthly Detail'!$1:$1,'Annual Summary'!M$11, 'Monthly Detail'!13:13)</f>
        <v/>
      </c>
      <c r="N14" s="377">
        <f>SUMIF('Monthly Detail'!$1:$1,'Annual Summary'!N$11, 'Monthly Detail'!13:13)</f>
        <v/>
      </c>
      <c r="O14" s="342">
        <f>SUMIF('Monthly Detail'!$1:$1,'Annual Summary'!O$11, 'Monthly Detail'!13:13)</f>
        <v/>
      </c>
      <c r="P14" s="97" t="n"/>
      <c r="Q14" s="96" t="n"/>
      <c r="AB14" s="97" t="n"/>
    </row>
    <row r="15" ht="18.75" customHeight="1">
      <c r="B15" s="96" t="n"/>
      <c r="C15" s="343" t="inlineStr">
        <is>
          <t>Total Income</t>
        </is>
      </c>
      <c r="D15" s="102">
        <f>SUM(D13:D14)</f>
        <v/>
      </c>
      <c r="E15" s="102">
        <f>SUM(E13:E14)</f>
        <v/>
      </c>
      <c r="F15" s="551">
        <f>+E15-D15</f>
        <v/>
      </c>
      <c r="G15" s="102">
        <f>SUM(G13:G14)</f>
        <v/>
      </c>
      <c r="H15" s="551">
        <f>+G15-E15</f>
        <v/>
      </c>
      <c r="I15" s="102">
        <f>SUM(I13:I14)</f>
        <v/>
      </c>
      <c r="J15" s="551">
        <f>+I15-G15</f>
        <v/>
      </c>
      <c r="K15" s="102">
        <f>SUM(K13:K14)</f>
        <v/>
      </c>
      <c r="L15" s="344">
        <f>SUM(L13:L14)</f>
        <v/>
      </c>
      <c r="M15" s="102">
        <f>SUM(M13:M14)</f>
        <v/>
      </c>
      <c r="N15" s="102">
        <f>SUM(N13:N14)</f>
        <v/>
      </c>
      <c r="O15" s="344">
        <f>SUM(O13:O14)</f>
        <v/>
      </c>
      <c r="P15" s="97" t="n"/>
      <c r="Q15" s="96" t="n"/>
      <c r="AB15" s="97" t="n"/>
    </row>
    <row r="16" ht="18.75" customHeight="1">
      <c r="B16" s="96" t="n"/>
      <c r="C16" s="345" t="inlineStr">
        <is>
          <t>EOY # of Students</t>
        </is>
      </c>
      <c r="D16" s="334">
        <f>+SUMIFS('Monthly Detail'!17:17,'Monthly Detail'!4:4,DATE(D11,12,31))</f>
        <v/>
      </c>
      <c r="E16" s="334">
        <f>+SUMIFS('Monthly Detail'!17:17,'Monthly Detail'!4:4,DATE(E11,12,31))</f>
        <v/>
      </c>
      <c r="F16" s="552">
        <f>+E16-D16</f>
        <v/>
      </c>
      <c r="G16" s="334">
        <f>+SUMIFS('Monthly Detail'!17:17,'Monthly Detail'!4:4,DATE(G11,12,31))</f>
        <v/>
      </c>
      <c r="H16" s="552">
        <f>+G16-E16</f>
        <v/>
      </c>
      <c r="I16" s="334">
        <f>+SUMIFS('Monthly Detail'!17:17,'Monthly Detail'!4:4,DATE(I11,12,31))</f>
        <v/>
      </c>
      <c r="J16" s="552">
        <f>+I16-G16</f>
        <v/>
      </c>
      <c r="K16" s="334">
        <f>+SUMIFS('Monthly Detail'!17:17,'Monthly Detail'!4:4,DATE(K11,12,31))</f>
        <v/>
      </c>
      <c r="L16" s="346">
        <f>+SUMIFS('Monthly Detail'!17:17,'Monthly Detail'!4:4,DATE(L11,12,31))</f>
        <v/>
      </c>
      <c r="M16" s="334">
        <f>+SUMIFS('Monthly Detail'!17:17,'Monthly Detail'!4:4,DATE(M11,12,31))</f>
        <v/>
      </c>
      <c r="N16" s="334">
        <f>+SUMIFS('Monthly Detail'!17:17,'Monthly Detail'!4:4,DATE(N11,12,31))</f>
        <v/>
      </c>
      <c r="O16" s="346">
        <f>+SUMIFS('Monthly Detail'!17:17,'Monthly Detail'!4:4,DATE(O11,12,31))</f>
        <v/>
      </c>
      <c r="P16" s="97" t="n"/>
      <c r="Q16" s="96" t="n"/>
      <c r="AB16" s="97" t="n"/>
    </row>
    <row r="17" ht="10.95" customHeight="1">
      <c r="B17" s="96" t="n"/>
      <c r="C17" s="347" t="inlineStr">
        <is>
          <t>YOY Compounded Growth %</t>
        </is>
      </c>
      <c r="D17" s="377" t="n"/>
      <c r="E17" s="130">
        <f>(E15/D15)-1</f>
        <v/>
      </c>
      <c r="F17" s="553">
        <f>+E17-D17</f>
        <v/>
      </c>
      <c r="G17" s="130">
        <f>(G15/E15)-1</f>
        <v/>
      </c>
      <c r="H17" s="553">
        <f>+G17-E17</f>
        <v/>
      </c>
      <c r="I17" s="130">
        <f>(I15/G15)-1</f>
        <v/>
      </c>
      <c r="J17" s="553">
        <f>+I17-G17</f>
        <v/>
      </c>
      <c r="K17" s="130">
        <f>(K15/I15)-1</f>
        <v/>
      </c>
      <c r="L17" s="348">
        <f>(L15/K15)-1</f>
        <v/>
      </c>
      <c r="M17" s="130">
        <f>(M15/L15)-1</f>
        <v/>
      </c>
      <c r="N17" s="130">
        <f>(N15/M15)-1</f>
        <v/>
      </c>
      <c r="O17" s="348">
        <f>(O15/N15)-1</f>
        <v/>
      </c>
      <c r="P17" s="97" t="n"/>
      <c r="Q17" s="96" t="n"/>
      <c r="AB17" s="97" t="n"/>
    </row>
    <row r="18" ht="6" customHeight="1">
      <c r="B18" s="96" t="n"/>
      <c r="C18" s="349" t="n"/>
      <c r="F18" s="554" t="n"/>
      <c r="H18" s="554" t="n"/>
      <c r="J18" s="554" t="n"/>
      <c r="L18" s="97" t="n"/>
      <c r="O18" s="97" t="n"/>
      <c r="P18" s="97" t="n"/>
      <c r="Q18" s="96" t="n"/>
      <c r="AB18" s="97" t="n"/>
    </row>
    <row r="19">
      <c r="B19" s="96" t="n"/>
      <c r="C19" s="349" t="inlineStr">
        <is>
          <t>Subcontractor Expenses</t>
        </is>
      </c>
      <c r="D19" s="377">
        <f>SUMIF('Monthly Detail'!$1:$1,'Annual Summary'!D$11, 'Monthly Detail'!$65:$65)</f>
        <v/>
      </c>
      <c r="E19" s="377">
        <f>SUMIF('Monthly Detail'!$1:$1,'Annual Summary'!E$11, 'Monthly Detail'!$65:$65)</f>
        <v/>
      </c>
      <c r="F19" s="550">
        <f>+E19-D19</f>
        <v/>
      </c>
      <c r="G19" s="377">
        <f>SUMIF('Monthly Detail'!$1:$1,'Annual Summary'!G$11, 'Monthly Detail'!$65:$65)</f>
        <v/>
      </c>
      <c r="H19" s="550">
        <f>+G19-E19</f>
        <v/>
      </c>
      <c r="I19" s="377">
        <f>SUMIF('Monthly Detail'!$1:$1,'Annual Summary'!I$11, 'Monthly Detail'!$65:$65)</f>
        <v/>
      </c>
      <c r="J19" s="550">
        <f>+I19-G19</f>
        <v/>
      </c>
      <c r="K19" s="377">
        <f>SUMIF('Monthly Detail'!$1:$1,'Annual Summary'!K$11, 'Monthly Detail'!$65:$65)</f>
        <v/>
      </c>
      <c r="L19" s="342">
        <f>SUMIF('Monthly Detail'!$1:$1,'Annual Summary'!L$11, 'Monthly Detail'!$65:$65)</f>
        <v/>
      </c>
      <c r="M19" s="377">
        <f>SUMIF('Monthly Detail'!$1:$1,'Annual Summary'!M$11, 'Monthly Detail'!$65:$65)</f>
        <v/>
      </c>
      <c r="N19" s="377">
        <f>SUMIF('Monthly Detail'!$1:$1,'Annual Summary'!N$11, 'Monthly Detail'!$65:$65)</f>
        <v/>
      </c>
      <c r="O19" s="342">
        <f>SUMIF('Monthly Detail'!$1:$1,'Annual Summary'!O$11, 'Monthly Detail'!$65:$65)</f>
        <v/>
      </c>
      <c r="P19" s="97" t="n"/>
      <c r="Q19" s="96" t="n"/>
      <c r="AB19" s="97" t="n"/>
    </row>
    <row r="20" ht="15.6" customHeight="1">
      <c r="B20" s="104" t="n"/>
      <c r="C20" s="350" t="inlineStr">
        <is>
          <t>Gross Margin</t>
        </is>
      </c>
      <c r="D20" s="88">
        <f>D15-D19</f>
        <v/>
      </c>
      <c r="E20" s="88">
        <f>E15-E19</f>
        <v/>
      </c>
      <c r="F20" s="555">
        <f>+E20-D20</f>
        <v/>
      </c>
      <c r="G20" s="88">
        <f>G15-G19</f>
        <v/>
      </c>
      <c r="H20" s="555">
        <f>+G20-E20</f>
        <v/>
      </c>
      <c r="I20" s="88">
        <f>I15-I19</f>
        <v/>
      </c>
      <c r="J20" s="555">
        <f>+I20-G20</f>
        <v/>
      </c>
      <c r="K20" s="88">
        <f>K15-K19</f>
        <v/>
      </c>
      <c r="L20" s="351">
        <f>L15-L19</f>
        <v/>
      </c>
      <c r="M20" s="88">
        <f>M15-M19</f>
        <v/>
      </c>
      <c r="N20" s="88">
        <f>N15-N19</f>
        <v/>
      </c>
      <c r="O20" s="351">
        <f>O15-O19</f>
        <v/>
      </c>
      <c r="P20" s="105" t="n"/>
      <c r="Q20" s="104" t="n"/>
      <c r="R20" s="106" t="n"/>
      <c r="S20" s="106" t="n"/>
      <c r="T20" s="106" t="n"/>
      <c r="U20" s="106" t="n"/>
      <c r="V20" s="106" t="n"/>
      <c r="W20" s="106" t="n"/>
      <c r="X20" s="106" t="n"/>
      <c r="Y20" s="106" t="n"/>
      <c r="Z20" s="106" t="n"/>
      <c r="AA20" s="106" t="n"/>
      <c r="AB20" s="105" t="n"/>
    </row>
    <row r="21">
      <c r="B21" s="96" t="n"/>
      <c r="C21" s="352" t="inlineStr">
        <is>
          <t>GM %</t>
        </is>
      </c>
      <c r="D21" s="767">
        <f>+D20/D15</f>
        <v/>
      </c>
      <c r="E21" s="767">
        <f>+E20/E15</f>
        <v/>
      </c>
      <c r="F21" s="768">
        <f>+E21-D21</f>
        <v/>
      </c>
      <c r="G21" s="767">
        <f>+G20/G15</f>
        <v/>
      </c>
      <c r="H21" s="768">
        <f>+G21-E21</f>
        <v/>
      </c>
      <c r="I21" s="767">
        <f>+I20/I15</f>
        <v/>
      </c>
      <c r="J21" s="768">
        <f>+I21-G21</f>
        <v/>
      </c>
      <c r="K21" s="767">
        <f>+K20/K15</f>
        <v/>
      </c>
      <c r="L21" s="769">
        <f>+L20/L15</f>
        <v/>
      </c>
      <c r="M21" s="767">
        <f>+M20/M15</f>
        <v/>
      </c>
      <c r="N21" s="767">
        <f>+N20/N15</f>
        <v/>
      </c>
      <c r="O21" s="769">
        <f>+O20/O15</f>
        <v/>
      </c>
      <c r="P21" s="97" t="n"/>
      <c r="Q21" s="96" t="n"/>
      <c r="AB21" s="97" t="n"/>
    </row>
    <row r="22" ht="6" customHeight="1">
      <c r="B22" s="96" t="n"/>
      <c r="C22" s="349" t="n"/>
      <c r="F22" s="554" t="n"/>
      <c r="H22" s="554" t="n"/>
      <c r="J22" s="554" t="n"/>
      <c r="L22" s="97" t="n"/>
      <c r="O22" s="97" t="n"/>
      <c r="P22" s="97" t="n"/>
      <c r="Q22" s="96" t="n"/>
      <c r="AB22" s="97" t="n"/>
    </row>
    <row r="23">
      <c r="B23" s="96" t="n"/>
      <c r="C23" s="349" t="inlineStr">
        <is>
          <t>Sales &amp; Marketing Expenses</t>
        </is>
      </c>
      <c r="D23" s="377">
        <f>SUMIF('Monthly Detail'!$1:$1,'Annual Summary'!D$11, 'Monthly Detail'!$72:$72)</f>
        <v/>
      </c>
      <c r="E23" s="377">
        <f>SUMIF('Monthly Detail'!$1:$1,'Annual Summary'!E$11, 'Monthly Detail'!$72:$72)</f>
        <v/>
      </c>
      <c r="F23" s="550">
        <f>+E23-D23</f>
        <v/>
      </c>
      <c r="G23" s="377">
        <f>SUMIF('Monthly Detail'!$1:$1,'Annual Summary'!G$11, 'Monthly Detail'!$72:$72)</f>
        <v/>
      </c>
      <c r="H23" s="550">
        <f>+G23-E23</f>
        <v/>
      </c>
      <c r="I23" s="377">
        <f>SUMIF('Monthly Detail'!$1:$1,'Annual Summary'!I$11, 'Monthly Detail'!$72:$72)</f>
        <v/>
      </c>
      <c r="J23" s="550">
        <f>+I23-G23</f>
        <v/>
      </c>
      <c r="K23" s="377">
        <f>SUMIF('Monthly Detail'!$1:$1,'Annual Summary'!K$11, 'Monthly Detail'!$72:$72)</f>
        <v/>
      </c>
      <c r="L23" s="342">
        <f>SUMIF('Monthly Detail'!$1:$1,'Annual Summary'!L$11, 'Monthly Detail'!$72:$72)</f>
        <v/>
      </c>
      <c r="M23" s="377">
        <f>SUMIF('Monthly Detail'!$1:$1,'Annual Summary'!M$11, 'Monthly Detail'!$72:$72)</f>
        <v/>
      </c>
      <c r="N23" s="377">
        <f>SUMIF('Monthly Detail'!$1:$1,'Annual Summary'!N$11, 'Monthly Detail'!$72:$72)</f>
        <v/>
      </c>
      <c r="O23" s="342">
        <f>SUMIF('Monthly Detail'!$1:$1,'Annual Summary'!O$11, 'Monthly Detail'!$72:$72)</f>
        <v/>
      </c>
      <c r="P23" s="97" t="n"/>
      <c r="Q23" s="96" t="n"/>
      <c r="AB23" s="97" t="n"/>
    </row>
    <row r="24">
      <c r="B24" s="96" t="n"/>
      <c r="C24" s="349" t="inlineStr">
        <is>
          <t>General &amp; Admintrative Expenses</t>
        </is>
      </c>
      <c r="D24" s="377">
        <f>SUMIF('Monthly Detail'!$1:$1,'Annual Summary'!D$11, 'Monthly Detail'!$95:$95)</f>
        <v/>
      </c>
      <c r="E24" s="377">
        <f>SUMIF('Monthly Detail'!$1:$1,'Annual Summary'!E$11, 'Monthly Detail'!$95:$95)</f>
        <v/>
      </c>
      <c r="F24" s="550">
        <f>+E24-D24</f>
        <v/>
      </c>
      <c r="G24" s="377">
        <f>SUMIF('Monthly Detail'!$1:$1,'Annual Summary'!G$11, 'Monthly Detail'!$95:$95)</f>
        <v/>
      </c>
      <c r="H24" s="550">
        <f>+G24-E24</f>
        <v/>
      </c>
      <c r="I24" s="377">
        <f>SUMIF('Monthly Detail'!$1:$1,'Annual Summary'!I$11, 'Monthly Detail'!$95:$95)</f>
        <v/>
      </c>
      <c r="J24" s="550">
        <f>+I24-G24</f>
        <v/>
      </c>
      <c r="K24" s="377">
        <f>SUMIF('Monthly Detail'!$1:$1,'Annual Summary'!K$11, 'Monthly Detail'!$95:$95)</f>
        <v/>
      </c>
      <c r="L24" s="342">
        <f>SUMIF('Monthly Detail'!$1:$1,'Annual Summary'!L$11, 'Monthly Detail'!$95:$95)</f>
        <v/>
      </c>
      <c r="M24" s="377">
        <f>SUMIF('Monthly Detail'!$1:$1,'Annual Summary'!M$11, 'Monthly Detail'!$95:$95)</f>
        <v/>
      </c>
      <c r="N24" s="377">
        <f>SUMIF('Monthly Detail'!$1:$1,'Annual Summary'!N$11, 'Monthly Detail'!$95:$95)</f>
        <v/>
      </c>
      <c r="O24" s="342">
        <f>SUMIF('Monthly Detail'!$1:$1,'Annual Summary'!O$11, 'Monthly Detail'!$95:$95)</f>
        <v/>
      </c>
      <c r="P24" s="97" t="n"/>
      <c r="Q24" s="96" t="n"/>
      <c r="AB24" s="97" t="n"/>
    </row>
    <row r="25" hidden="1">
      <c r="B25" s="96" t="n"/>
      <c r="C25" s="349" t="inlineStr">
        <is>
          <t>Owner Guarenteed Payments</t>
        </is>
      </c>
      <c r="D25" s="76">
        <f>SUMIF('Monthly Detail'!$1:$1,'Annual Summary'!D$11, 'Monthly Detail'!96:96)</f>
        <v/>
      </c>
      <c r="E25" s="76">
        <f>SUMIF('Monthly Detail'!$1:$1,'Annual Summary'!E$11, 'Monthly Detail'!96:96)</f>
        <v/>
      </c>
      <c r="F25" s="557">
        <f>+E25-D25</f>
        <v/>
      </c>
      <c r="G25" s="76">
        <f>SUMIF('Monthly Detail'!$1:$1,'Annual Summary'!G$11, 'Monthly Detail'!96:96)</f>
        <v/>
      </c>
      <c r="H25" s="557">
        <f>+G25-E25</f>
        <v/>
      </c>
      <c r="I25" s="76">
        <f>SUMIF('Monthly Detail'!$1:$1,'Annual Summary'!I$11, 'Monthly Detail'!96:96)</f>
        <v/>
      </c>
      <c r="J25" s="557">
        <f>+I25-G25</f>
        <v/>
      </c>
      <c r="K25" s="76">
        <f>SUMIF('Monthly Detail'!$1:$1,'Annual Summary'!K$11, 'Monthly Detail'!96:96)</f>
        <v/>
      </c>
      <c r="L25" s="354">
        <f>SUMIF('Monthly Detail'!$1:$1,'Annual Summary'!L$11, 'Monthly Detail'!96:96)</f>
        <v/>
      </c>
      <c r="M25" s="76">
        <f>SUMIF('Monthly Detail'!$1:$1,'Annual Summary'!M$11, 'Monthly Detail'!96:96)</f>
        <v/>
      </c>
      <c r="N25" s="76">
        <f>SUMIF('Monthly Detail'!$1:$1,'Annual Summary'!N$11, 'Monthly Detail'!96:96)</f>
        <v/>
      </c>
      <c r="O25" s="354">
        <f>SUMIF('Monthly Detail'!$1:$1,'Annual Summary'!O$11, 'Monthly Detail'!96:96)</f>
        <v/>
      </c>
      <c r="P25" s="97" t="n"/>
      <c r="Q25" s="96" t="n"/>
      <c r="AB25" s="97" t="n"/>
    </row>
    <row r="26">
      <c r="B26" s="96" t="n"/>
      <c r="C26" s="355" t="inlineStr">
        <is>
          <t>Operating Expense</t>
        </is>
      </c>
      <c r="D26" s="103">
        <f>SUM(D23:D25)</f>
        <v/>
      </c>
      <c r="E26" s="103">
        <f>SUM(E23:E25)</f>
        <v/>
      </c>
      <c r="F26" s="551">
        <f>+E26-D26</f>
        <v/>
      </c>
      <c r="G26" s="103">
        <f>SUM(G23:G25)</f>
        <v/>
      </c>
      <c r="H26" s="551">
        <f>+G26-E26</f>
        <v/>
      </c>
      <c r="I26" s="103">
        <f>SUM(I23:I25)</f>
        <v/>
      </c>
      <c r="J26" s="551">
        <f>+I26-G26</f>
        <v/>
      </c>
      <c r="K26" s="103">
        <f>SUM(K23:K25)</f>
        <v/>
      </c>
      <c r="L26" s="356">
        <f>SUM(L23:L25)</f>
        <v/>
      </c>
      <c r="M26" s="103">
        <f>SUM(M23:M25)</f>
        <v/>
      </c>
      <c r="N26" s="103">
        <f>SUM(N23:N25)</f>
        <v/>
      </c>
      <c r="O26" s="356">
        <f>SUM(O23:O25)</f>
        <v/>
      </c>
      <c r="P26" s="97" t="n"/>
      <c r="Q26" s="96" t="n"/>
      <c r="AB26" s="97" t="n"/>
    </row>
    <row r="27">
      <c r="B27" s="96" t="n"/>
      <c r="C27" s="349" t="n"/>
      <c r="F27" s="554" t="n"/>
      <c r="H27" s="554" t="n"/>
      <c r="J27" s="554" t="n"/>
      <c r="L27" s="97" t="n"/>
      <c r="O27" s="97" t="n"/>
      <c r="P27" s="97" t="n"/>
      <c r="Q27" s="96" t="n"/>
      <c r="AB27" s="97" t="n"/>
    </row>
    <row r="28" ht="15.6" customHeight="1">
      <c r="B28" s="104" t="n"/>
      <c r="C28" s="350" t="inlineStr">
        <is>
          <t>Net Operating Income (EBITDA)</t>
        </is>
      </c>
      <c r="D28" s="88">
        <f>D20-D26</f>
        <v/>
      </c>
      <c r="E28" s="88">
        <f>E20-E26</f>
        <v/>
      </c>
      <c r="F28" s="555">
        <f>+E28-D28</f>
        <v/>
      </c>
      <c r="G28" s="88">
        <f>G20-G26</f>
        <v/>
      </c>
      <c r="H28" s="555">
        <f>+G28-E28</f>
        <v/>
      </c>
      <c r="I28" s="88">
        <f>I20-I26</f>
        <v/>
      </c>
      <c r="J28" s="555">
        <f>+I28-G28</f>
        <v/>
      </c>
      <c r="K28" s="88">
        <f>K20-K26</f>
        <v/>
      </c>
      <c r="L28" s="351">
        <f>L20-L26</f>
        <v/>
      </c>
      <c r="M28" s="88">
        <f>M20-M26</f>
        <v/>
      </c>
      <c r="N28" s="88">
        <f>N20-N26</f>
        <v/>
      </c>
      <c r="O28" s="351">
        <f>O20-O26</f>
        <v/>
      </c>
      <c r="P28" s="105" t="n"/>
      <c r="Q28" s="104" t="n"/>
      <c r="R28" s="106" t="n"/>
      <c r="S28" s="106" t="n"/>
      <c r="T28" s="106" t="n"/>
      <c r="U28" s="106" t="n"/>
      <c r="V28" s="106" t="n"/>
      <c r="W28" s="106" t="n"/>
      <c r="X28" s="106" t="n"/>
      <c r="Y28" s="106" t="n"/>
      <c r="Z28" s="106" t="n"/>
      <c r="AA28" s="106" t="n"/>
      <c r="AB28" s="105" t="n"/>
    </row>
    <row r="29">
      <c r="B29" s="96" t="n"/>
      <c r="C29" s="352" t="inlineStr">
        <is>
          <t>EBITDA %</t>
        </is>
      </c>
      <c r="D29" s="767">
        <f>D28/D15</f>
        <v/>
      </c>
      <c r="E29" s="767">
        <f>E28/E15</f>
        <v/>
      </c>
      <c r="F29" s="768">
        <f>+E29-D29</f>
        <v/>
      </c>
      <c r="G29" s="767">
        <f>G28/G15</f>
        <v/>
      </c>
      <c r="H29" s="768">
        <f>+G29-E29</f>
        <v/>
      </c>
      <c r="I29" s="767">
        <f>I28/I15</f>
        <v/>
      </c>
      <c r="J29" s="768">
        <f>+I29-G29</f>
        <v/>
      </c>
      <c r="K29" s="767">
        <f>K28/K15</f>
        <v/>
      </c>
      <c r="L29" s="769">
        <f>L28/L15</f>
        <v/>
      </c>
      <c r="M29" s="767">
        <f>M28/M15</f>
        <v/>
      </c>
      <c r="N29" s="767">
        <f>N28/N15</f>
        <v/>
      </c>
      <c r="O29" s="769">
        <f>O28/O15</f>
        <v/>
      </c>
      <c r="P29" s="97" t="n"/>
      <c r="Q29" s="96" t="n"/>
      <c r="AB29" s="97" t="n"/>
    </row>
    <row r="30">
      <c r="B30" s="96" t="n"/>
      <c r="C30" s="357" t="n"/>
      <c r="D30" s="770" t="n"/>
      <c r="E30" s="770" t="n"/>
      <c r="F30" s="771" t="n"/>
      <c r="G30" s="770" t="n"/>
      <c r="H30" s="771" t="n"/>
      <c r="I30" s="770" t="n"/>
      <c r="J30" s="771" t="n"/>
      <c r="K30" s="770" t="n"/>
      <c r="L30" s="772" t="n"/>
      <c r="M30" s="770" t="n"/>
      <c r="N30" s="770" t="n"/>
      <c r="O30" s="772" t="n"/>
      <c r="P30" s="97" t="n"/>
      <c r="Q30" s="96" t="n"/>
      <c r="AB30" s="97" t="n"/>
    </row>
    <row r="31">
      <c r="B31" s="96" t="n"/>
      <c r="C31" s="349" t="inlineStr">
        <is>
          <t>Other Income / (Expense)</t>
        </is>
      </c>
      <c r="D31" s="76" t="n">
        <v>0</v>
      </c>
      <c r="E31" s="76" t="n">
        <v>0</v>
      </c>
      <c r="F31" s="557">
        <f>+E31-D31</f>
        <v/>
      </c>
      <c r="G31" s="76">
        <f>SUMIF('Monthly Detail'!$1:$1,'Annual Summary'!G$11, 'Monthly Detail'!109:109)</f>
        <v/>
      </c>
      <c r="H31" s="557">
        <f>+G31-E31</f>
        <v/>
      </c>
      <c r="I31" s="76">
        <f>SUMIF('Monthly Detail'!$1:$1,'Annual Summary'!I$11, 'Monthly Detail'!109:109)</f>
        <v/>
      </c>
      <c r="J31" s="557">
        <f>+I31-G31</f>
        <v/>
      </c>
      <c r="K31" s="76">
        <f>SUMIF('Monthly Detail'!$1:$1,'Annual Summary'!K$11, 'Monthly Detail'!109:109)</f>
        <v/>
      </c>
      <c r="L31" s="354">
        <f>SUMIF('Monthly Detail'!$1:$1,'Annual Summary'!L$11, 'Monthly Detail'!109:109)</f>
        <v/>
      </c>
      <c r="M31" s="76">
        <f>SUMIF('Monthly Detail'!$1:$1,'Annual Summary'!M$11, 'Monthly Detail'!109:109)</f>
        <v/>
      </c>
      <c r="N31" s="76">
        <f>SUMIF('Monthly Detail'!$1:$1,'Annual Summary'!N$11, 'Monthly Detail'!109:109)</f>
        <v/>
      </c>
      <c r="O31" s="354">
        <f>SUMIF('Monthly Detail'!$1:$1,'Annual Summary'!O$11, 'Monthly Detail'!109:109)</f>
        <v/>
      </c>
      <c r="P31" s="97" t="n"/>
      <c r="Q31" s="96" t="n"/>
      <c r="AB31" s="97" t="n"/>
    </row>
    <row r="32" ht="15.6" customHeight="1">
      <c r="B32" s="104" t="n"/>
      <c r="C32" s="350" t="inlineStr">
        <is>
          <t>Net Income</t>
        </is>
      </c>
      <c r="D32" s="88">
        <f>D28+D31</f>
        <v/>
      </c>
      <c r="E32" s="88">
        <f>E28+E31</f>
        <v/>
      </c>
      <c r="F32" s="555">
        <f>+E32-D32</f>
        <v/>
      </c>
      <c r="G32" s="88">
        <f>G28+G31</f>
        <v/>
      </c>
      <c r="H32" s="555">
        <f>+G32-E32</f>
        <v/>
      </c>
      <c r="I32" s="88">
        <f>I28+I31</f>
        <v/>
      </c>
      <c r="J32" s="555">
        <f>+I32-G32</f>
        <v/>
      </c>
      <c r="K32" s="88">
        <f>K28+K31</f>
        <v/>
      </c>
      <c r="L32" s="351">
        <f>L28+L31</f>
        <v/>
      </c>
      <c r="M32" s="88">
        <f>M28+M31</f>
        <v/>
      </c>
      <c r="N32" s="88">
        <f>N28+N31</f>
        <v/>
      </c>
      <c r="O32" s="351">
        <f>O28+O31</f>
        <v/>
      </c>
      <c r="P32" s="105" t="n"/>
      <c r="Q32" s="104" t="n"/>
      <c r="R32" s="106" t="n"/>
      <c r="S32" s="106" t="n"/>
      <c r="T32" s="106" t="n"/>
      <c r="U32" s="106" t="n"/>
      <c r="V32" s="106" t="n"/>
      <c r="W32" s="106" t="n"/>
      <c r="X32" s="106" t="n"/>
      <c r="Y32" s="106" t="n"/>
      <c r="Z32" s="106" t="n"/>
      <c r="AA32" s="106" t="n"/>
      <c r="AB32" s="105" t="n"/>
    </row>
    <row r="33" ht="15" customHeight="1" thickBot="1">
      <c r="B33" s="96" t="n"/>
      <c r="C33" s="359" t="inlineStr">
        <is>
          <t>NI %</t>
        </is>
      </c>
      <c r="D33" s="773">
        <f>D32/D15</f>
        <v/>
      </c>
      <c r="E33" s="773">
        <f>E32/E15</f>
        <v/>
      </c>
      <c r="F33" s="774">
        <f>+E33-D33</f>
        <v/>
      </c>
      <c r="G33" s="773">
        <f>G32/G15</f>
        <v/>
      </c>
      <c r="H33" s="774">
        <f>+G33-E33</f>
        <v/>
      </c>
      <c r="I33" s="773">
        <f>I32/I15</f>
        <v/>
      </c>
      <c r="J33" s="774">
        <f>+I33-G33</f>
        <v/>
      </c>
      <c r="K33" s="773">
        <f>K32/K15</f>
        <v/>
      </c>
      <c r="L33" s="775">
        <f>L32/L15</f>
        <v/>
      </c>
      <c r="M33" s="773">
        <f>M32/M15</f>
        <v/>
      </c>
      <c r="N33" s="773">
        <f>N32/N15</f>
        <v/>
      </c>
      <c r="O33" s="775">
        <f>O32/O15</f>
        <v/>
      </c>
      <c r="P33" s="97" t="n"/>
      <c r="Q33" s="96" t="n"/>
      <c r="AB33" s="97" t="n"/>
    </row>
    <row r="34">
      <c r="B34" s="96" t="n"/>
      <c r="C34" s="352" t="inlineStr">
        <is>
          <t>Estimated Tax Burden</t>
        </is>
      </c>
      <c r="D34" s="739">
        <f>+IF(D32&gt;0, D32*0.25, 0)</f>
        <v/>
      </c>
      <c r="E34" s="739">
        <f>+IF(E32&gt;0, E32*0.25, 0)</f>
        <v/>
      </c>
      <c r="F34" s="739" t="n"/>
      <c r="G34" s="739">
        <f>+IF(G32&gt;0, G32*0.25, 0)</f>
        <v/>
      </c>
      <c r="H34" s="739">
        <f>+G34-E34</f>
        <v/>
      </c>
      <c r="I34" s="739">
        <f>+IF(I32&gt;0, I32*0.25, 0)</f>
        <v/>
      </c>
      <c r="J34" s="739">
        <f>+I34-G34</f>
        <v/>
      </c>
      <c r="K34" s="739">
        <f>+IF(K32&gt;0, K32*0.25, 0)</f>
        <v/>
      </c>
      <c r="L34" s="739">
        <f>+IF(L32&gt;0, L32*0.25, 0)</f>
        <v/>
      </c>
      <c r="M34" s="767" t="n"/>
      <c r="N34" s="767" t="n"/>
      <c r="O34" s="767" t="n"/>
      <c r="P34" s="97" t="n"/>
      <c r="Q34" s="96" t="n"/>
      <c r="AB34" s="97" t="n"/>
    </row>
    <row r="35">
      <c r="B35" s="96" t="n"/>
      <c r="C35" s="89" t="inlineStr">
        <is>
          <t>S-Corp Tax Savings</t>
        </is>
      </c>
      <c r="D35" s="739" t="n"/>
      <c r="E35" s="739" t="n"/>
      <c r="F35" s="739" t="n"/>
      <c r="G35" s="739" t="n"/>
      <c r="H35" s="739" t="n"/>
      <c r="I35" s="739">
        <f>+((I15-G15)+(I32-G32))*0.153</f>
        <v/>
      </c>
      <c r="J35" s="739" t="n"/>
      <c r="K35" s="739">
        <f>+((K15-I15)+(K32-I32))*0.153</f>
        <v/>
      </c>
      <c r="L35" s="739">
        <f>+((L15-K15)+(L32-K32))*0.153</f>
        <v/>
      </c>
      <c r="M35" s="767" t="n"/>
      <c r="N35" s="767" t="n"/>
      <c r="O35" s="767" t="n"/>
      <c r="P35" s="97" t="n"/>
      <c r="Q35" s="96" t="n"/>
      <c r="AB35" s="97" t="n"/>
    </row>
    <row r="36" ht="15" customHeight="1" thickBot="1">
      <c r="B36" s="96" t="n"/>
      <c r="C36" s="740" t="inlineStr">
        <is>
          <t>Cash Balance</t>
        </is>
      </c>
      <c r="D36" s="741" t="n"/>
      <c r="E36" s="741">
        <f>+SUMIF('Monthly Detail'!$4:$4, DATE(E11, 12, 31),'Monthly Detail'!$174:$174)</f>
        <v/>
      </c>
      <c r="F36" s="741">
        <f>+SUMIF('Monthly Detail'!$4:$4, DATE(F11, 12, 31),'Monthly Detail'!$174:$174)</f>
        <v/>
      </c>
      <c r="G36" s="741">
        <f>+SUMIF('Monthly Detail'!$4:$4, DATE(G11, 12, 31),'Monthly Detail'!$174:$174)</f>
        <v/>
      </c>
      <c r="H36" s="741">
        <f>+G36-E36</f>
        <v/>
      </c>
      <c r="I36" s="741">
        <f>+SUMIF('Monthly Detail'!$4:$4, DATE(I11, 12, 31),'Monthly Detail'!$174:$174)</f>
        <v/>
      </c>
      <c r="J36" s="741">
        <f>+I36-G36</f>
        <v/>
      </c>
      <c r="K36" s="741">
        <f>+SUMIF('Monthly Detail'!$4:$4, DATE(K11, 12, 31),'Monthly Detail'!$174:$174)</f>
        <v/>
      </c>
      <c r="L36" s="742">
        <f>+SUMIF('Monthly Detail'!$4:$4, DATE(L11, 12, 31),'Monthly Detail'!$174:$174)</f>
        <v/>
      </c>
      <c r="P36" s="97" t="n"/>
      <c r="Q36" s="96" t="n"/>
      <c r="AB36" s="97" t="n"/>
    </row>
    <row r="37">
      <c r="B37" s="96" t="n"/>
      <c r="C37" s="7" t="n"/>
      <c r="P37" s="97" t="n"/>
      <c r="Q37" s="96" t="n"/>
      <c r="AB37" s="97" t="n"/>
    </row>
    <row r="38" ht="15" customHeight="1" thickBot="1">
      <c r="B38" s="107" t="n"/>
      <c r="C38" s="108" t="n"/>
      <c r="D38" s="109" t="n"/>
      <c r="E38" s="109" t="n"/>
      <c r="F38" s="109" t="n"/>
      <c r="G38" s="109" t="n"/>
      <c r="H38" s="109" t="n"/>
      <c r="I38" s="109" t="n"/>
      <c r="J38" s="109" t="n"/>
      <c r="K38" s="109" t="n"/>
      <c r="L38" s="109" t="n"/>
      <c r="M38" s="109" t="n"/>
      <c r="N38" s="109" t="n"/>
      <c r="O38" s="109" t="n"/>
      <c r="P38" s="110" t="n"/>
      <c r="Q38" s="107" t="n"/>
      <c r="R38" s="109" t="n"/>
      <c r="S38" s="109" t="n"/>
      <c r="T38" s="109" t="n"/>
      <c r="U38" s="109" t="n"/>
      <c r="V38" s="109" t="n"/>
      <c r="W38" s="109" t="n"/>
      <c r="X38" s="109" t="n"/>
      <c r="Y38" s="109" t="n"/>
      <c r="Z38" s="109" t="n"/>
      <c r="AA38" s="109" t="n"/>
      <c r="AB38" s="110" t="n"/>
    </row>
  </sheetData>
  <printOptions horizontalCentered="1" verticalCentered="1"/>
  <pageMargins left="0.7" right="0.7" top="0.75" bottom="0.75" header="0.3" footer="0.3"/>
  <pageSetup orientation="landscape" scale="55" horizontalDpi="1200" verticalDpi="1200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theme="1"/>
    <outlinePr summaryBelow="1" summaryRight="1"/>
    <pageSetUpPr fitToPage="1"/>
  </sheetPr>
  <dimension ref="B1:T38"/>
  <sheetViews>
    <sheetView showGridLines="0" zoomScale="70" zoomScaleNormal="70" workbookViewId="0">
      <selection activeCell="U42" sqref="U42"/>
    </sheetView>
  </sheetViews>
  <sheetFormatPr baseColWidth="8" defaultColWidth="8.6640625" defaultRowHeight="14.4"/>
  <cols>
    <col width="34.6640625" bestFit="1" customWidth="1" min="2" max="2"/>
    <col width="13.6640625" bestFit="1" customWidth="1" min="3" max="3"/>
    <col width="13.44140625" bestFit="1" customWidth="1" min="4" max="5"/>
    <col width="14.109375" bestFit="1" customWidth="1" min="6" max="7"/>
    <col width="13.6640625" bestFit="1" customWidth="1" min="8" max="8"/>
    <col width="14.6640625" bestFit="1" customWidth="1" min="9" max="10"/>
    <col width="15.44140625" bestFit="1" customWidth="1" min="11" max="11"/>
    <col width="14.109375" bestFit="1" customWidth="1" min="12" max="13"/>
    <col width="14.6640625" bestFit="1" customWidth="1" min="14" max="14"/>
    <col width="0.6640625" customWidth="1" min="15" max="15"/>
    <col width="13.44140625" bestFit="1" customWidth="1" min="16" max="16"/>
  </cols>
  <sheetData>
    <row r="1">
      <c r="B1" t="inlineStr">
        <is>
          <t xml:space="preserve"> </t>
        </is>
      </c>
    </row>
    <row r="8" ht="15.6" customHeight="1">
      <c r="B8" s="743" t="inlineStr">
        <is>
          <t>2025 Annual Operating Plan</t>
        </is>
      </c>
    </row>
    <row r="9" ht="1.95" customHeight="1"/>
    <row r="10" ht="15.6" customHeight="1">
      <c r="B10" s="234" t="n"/>
      <c r="C10" s="235" t="inlineStr">
        <is>
          <t>January</t>
        </is>
      </c>
      <c r="D10" s="235" t="inlineStr">
        <is>
          <t>February</t>
        </is>
      </c>
      <c r="E10" s="235" t="inlineStr">
        <is>
          <t>March</t>
        </is>
      </c>
      <c r="F10" s="235" t="inlineStr">
        <is>
          <t>April</t>
        </is>
      </c>
      <c r="G10" s="235" t="inlineStr">
        <is>
          <t>May</t>
        </is>
      </c>
      <c r="H10" s="320" t="inlineStr">
        <is>
          <t>June</t>
        </is>
      </c>
      <c r="I10" s="235" t="inlineStr">
        <is>
          <t>July</t>
        </is>
      </c>
      <c r="J10" s="235" t="inlineStr">
        <is>
          <t>August</t>
        </is>
      </c>
      <c r="K10" s="235" t="inlineStr">
        <is>
          <t>September</t>
        </is>
      </c>
      <c r="L10" s="314" t="inlineStr">
        <is>
          <t>October</t>
        </is>
      </c>
      <c r="M10" s="235" t="inlineStr">
        <is>
          <t>November</t>
        </is>
      </c>
      <c r="N10" s="235" t="inlineStr">
        <is>
          <t>December</t>
        </is>
      </c>
      <c r="O10" s="236" t="n"/>
      <c r="P10" s="237" t="inlineStr">
        <is>
          <t>Total</t>
        </is>
      </c>
    </row>
    <row r="11">
      <c r="B11" s="238" t="n"/>
      <c r="C11" s="91" t="n">
        <v>45688</v>
      </c>
      <c r="D11" s="91" t="n">
        <v>45716</v>
      </c>
      <c r="E11" s="91" t="n">
        <v>45747</v>
      </c>
      <c r="F11" s="91" t="n">
        <v>45777</v>
      </c>
      <c r="G11" s="91" t="n">
        <v>45808</v>
      </c>
      <c r="H11" s="91" t="n">
        <v>45838</v>
      </c>
      <c r="I11" s="91" t="n">
        <v>45869</v>
      </c>
      <c r="J11" s="91" t="n">
        <v>45900</v>
      </c>
      <c r="K11" s="91" t="n">
        <v>45930</v>
      </c>
      <c r="L11" s="91" t="n">
        <v>45961</v>
      </c>
      <c r="M11" s="91" t="n">
        <v>45991</v>
      </c>
      <c r="N11" s="91" t="n">
        <v>46022</v>
      </c>
      <c r="O11" s="91" t="n">
        <v>46053</v>
      </c>
      <c r="P11" s="184" t="n"/>
    </row>
    <row r="12">
      <c r="B12" s="239" t="inlineStr">
        <is>
          <t>Service Income</t>
        </is>
      </c>
      <c r="C12" s="73" t="n">
        <v>7677.132102272726</v>
      </c>
      <c r="D12" s="73" t="n">
        <v>12691.95238095238</v>
      </c>
      <c r="E12" s="73" t="n">
        <v>7473.9</v>
      </c>
      <c r="F12" s="73" t="n">
        <v>9831.970588235292</v>
      </c>
      <c r="G12" s="73" t="n">
        <v>10732.47282608695</v>
      </c>
      <c r="H12" s="73" t="n">
        <v>5809.431249999998</v>
      </c>
      <c r="I12" s="73" t="n">
        <v>10858.9</v>
      </c>
      <c r="J12" s="73" t="n">
        <v>15862.28468899521</v>
      </c>
      <c r="K12" s="73" t="n">
        <v>12122.44897959183</v>
      </c>
      <c r="L12" s="73" t="n">
        <v>15626.953125</v>
      </c>
      <c r="M12" s="73" t="n">
        <v>8797.316985645932</v>
      </c>
      <c r="N12" s="73" t="n">
        <v>6287.478531855954</v>
      </c>
      <c r="O12" s="73" t="n"/>
      <c r="P12" s="240" t="n">
        <v>123772.2414586363</v>
      </c>
    </row>
    <row r="13">
      <c r="B13" s="239" t="inlineStr">
        <is>
          <t>Tips</t>
        </is>
      </c>
      <c r="C13" s="73" t="n">
        <v>13.91918640642644</v>
      </c>
      <c r="D13" s="73" t="n">
        <v>23.01141216518411</v>
      </c>
      <c r="E13" s="73" t="n">
        <v>13.55071215359099</v>
      </c>
      <c r="F13" s="73" t="n">
        <v>17.82606180759029</v>
      </c>
      <c r="G13" s="73" t="n">
        <v>19.45873639766942</v>
      </c>
      <c r="H13" s="73" t="n">
        <v>10.53291195290628</v>
      </c>
      <c r="I13" s="73" t="n">
        <v>19.68795785394896</v>
      </c>
      <c r="J13" s="73" t="n">
        <v>28.75945007544757</v>
      </c>
      <c r="K13" s="73" t="n">
        <v>21.97886200230693</v>
      </c>
      <c r="L13" s="73" t="n">
        <v>28.33277721598283</v>
      </c>
      <c r="M13" s="73" t="n">
        <v>15.95016125401527</v>
      </c>
      <c r="N13" s="73" t="n">
        <v>11.39964566786589</v>
      </c>
      <c r="O13" s="73" t="n"/>
      <c r="P13" s="240" t="n">
        <v>224.407874952935</v>
      </c>
    </row>
    <row r="14">
      <c r="B14" s="241" t="inlineStr">
        <is>
          <t>Total Income</t>
        </is>
      </c>
      <c r="C14" s="74" t="n">
        <v>7691.051288679153</v>
      </c>
      <c r="D14" s="74" t="n">
        <v>12714.96379311757</v>
      </c>
      <c r="E14" s="74" t="n">
        <v>7487.450712153591</v>
      </c>
      <c r="F14" s="74" t="n">
        <v>9849.796650042883</v>
      </c>
      <c r="G14" s="74" t="n">
        <v>10751.93156248462</v>
      </c>
      <c r="H14" s="74" t="n">
        <v>5819.964161952904</v>
      </c>
      <c r="I14" s="74" t="n">
        <v>10878.58795785395</v>
      </c>
      <c r="J14" s="74" t="n">
        <v>15891.04413907066</v>
      </c>
      <c r="K14" s="74" t="n">
        <v>12144.42784159414</v>
      </c>
      <c r="L14" s="74" t="n">
        <v>15655.28590221598</v>
      </c>
      <c r="M14" s="74" t="n">
        <v>8813.267146899947</v>
      </c>
      <c r="N14" s="242" t="n">
        <v>6298.87817752382</v>
      </c>
      <c r="O14" s="75" t="n"/>
      <c r="P14" s="450" t="n">
        <v>123996.6493335892</v>
      </c>
    </row>
    <row r="15">
      <c r="B15" s="243" t="inlineStr">
        <is>
          <t># of Students</t>
        </is>
      </c>
      <c r="C15" s="221" t="n">
        <v>34.8</v>
      </c>
      <c r="D15" s="221" t="n">
        <v>35.8</v>
      </c>
      <c r="E15" s="221" t="n">
        <v>33.59999999999999</v>
      </c>
      <c r="F15" s="221" t="n">
        <v>32.39999999999999</v>
      </c>
      <c r="G15" s="221" t="n">
        <v>33.39999999999999</v>
      </c>
      <c r="H15" s="221" t="n">
        <v>29.19999999999999</v>
      </c>
      <c r="I15" s="221" t="n">
        <v>31.19999999999999</v>
      </c>
      <c r="J15" s="221" t="n">
        <v>37.19999999999999</v>
      </c>
      <c r="K15" s="221" t="n">
        <v>43.19999999999999</v>
      </c>
      <c r="L15" s="221" t="n">
        <v>44.99999999999999</v>
      </c>
      <c r="M15" s="221" t="n">
        <v>43.59999999999999</v>
      </c>
      <c r="N15" s="321" t="n">
        <v>42.19999999999999</v>
      </c>
      <c r="O15" s="75" t="n"/>
      <c r="P15" s="244" t="n"/>
    </row>
    <row r="16">
      <c r="B16" s="447" t="inlineStr">
        <is>
          <t># of Sessions</t>
        </is>
      </c>
      <c r="C16" s="448" t="n">
        <v>34</v>
      </c>
      <c r="D16" s="448" t="n">
        <v>56</v>
      </c>
      <c r="E16" s="448" t="n">
        <v>36</v>
      </c>
      <c r="F16" s="448" t="n">
        <v>49</v>
      </c>
      <c r="G16" s="448" t="n">
        <v>76</v>
      </c>
      <c r="H16" s="448" t="n">
        <v>45</v>
      </c>
      <c r="I16" s="448" t="n">
        <v>118</v>
      </c>
      <c r="J16" s="448" t="n">
        <v>169</v>
      </c>
      <c r="K16" s="448" t="n">
        <v>125</v>
      </c>
      <c r="L16" s="448" t="n">
        <v>173</v>
      </c>
      <c r="M16" s="448" t="n">
        <v>90</v>
      </c>
      <c r="N16" s="449" t="n">
        <v>129.3333333333333</v>
      </c>
      <c r="O16" s="75" t="n"/>
      <c r="P16" s="244" t="n"/>
    </row>
    <row r="17" ht="7.2" customHeight="1">
      <c r="B17" s="238" t="n"/>
      <c r="C17" s="76" t="n"/>
      <c r="D17" s="76" t="n"/>
      <c r="E17" s="76" t="n"/>
      <c r="F17" s="76" t="n"/>
      <c r="G17" s="76" t="n"/>
      <c r="H17" s="76" t="n"/>
      <c r="I17" s="76" t="n"/>
      <c r="J17" s="76" t="n"/>
      <c r="K17" s="76" t="n"/>
      <c r="L17" s="76" t="n"/>
      <c r="M17" s="76" t="n"/>
      <c r="N17" s="76" t="n"/>
      <c r="P17" s="244" t="n"/>
    </row>
    <row r="18">
      <c r="B18" s="238" t="inlineStr">
        <is>
          <t>Subcontractor Expenses</t>
        </is>
      </c>
      <c r="C18" s="76" t="n">
        <v>0</v>
      </c>
      <c r="D18" s="76" t="n">
        <v>919.6069031639499</v>
      </c>
      <c r="E18" s="76" t="n">
        <v>450</v>
      </c>
      <c r="F18" s="76" t="n">
        <v>1073.088235294117</v>
      </c>
      <c r="G18" s="76" t="n">
        <v>2850.043478260869</v>
      </c>
      <c r="H18" s="76" t="n">
        <v>1050</v>
      </c>
      <c r="I18" s="76" t="n">
        <v>1894.25</v>
      </c>
      <c r="J18" s="76" t="n">
        <v>4130.179425837318</v>
      </c>
      <c r="K18" s="76" t="n">
        <v>1256.417233560091</v>
      </c>
      <c r="L18" s="76" t="n">
        <v>1439.895833333333</v>
      </c>
      <c r="M18" s="76" t="n">
        <v>524</v>
      </c>
      <c r="N18" s="76" t="n">
        <v>0</v>
      </c>
      <c r="P18" s="240" t="n">
        <v>15587.48110944968</v>
      </c>
    </row>
    <row r="19" ht="15.6" customHeight="1">
      <c r="B19" s="245" t="inlineStr">
        <is>
          <t>Gross Margin</t>
        </is>
      </c>
      <c r="C19" s="88" t="n">
        <v>7691.051288679153</v>
      </c>
      <c r="D19" s="88" t="n">
        <v>11795.35688995361</v>
      </c>
      <c r="E19" s="88" t="n">
        <v>7037.450712153591</v>
      </c>
      <c r="F19" s="88" t="n">
        <v>8776.708414748766</v>
      </c>
      <c r="G19" s="88" t="n">
        <v>7901.888084223756</v>
      </c>
      <c r="H19" s="88" t="n">
        <v>4769.964161952904</v>
      </c>
      <c r="I19" s="88" t="n">
        <v>8984.337957853946</v>
      </c>
      <c r="J19" s="88" t="n">
        <v>11760.86471323334</v>
      </c>
      <c r="K19" s="88" t="n">
        <v>10888.01060803405</v>
      </c>
      <c r="L19" s="88" t="n">
        <v>14215.39006888265</v>
      </c>
      <c r="M19" s="88" t="n">
        <v>8289.267146899947</v>
      </c>
      <c r="N19" s="247" t="n">
        <v>6298.87817752382</v>
      </c>
      <c r="O19" s="246" t="n"/>
      <c r="P19" s="454" t="n">
        <v>108409.1682241395</v>
      </c>
    </row>
    <row r="20">
      <c r="B20" s="451" t="inlineStr">
        <is>
          <t>GM %</t>
        </is>
      </c>
      <c r="C20" s="776" t="n">
        <v>1</v>
      </c>
      <c r="D20" s="776" t="n">
        <v>0.9276752243949196</v>
      </c>
      <c r="E20" s="776" t="n">
        <v>0.9398994374320805</v>
      </c>
      <c r="F20" s="776" t="n">
        <v>0.8910547828122477</v>
      </c>
      <c r="G20" s="776" t="n">
        <v>0.7349273047639951</v>
      </c>
      <c r="H20" s="776" t="n">
        <v>0.819586517926655</v>
      </c>
      <c r="I20" s="776" t="n">
        <v>0.8258735410019441</v>
      </c>
      <c r="J20" s="776" t="n">
        <v>0.7400938925288983</v>
      </c>
      <c r="K20" s="776" t="n">
        <v>0.8965437277121516</v>
      </c>
      <c r="L20" s="776" t="n">
        <v>0.9080249417144456</v>
      </c>
      <c r="M20" s="776" t="n">
        <v>0.9405441828477518</v>
      </c>
      <c r="N20" s="777" t="n">
        <v>1</v>
      </c>
      <c r="O20" s="7" t="n"/>
      <c r="P20" s="778" t="n">
        <v>0.8742911103386789</v>
      </c>
    </row>
    <row r="21" ht="6.45" customHeight="1">
      <c r="B21" s="238" t="n"/>
      <c r="P21" s="184" t="n"/>
    </row>
    <row r="22">
      <c r="B22" s="238" t="inlineStr">
        <is>
          <t>Sales &amp; Marketing Expenses</t>
        </is>
      </c>
      <c r="C22" s="73" t="n">
        <v>0</v>
      </c>
      <c r="D22" s="73" t="n">
        <v>0</v>
      </c>
      <c r="E22" s="73" t="n">
        <v>0</v>
      </c>
      <c r="F22" s="73" t="n">
        <v>0</v>
      </c>
      <c r="G22" s="73" t="n">
        <v>0</v>
      </c>
      <c r="H22" s="73" t="n">
        <v>0</v>
      </c>
      <c r="I22" s="73" t="n">
        <v>0</v>
      </c>
      <c r="J22" s="73" t="n">
        <v>0</v>
      </c>
      <c r="K22" s="73" t="n">
        <v>0</v>
      </c>
      <c r="L22" s="73" t="n">
        <v>0</v>
      </c>
      <c r="M22" s="73" t="n">
        <v>0</v>
      </c>
      <c r="N22" s="73" t="n">
        <v>0</v>
      </c>
      <c r="P22" s="240" t="n">
        <v>0</v>
      </c>
      <c r="T22" s="1" t="n"/>
    </row>
    <row r="23">
      <c r="B23" s="238" t="inlineStr">
        <is>
          <t>General &amp; Admintrative Expenses</t>
        </is>
      </c>
      <c r="C23" s="73" t="n">
        <v>1454.033628724653</v>
      </c>
      <c r="D23" s="73" t="n">
        <v>1416.020333335455</v>
      </c>
      <c r="E23" s="73" t="n">
        <v>1647.468907221423</v>
      </c>
      <c r="F23" s="73" t="n">
        <v>1523.638353502848</v>
      </c>
      <c r="G23" s="73" t="n">
        <v>1352.726014056587</v>
      </c>
      <c r="H23" s="73" t="n">
        <v>1193.703908127348</v>
      </c>
      <c r="I23" s="73" t="n">
        <v>1556.80981370191</v>
      </c>
      <c r="J23" s="73" t="n">
        <v>2008.427130501121</v>
      </c>
      <c r="K23" s="73" t="n">
        <v>1397.624463867661</v>
      </c>
      <c r="L23" s="73" t="n">
        <v>1973.325545115388</v>
      </c>
      <c r="M23" s="73" t="n">
        <v>1340.217389603166</v>
      </c>
      <c r="N23" s="73" t="n">
        <v>1635.395598862551</v>
      </c>
      <c r="P23" s="240" t="n">
        <v>18499.39108662011</v>
      </c>
    </row>
    <row r="24">
      <c r="B24" s="456" t="inlineStr">
        <is>
          <t>Operating Expenses</t>
        </is>
      </c>
      <c r="C24" s="457" t="n">
        <v>1454.033628724653</v>
      </c>
      <c r="D24" s="457" t="n">
        <v>1416.020333335455</v>
      </c>
      <c r="E24" s="457" t="n">
        <v>1647.468907221423</v>
      </c>
      <c r="F24" s="457" t="n">
        <v>1523.638353502848</v>
      </c>
      <c r="G24" s="457" t="n">
        <v>1352.726014056587</v>
      </c>
      <c r="H24" s="457" t="n">
        <v>1193.703908127348</v>
      </c>
      <c r="I24" s="457" t="n">
        <v>1556.80981370191</v>
      </c>
      <c r="J24" s="457" t="n">
        <v>2008.427130501121</v>
      </c>
      <c r="K24" s="457" t="n">
        <v>1397.624463867661</v>
      </c>
      <c r="L24" s="457" t="n">
        <v>1973.325545115388</v>
      </c>
      <c r="M24" s="457" t="n">
        <v>1340.217389603166</v>
      </c>
      <c r="N24" s="458" t="n">
        <v>1635.395598862551</v>
      </c>
      <c r="O24" s="433" t="n"/>
      <c r="P24" s="459" t="n">
        <v>18499.39108662011</v>
      </c>
    </row>
    <row r="25" ht="4.95" customHeight="1">
      <c r="B25" s="238" t="n"/>
      <c r="P25" s="184" t="n"/>
    </row>
    <row r="26" ht="15.6" customHeight="1">
      <c r="B26" s="245" t="inlineStr">
        <is>
          <t>Net Operating Income (EBITDA)</t>
        </is>
      </c>
      <c r="C26" s="88" t="n">
        <v>6237.0176599545</v>
      </c>
      <c r="D26" s="88" t="n">
        <v>10379.33655661816</v>
      </c>
      <c r="E26" s="88" t="n">
        <v>5389.981804932168</v>
      </c>
      <c r="F26" s="88" t="n">
        <v>7253.070061245919</v>
      </c>
      <c r="G26" s="88" t="n">
        <v>6549.162070167169</v>
      </c>
      <c r="H26" s="88" t="n">
        <v>3576.260253825556</v>
      </c>
      <c r="I26" s="88" t="n">
        <v>7427.528144152036</v>
      </c>
      <c r="J26" s="88" t="n">
        <v>9752.437582732218</v>
      </c>
      <c r="K26" s="88" t="n">
        <v>9490.386144166388</v>
      </c>
      <c r="L26" s="88" t="n">
        <v>12242.06452376726</v>
      </c>
      <c r="M26" s="88" t="n">
        <v>6949.049757296782</v>
      </c>
      <c r="N26" s="247" t="n">
        <v>4663.482578661269</v>
      </c>
      <c r="O26" s="246" t="n"/>
      <c r="P26" s="454" t="n">
        <v>89909.77713751941</v>
      </c>
    </row>
    <row r="27">
      <c r="B27" s="451" t="inlineStr">
        <is>
          <t>EBITDA %</t>
        </is>
      </c>
      <c r="C27" s="776" t="n">
        <v>0.8109447494044256</v>
      </c>
      <c r="D27" s="776" t="n">
        <v>0.8163087780270638</v>
      </c>
      <c r="E27" s="776" t="n">
        <v>0.7198687526828293</v>
      </c>
      <c r="F27" s="776" t="n">
        <v>0.736367492542533</v>
      </c>
      <c r="G27" s="776" t="n">
        <v>0.6091149327083093</v>
      </c>
      <c r="H27" s="776" t="n">
        <v>0.6144814906601646</v>
      </c>
      <c r="I27" s="776" t="n">
        <v>0.6827658307243478</v>
      </c>
      <c r="J27" s="776" t="n">
        <v>0.6137065316403156</v>
      </c>
      <c r="K27" s="776" t="n">
        <v>0.7814601287071118</v>
      </c>
      <c r="L27" s="776" t="n">
        <v>0.7819764263796943</v>
      </c>
      <c r="M27" s="776" t="n">
        <v>0.7884760147933447</v>
      </c>
      <c r="N27" s="777" t="n">
        <v>0.7403671649504026</v>
      </c>
      <c r="O27" s="7" t="n"/>
      <c r="P27" s="778" t="n">
        <v>0.7250984411331504</v>
      </c>
    </row>
    <row r="28" ht="7.95" customHeight="1">
      <c r="B28" s="253" t="n"/>
      <c r="C28" s="770" t="n"/>
      <c r="D28" s="770" t="n"/>
      <c r="E28" s="770" t="n"/>
      <c r="F28" s="770" t="n"/>
      <c r="G28" s="770" t="n"/>
      <c r="H28" s="770" t="n"/>
      <c r="I28" s="770" t="n"/>
      <c r="J28" s="770" t="n"/>
      <c r="K28" s="770" t="n"/>
      <c r="L28" s="770" t="n"/>
      <c r="M28" s="770" t="n"/>
      <c r="N28" s="770" t="n"/>
      <c r="P28" s="779" t="n"/>
    </row>
    <row r="29">
      <c r="B29" s="238" t="inlineStr">
        <is>
          <t>Other Income / (Expense)</t>
        </is>
      </c>
      <c r="C29" s="132" t="n">
        <v>-800</v>
      </c>
      <c r="D29" s="132" t="n">
        <v>-800</v>
      </c>
      <c r="E29" s="132" t="n">
        <v>-800</v>
      </c>
      <c r="F29" s="132" t="n">
        <v>-800</v>
      </c>
      <c r="G29" s="132" t="n">
        <v>-800</v>
      </c>
      <c r="H29" s="132" t="n">
        <v>-800</v>
      </c>
      <c r="I29" s="132" t="n">
        <v>-800</v>
      </c>
      <c r="J29" s="132" t="n">
        <v>-800</v>
      </c>
      <c r="K29" s="132" t="n">
        <v>-800</v>
      </c>
      <c r="L29" s="132" t="n">
        <v>-800</v>
      </c>
      <c r="M29" s="132" t="n">
        <v>-800</v>
      </c>
      <c r="N29" s="132" t="n">
        <v>-800</v>
      </c>
      <c r="O29" s="132" t="n"/>
      <c r="P29" s="708" t="n">
        <v>-9600</v>
      </c>
    </row>
    <row r="30" ht="15.6" customHeight="1">
      <c r="B30" s="245" t="inlineStr">
        <is>
          <t>Net Income</t>
        </is>
      </c>
      <c r="C30" s="88" t="n">
        <v>5437.0176599545</v>
      </c>
      <c r="D30" s="88" t="n">
        <v>9579.33655661816</v>
      </c>
      <c r="E30" s="88" t="n">
        <v>4589.981804932168</v>
      </c>
      <c r="F30" s="88" t="n">
        <v>6453.070061245919</v>
      </c>
      <c r="G30" s="88" t="n">
        <v>5749.162070167169</v>
      </c>
      <c r="H30" s="88" t="n">
        <v>2776.260253825556</v>
      </c>
      <c r="I30" s="88" t="n">
        <v>6627.528144152036</v>
      </c>
      <c r="J30" s="88" t="n">
        <v>8952.437582732218</v>
      </c>
      <c r="K30" s="88" t="n">
        <v>8690.386144166388</v>
      </c>
      <c r="L30" s="88" t="n">
        <v>11442.06452376726</v>
      </c>
      <c r="M30" s="88" t="n">
        <v>6149.049757296782</v>
      </c>
      <c r="N30" s="247" t="n">
        <v>3863.482578661269</v>
      </c>
      <c r="O30" s="246" t="n"/>
      <c r="P30" s="454" t="n">
        <v>80309.77713751941</v>
      </c>
    </row>
    <row r="31">
      <c r="B31" s="248" t="inlineStr">
        <is>
          <t>NI %</t>
        </is>
      </c>
      <c r="C31" s="767" t="n">
        <v>0.7069277600524548</v>
      </c>
      <c r="D31" s="767" t="n">
        <v>0.7533907852575501</v>
      </c>
      <c r="E31" s="767" t="n">
        <v>0.6130233081176392</v>
      </c>
      <c r="F31" s="767" t="n">
        <v>0.6551475416721242</v>
      </c>
      <c r="G31" s="767" t="n">
        <v>0.5347096972070585</v>
      </c>
      <c r="H31" s="767" t="n">
        <v>0.4770235995566637</v>
      </c>
      <c r="I31" s="767" t="n">
        <v>0.6092268748323353</v>
      </c>
      <c r="J31" s="767" t="n">
        <v>0.5633637100485568</v>
      </c>
      <c r="K31" s="767" t="n">
        <v>0.7155862966555074</v>
      </c>
      <c r="L31" s="767" t="n">
        <v>0.7308754752378974</v>
      </c>
      <c r="M31" s="767" t="n">
        <v>0.6977037748662481</v>
      </c>
      <c r="N31" s="780" t="n">
        <v>0.6133604222490392</v>
      </c>
      <c r="O31" s="7" t="n"/>
      <c r="P31" s="781" t="n">
        <v>0.6476769942505572</v>
      </c>
    </row>
    <row r="32">
      <c r="B32" s="248" t="inlineStr">
        <is>
          <t>Cash Contributions</t>
        </is>
      </c>
      <c r="C32" s="739" t="n">
        <v>0</v>
      </c>
      <c r="D32" s="739" t="n">
        <v>0</v>
      </c>
      <c r="E32" s="739" t="n">
        <v>0</v>
      </c>
      <c r="F32" s="739" t="n">
        <v>2400</v>
      </c>
      <c r="G32" s="739" t="n">
        <v>0</v>
      </c>
      <c r="H32" s="739" t="n">
        <v>0</v>
      </c>
      <c r="I32" s="739" t="n">
        <v>0</v>
      </c>
      <c r="J32" s="739" t="n">
        <v>0</v>
      </c>
      <c r="K32" s="739" t="n">
        <v>0</v>
      </c>
      <c r="L32" s="739" t="n">
        <v>0</v>
      </c>
      <c r="M32" s="739" t="n">
        <v>0</v>
      </c>
      <c r="N32" s="278" t="n">
        <v>0</v>
      </c>
      <c r="O32" s="7" t="n"/>
      <c r="P32" s="463" t="n">
        <v>2400</v>
      </c>
    </row>
    <row r="33">
      <c r="B33" s="248" t="inlineStr">
        <is>
          <t>Owner Cash Distributions</t>
        </is>
      </c>
      <c r="C33" s="739" t="n">
        <v>-1900</v>
      </c>
      <c r="D33" s="739" t="n">
        <v>-3325</v>
      </c>
      <c r="E33" s="739" t="n">
        <v>-3220</v>
      </c>
      <c r="F33" s="739" t="n">
        <v>-2325</v>
      </c>
      <c r="G33" s="739" t="n">
        <v>-4100</v>
      </c>
      <c r="H33" s="739" t="n">
        <v>-2750</v>
      </c>
      <c r="I33" s="739" t="n">
        <v>-2903.949999999997</v>
      </c>
      <c r="J33" s="739" t="n">
        <v>-9775</v>
      </c>
      <c r="K33" s="739" t="n">
        <v>-6767.5</v>
      </c>
      <c r="L33" s="739" t="n">
        <v>-12500</v>
      </c>
      <c r="M33" s="739" t="n">
        <v>-7780</v>
      </c>
      <c r="N33" s="278" t="n">
        <v>-3250</v>
      </c>
      <c r="O33" s="7" t="n"/>
      <c r="P33" s="463" t="n">
        <v>-60596.45</v>
      </c>
    </row>
    <row r="34">
      <c r="B34" s="451" t="inlineStr">
        <is>
          <t>Accrued Tax Burden</t>
        </is>
      </c>
      <c r="C34" s="460" t="n">
        <v>1631.10529798635</v>
      </c>
      <c r="D34" s="460" t="n">
        <v>4744.906264971798</v>
      </c>
      <c r="E34" s="460" t="n">
        <v>6361.900806451448</v>
      </c>
      <c r="F34" s="460" t="n">
        <v>8537.821824825223</v>
      </c>
      <c r="G34" s="460" t="n">
        <v>10502.57044587537</v>
      </c>
      <c r="H34" s="460" t="n">
        <v>11575.44852202304</v>
      </c>
      <c r="I34" s="460" t="n">
        <v>13803.70696526865</v>
      </c>
      <c r="J34" s="460" t="n">
        <v>16729.43824008832</v>
      </c>
      <c r="K34" s="460" t="n">
        <v>19576.55408333824</v>
      </c>
      <c r="L34" s="460" t="n">
        <v>23249.17344046841</v>
      </c>
      <c r="M34" s="460" t="n">
        <v>25333.88836765745</v>
      </c>
      <c r="N34" s="461" t="n">
        <v>26732.93314125583</v>
      </c>
      <c r="O34" s="375" t="n"/>
      <c r="P34" s="562" t="n">
        <v>26732.93314125583</v>
      </c>
    </row>
    <row r="35" ht="15" customHeight="1" thickBot="1">
      <c r="B35" s="238" t="n"/>
      <c r="H35" s="782" t="n"/>
      <c r="M35" s="109" t="n"/>
      <c r="P35" s="184" t="n"/>
    </row>
    <row r="36">
      <c r="B36" s="255" t="inlineStr">
        <is>
          <t>Operating Cash</t>
        </is>
      </c>
      <c r="C36" s="783" t="n">
        <v>5910.491972538331</v>
      </c>
      <c r="D36" s="784" t="n">
        <v>11084.27236104232</v>
      </c>
      <c r="E36" s="784" t="n">
        <v>13626.6407479997</v>
      </c>
      <c r="F36" s="784" t="n">
        <v>16286.34477384279</v>
      </c>
      <c r="G36" s="784" t="n">
        <v>18578.00570587863</v>
      </c>
      <c r="H36" s="784" t="n">
        <v>19238.67372369041</v>
      </c>
      <c r="I36" s="784" t="n">
        <v>21452.6617137577</v>
      </c>
      <c r="J36" s="784" t="n">
        <v>26002.17821108291</v>
      </c>
      <c r="K36" s="784" t="n">
        <v>32304.32808387339</v>
      </c>
      <c r="L36" s="785" t="n">
        <v>39688.85591512446</v>
      </c>
      <c r="M36" s="784" t="n">
        <v>44161.64664981155</v>
      </c>
      <c r="N36" s="783" t="n">
        <v>45353.46686473418</v>
      </c>
      <c r="P36" s="184" t="n"/>
    </row>
    <row r="37">
      <c r="B37" s="256" t="inlineStr">
        <is>
          <t>Cash Inflow (Outflow)</t>
        </is>
      </c>
      <c r="C37" s="786" t="n">
        <v>1691.545298480226</v>
      </c>
      <c r="D37" s="787" t="n">
        <v>5173.780388503994</v>
      </c>
      <c r="E37" s="787" t="n">
        <v>2542.368386957378</v>
      </c>
      <c r="F37" s="787" t="n">
        <v>2659.704025843085</v>
      </c>
      <c r="G37" s="787" t="n">
        <v>2291.660932035839</v>
      </c>
      <c r="H37" s="787" t="n">
        <v>660.6680178117831</v>
      </c>
      <c r="I37" s="787" t="n">
        <v>2213.98799006729</v>
      </c>
      <c r="J37" s="787" t="n">
        <v>4549.516497325214</v>
      </c>
      <c r="K37" s="787" t="n">
        <v>6302.149872790482</v>
      </c>
      <c r="L37" s="788" t="n">
        <v>7384.527831251073</v>
      </c>
      <c r="M37" s="787" t="n">
        <v>4472.790734687082</v>
      </c>
      <c r="N37" s="786" t="n">
        <v>1191.820214922631</v>
      </c>
      <c r="O37" s="259" t="n"/>
      <c r="P37" s="260" t="n"/>
    </row>
    <row r="38">
      <c r="E38" s="782" t="n"/>
    </row>
  </sheetData>
  <mergeCells count="1">
    <mergeCell ref="B8:P8"/>
  </mergeCells>
  <pageMargins left="0.25" right="0.25" top="0.75" bottom="0.75" header="0.3" footer="0.3"/>
  <pageSetup orientation="landscape" scale="56" horizontalDpi="1200" verticalDpi="12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theme="1"/>
    <outlinePr summaryBelow="1" summaryRight="1"/>
    <pageSetUpPr fitToPage="1"/>
  </sheetPr>
  <dimension ref="B10:T31"/>
  <sheetViews>
    <sheetView showGridLines="0" topLeftCell="A4" zoomScale="77" workbookViewId="0">
      <selection activeCell="B1" sqref="B1:P48"/>
    </sheetView>
  </sheetViews>
  <sheetFormatPr baseColWidth="8" defaultColWidth="8.6640625" defaultRowHeight="14.4"/>
  <cols>
    <col width="34" bestFit="1" customWidth="1" min="2" max="2"/>
    <col width="11.44140625" bestFit="1" customWidth="1" min="3" max="10"/>
    <col width="11.6640625" bestFit="1" customWidth="1" min="11" max="11"/>
    <col width="11.44140625" bestFit="1" customWidth="1" min="12" max="14"/>
    <col width="2.6640625" customWidth="1" min="15" max="15"/>
    <col width="9.6640625" bestFit="1" customWidth="1" min="16" max="16"/>
  </cols>
  <sheetData>
    <row r="10" ht="15.6" customHeight="1">
      <c r="B10" s="68" t="n"/>
      <c r="C10" s="69">
        <f>TEXT('Monthly Detail'!D4,"mmmm")</f>
        <v/>
      </c>
      <c r="D10" s="69">
        <f>TEXT('Monthly Detail'!E4,"mmmm")</f>
        <v/>
      </c>
      <c r="E10" s="69">
        <f>TEXT('Monthly Detail'!F4,"mmmm")</f>
        <v/>
      </c>
      <c r="F10" s="69">
        <f>TEXT('Monthly Detail'!G4,"mmmm")</f>
        <v/>
      </c>
      <c r="G10" s="69">
        <f>TEXT('Monthly Detail'!H4,"mmmm")</f>
        <v/>
      </c>
      <c r="H10" s="69">
        <f>TEXT('Monthly Detail'!I4,"mmmm")</f>
        <v/>
      </c>
      <c r="I10" s="69">
        <f>TEXT('Monthly Detail'!J4,"mmmm")</f>
        <v/>
      </c>
      <c r="J10" s="69">
        <f>TEXT('Monthly Detail'!K4,"mmmm")</f>
        <v/>
      </c>
      <c r="K10" s="69">
        <f>TEXT('Monthly Detail'!L4,"mmmm")</f>
        <v/>
      </c>
      <c r="L10" s="69">
        <f>TEXT('Monthly Detail'!M4,"mmmm")</f>
        <v/>
      </c>
      <c r="M10" s="69">
        <f>TEXT('Monthly Detail'!N4,"mmmm")</f>
        <v/>
      </c>
      <c r="N10" s="186">
        <f>TEXT('Monthly Detail'!O4,"mmmm")</f>
        <v/>
      </c>
      <c r="O10" s="70" t="n"/>
      <c r="P10" s="71" t="inlineStr">
        <is>
          <t>Total</t>
        </is>
      </c>
    </row>
    <row r="11" ht="6.45" customHeight="1">
      <c r="B11" s="7" t="n"/>
      <c r="C11" s="91" t="n">
        <v>44957</v>
      </c>
      <c r="D11" s="91" t="n">
        <v>44985</v>
      </c>
      <c r="E11" s="91" t="n">
        <v>45016</v>
      </c>
      <c r="F11" s="91" t="n">
        <v>45046</v>
      </c>
      <c r="G11" s="91" t="n">
        <v>45077</v>
      </c>
      <c r="H11" s="91" t="n">
        <v>45107</v>
      </c>
      <c r="I11" s="91" t="n">
        <v>45138</v>
      </c>
      <c r="J11" s="91" t="n">
        <v>45169</v>
      </c>
      <c r="K11" s="91" t="n">
        <v>45199</v>
      </c>
      <c r="L11" s="91" t="n">
        <v>45230</v>
      </c>
      <c r="M11" s="91" t="n">
        <v>45260</v>
      </c>
      <c r="N11" s="187" t="n">
        <v>45291</v>
      </c>
      <c r="O11" s="91" t="n">
        <v>45322</v>
      </c>
    </row>
    <row r="12">
      <c r="B12" s="72" t="inlineStr">
        <is>
          <t>Service Income</t>
        </is>
      </c>
      <c r="C12" s="73">
        <f>SUMIF('Monthly Detail'!$4:$4, '2023 Overview'!C$11, 'Monthly Detail'!12:12)</f>
        <v/>
      </c>
      <c r="D12" s="73">
        <f>SUMIF('Monthly Detail'!$4:$4, '2023 Overview'!D$11, 'Monthly Detail'!12:12)</f>
        <v/>
      </c>
      <c r="E12" s="73">
        <f>SUMIF('Monthly Detail'!$4:$4, '2023 Overview'!E$11, 'Monthly Detail'!12:12)</f>
        <v/>
      </c>
      <c r="F12" s="73">
        <f>SUMIF('Monthly Detail'!$4:$4, '2023 Overview'!F$11, 'Monthly Detail'!12:12)</f>
        <v/>
      </c>
      <c r="G12" s="73">
        <f>SUMIF('Monthly Detail'!$4:$4, '2023 Overview'!G$11, 'Monthly Detail'!12:12)</f>
        <v/>
      </c>
      <c r="H12" s="73">
        <f>SUMIF('Monthly Detail'!$4:$4, '2023 Overview'!H$11, 'Monthly Detail'!12:12)</f>
        <v/>
      </c>
      <c r="I12" s="73">
        <f>SUMIF('Monthly Detail'!$4:$4, '2023 Overview'!I$11, 'Monthly Detail'!12:12)</f>
        <v/>
      </c>
      <c r="J12" s="73">
        <f>SUMIF('Monthly Detail'!$4:$4, '2023 Overview'!J$11, 'Monthly Detail'!12:12)</f>
        <v/>
      </c>
      <c r="K12" s="73">
        <f>SUMIF('Monthly Detail'!$4:$4, '2023 Overview'!K$11, 'Monthly Detail'!12:12)</f>
        <v/>
      </c>
      <c r="L12" s="73">
        <f>SUMIF('Monthly Detail'!$4:$4, '2023 Overview'!L$11, 'Monthly Detail'!12:12)</f>
        <v/>
      </c>
      <c r="M12" s="73">
        <f>SUMIF('Monthly Detail'!$4:$4, '2023 Overview'!M$11, 'Monthly Detail'!12:12)</f>
        <v/>
      </c>
      <c r="N12" s="188">
        <f>SUMIF('Monthly Detail'!$4:$4, '2023 Overview'!N$11, 'Monthly Detail'!12:12)</f>
        <v/>
      </c>
      <c r="O12" s="73" t="n"/>
      <c r="P12" s="73">
        <f>SUM(C12:O12)</f>
        <v/>
      </c>
    </row>
    <row r="13">
      <c r="B13" s="72" t="inlineStr">
        <is>
          <t>Misc.</t>
        </is>
      </c>
      <c r="C13" s="73">
        <f>SUMIF('Monthly Detail'!$4:$4, '2023 Overview'!C$11, 'Monthly Detail'!13:13)</f>
        <v/>
      </c>
      <c r="D13" s="73">
        <f>SUMIF('Monthly Detail'!$4:$4, '2023 Overview'!D$11, 'Monthly Detail'!13:13)</f>
        <v/>
      </c>
      <c r="E13" s="73">
        <f>SUMIF('Monthly Detail'!$4:$4, '2023 Overview'!E$11, 'Monthly Detail'!13:13)</f>
        <v/>
      </c>
      <c r="F13" s="73">
        <f>SUMIF('Monthly Detail'!$4:$4, '2023 Overview'!F$11, 'Monthly Detail'!13:13)</f>
        <v/>
      </c>
      <c r="G13" s="73">
        <f>SUMIF('Monthly Detail'!$4:$4, '2023 Overview'!G$11, 'Monthly Detail'!13:13)</f>
        <v/>
      </c>
      <c r="H13" s="73">
        <f>SUMIF('Monthly Detail'!$4:$4, '2023 Overview'!H$11, 'Monthly Detail'!13:13)</f>
        <v/>
      </c>
      <c r="I13" s="73">
        <f>SUMIF('Monthly Detail'!$4:$4, '2023 Overview'!I$11, 'Monthly Detail'!13:13)</f>
        <v/>
      </c>
      <c r="J13" s="73">
        <f>SUMIF('Monthly Detail'!$4:$4, '2023 Overview'!J$11, 'Monthly Detail'!13:13)</f>
        <v/>
      </c>
      <c r="K13" s="73">
        <f>SUMIF('Monthly Detail'!$4:$4, '2023 Overview'!K$11, 'Monthly Detail'!13:13)</f>
        <v/>
      </c>
      <c r="L13" s="73">
        <f>SUMIF('Monthly Detail'!$4:$4, '2023 Overview'!L$11, 'Monthly Detail'!13:13)</f>
        <v/>
      </c>
      <c r="M13" s="73">
        <f>SUMIF('Monthly Detail'!$4:$4, '2023 Overview'!M$11, 'Monthly Detail'!13:13)</f>
        <v/>
      </c>
      <c r="N13" s="188">
        <f>SUMIF('Monthly Detail'!$4:$4, '2023 Overview'!N$11, 'Monthly Detail'!13:13)</f>
        <v/>
      </c>
      <c r="O13" s="73" t="n"/>
      <c r="P13" s="73" t="n"/>
    </row>
    <row r="14">
      <c r="B14" s="74" t="inlineStr">
        <is>
          <t>Total Income</t>
        </is>
      </c>
      <c r="C14" s="74">
        <f>SUM(C12:C13)</f>
        <v/>
      </c>
      <c r="D14" s="74">
        <f>SUM(D12:D13)</f>
        <v/>
      </c>
      <c r="E14" s="74">
        <f>SUM(E12:E13)</f>
        <v/>
      </c>
      <c r="F14" s="74">
        <f>SUM(F12:F13)</f>
        <v/>
      </c>
      <c r="G14" s="74">
        <f>SUM(G12:G13)</f>
        <v/>
      </c>
      <c r="H14" s="74">
        <f>SUM(H12:H13)</f>
        <v/>
      </c>
      <c r="I14" s="74">
        <f>SUM(I12:I13)</f>
        <v/>
      </c>
      <c r="J14" s="74">
        <f>SUM(J12:J13)</f>
        <v/>
      </c>
      <c r="K14" s="74">
        <f>SUM(K12:K13)</f>
        <v/>
      </c>
      <c r="L14" s="74">
        <f>SUM(L12:L13)</f>
        <v/>
      </c>
      <c r="M14" s="74">
        <f>SUM(M12:M13)</f>
        <v/>
      </c>
      <c r="N14" s="189">
        <f>SUM(N12:N13)</f>
        <v/>
      </c>
      <c r="O14" s="75" t="n"/>
      <c r="P14" s="74">
        <f>SUM(P12:P12)</f>
        <v/>
      </c>
    </row>
    <row r="15" ht="3" customHeight="1">
      <c r="B15" s="7" t="n"/>
      <c r="C15" s="76" t="n"/>
      <c r="D15" s="76" t="n"/>
      <c r="E15" s="76" t="n"/>
      <c r="F15" s="76" t="n"/>
      <c r="G15" s="76" t="n"/>
      <c r="H15" s="76" t="n"/>
      <c r="I15" s="76" t="n"/>
      <c r="J15" s="76" t="n"/>
      <c r="K15" s="76" t="n"/>
      <c r="L15" s="76" t="n"/>
      <c r="M15" s="76" t="n"/>
      <c r="N15" s="190" t="n"/>
      <c r="P15" s="76" t="n"/>
    </row>
    <row r="16" ht="15.6" customHeight="1">
      <c r="B16" s="87" t="inlineStr">
        <is>
          <t>Gross Margin</t>
        </is>
      </c>
      <c r="C16" s="88">
        <f>C14</f>
        <v/>
      </c>
      <c r="D16" s="88">
        <f>D14</f>
        <v/>
      </c>
      <c r="E16" s="88">
        <f>E14</f>
        <v/>
      </c>
      <c r="F16" s="88">
        <f>F14</f>
        <v/>
      </c>
      <c r="G16" s="88">
        <f>G14</f>
        <v/>
      </c>
      <c r="H16" s="88">
        <f>H14</f>
        <v/>
      </c>
      <c r="I16" s="88">
        <f>I14</f>
        <v/>
      </c>
      <c r="J16" s="88">
        <f>J14</f>
        <v/>
      </c>
      <c r="K16" s="88">
        <f>K14</f>
        <v/>
      </c>
      <c r="L16" s="88">
        <f>L14</f>
        <v/>
      </c>
      <c r="M16" s="88">
        <f>M14</f>
        <v/>
      </c>
      <c r="N16" s="191">
        <f>N14</f>
        <v/>
      </c>
      <c r="O16" s="246" t="n"/>
      <c r="P16" s="88">
        <f>P14</f>
        <v/>
      </c>
    </row>
    <row r="17">
      <c r="B17" s="89" t="inlineStr">
        <is>
          <t>GM %</t>
        </is>
      </c>
      <c r="C17" s="767">
        <f>C16/C14</f>
        <v/>
      </c>
      <c r="D17" s="767">
        <f>D16/D14</f>
        <v/>
      </c>
      <c r="E17" s="767">
        <f>E16/E14</f>
        <v/>
      </c>
      <c r="F17" s="767">
        <f>F16/F14</f>
        <v/>
      </c>
      <c r="G17" s="767">
        <f>G16/G14</f>
        <v/>
      </c>
      <c r="H17" s="767">
        <f>H16/H14</f>
        <v/>
      </c>
      <c r="I17" s="767">
        <f>I16/I14</f>
        <v/>
      </c>
      <c r="J17" s="767">
        <f>J16/J14</f>
        <v/>
      </c>
      <c r="K17" s="767">
        <f>K16/K14</f>
        <v/>
      </c>
      <c r="L17" s="767">
        <f>L16/L14</f>
        <v/>
      </c>
      <c r="M17" s="767">
        <f>M16/M14</f>
        <v/>
      </c>
      <c r="N17" s="789">
        <f>N16/N14</f>
        <v/>
      </c>
      <c r="O17" s="7" t="n"/>
      <c r="P17" s="767">
        <f>P16/P14</f>
        <v/>
      </c>
    </row>
    <row r="18" ht="3" customHeight="1">
      <c r="B18" s="7" t="n"/>
      <c r="N18" s="193" t="n"/>
    </row>
    <row r="19">
      <c r="B19" s="7" t="inlineStr">
        <is>
          <t>General &amp; Admintrative Expenses</t>
        </is>
      </c>
      <c r="C19" s="73">
        <f>SUMIF('Monthly Detail'!$4:$4, '2023 Overview'!C$11, 'Monthly Detail'!$95:$95)</f>
        <v/>
      </c>
      <c r="D19" s="73">
        <f>SUMIF('Monthly Detail'!$4:$4, '2023 Overview'!D$11, 'Monthly Detail'!$95:$95)</f>
        <v/>
      </c>
      <c r="E19" s="73">
        <f>SUMIF('Monthly Detail'!$4:$4, '2023 Overview'!E$11, 'Monthly Detail'!$95:$95)</f>
        <v/>
      </c>
      <c r="F19" s="73">
        <f>SUMIF('Monthly Detail'!$4:$4, '2023 Overview'!F$11, 'Monthly Detail'!$95:$95)</f>
        <v/>
      </c>
      <c r="G19" s="73">
        <f>SUMIF('Monthly Detail'!$4:$4, '2023 Overview'!G$11, 'Monthly Detail'!$95:$95)</f>
        <v/>
      </c>
      <c r="H19" s="73">
        <f>SUMIF('Monthly Detail'!$4:$4, '2023 Overview'!H$11, 'Monthly Detail'!$95:$95)</f>
        <v/>
      </c>
      <c r="I19" s="73">
        <f>SUMIF('Monthly Detail'!$4:$4, '2023 Overview'!I$11, 'Monthly Detail'!$95:$95)</f>
        <v/>
      </c>
      <c r="J19" s="73">
        <f>SUMIF('Monthly Detail'!$4:$4, '2023 Overview'!J$11, 'Monthly Detail'!$95:$95)</f>
        <v/>
      </c>
      <c r="K19" s="73">
        <f>SUMIF('Monthly Detail'!$4:$4, '2023 Overview'!K$11, 'Monthly Detail'!$95:$95)</f>
        <v/>
      </c>
      <c r="L19" s="73">
        <f>SUMIF('Monthly Detail'!$4:$4, '2023 Overview'!L$11, 'Monthly Detail'!$95:$95)</f>
        <v/>
      </c>
      <c r="M19" s="73">
        <f>SUMIF('Monthly Detail'!$4:$4, '2023 Overview'!M$11, 'Monthly Detail'!$95:$95)</f>
        <v/>
      </c>
      <c r="N19" s="188">
        <f>SUMIF('Monthly Detail'!$4:$4, '2023 Overview'!N$11, 'Monthly Detail'!$95:$95)</f>
        <v/>
      </c>
      <c r="P19" s="73">
        <f>SUM(C19:O19)</f>
        <v/>
      </c>
      <c r="T19" s="1" t="n"/>
    </row>
    <row r="20">
      <c r="B20" s="78" t="inlineStr">
        <is>
          <t>Operating Expenses</t>
        </is>
      </c>
      <c r="C20" s="103">
        <f>SUM(C19:C19)</f>
        <v/>
      </c>
      <c r="D20" s="103">
        <f>SUM(D19:D19)</f>
        <v/>
      </c>
      <c r="E20" s="103">
        <f>SUM(E19:E19)</f>
        <v/>
      </c>
      <c r="F20" s="103">
        <f>SUM(F19:F19)</f>
        <v/>
      </c>
      <c r="G20" s="103">
        <f>SUM(G19:G19)</f>
        <v/>
      </c>
      <c r="H20" s="103">
        <f>SUM(H19:H19)</f>
        <v/>
      </c>
      <c r="I20" s="103">
        <f>SUM(I19:I19)</f>
        <v/>
      </c>
      <c r="J20" s="103">
        <f>SUM(J19:J19)</f>
        <v/>
      </c>
      <c r="K20" s="103">
        <f>SUM(K19:K19)</f>
        <v/>
      </c>
      <c r="L20" s="103">
        <f>SUM(L19:L19)</f>
        <v/>
      </c>
      <c r="M20" s="103">
        <f>SUM(M19:M19)</f>
        <v/>
      </c>
      <c r="N20" s="194">
        <f>SUM(N19:N19)</f>
        <v/>
      </c>
      <c r="O20" s="433" t="n"/>
      <c r="P20" s="103">
        <f>SUM(P19:P19)</f>
        <v/>
      </c>
    </row>
    <row r="21" ht="4.2" customHeight="1">
      <c r="B21" s="7" t="n"/>
      <c r="N21" s="193" t="n"/>
    </row>
    <row r="22" ht="15.6" customHeight="1">
      <c r="B22" s="87" t="inlineStr">
        <is>
          <t>Net Operating Income (EBITDA)</t>
        </is>
      </c>
      <c r="C22" s="88">
        <f>C16-C20</f>
        <v/>
      </c>
      <c r="D22" s="88">
        <f>D16-D20</f>
        <v/>
      </c>
      <c r="E22" s="88">
        <f>E16-E20</f>
        <v/>
      </c>
      <c r="F22" s="88">
        <f>F16-F20</f>
        <v/>
      </c>
      <c r="G22" s="88">
        <f>G16-G20</f>
        <v/>
      </c>
      <c r="H22" s="88">
        <f>H16-H20</f>
        <v/>
      </c>
      <c r="I22" s="88">
        <f>I16-I20</f>
        <v/>
      </c>
      <c r="J22" s="88">
        <f>J16-J20</f>
        <v/>
      </c>
      <c r="K22" s="88">
        <f>K16-K20</f>
        <v/>
      </c>
      <c r="L22" s="88">
        <f>L16-L20</f>
        <v/>
      </c>
      <c r="M22" s="88">
        <f>M16-M20</f>
        <v/>
      </c>
      <c r="N22" s="191">
        <f>N16-N20</f>
        <v/>
      </c>
      <c r="O22" s="246" t="n"/>
      <c r="P22" s="88">
        <f>P16-P20</f>
        <v/>
      </c>
    </row>
    <row r="23">
      <c r="B23" s="89" t="inlineStr">
        <is>
          <t>EBITDA %</t>
        </is>
      </c>
      <c r="C23" s="767">
        <f>C22/C14</f>
        <v/>
      </c>
      <c r="D23" s="767">
        <f>D22/D14</f>
        <v/>
      </c>
      <c r="E23" s="767">
        <f>E22/E14</f>
        <v/>
      </c>
      <c r="F23" s="767">
        <f>F22/F14</f>
        <v/>
      </c>
      <c r="G23" s="767">
        <f>G22/G14</f>
        <v/>
      </c>
      <c r="H23" s="767">
        <f>H22/H14</f>
        <v/>
      </c>
      <c r="I23" s="767">
        <f>I22/I14</f>
        <v/>
      </c>
      <c r="J23" s="767">
        <f>J22/J14</f>
        <v/>
      </c>
      <c r="K23" s="767">
        <f>K22/K14</f>
        <v/>
      </c>
      <c r="L23" s="767">
        <f>L22/L14</f>
        <v/>
      </c>
      <c r="M23" s="767">
        <f>M22/M14</f>
        <v/>
      </c>
      <c r="N23" s="789">
        <f>N22/N14</f>
        <v/>
      </c>
      <c r="O23" s="7" t="n"/>
      <c r="P23" s="767">
        <f>P22/P14</f>
        <v/>
      </c>
    </row>
    <row r="24" ht="4.95" customHeight="1">
      <c r="B24" s="81" t="n"/>
      <c r="C24" s="770" t="n"/>
      <c r="D24" s="770" t="n"/>
      <c r="E24" s="770" t="n"/>
      <c r="F24" s="770" t="n"/>
      <c r="G24" s="770" t="n"/>
      <c r="H24" s="770" t="n"/>
      <c r="I24" s="770" t="n"/>
      <c r="J24" s="770" t="n"/>
      <c r="K24" s="770" t="n"/>
      <c r="L24" s="770" t="n"/>
      <c r="M24" s="770" t="n"/>
      <c r="N24" s="790" t="n"/>
      <c r="P24" s="770" t="n"/>
    </row>
    <row r="25">
      <c r="B25" s="7" t="inlineStr">
        <is>
          <t>Other Income / (Expense)</t>
        </is>
      </c>
      <c r="C25" s="132">
        <f>SUMIF('Monthly Detail'!$4:$4, '2023 Overview'!C$11, 'Monthly Detail'!104:104)</f>
        <v/>
      </c>
      <c r="D25" s="132">
        <f>SUMIF('Monthly Detail'!$4:$4, '2023 Overview'!D$11, 'Monthly Detail'!104:104)</f>
        <v/>
      </c>
      <c r="E25" s="132">
        <f>SUMIF('Monthly Detail'!$4:$4, '2023 Overview'!E$11, 'Monthly Detail'!104:104)</f>
        <v/>
      </c>
      <c r="F25" s="132">
        <f>SUMIF('Monthly Detail'!$4:$4, '2023 Overview'!F$11, 'Monthly Detail'!104:104)</f>
        <v/>
      </c>
      <c r="G25" s="132">
        <f>SUMIF('Monthly Detail'!$4:$4, '2023 Overview'!G$11, 'Monthly Detail'!104:104)</f>
        <v/>
      </c>
      <c r="H25" s="132">
        <f>SUMIF('Monthly Detail'!$4:$4, '2023 Overview'!H$11, 'Monthly Detail'!104:104)</f>
        <v/>
      </c>
      <c r="I25" s="132">
        <f>SUMIF('Monthly Detail'!$4:$4, '2023 Overview'!I$11, 'Monthly Detail'!104:104)</f>
        <v/>
      </c>
      <c r="J25" s="132">
        <f>SUMIF('Monthly Detail'!$4:$4, '2023 Overview'!J$11, 'Monthly Detail'!104:104)</f>
        <v/>
      </c>
      <c r="K25" s="132">
        <f>SUMIF('Monthly Detail'!$4:$4, '2023 Overview'!K$11, 'Monthly Detail'!104:104)</f>
        <v/>
      </c>
      <c r="L25" s="132">
        <f>SUMIF('Monthly Detail'!$4:$4, '2023 Overview'!L$11, 'Monthly Detail'!104:104)</f>
        <v/>
      </c>
      <c r="M25" s="132">
        <f>SUMIF('Monthly Detail'!$4:$4, '2023 Overview'!M$11, 'Monthly Detail'!104:104)</f>
        <v/>
      </c>
      <c r="N25" s="196">
        <f>SUMIF('Monthly Detail'!$4:$4, '2023 Overview'!N$11, 'Monthly Detail'!104:104)</f>
        <v/>
      </c>
      <c r="O25" s="132" t="n"/>
      <c r="P25" s="707">
        <f>SUM(C25:O25)</f>
        <v/>
      </c>
    </row>
    <row r="26" ht="15.6" customHeight="1">
      <c r="B26" s="87" t="inlineStr">
        <is>
          <t>Net Income</t>
        </is>
      </c>
      <c r="C26" s="88">
        <f>C22+SUM(C25:C25)</f>
        <v/>
      </c>
      <c r="D26" s="88">
        <f>D22+SUM(D25:D25)</f>
        <v/>
      </c>
      <c r="E26" s="88">
        <f>E22+SUM(E25:E25)</f>
        <v/>
      </c>
      <c r="F26" s="88">
        <f>F22+SUM(F25:F25)</f>
        <v/>
      </c>
      <c r="G26" s="88">
        <f>G22+SUM(G25:G25)</f>
        <v/>
      </c>
      <c r="H26" s="88">
        <f>H22+SUM(H25:H25)</f>
        <v/>
      </c>
      <c r="I26" s="88">
        <f>I22+SUM(I25:I25)</f>
        <v/>
      </c>
      <c r="J26" s="88">
        <f>J22+SUM(J25:J25)</f>
        <v/>
      </c>
      <c r="K26" s="88">
        <f>K22+SUM(K25:K25)</f>
        <v/>
      </c>
      <c r="L26" s="88">
        <f>L22+SUM(L25:L25)</f>
        <v/>
      </c>
      <c r="M26" s="88">
        <f>M22+SUM(M25:M25)</f>
        <v/>
      </c>
      <c r="N26" s="191">
        <f>N22+SUM(N25:N25)</f>
        <v/>
      </c>
      <c r="O26" s="246" t="n"/>
      <c r="P26" s="88">
        <f>P22+SUM(P25:P25)</f>
        <v/>
      </c>
    </row>
    <row r="27">
      <c r="B27" s="89" t="inlineStr">
        <is>
          <t>NI %</t>
        </is>
      </c>
      <c r="C27" s="767">
        <f>C26/C14</f>
        <v/>
      </c>
      <c r="D27" s="767">
        <f>D26/D14</f>
        <v/>
      </c>
      <c r="E27" s="767">
        <f>E26/E14</f>
        <v/>
      </c>
      <c r="F27" s="767">
        <f>F26/F14</f>
        <v/>
      </c>
      <c r="G27" s="767">
        <f>G26/G14</f>
        <v/>
      </c>
      <c r="H27" s="767">
        <f>H26/H14</f>
        <v/>
      </c>
      <c r="I27" s="767">
        <f>I26/I14</f>
        <v/>
      </c>
      <c r="J27" s="767">
        <f>J26/J14</f>
        <v/>
      </c>
      <c r="K27" s="767">
        <f>K26/K14</f>
        <v/>
      </c>
      <c r="L27" s="767">
        <f>L26/L14</f>
        <v/>
      </c>
      <c r="M27" s="767">
        <f>M26/M14</f>
        <v/>
      </c>
      <c r="N27" s="789">
        <f>N26/N14</f>
        <v/>
      </c>
      <c r="O27" s="7" t="n"/>
      <c r="P27" s="767">
        <f>P26/P14</f>
        <v/>
      </c>
    </row>
    <row r="28" ht="4.95" customHeight="1" thickBot="1">
      <c r="B28" s="7" t="n"/>
      <c r="N28" s="193" t="n"/>
    </row>
    <row r="29">
      <c r="B29" s="83" t="inlineStr">
        <is>
          <t>Operating Cash</t>
        </is>
      </c>
      <c r="C29" s="783">
        <f>SUMIF('Monthly Detail'!$4:$4, '2023 Overview'!C$11, 'Monthly Detail'!174:174)</f>
        <v/>
      </c>
      <c r="D29" s="784">
        <f>SUMIF('Monthly Detail'!$4:$4, '2023 Overview'!D$11, 'Monthly Detail'!174:174)</f>
        <v/>
      </c>
      <c r="E29" s="783">
        <f>SUMIF('Monthly Detail'!$4:$4, '2023 Overview'!E$11, 'Monthly Detail'!174:174)</f>
        <v/>
      </c>
      <c r="F29" s="784">
        <f>SUMIF('Monthly Detail'!$4:$4, '2023 Overview'!F$11, 'Monthly Detail'!174:174)</f>
        <v/>
      </c>
      <c r="G29" s="783">
        <f>SUMIF('Monthly Detail'!$4:$4, '2023 Overview'!G$11, 'Monthly Detail'!174:174)</f>
        <v/>
      </c>
      <c r="H29" s="783">
        <f>SUMIF('Monthly Detail'!$4:$4, '2023 Overview'!H$11, 'Monthly Detail'!174:174)</f>
        <v/>
      </c>
      <c r="I29" s="784">
        <f>SUMIF('Monthly Detail'!$4:$4, '2023 Overview'!I$11, 'Monthly Detail'!174:174)</f>
        <v/>
      </c>
      <c r="J29" s="784">
        <f>SUMIF('Monthly Detail'!$4:$4, '2023 Overview'!J$11, 'Monthly Detail'!174:174)</f>
        <v/>
      </c>
      <c r="K29" s="784">
        <f>SUMIF('Monthly Detail'!$4:$4, '2023 Overview'!K$11, 'Monthly Detail'!174:174)</f>
        <v/>
      </c>
      <c r="L29" s="784">
        <f>SUMIF('Monthly Detail'!$4:$4, '2023 Overview'!L$11, 'Monthly Detail'!174:174)</f>
        <v/>
      </c>
      <c r="M29" s="784">
        <f>SUMIF('Monthly Detail'!$4:$4, '2023 Overview'!M$11, 'Monthly Detail'!174:174)</f>
        <v/>
      </c>
      <c r="N29" s="791">
        <f>SUMIF('Monthly Detail'!$4:$4, '2023 Overview'!N$11, 'Monthly Detail'!174:174)</f>
        <v/>
      </c>
    </row>
    <row r="30" ht="15" customHeight="1" thickBot="1">
      <c r="B30" s="85" t="inlineStr">
        <is>
          <t>Cash Inflow (Outflow)</t>
        </is>
      </c>
      <c r="C30" s="792">
        <f>SUMIF('Monthly Detail'!$4:$4, '2023 Overview'!C$11, 'Monthly Detail'!171:171)</f>
        <v/>
      </c>
      <c r="D30" s="793">
        <f>SUMIF('Monthly Detail'!$4:$4, '2023 Overview'!D$11, 'Monthly Detail'!171:171)</f>
        <v/>
      </c>
      <c r="E30" s="792">
        <f>SUMIF('Monthly Detail'!$4:$4, '2023 Overview'!E$11, 'Monthly Detail'!171:171)</f>
        <v/>
      </c>
      <c r="F30" s="793">
        <f>SUMIF('Monthly Detail'!$4:$4, '2023 Overview'!F$11, 'Monthly Detail'!171:171)</f>
        <v/>
      </c>
      <c r="G30" s="792">
        <f>SUMIF('Monthly Detail'!$4:$4, '2023 Overview'!G$11, 'Monthly Detail'!171:171)</f>
        <v/>
      </c>
      <c r="H30" s="792">
        <f>SUMIF('Monthly Detail'!$4:$4, '2023 Overview'!H$11, 'Monthly Detail'!171:171)</f>
        <v/>
      </c>
      <c r="I30" s="793">
        <f>SUMIF('Monthly Detail'!$4:$4, '2023 Overview'!I$11, 'Monthly Detail'!171:171)</f>
        <v/>
      </c>
      <c r="J30" s="793">
        <f>SUMIF('Monthly Detail'!$4:$4, '2023 Overview'!J$11, 'Monthly Detail'!171:171)</f>
        <v/>
      </c>
      <c r="K30" s="793">
        <f>SUMIF('Monthly Detail'!$4:$4, '2023 Overview'!K$11, 'Monthly Detail'!171:171)</f>
        <v/>
      </c>
      <c r="L30" s="793">
        <f>SUMIF('Monthly Detail'!$4:$4, '2023 Overview'!L$11, 'Monthly Detail'!171:171)</f>
        <v/>
      </c>
      <c r="M30" s="793">
        <f>SUMIF('Monthly Detail'!$4:$4, '2023 Overview'!M$11, 'Monthly Detail'!171:171)</f>
        <v/>
      </c>
      <c r="N30" s="794">
        <f>SUMIF('Monthly Detail'!$4:$4, '2023 Overview'!N$11, 'Monthly Detail'!171:171)</f>
        <v/>
      </c>
    </row>
    <row r="31">
      <c r="E31" s="782" t="n"/>
    </row>
  </sheetData>
  <pageMargins left="0.25" right="0.25" top="0.75" bottom="0.75" header="0.3" footer="0.3"/>
  <pageSetup orientation="landscape" scale="69" horizontalDpi="1200" verticalDpi="12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theme="1"/>
    <outlinePr summaryBelow="1" summaryRight="1"/>
    <pageSetUpPr fitToPage="1"/>
  </sheetPr>
  <dimension ref="B1:T38"/>
  <sheetViews>
    <sheetView showGridLines="0" topLeftCell="A4" zoomScale="65" zoomScaleNormal="85" workbookViewId="0">
      <selection activeCell="B35" sqref="B35"/>
    </sheetView>
  </sheetViews>
  <sheetFormatPr baseColWidth="8" defaultColWidth="8.6640625" defaultRowHeight="14.4"/>
  <cols>
    <col width="34.6640625" bestFit="1" customWidth="1" min="2" max="2"/>
    <col width="13.6640625" bestFit="1" customWidth="1" min="3" max="3"/>
    <col width="13.44140625" bestFit="1" customWidth="1" min="4" max="5"/>
    <col width="14.109375" bestFit="1" customWidth="1" min="6" max="7"/>
    <col width="13.6640625" bestFit="1" customWidth="1" min="8" max="8"/>
    <col width="14.6640625" bestFit="1" customWidth="1" min="9" max="10"/>
    <col width="15.44140625" bestFit="1" customWidth="1" min="11" max="11"/>
    <col width="14.109375" bestFit="1" customWidth="1" min="12" max="13"/>
    <col width="14.6640625" bestFit="1" customWidth="1" min="14" max="14"/>
    <col width="0.6640625" customWidth="1" min="15" max="15"/>
    <col width="13.44140625" bestFit="1" customWidth="1" min="16" max="16"/>
  </cols>
  <sheetData>
    <row r="1">
      <c r="B1" t="inlineStr">
        <is>
          <t xml:space="preserve"> </t>
        </is>
      </c>
    </row>
    <row r="8" ht="15.6" customHeight="1">
      <c r="B8" s="743" t="inlineStr">
        <is>
          <t>2026 Annual Operating Plan</t>
        </is>
      </c>
    </row>
    <row r="9" ht="1.95" customHeight="1"/>
    <row r="10" ht="15.6" customHeight="1">
      <c r="B10" s="234" t="n"/>
      <c r="C10" s="235">
        <f>TEXT('Monthly Detail'!D4,"mmmm")</f>
        <v/>
      </c>
      <c r="D10" s="235">
        <f>TEXT('Monthly Detail'!E4,"mmmm")</f>
        <v/>
      </c>
      <c r="E10" s="235">
        <f>TEXT('Monthly Detail'!F4,"mmmm")</f>
        <v/>
      </c>
      <c r="F10" s="235">
        <f>TEXT('Monthly Detail'!G4,"mmmm")</f>
        <v/>
      </c>
      <c r="G10" s="235">
        <f>TEXT('Monthly Detail'!H4,"mmmm")</f>
        <v/>
      </c>
      <c r="H10" s="235">
        <f>TEXT('Monthly Detail'!I4,"mmmm")</f>
        <v/>
      </c>
      <c r="I10" s="235">
        <f>TEXT('Monthly Detail'!J4,"mmmm")</f>
        <v/>
      </c>
      <c r="J10" s="235">
        <f>TEXT('Monthly Detail'!K4,"mmmm")</f>
        <v/>
      </c>
      <c r="K10" s="235">
        <f>TEXT('Monthly Detail'!L4,"mmmm")</f>
        <v/>
      </c>
      <c r="L10" s="235">
        <f>TEXT('Monthly Detail'!M4,"mmmm")</f>
        <v/>
      </c>
      <c r="M10" s="235">
        <f>TEXT('Monthly Detail'!N4,"mmmm")</f>
        <v/>
      </c>
      <c r="N10" s="235">
        <f>TEXT('Monthly Detail'!O4,"mmmm")</f>
        <v/>
      </c>
      <c r="O10" s="236" t="n"/>
      <c r="P10" s="237" t="inlineStr">
        <is>
          <t>Total</t>
        </is>
      </c>
    </row>
    <row r="11">
      <c r="B11" s="238" t="n"/>
      <c r="C11" s="91" t="n">
        <v>46053</v>
      </c>
      <c r="D11" s="91" t="n">
        <v>46081</v>
      </c>
      <c r="E11" s="91" t="n">
        <v>46112</v>
      </c>
      <c r="F11" s="91" t="n">
        <v>46142</v>
      </c>
      <c r="G11" s="91" t="n">
        <v>46173</v>
      </c>
      <c r="H11" s="91" t="n">
        <v>46203</v>
      </c>
      <c r="I11" s="91" t="n">
        <v>46234</v>
      </c>
      <c r="J11" s="91" t="n">
        <v>46265</v>
      </c>
      <c r="K11" s="91" t="n">
        <v>46295</v>
      </c>
      <c r="L11" s="91" t="n">
        <v>46326</v>
      </c>
      <c r="M11" s="91" t="n">
        <v>46356</v>
      </c>
      <c r="N11" s="91" t="n">
        <v>46387</v>
      </c>
      <c r="O11" s="91" t="n">
        <v>45322</v>
      </c>
      <c r="P11" s="184" t="n"/>
    </row>
    <row r="12">
      <c r="B12" s="239" t="inlineStr">
        <is>
          <t>Service Income</t>
        </is>
      </c>
      <c r="C12" s="73">
        <f>SUMIF('Monthly Detail'!$4:$4, '2026 AOP'!C$11, 'Monthly Detail'!12:12)</f>
        <v/>
      </c>
      <c r="D12" s="73">
        <f>SUMIF('Monthly Detail'!$4:$4, '2026 AOP'!D$11, 'Monthly Detail'!12:12)</f>
        <v/>
      </c>
      <c r="E12" s="73">
        <f>SUMIF('Monthly Detail'!$4:$4, '2026 AOP'!E$11, 'Monthly Detail'!12:12)</f>
        <v/>
      </c>
      <c r="F12" s="73">
        <f>SUMIF('Monthly Detail'!$4:$4, '2026 AOP'!F$11, 'Monthly Detail'!12:12)</f>
        <v/>
      </c>
      <c r="G12" s="73">
        <f>SUMIF('Monthly Detail'!$4:$4, '2026 AOP'!G$11, 'Monthly Detail'!12:12)</f>
        <v/>
      </c>
      <c r="H12" s="73">
        <f>SUMIF('Monthly Detail'!$4:$4, '2026 AOP'!H$11, 'Monthly Detail'!12:12)</f>
        <v/>
      </c>
      <c r="I12" s="73">
        <f>SUMIF('Monthly Detail'!$4:$4, '2026 AOP'!I$11, 'Monthly Detail'!12:12)</f>
        <v/>
      </c>
      <c r="J12" s="73">
        <f>SUMIF('Monthly Detail'!$4:$4, '2026 AOP'!J$11, 'Monthly Detail'!12:12)</f>
        <v/>
      </c>
      <c r="K12" s="73">
        <f>SUMIF('Monthly Detail'!$4:$4, '2026 AOP'!K$11, 'Monthly Detail'!12:12)</f>
        <v/>
      </c>
      <c r="L12" s="73">
        <f>SUMIF('Monthly Detail'!$4:$4, '2026 AOP'!L$11, 'Monthly Detail'!12:12)</f>
        <v/>
      </c>
      <c r="M12" s="73">
        <f>SUMIF('Monthly Detail'!$4:$4, '2026 AOP'!M$11, 'Monthly Detail'!12:12)</f>
        <v/>
      </c>
      <c r="N12" s="73">
        <f>SUMIF('Monthly Detail'!$4:$4, '2026 AOP'!N$11, 'Monthly Detail'!12:12)</f>
        <v/>
      </c>
      <c r="O12" s="73" t="n"/>
      <c r="P12" s="240">
        <f>SUM(C12:O12)</f>
        <v/>
      </c>
    </row>
    <row r="13">
      <c r="B13" s="239" t="inlineStr">
        <is>
          <t>Tips</t>
        </is>
      </c>
      <c r="C13" s="73">
        <f>SUMIF('Monthly Detail'!$4:$4, '2026 AOP'!C$11, 'Monthly Detail'!13:13)</f>
        <v/>
      </c>
      <c r="D13" s="73">
        <f>SUMIF('Monthly Detail'!$4:$4, '2026 AOP'!D$11, 'Monthly Detail'!13:13)</f>
        <v/>
      </c>
      <c r="E13" s="73">
        <f>SUMIF('Monthly Detail'!$4:$4, '2026 AOP'!E$11, 'Monthly Detail'!13:13)</f>
        <v/>
      </c>
      <c r="F13" s="73">
        <f>SUMIF('Monthly Detail'!$4:$4, '2026 AOP'!F$11, 'Monthly Detail'!13:13)</f>
        <v/>
      </c>
      <c r="G13" s="73">
        <f>SUMIF('Monthly Detail'!$4:$4, '2026 AOP'!G$11, 'Monthly Detail'!13:13)</f>
        <v/>
      </c>
      <c r="H13" s="73">
        <f>SUMIF('Monthly Detail'!$4:$4, '2026 AOP'!H$11, 'Monthly Detail'!13:13)</f>
        <v/>
      </c>
      <c r="I13" s="73">
        <f>SUMIF('Monthly Detail'!$4:$4, '2026 AOP'!I$11, 'Monthly Detail'!13:13)</f>
        <v/>
      </c>
      <c r="J13" s="73">
        <f>SUMIF('Monthly Detail'!$4:$4, '2026 AOP'!J$11, 'Monthly Detail'!13:13)</f>
        <v/>
      </c>
      <c r="K13" s="73">
        <f>SUMIF('Monthly Detail'!$4:$4, '2026 AOP'!K$11, 'Monthly Detail'!13:13)</f>
        <v/>
      </c>
      <c r="L13" s="73">
        <f>SUMIF('Monthly Detail'!$4:$4, '2026 AOP'!L$11, 'Monthly Detail'!13:13)</f>
        <v/>
      </c>
      <c r="M13" s="73">
        <f>SUMIF('Monthly Detail'!$4:$4, '2026 AOP'!M$11, 'Monthly Detail'!13:13)</f>
        <v/>
      </c>
      <c r="N13" s="73">
        <f>SUMIF('Monthly Detail'!$4:$4, '2026 AOP'!N$11, 'Monthly Detail'!13:13)</f>
        <v/>
      </c>
      <c r="O13" s="73" t="n"/>
      <c r="P13" s="240">
        <f>+SUM(C13:N13)</f>
        <v/>
      </c>
    </row>
    <row r="14">
      <c r="B14" s="241" t="inlineStr">
        <is>
          <t>Total Income</t>
        </is>
      </c>
      <c r="C14" s="74">
        <f>SUM(C12:C13)</f>
        <v/>
      </c>
      <c r="D14" s="74">
        <f>SUM(D12:D13)</f>
        <v/>
      </c>
      <c r="E14" s="74">
        <f>SUM(E12:E13)</f>
        <v/>
      </c>
      <c r="F14" s="74">
        <f>SUM(F12:F13)</f>
        <v/>
      </c>
      <c r="G14" s="74">
        <f>SUM(G12:G13)</f>
        <v/>
      </c>
      <c r="H14" s="74">
        <f>SUM(H12:H13)</f>
        <v/>
      </c>
      <c r="I14" s="74">
        <f>SUM(I12:I13)</f>
        <v/>
      </c>
      <c r="J14" s="74">
        <f>SUM(J12:J13)</f>
        <v/>
      </c>
      <c r="K14" s="74">
        <f>SUM(K12:K13)</f>
        <v/>
      </c>
      <c r="L14" s="74">
        <f>SUM(L12:L13)</f>
        <v/>
      </c>
      <c r="M14" s="74">
        <f>SUM(M12:M13)</f>
        <v/>
      </c>
      <c r="N14" s="242">
        <f>SUM(N12:N13)</f>
        <v/>
      </c>
      <c r="O14" s="75" t="n"/>
      <c r="P14" s="450">
        <f>SUM(P12:P13)</f>
        <v/>
      </c>
    </row>
    <row r="15">
      <c r="B15" s="243" t="inlineStr">
        <is>
          <t># of Students</t>
        </is>
      </c>
      <c r="C15" s="221">
        <f>SUMIF('Monthly Detail'!$4:$4, '2026 AOP'!C$11, 'Monthly Detail'!17:17)</f>
        <v/>
      </c>
      <c r="D15" s="221">
        <f>SUMIF('Monthly Detail'!$4:$4, '2026 AOP'!D$11, 'Monthly Detail'!17:17)</f>
        <v/>
      </c>
      <c r="E15" s="221">
        <f>SUMIF('Monthly Detail'!$4:$4, '2026 AOP'!E$11, 'Monthly Detail'!17:17)</f>
        <v/>
      </c>
      <c r="F15" s="221">
        <f>SUMIF('Monthly Detail'!$4:$4, '2026 AOP'!F$11, 'Monthly Detail'!17:17)</f>
        <v/>
      </c>
      <c r="G15" s="221">
        <f>SUMIF('Monthly Detail'!$4:$4, '2026 AOP'!G$11, 'Monthly Detail'!17:17)</f>
        <v/>
      </c>
      <c r="H15" s="221">
        <f>SUMIF('Monthly Detail'!$4:$4, '2026 AOP'!H$11, 'Monthly Detail'!17:17)</f>
        <v/>
      </c>
      <c r="I15" s="221">
        <f>SUMIF('Monthly Detail'!$4:$4, '2026 AOP'!I$11, 'Monthly Detail'!17:17)</f>
        <v/>
      </c>
      <c r="J15" s="221">
        <f>SUMIF('Monthly Detail'!$4:$4, '2026 AOP'!J$11, 'Monthly Detail'!17:17)</f>
        <v/>
      </c>
      <c r="K15" s="221">
        <f>SUMIF('Monthly Detail'!$4:$4, '2026 AOP'!K$11, 'Monthly Detail'!17:17)</f>
        <v/>
      </c>
      <c r="L15" s="221">
        <f>SUMIF('Monthly Detail'!$4:$4, '2026 AOP'!L$11, 'Monthly Detail'!17:17)</f>
        <v/>
      </c>
      <c r="M15" s="221">
        <f>SUMIF('Monthly Detail'!$4:$4, '2026 AOP'!M$11, 'Monthly Detail'!17:17)</f>
        <v/>
      </c>
      <c r="N15" s="321">
        <f>SUMIF('Monthly Detail'!$4:$4, '2026 AOP'!N$11, 'Monthly Detail'!17:17)</f>
        <v/>
      </c>
      <c r="O15" s="75" t="n"/>
      <c r="P15" s="244" t="n"/>
    </row>
    <row r="16">
      <c r="B16" s="447" t="inlineStr">
        <is>
          <t># of Sessions</t>
        </is>
      </c>
      <c r="C16" s="448">
        <f>SUMIF('Monthly Detail'!$4:$4, '2026 AOP'!C$11, 'Monthly Detail'!22:22)</f>
        <v/>
      </c>
      <c r="D16" s="448">
        <f>SUMIF('Monthly Detail'!$4:$4, '2026 AOP'!D$11, 'Monthly Detail'!22:22)</f>
        <v/>
      </c>
      <c r="E16" s="448">
        <f>SUMIF('Monthly Detail'!$4:$4, '2026 AOP'!E$11, 'Monthly Detail'!22:22)</f>
        <v/>
      </c>
      <c r="F16" s="448">
        <f>SUMIF('Monthly Detail'!$4:$4, '2026 AOP'!F$11, 'Monthly Detail'!22:22)</f>
        <v/>
      </c>
      <c r="G16" s="448">
        <f>SUMIF('Monthly Detail'!$4:$4, '2026 AOP'!G$11, 'Monthly Detail'!22:22)</f>
        <v/>
      </c>
      <c r="H16" s="448">
        <f>SUMIF('Monthly Detail'!$4:$4, '2026 AOP'!H$11, 'Monthly Detail'!22:22)</f>
        <v/>
      </c>
      <c r="I16" s="448">
        <f>SUMIF('Monthly Detail'!$4:$4, '2026 AOP'!I$11, 'Monthly Detail'!22:22)</f>
        <v/>
      </c>
      <c r="J16" s="448">
        <f>SUMIF('Monthly Detail'!$4:$4, '2026 AOP'!J$11, 'Monthly Detail'!22:22)</f>
        <v/>
      </c>
      <c r="K16" s="448">
        <f>SUMIF('Monthly Detail'!$4:$4, '2026 AOP'!K$11, 'Monthly Detail'!22:22)</f>
        <v/>
      </c>
      <c r="L16" s="448">
        <f>SUMIF('Monthly Detail'!$4:$4, '2026 AOP'!L$11, 'Monthly Detail'!22:22)</f>
        <v/>
      </c>
      <c r="M16" s="448">
        <f>SUMIF('Monthly Detail'!$4:$4, '2026 AOP'!M$11, 'Monthly Detail'!22:22)</f>
        <v/>
      </c>
      <c r="N16" s="449">
        <f>SUMIF('Monthly Detail'!$4:$4, '2026 AOP'!N$11, 'Monthly Detail'!22:22)</f>
        <v/>
      </c>
      <c r="O16" s="75" t="n"/>
      <c r="P16" s="244" t="n"/>
    </row>
    <row r="17" ht="7.2" customHeight="1">
      <c r="B17" s="238" t="n"/>
      <c r="C17" s="76" t="n"/>
      <c r="D17" s="76" t="n"/>
      <c r="E17" s="76" t="n"/>
      <c r="F17" s="76" t="n"/>
      <c r="G17" s="76" t="n"/>
      <c r="H17" s="76" t="n"/>
      <c r="I17" s="76" t="n"/>
      <c r="J17" s="76" t="n"/>
      <c r="K17" s="76" t="n"/>
      <c r="L17" s="76" t="n"/>
      <c r="M17" s="76" t="n"/>
      <c r="N17" s="76" t="n"/>
      <c r="P17" s="244" t="n"/>
    </row>
    <row r="18">
      <c r="B18" s="238" t="inlineStr">
        <is>
          <t>Subcontractor Expenses</t>
        </is>
      </c>
      <c r="C18" s="76">
        <f>SUMIF('Monthly Detail'!$4:$4, '2026 AOP'!C$11, 'Monthly Detail'!65:65)</f>
        <v/>
      </c>
      <c r="D18" s="76">
        <f>SUMIF('Monthly Detail'!$4:$4, '2026 AOP'!D$11, 'Monthly Detail'!65:65)</f>
        <v/>
      </c>
      <c r="E18" s="76">
        <f>SUMIF('Monthly Detail'!$4:$4, '2026 AOP'!E$11, 'Monthly Detail'!65:65)</f>
        <v/>
      </c>
      <c r="F18" s="76">
        <f>SUMIF('Monthly Detail'!$4:$4, '2026 AOP'!F$11, 'Monthly Detail'!65:65)</f>
        <v/>
      </c>
      <c r="G18" s="76">
        <f>SUMIF('Monthly Detail'!$4:$4, '2026 AOP'!G$11, 'Monthly Detail'!65:65)</f>
        <v/>
      </c>
      <c r="H18" s="76">
        <f>SUMIF('Monthly Detail'!$4:$4, '2026 AOP'!H$11, 'Monthly Detail'!65:65)</f>
        <v/>
      </c>
      <c r="I18" s="76">
        <f>SUMIF('Monthly Detail'!$4:$4, '2026 AOP'!I$11, 'Monthly Detail'!65:65)</f>
        <v/>
      </c>
      <c r="J18" s="76">
        <f>SUMIF('Monthly Detail'!$4:$4, '2026 AOP'!J$11, 'Monthly Detail'!65:65)</f>
        <v/>
      </c>
      <c r="K18" s="76">
        <f>SUMIF('Monthly Detail'!$4:$4, '2026 AOP'!K$11, 'Monthly Detail'!65:65)</f>
        <v/>
      </c>
      <c r="L18" s="76">
        <f>SUMIF('Monthly Detail'!$4:$4, '2026 AOP'!L$11, 'Monthly Detail'!65:65)</f>
        <v/>
      </c>
      <c r="M18" s="76">
        <f>SUMIF('Monthly Detail'!$4:$4, '2026 AOP'!M$11, 'Monthly Detail'!65:65)</f>
        <v/>
      </c>
      <c r="N18" s="76">
        <f>SUMIF('Monthly Detail'!$4:$4, '2026 AOP'!N$11, 'Monthly Detail'!65:65)</f>
        <v/>
      </c>
      <c r="P18" s="240">
        <f>SUM(C18:O18)</f>
        <v/>
      </c>
    </row>
    <row r="19" ht="15.6" customHeight="1">
      <c r="B19" s="245" t="inlineStr">
        <is>
          <t>Gross Margin</t>
        </is>
      </c>
      <c r="C19" s="88">
        <f>C14-C18</f>
        <v/>
      </c>
      <c r="D19" s="88">
        <f>D14-D18</f>
        <v/>
      </c>
      <c r="E19" s="88">
        <f>E14-E18</f>
        <v/>
      </c>
      <c r="F19" s="88">
        <f>F14-F18</f>
        <v/>
      </c>
      <c r="G19" s="88">
        <f>G14-G18</f>
        <v/>
      </c>
      <c r="H19" s="88">
        <f>H14-H18</f>
        <v/>
      </c>
      <c r="I19" s="88">
        <f>I14-I18</f>
        <v/>
      </c>
      <c r="J19" s="88">
        <f>J14-J18</f>
        <v/>
      </c>
      <c r="K19" s="88">
        <f>K14-K18</f>
        <v/>
      </c>
      <c r="L19" s="88">
        <f>L14-L18</f>
        <v/>
      </c>
      <c r="M19" s="88">
        <f>M14-M18</f>
        <v/>
      </c>
      <c r="N19" s="247">
        <f>N14-N18</f>
        <v/>
      </c>
      <c r="O19" s="246" t="n"/>
      <c r="P19" s="454">
        <f>P14-P18</f>
        <v/>
      </c>
    </row>
    <row r="20">
      <c r="B20" s="451" t="inlineStr">
        <is>
          <t>GM %</t>
        </is>
      </c>
      <c r="C20" s="776">
        <f>C19/C14</f>
        <v/>
      </c>
      <c r="D20" s="776">
        <f>D19/D14</f>
        <v/>
      </c>
      <c r="E20" s="776">
        <f>E19/E14</f>
        <v/>
      </c>
      <c r="F20" s="776">
        <f>F19/F14</f>
        <v/>
      </c>
      <c r="G20" s="776">
        <f>G19/G14</f>
        <v/>
      </c>
      <c r="H20" s="776">
        <f>H19/H14</f>
        <v/>
      </c>
      <c r="I20" s="776">
        <f>I19/I14</f>
        <v/>
      </c>
      <c r="J20" s="776">
        <f>J19/J14</f>
        <v/>
      </c>
      <c r="K20" s="776">
        <f>K19/K14</f>
        <v/>
      </c>
      <c r="L20" s="776">
        <f>L19/L14</f>
        <v/>
      </c>
      <c r="M20" s="776">
        <f>M19/M14</f>
        <v/>
      </c>
      <c r="N20" s="777">
        <f>N19/N14</f>
        <v/>
      </c>
      <c r="O20" s="7" t="n"/>
      <c r="P20" s="778">
        <f>P19/P14</f>
        <v/>
      </c>
    </row>
    <row r="21" ht="6.45" customHeight="1">
      <c r="B21" s="238" t="n"/>
      <c r="P21" s="184" t="n"/>
    </row>
    <row r="22">
      <c r="B22" s="238" t="inlineStr">
        <is>
          <t>Sales &amp; Marketing Expenses</t>
        </is>
      </c>
      <c r="C22" s="73">
        <f>SUMIF('Monthly Detail'!$4:$4, '2026 AOP'!C$11, 'Monthly Detail'!$72:$72)</f>
        <v/>
      </c>
      <c r="D22" s="73">
        <f>SUMIF('Monthly Detail'!$4:$4, '2026 AOP'!D$11, 'Monthly Detail'!$72:$72)</f>
        <v/>
      </c>
      <c r="E22" s="73">
        <f>SUMIF('Monthly Detail'!$4:$4, '2026 AOP'!E$11, 'Monthly Detail'!$72:$72)</f>
        <v/>
      </c>
      <c r="F22" s="73">
        <f>SUMIF('Monthly Detail'!$4:$4, '2026 AOP'!F$11, 'Monthly Detail'!$72:$72)</f>
        <v/>
      </c>
      <c r="G22" s="73">
        <f>SUMIF('Monthly Detail'!$4:$4, '2026 AOP'!G$11, 'Monthly Detail'!$72:$72)</f>
        <v/>
      </c>
      <c r="H22" s="73">
        <f>SUMIF('Monthly Detail'!$4:$4, '2026 AOP'!H$11, 'Monthly Detail'!$72:$72)</f>
        <v/>
      </c>
      <c r="I22" s="73">
        <f>SUMIF('Monthly Detail'!$4:$4, '2026 AOP'!I$11, 'Monthly Detail'!$72:$72)</f>
        <v/>
      </c>
      <c r="J22" s="73">
        <f>SUMIF('Monthly Detail'!$4:$4, '2026 AOP'!J$11, 'Monthly Detail'!$72:$72)</f>
        <v/>
      </c>
      <c r="K22" s="73">
        <f>SUMIF('Monthly Detail'!$4:$4, '2026 AOP'!K$11, 'Monthly Detail'!$72:$72)</f>
        <v/>
      </c>
      <c r="L22" s="73">
        <f>SUMIF('Monthly Detail'!$4:$4, '2026 AOP'!L$11, 'Monthly Detail'!$72:$72)</f>
        <v/>
      </c>
      <c r="M22" s="73">
        <f>SUMIF('Monthly Detail'!$4:$4, '2026 AOP'!M$11, 'Monthly Detail'!$72:$72)</f>
        <v/>
      </c>
      <c r="N22" s="73">
        <f>SUMIF('Monthly Detail'!$4:$4, '2026 AOP'!N$11, 'Monthly Detail'!$72:$72)</f>
        <v/>
      </c>
      <c r="P22" s="240">
        <f>SUM(C22:O22)</f>
        <v/>
      </c>
      <c r="T22" s="1" t="n"/>
    </row>
    <row r="23">
      <c r="B23" s="238" t="inlineStr">
        <is>
          <t>General &amp; Admintrative Expenses</t>
        </is>
      </c>
      <c r="C23" s="73">
        <f>SUMIF('Monthly Detail'!$4:$4, '2026 AOP'!C$11, 'Monthly Detail'!$95:$95)</f>
        <v/>
      </c>
      <c r="D23" s="73">
        <f>SUMIF('Monthly Detail'!$4:$4, '2026 AOP'!D$11, 'Monthly Detail'!$95:$95)</f>
        <v/>
      </c>
      <c r="E23" s="73">
        <f>SUMIF('Monthly Detail'!$4:$4, '2026 AOP'!E$11, 'Monthly Detail'!$95:$95)</f>
        <v/>
      </c>
      <c r="F23" s="73">
        <f>SUMIF('Monthly Detail'!$4:$4, '2026 AOP'!F$11, 'Monthly Detail'!$95:$95)</f>
        <v/>
      </c>
      <c r="G23" s="73">
        <f>SUMIF('Monthly Detail'!$4:$4, '2026 AOP'!G$11, 'Monthly Detail'!$95:$95)</f>
        <v/>
      </c>
      <c r="H23" s="73">
        <f>SUMIF('Monthly Detail'!$4:$4, '2026 AOP'!H$11, 'Monthly Detail'!$95:$95)</f>
        <v/>
      </c>
      <c r="I23" s="73">
        <f>SUMIF('Monthly Detail'!$4:$4, '2026 AOP'!I$11, 'Monthly Detail'!$95:$95)</f>
        <v/>
      </c>
      <c r="J23" s="73">
        <f>SUMIF('Monthly Detail'!$4:$4, '2026 AOP'!J$11, 'Monthly Detail'!$95:$95)</f>
        <v/>
      </c>
      <c r="K23" s="73">
        <f>SUMIF('Monthly Detail'!$4:$4, '2026 AOP'!K$11, 'Monthly Detail'!$95:$95)</f>
        <v/>
      </c>
      <c r="L23" s="73">
        <f>SUMIF('Monthly Detail'!$4:$4, '2026 AOP'!L$11, 'Monthly Detail'!$95:$95)</f>
        <v/>
      </c>
      <c r="M23" s="73">
        <f>SUMIF('Monthly Detail'!$4:$4, '2026 AOP'!M$11, 'Monthly Detail'!$95:$95)</f>
        <v/>
      </c>
      <c r="N23" s="73">
        <f>SUMIF('Monthly Detail'!$4:$4, '2026 AOP'!N$11, 'Monthly Detail'!$95:$95)</f>
        <v/>
      </c>
      <c r="P23" s="240">
        <f>SUM(C23:O23)</f>
        <v/>
      </c>
    </row>
    <row r="24">
      <c r="B24" s="456" t="inlineStr">
        <is>
          <t>Operating Expenses</t>
        </is>
      </c>
      <c r="C24" s="457">
        <f>SUM(C23:C23)</f>
        <v/>
      </c>
      <c r="D24" s="457">
        <f>SUM(D22:D23)</f>
        <v/>
      </c>
      <c r="E24" s="457">
        <f>SUM(E22:E23)</f>
        <v/>
      </c>
      <c r="F24" s="457">
        <f>SUM(F22:F23)</f>
        <v/>
      </c>
      <c r="G24" s="457">
        <f>SUM(G22:G23)</f>
        <v/>
      </c>
      <c r="H24" s="457">
        <f>SUM(H22:H23)</f>
        <v/>
      </c>
      <c r="I24" s="457">
        <f>SUM(I22:I23)</f>
        <v/>
      </c>
      <c r="J24" s="457">
        <f>SUM(J22:J23)</f>
        <v/>
      </c>
      <c r="K24" s="457">
        <f>SUM(K22:K23)</f>
        <v/>
      </c>
      <c r="L24" s="457">
        <f>SUM(L22:L23)</f>
        <v/>
      </c>
      <c r="M24" s="457">
        <f>SUM(M22:M23)</f>
        <v/>
      </c>
      <c r="N24" s="458">
        <f>SUM(N22:N23)</f>
        <v/>
      </c>
      <c r="O24" s="433" t="n"/>
      <c r="P24" s="459">
        <f>SUM(P22:P23)</f>
        <v/>
      </c>
    </row>
    <row r="25" ht="4.95" customHeight="1">
      <c r="B25" s="238" t="n"/>
      <c r="P25" s="184" t="n"/>
    </row>
    <row r="26" ht="15.6" customHeight="1">
      <c r="B26" s="245" t="inlineStr">
        <is>
          <t>Net Operating Income (EBITDA)</t>
        </is>
      </c>
      <c r="C26" s="88">
        <f>C19-C24</f>
        <v/>
      </c>
      <c r="D26" s="88">
        <f>D19-D24</f>
        <v/>
      </c>
      <c r="E26" s="88">
        <f>E19-E24</f>
        <v/>
      </c>
      <c r="F26" s="88">
        <f>F19-F24</f>
        <v/>
      </c>
      <c r="G26" s="88">
        <f>G19-G24</f>
        <v/>
      </c>
      <c r="H26" s="88">
        <f>H19-H24</f>
        <v/>
      </c>
      <c r="I26" s="88">
        <f>I19-I24</f>
        <v/>
      </c>
      <c r="J26" s="88">
        <f>J19-J24</f>
        <v/>
      </c>
      <c r="K26" s="88">
        <f>K19-K24</f>
        <v/>
      </c>
      <c r="L26" s="88">
        <f>L19-L24</f>
        <v/>
      </c>
      <c r="M26" s="88">
        <f>M19-M24</f>
        <v/>
      </c>
      <c r="N26" s="247">
        <f>N19-N24</f>
        <v/>
      </c>
      <c r="O26" s="246" t="n"/>
      <c r="P26" s="454">
        <f>P19-P24</f>
        <v/>
      </c>
    </row>
    <row r="27">
      <c r="B27" s="451" t="inlineStr">
        <is>
          <t>EBITDA %</t>
        </is>
      </c>
      <c r="C27" s="776">
        <f>C26/C14</f>
        <v/>
      </c>
      <c r="D27" s="776">
        <f>D26/D14</f>
        <v/>
      </c>
      <c r="E27" s="776">
        <f>E26/E14</f>
        <v/>
      </c>
      <c r="F27" s="776">
        <f>F26/F14</f>
        <v/>
      </c>
      <c r="G27" s="776">
        <f>G26/G14</f>
        <v/>
      </c>
      <c r="H27" s="776">
        <f>H26/H14</f>
        <v/>
      </c>
      <c r="I27" s="776">
        <f>I26/I14</f>
        <v/>
      </c>
      <c r="J27" s="776">
        <f>J26/J14</f>
        <v/>
      </c>
      <c r="K27" s="776">
        <f>K26/K14</f>
        <v/>
      </c>
      <c r="L27" s="776">
        <f>L26/L14</f>
        <v/>
      </c>
      <c r="M27" s="776">
        <f>M26/M14</f>
        <v/>
      </c>
      <c r="N27" s="777">
        <f>N26/N14</f>
        <v/>
      </c>
      <c r="O27" s="7" t="n"/>
      <c r="P27" s="778">
        <f>P26/P14</f>
        <v/>
      </c>
    </row>
    <row r="28" ht="7.95" customHeight="1">
      <c r="B28" s="253" t="n"/>
      <c r="C28" s="770" t="n"/>
      <c r="D28" s="770" t="n"/>
      <c r="E28" s="770" t="n"/>
      <c r="F28" s="770" t="n"/>
      <c r="G28" s="770" t="n"/>
      <c r="H28" s="770" t="n"/>
      <c r="I28" s="770" t="n"/>
      <c r="J28" s="770" t="n"/>
      <c r="K28" s="770" t="n"/>
      <c r="L28" s="770" t="n"/>
      <c r="M28" s="770" t="n"/>
      <c r="N28" s="770" t="n"/>
      <c r="P28" s="779" t="n"/>
    </row>
    <row r="29">
      <c r="B29" s="238" t="inlineStr">
        <is>
          <t>Other Income / (Expense)</t>
        </is>
      </c>
      <c r="C29" s="132">
        <f>SUMIF('Monthly Detail'!$4:$4, '2026 AOP'!C$11, 'Monthly Detail'!109:109)</f>
        <v/>
      </c>
      <c r="D29" s="132">
        <f>SUMIF('Monthly Detail'!$4:$4, '2026 AOP'!D$11, 'Monthly Detail'!109:109)</f>
        <v/>
      </c>
      <c r="E29" s="132">
        <f>SUMIF('Monthly Detail'!$4:$4, '2026 AOP'!E$11, 'Monthly Detail'!109:109)</f>
        <v/>
      </c>
      <c r="F29" s="132">
        <f>SUMIF('Monthly Detail'!$4:$4, '2026 AOP'!F$11, 'Monthly Detail'!109:109)</f>
        <v/>
      </c>
      <c r="G29" s="132">
        <f>SUMIF('Monthly Detail'!$4:$4, '2026 AOP'!G$11, 'Monthly Detail'!109:109)</f>
        <v/>
      </c>
      <c r="H29" s="132">
        <f>SUMIF('Monthly Detail'!$4:$4, '2026 AOP'!H$11, 'Monthly Detail'!109:109)</f>
        <v/>
      </c>
      <c r="I29" s="132">
        <f>SUMIF('Monthly Detail'!$4:$4, '2026 AOP'!I$11, 'Monthly Detail'!109:109)</f>
        <v/>
      </c>
      <c r="J29" s="132">
        <f>SUMIF('Monthly Detail'!$4:$4, '2026 AOP'!J$11, 'Monthly Detail'!109:109)</f>
        <v/>
      </c>
      <c r="K29" s="132">
        <f>SUMIF('Monthly Detail'!$4:$4, '2026 AOP'!K$11, 'Monthly Detail'!109:109)</f>
        <v/>
      </c>
      <c r="L29" s="132">
        <f>SUMIF('Monthly Detail'!$4:$4, '2026 AOP'!L$11, 'Monthly Detail'!109:109)</f>
        <v/>
      </c>
      <c r="M29" s="132">
        <f>SUMIF('Monthly Detail'!$4:$4, '2026 AOP'!M$11, 'Monthly Detail'!109:109)</f>
        <v/>
      </c>
      <c r="N29" s="132">
        <f>SUMIF('Monthly Detail'!$4:$4, '2026 AOP'!N$11, 'Monthly Detail'!109:109)</f>
        <v/>
      </c>
      <c r="O29" s="132" t="n"/>
      <c r="P29" s="708">
        <f>SUM(C29:O29)</f>
        <v/>
      </c>
    </row>
    <row r="30" ht="15.6" customHeight="1">
      <c r="B30" s="245" t="inlineStr">
        <is>
          <t>Net Income</t>
        </is>
      </c>
      <c r="C30" s="88">
        <f>C26+SUM(C29:C29)</f>
        <v/>
      </c>
      <c r="D30" s="88">
        <f>D26+SUM(D29:D29)</f>
        <v/>
      </c>
      <c r="E30" s="88">
        <f>E26+SUM(E29:E29)</f>
        <v/>
      </c>
      <c r="F30" s="88">
        <f>F26+SUM(F29:F29)</f>
        <v/>
      </c>
      <c r="G30" s="88">
        <f>G26+SUM(G29:G29)</f>
        <v/>
      </c>
      <c r="H30" s="88">
        <f>H26+SUM(H29:H29)</f>
        <v/>
      </c>
      <c r="I30" s="88">
        <f>I26+SUM(I29:I29)</f>
        <v/>
      </c>
      <c r="J30" s="88">
        <f>J26+SUM(J29:J29)</f>
        <v/>
      </c>
      <c r="K30" s="88">
        <f>K26+SUM(K29:K29)</f>
        <v/>
      </c>
      <c r="L30" s="88">
        <f>L26+SUM(L29:L29)</f>
        <v/>
      </c>
      <c r="M30" s="88">
        <f>M26+SUM(M29:M29)</f>
        <v/>
      </c>
      <c r="N30" s="247">
        <f>N26+SUM(N29:N29)</f>
        <v/>
      </c>
      <c r="O30" s="246" t="n"/>
      <c r="P30" s="454">
        <f>P26+SUM(P29:P29)</f>
        <v/>
      </c>
    </row>
    <row r="31">
      <c r="B31" s="248" t="inlineStr">
        <is>
          <t>NI %</t>
        </is>
      </c>
      <c r="C31" s="767">
        <f>C30/C14</f>
        <v/>
      </c>
      <c r="D31" s="767">
        <f>D30/D14</f>
        <v/>
      </c>
      <c r="E31" s="767">
        <f>E30/E14</f>
        <v/>
      </c>
      <c r="F31" s="767">
        <f>F30/F14</f>
        <v/>
      </c>
      <c r="G31" s="767">
        <f>G30/G14</f>
        <v/>
      </c>
      <c r="H31" s="767">
        <f>H30/H14</f>
        <v/>
      </c>
      <c r="I31" s="767">
        <f>I30/I14</f>
        <v/>
      </c>
      <c r="J31" s="767">
        <f>J30/J14</f>
        <v/>
      </c>
      <c r="K31" s="767">
        <f>K30/K14</f>
        <v/>
      </c>
      <c r="L31" s="767">
        <f>L30/L14</f>
        <v/>
      </c>
      <c r="M31" s="767">
        <f>M30/M14</f>
        <v/>
      </c>
      <c r="N31" s="780">
        <f>N30/N14</f>
        <v/>
      </c>
      <c r="O31" s="7" t="n"/>
      <c r="P31" s="781">
        <f>P30/P14</f>
        <v/>
      </c>
    </row>
    <row r="32">
      <c r="B32" s="248" t="inlineStr">
        <is>
          <t>Cash Contributions</t>
        </is>
      </c>
      <c r="C32" s="739">
        <f>'Monthly Detail'!AN149-'Monthly Detail'!AM149</f>
        <v/>
      </c>
      <c r="D32" s="739">
        <f>'Monthly Detail'!AO149-'Monthly Detail'!AN149</f>
        <v/>
      </c>
      <c r="E32" s="739">
        <f>'Monthly Detail'!AP149-'Monthly Detail'!AO149</f>
        <v/>
      </c>
      <c r="F32" s="739">
        <f>'Monthly Detail'!AQ149-'Monthly Detail'!AP149</f>
        <v/>
      </c>
      <c r="G32" s="739">
        <f>'Monthly Detail'!AR149-'Monthly Detail'!AQ149</f>
        <v/>
      </c>
      <c r="H32" s="739">
        <f>'Monthly Detail'!AS149-'Monthly Detail'!AR149</f>
        <v/>
      </c>
      <c r="I32" s="739">
        <f>'Monthly Detail'!AT149-'Monthly Detail'!AS149</f>
        <v/>
      </c>
      <c r="J32" s="739">
        <f>'Monthly Detail'!AU149-'Monthly Detail'!AT149</f>
        <v/>
      </c>
      <c r="K32" s="739">
        <f>'Monthly Detail'!AV149-'Monthly Detail'!AU149</f>
        <v/>
      </c>
      <c r="L32" s="739">
        <f>'Monthly Detail'!AW149-'Monthly Detail'!AV149</f>
        <v/>
      </c>
      <c r="M32" s="739">
        <f>'Monthly Detail'!AX149-'Monthly Detail'!AW149</f>
        <v/>
      </c>
      <c r="N32" s="278">
        <f>'Monthly Detail'!AY149-'Monthly Detail'!AX149</f>
        <v/>
      </c>
      <c r="O32" s="7" t="n"/>
      <c r="P32" s="463">
        <f>+SUM(C32:N32)</f>
        <v/>
      </c>
    </row>
    <row r="33">
      <c r="B33" s="248" t="inlineStr">
        <is>
          <t>Owner Cash Distributions/Taxes</t>
        </is>
      </c>
      <c r="C33" s="739">
        <f>+SUM('Monthly Detail'!AN150,'Monthly Detail'!AN152:AN153)-SUM('Monthly Detail'!AM150,'Monthly Detail'!AM152:AM153)</f>
        <v/>
      </c>
      <c r="D33" s="739">
        <f>+SUM('Monthly Detail'!AO150,'Monthly Detail'!AO152:AO153)-SUM('Monthly Detail'!AN150,'Monthly Detail'!AN152:AN153)</f>
        <v/>
      </c>
      <c r="E33" s="739">
        <f>+SUM('Monthly Detail'!AP150,'Monthly Detail'!AP152:AP153)-SUM('Monthly Detail'!AO150,'Monthly Detail'!AO152:AO153)</f>
        <v/>
      </c>
      <c r="F33" s="739">
        <f>+SUM('Monthly Detail'!AQ150,'Monthly Detail'!AQ152:AQ153)-SUM('Monthly Detail'!AP150,'Monthly Detail'!AP152:AP153)</f>
        <v/>
      </c>
      <c r="G33" s="739">
        <f>+SUM('Monthly Detail'!AR150,'Monthly Detail'!AR152:AR153)-SUM('Monthly Detail'!AQ150,'Monthly Detail'!AQ152:AQ153)</f>
        <v/>
      </c>
      <c r="H33" s="739">
        <f>+SUM('Monthly Detail'!AS150,'Monthly Detail'!AS152:AS153)-SUM('Monthly Detail'!AR150,'Monthly Detail'!AR152:AR153)</f>
        <v/>
      </c>
      <c r="I33" s="739">
        <f>+SUM('Monthly Detail'!AT150,'Monthly Detail'!AT152:AT153)-SUM('Monthly Detail'!AS150,'Monthly Detail'!AS152:AS153)</f>
        <v/>
      </c>
      <c r="J33" s="739">
        <f>+SUM('Monthly Detail'!AU150,'Monthly Detail'!AU152:AU153)-SUM('Monthly Detail'!AT150,'Monthly Detail'!AT152:AT153)</f>
        <v/>
      </c>
      <c r="K33" s="739">
        <f>+SUM('Monthly Detail'!AV150,'Monthly Detail'!AV152:AV153)-SUM('Monthly Detail'!AU150,'Monthly Detail'!AU152:AU153)</f>
        <v/>
      </c>
      <c r="L33" s="739">
        <f>+SUM('Monthly Detail'!AW150,'Monthly Detail'!AW152:AW153)-SUM('Monthly Detail'!AV150,'Monthly Detail'!AV152:AV153)</f>
        <v/>
      </c>
      <c r="M33" s="739">
        <f>+SUM('Monthly Detail'!AX150,'Monthly Detail'!AX152:AX153)-SUM('Monthly Detail'!AW150,'Monthly Detail'!AW152:AW153)</f>
        <v/>
      </c>
      <c r="N33" s="278">
        <f>+SUM('Monthly Detail'!AY150,'Monthly Detail'!AY152:AY153)-SUM('Monthly Detail'!AX150,'Monthly Detail'!AX152:AX153)</f>
        <v/>
      </c>
      <c r="O33" s="7" t="n"/>
      <c r="P33" s="463">
        <f>+SUM(C33:N33)</f>
        <v/>
      </c>
    </row>
    <row r="34">
      <c r="B34" s="451" t="inlineStr">
        <is>
          <t>Accrued Tax Burden</t>
        </is>
      </c>
      <c r="C34" s="460">
        <f>+C30*0.3</f>
        <v/>
      </c>
      <c r="D34" s="460">
        <f>+C34+(D26*0.3)-SUMIF('Monthly Detail'!$4:$4, '2026 AOP'!D$11, 'Monthly Detail'!77:77)</f>
        <v/>
      </c>
      <c r="E34" s="460">
        <f>+D34+(E26*0.3)-SUMIF('Monthly Detail'!$4:$4, '2026 AOP'!E$11, 'Monthly Detail'!77:77)</f>
        <v/>
      </c>
      <c r="F34" s="460">
        <f>+E34+(F26*0.3)-SUMIF('Monthly Detail'!$4:$4, '2026 AOP'!F$11, 'Monthly Detail'!77:77)</f>
        <v/>
      </c>
      <c r="G34" s="460">
        <f>+F34+(G26*0.3)-SUMIF('Monthly Detail'!$4:$4, '2026 AOP'!G$11, 'Monthly Detail'!77:77)</f>
        <v/>
      </c>
      <c r="H34" s="460">
        <f>+G34+(H26*0.3)-SUMIF('Monthly Detail'!$4:$4, '2026 AOP'!H$11, 'Monthly Detail'!77:77)</f>
        <v/>
      </c>
      <c r="I34" s="460">
        <f>+H34+(I26*0.3)-SUMIF('Monthly Detail'!$4:$4, '2026 AOP'!I$11, 'Monthly Detail'!77:77)</f>
        <v/>
      </c>
      <c r="J34" s="460">
        <f>+I34+(J26*0.3)-SUMIF('Monthly Detail'!$4:$4, '2026 AOP'!J$11, 'Monthly Detail'!77:77)</f>
        <v/>
      </c>
      <c r="K34" s="460">
        <f>+J34+(K26*0.3)-SUMIF('Monthly Detail'!$4:$4, '2026 AOP'!K$11, 'Monthly Detail'!77:77)</f>
        <v/>
      </c>
      <c r="L34" s="460">
        <f>+K34+(L26*0.3)-SUMIF('Monthly Detail'!$4:$4, '2026 AOP'!L$11, 'Monthly Detail'!77:77)</f>
        <v/>
      </c>
      <c r="M34" s="460">
        <f>+L34+(M26*0.3)-SUMIF('Monthly Detail'!$4:$4, '2026 AOP'!M$11, 'Monthly Detail'!77:77)</f>
        <v/>
      </c>
      <c r="N34" s="461">
        <f>+M34+(N26*0.3)-SUMIF('Monthly Detail'!$4:$4, '2026 AOP'!N$11, 'Monthly Detail'!77:77)</f>
        <v/>
      </c>
      <c r="O34" s="375" t="n"/>
      <c r="P34" s="464">
        <f>+N34</f>
        <v/>
      </c>
    </row>
    <row r="35" ht="15" customHeight="1" thickBot="1">
      <c r="B35" s="238" t="n"/>
      <c r="H35" s="782" t="n"/>
      <c r="M35" s="109" t="n"/>
      <c r="P35" s="184" t="n"/>
    </row>
    <row r="36">
      <c r="B36" s="255" t="inlineStr">
        <is>
          <t>Operating Cash</t>
        </is>
      </c>
      <c r="C36" s="784">
        <f>SUMIF('Monthly Detail'!$4:$4, '2026 AOP'!C$11, 'Monthly Detail'!174:174)</f>
        <v/>
      </c>
      <c r="D36" s="783">
        <f>SUMIF('Monthly Detail'!$4:$4, '2026 AOP'!D$11, 'Monthly Detail'!174:174)</f>
        <v/>
      </c>
      <c r="E36" s="784">
        <f>SUMIF('Monthly Detail'!$4:$4, '2026 AOP'!E$11, 'Monthly Detail'!174:174)</f>
        <v/>
      </c>
      <c r="F36" s="784">
        <f>SUMIF('Monthly Detail'!$4:$4, '2026 AOP'!F$11, 'Monthly Detail'!174:174)</f>
        <v/>
      </c>
      <c r="G36" s="784">
        <f>SUMIF('Monthly Detail'!$4:$4, '2026 AOP'!G$11, 'Monthly Detail'!174:174)</f>
        <v/>
      </c>
      <c r="H36" s="784">
        <f>SUMIF('Monthly Detail'!$4:$4, '2026 AOP'!H$11, 'Monthly Detail'!174:174)</f>
        <v/>
      </c>
      <c r="I36" s="784">
        <f>SUMIF('Monthly Detail'!$4:$4, '2026 AOP'!I$11, 'Monthly Detail'!174:174)</f>
        <v/>
      </c>
      <c r="J36" s="784">
        <f>SUMIF('Monthly Detail'!$4:$4, '2026 AOP'!J$11, 'Monthly Detail'!174:174)</f>
        <v/>
      </c>
      <c r="K36" s="784">
        <f>SUMIF('Monthly Detail'!$4:$4, '2026 AOP'!K$11, 'Monthly Detail'!174:174)</f>
        <v/>
      </c>
      <c r="L36" s="784">
        <f>SUMIF('Monthly Detail'!$4:$4, '2026 AOP'!L$11, 'Monthly Detail'!174:174)</f>
        <v/>
      </c>
      <c r="M36" s="784">
        <f>SUMIF('Monthly Detail'!$4:$4, '2026 AOP'!M$11, 'Monthly Detail'!174:174)</f>
        <v/>
      </c>
      <c r="N36" s="784">
        <f>SUMIF('Monthly Detail'!$4:$4, '2026 AOP'!N$11, 'Monthly Detail'!174:174)</f>
        <v/>
      </c>
      <c r="P36" s="184" t="n"/>
    </row>
    <row r="37">
      <c r="B37" s="256" t="inlineStr">
        <is>
          <t>Cash Inflow (Outflow)</t>
        </is>
      </c>
      <c r="C37" s="787">
        <f>SUMIF('Monthly Detail'!$4:$4, '2026 AOP'!C$11, 'Monthly Detail'!171:171)</f>
        <v/>
      </c>
      <c r="D37" s="786">
        <f>SUMIF('Monthly Detail'!$4:$4, '2026 AOP'!D$11, 'Monthly Detail'!171:171)</f>
        <v/>
      </c>
      <c r="E37" s="787">
        <f>SUMIF('Monthly Detail'!$4:$4, '2026 AOP'!E$11, 'Monthly Detail'!171:171)</f>
        <v/>
      </c>
      <c r="F37" s="787">
        <f>SUMIF('Monthly Detail'!$4:$4, '2026 AOP'!F$11, 'Monthly Detail'!171:171)</f>
        <v/>
      </c>
      <c r="G37" s="787">
        <f>SUMIF('Monthly Detail'!$4:$4, '2026 AOP'!G$11, 'Monthly Detail'!171:171)</f>
        <v/>
      </c>
      <c r="H37" s="787">
        <f>SUMIF('Monthly Detail'!$4:$4, '2026 AOP'!H$11, 'Monthly Detail'!171:171)</f>
        <v/>
      </c>
      <c r="I37" s="787">
        <f>SUMIF('Monthly Detail'!$4:$4, '2026 AOP'!I$11, 'Monthly Detail'!171:171)</f>
        <v/>
      </c>
      <c r="J37" s="787">
        <f>SUMIF('Monthly Detail'!$4:$4, '2026 AOP'!J$11, 'Monthly Detail'!171:171)</f>
        <v/>
      </c>
      <c r="K37" s="787">
        <f>SUMIF('Monthly Detail'!$4:$4, '2026 AOP'!K$11, 'Monthly Detail'!171:171)</f>
        <v/>
      </c>
      <c r="L37" s="787">
        <f>SUMIF('Monthly Detail'!$4:$4, '2026 AOP'!L$11, 'Monthly Detail'!171:171)</f>
        <v/>
      </c>
      <c r="M37" s="787">
        <f>SUMIF('Monthly Detail'!$4:$4, '2026 AOP'!M$11, 'Monthly Detail'!171:171)</f>
        <v/>
      </c>
      <c r="N37" s="787">
        <f>SUMIF('Monthly Detail'!$4:$4, '2026 AOP'!N$11, 'Monthly Detail'!171:171)</f>
        <v/>
      </c>
      <c r="O37" s="259" t="n"/>
      <c r="P37" s="260" t="n"/>
    </row>
    <row r="38">
      <c r="E38" s="782" t="n"/>
    </row>
  </sheetData>
  <mergeCells count="1">
    <mergeCell ref="B8:P8"/>
  </mergeCells>
  <pageMargins left="0.25" right="0.25" top="0.75" bottom="0.75" header="0.3" footer="0.3"/>
  <pageSetup orientation="landscape" scale="57" horizontalDpi="1200" verticalDpi="120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theme="1"/>
    <outlinePr summaryBelow="1" summaryRight="1"/>
    <pageSetUpPr fitToPage="1"/>
  </sheetPr>
  <dimension ref="B1:T38"/>
  <sheetViews>
    <sheetView showGridLines="0" topLeftCell="B8" zoomScale="65" zoomScaleNormal="85" workbookViewId="0">
      <selection activeCell="I31" sqref="I31"/>
    </sheetView>
  </sheetViews>
  <sheetFormatPr baseColWidth="8" defaultColWidth="8.6640625" defaultRowHeight="14.4"/>
  <cols>
    <col width="34.6640625" bestFit="1" customWidth="1" min="2" max="2"/>
    <col width="13.6640625" bestFit="1" customWidth="1" min="3" max="3"/>
    <col width="13.44140625" bestFit="1" customWidth="1" min="4" max="5"/>
    <col width="14.109375" bestFit="1" customWidth="1" min="6" max="7"/>
    <col width="13.6640625" bestFit="1" customWidth="1" min="8" max="8"/>
    <col width="14.6640625" bestFit="1" customWidth="1" min="9" max="10"/>
    <col width="15.44140625" bestFit="1" customWidth="1" min="11" max="11"/>
    <col width="14.109375" bestFit="1" customWidth="1" min="12" max="13"/>
    <col width="14.6640625" bestFit="1" customWidth="1" min="14" max="14"/>
    <col width="0.6640625" customWidth="1" min="15" max="15"/>
    <col width="13.44140625" bestFit="1" customWidth="1" min="16" max="16"/>
  </cols>
  <sheetData>
    <row r="1">
      <c r="B1" t="inlineStr">
        <is>
          <t xml:space="preserve"> </t>
        </is>
      </c>
    </row>
    <row r="8" ht="15.6" customHeight="1">
      <c r="B8" s="743" t="inlineStr">
        <is>
          <t>2025 Overview (Rolling Forecast)</t>
        </is>
      </c>
    </row>
    <row r="9" ht="1.95" customHeight="1"/>
    <row r="10" ht="15.6" customHeight="1">
      <c r="B10" s="234" t="n"/>
      <c r="C10" s="235">
        <f>TEXT('Monthly Detail'!D4,"mmmm")</f>
        <v/>
      </c>
      <c r="D10" s="235">
        <f>TEXT('Monthly Detail'!E4,"mmmm")</f>
        <v/>
      </c>
      <c r="E10" s="235">
        <f>TEXT('Monthly Detail'!F4,"mmmm")</f>
        <v/>
      </c>
      <c r="F10" s="235">
        <f>TEXT('Monthly Detail'!G4,"mmmm")</f>
        <v/>
      </c>
      <c r="G10" s="235">
        <f>TEXT('Monthly Detail'!H4,"mmmm")</f>
        <v/>
      </c>
      <c r="H10" s="235">
        <f>TEXT('Monthly Detail'!I4,"mmmm")</f>
        <v/>
      </c>
      <c r="I10" s="235">
        <f>TEXT('Monthly Detail'!J4,"mmmm")</f>
        <v/>
      </c>
      <c r="J10" s="235">
        <f>TEXT('Monthly Detail'!K4,"mmmm")</f>
        <v/>
      </c>
      <c r="K10" s="235">
        <f>TEXT('Monthly Detail'!L4,"mmmm")</f>
        <v/>
      </c>
      <c r="L10" s="541">
        <f>TEXT('Monthly Detail'!M4,"mmmm")</f>
        <v/>
      </c>
      <c r="M10" s="235">
        <f>TEXT('Monthly Detail'!N4,"mmmm")</f>
        <v/>
      </c>
      <c r="N10" s="235">
        <f>TEXT('Monthly Detail'!O4,"mmmm")</f>
        <v/>
      </c>
      <c r="O10" s="236" t="n"/>
      <c r="P10" s="237" t="inlineStr">
        <is>
          <t>Total</t>
        </is>
      </c>
    </row>
    <row r="11">
      <c r="B11" s="238" t="n"/>
      <c r="C11" s="91" t="n">
        <v>45688</v>
      </c>
      <c r="D11" s="91" t="n">
        <v>45716</v>
      </c>
      <c r="E11" s="91" t="n">
        <v>45747</v>
      </c>
      <c r="F11" s="91" t="n">
        <v>45777</v>
      </c>
      <c r="G11" s="91" t="n">
        <v>45808</v>
      </c>
      <c r="H11" s="91" t="n">
        <v>45838</v>
      </c>
      <c r="I11" s="91" t="n">
        <v>45869</v>
      </c>
      <c r="J11" s="91" t="n">
        <v>45900</v>
      </c>
      <c r="K11" s="91" t="n">
        <v>45930</v>
      </c>
      <c r="L11" s="148" t="n">
        <v>45961</v>
      </c>
      <c r="M11" s="91" t="n">
        <v>45991</v>
      </c>
      <c r="N11" s="91" t="n">
        <v>46022</v>
      </c>
      <c r="O11" s="91" t="n">
        <v>45322</v>
      </c>
      <c r="P11" s="184" t="n"/>
    </row>
    <row r="12">
      <c r="B12" s="239" t="inlineStr">
        <is>
          <t>Service Income</t>
        </is>
      </c>
      <c r="C12" s="73">
        <f>SUMIF('Monthly Detail'!$4:$4, '2025 Overview (Rolling)'!C$11, 'Monthly Detail'!12:12)</f>
        <v/>
      </c>
      <c r="D12" s="73">
        <f>SUMIF('Monthly Detail'!$4:$4, '2025 Overview (Rolling)'!D$11, 'Monthly Detail'!12:12)</f>
        <v/>
      </c>
      <c r="E12" s="73">
        <f>SUMIF('Monthly Detail'!$4:$4, '2025 Overview (Rolling)'!E$11, 'Monthly Detail'!12:12)</f>
        <v/>
      </c>
      <c r="F12" s="73">
        <f>SUMIF('Monthly Detail'!$4:$4, '2025 Overview (Rolling)'!F$11, 'Monthly Detail'!12:12)</f>
        <v/>
      </c>
      <c r="G12" s="73">
        <f>SUMIF('Monthly Detail'!$4:$4, '2025 Overview (Rolling)'!G$11, 'Monthly Detail'!12:12)</f>
        <v/>
      </c>
      <c r="H12" s="73">
        <f>SUMIF('Monthly Detail'!$4:$4, '2025 Overview (Rolling)'!H$11, 'Monthly Detail'!12:12)</f>
        <v/>
      </c>
      <c r="I12" s="73">
        <f>SUMIF('Monthly Detail'!$4:$4, '2025 Overview (Rolling)'!I$11, 'Monthly Detail'!12:12)</f>
        <v/>
      </c>
      <c r="J12" s="73">
        <f>SUMIF('Monthly Detail'!$4:$4, '2025 Overview (Rolling)'!J$11, 'Monthly Detail'!12:12)</f>
        <v/>
      </c>
      <c r="K12" s="73">
        <f>SUMIF('Monthly Detail'!$4:$4, '2025 Overview (Rolling)'!K$11, 'Monthly Detail'!12:12)</f>
        <v/>
      </c>
      <c r="L12" s="149">
        <f>SUMIF('Monthly Detail'!$4:$4, '2025 Overview (Rolling)'!L$11, 'Monthly Detail'!12:12)</f>
        <v/>
      </c>
      <c r="M12" s="73">
        <f>SUMIF('Monthly Detail'!$4:$4, '2025 Overview (Rolling)'!M$11, 'Monthly Detail'!12:12)</f>
        <v/>
      </c>
      <c r="N12" s="73">
        <f>SUMIF('Monthly Detail'!$4:$4, '2025 Overview (Rolling)'!N$11, 'Monthly Detail'!12:12)</f>
        <v/>
      </c>
      <c r="O12" s="73" t="n"/>
      <c r="P12" s="240">
        <f>SUM(C12:O12)</f>
        <v/>
      </c>
    </row>
    <row r="13">
      <c r="B13" s="239" t="inlineStr">
        <is>
          <t>Tips</t>
        </is>
      </c>
      <c r="C13" s="73">
        <f>SUMIF('Monthly Detail'!$4:$4, '2025 Overview (Rolling)'!C$11, 'Monthly Detail'!13:13)</f>
        <v/>
      </c>
      <c r="D13" s="73">
        <f>SUMIF('Monthly Detail'!$4:$4, '2025 Overview (Rolling)'!D$11, 'Monthly Detail'!13:13)</f>
        <v/>
      </c>
      <c r="E13" s="73">
        <f>SUMIF('Monthly Detail'!$4:$4, '2025 Overview (Rolling)'!E$11, 'Monthly Detail'!13:13)</f>
        <v/>
      </c>
      <c r="F13" s="73">
        <f>SUMIF('Monthly Detail'!$4:$4, '2025 Overview (Rolling)'!F$11, 'Monthly Detail'!13:13)</f>
        <v/>
      </c>
      <c r="G13" s="73">
        <f>SUMIF('Monthly Detail'!$4:$4, '2025 Overview (Rolling)'!G$11, 'Monthly Detail'!13:13)</f>
        <v/>
      </c>
      <c r="H13" s="73">
        <f>SUMIF('Monthly Detail'!$4:$4, '2025 Overview (Rolling)'!H$11, 'Monthly Detail'!13:13)</f>
        <v/>
      </c>
      <c r="I13" s="73">
        <f>SUMIF('Monthly Detail'!$4:$4, '2025 Overview (Rolling)'!I$11, 'Monthly Detail'!13:13)</f>
        <v/>
      </c>
      <c r="J13" s="73">
        <f>SUMIF('Monthly Detail'!$4:$4, '2025 Overview (Rolling)'!J$11, 'Monthly Detail'!13:13)</f>
        <v/>
      </c>
      <c r="K13" s="73">
        <f>SUMIF('Monthly Detail'!$4:$4, '2025 Overview (Rolling)'!K$11, 'Monthly Detail'!13:13)</f>
        <v/>
      </c>
      <c r="L13" s="149">
        <f>SUMIF('Monthly Detail'!$4:$4, '2025 Overview (Rolling)'!L$11, 'Monthly Detail'!13:13)</f>
        <v/>
      </c>
      <c r="M13" s="73">
        <f>SUMIF('Monthly Detail'!$4:$4, '2025 Overview (Rolling)'!M$11, 'Monthly Detail'!13:13)</f>
        <v/>
      </c>
      <c r="N13" s="73">
        <f>SUMIF('Monthly Detail'!$4:$4, '2025 Overview (Rolling)'!N$11, 'Monthly Detail'!13:13)</f>
        <v/>
      </c>
      <c r="O13" s="73" t="n"/>
      <c r="P13" s="240">
        <f>+SUM(C13:N13)</f>
        <v/>
      </c>
    </row>
    <row r="14">
      <c r="B14" s="241" t="inlineStr">
        <is>
          <t>Total Income</t>
        </is>
      </c>
      <c r="C14" s="74">
        <f>SUM(C12:C13)</f>
        <v/>
      </c>
      <c r="D14" s="74">
        <f>SUM(D12:D13)</f>
        <v/>
      </c>
      <c r="E14" s="74">
        <f>SUM(E12:E13)</f>
        <v/>
      </c>
      <c r="F14" s="74">
        <f>SUM(F12:F13)</f>
        <v/>
      </c>
      <c r="G14" s="74">
        <f>SUM(G12:G13)</f>
        <v/>
      </c>
      <c r="H14" s="74">
        <f>SUM(H12:H13)</f>
        <v/>
      </c>
      <c r="I14" s="74">
        <f>SUM(I12:I13)</f>
        <v/>
      </c>
      <c r="J14" s="74">
        <f>SUM(J12:J13)</f>
        <v/>
      </c>
      <c r="K14" s="74">
        <f>SUM(K12:K13)</f>
        <v/>
      </c>
      <c r="L14" s="150">
        <f>SUM(L12:L13)</f>
        <v/>
      </c>
      <c r="M14" s="74">
        <f>SUM(M12:M13)</f>
        <v/>
      </c>
      <c r="N14" s="242">
        <f>SUM(N12:N13)</f>
        <v/>
      </c>
      <c r="O14" s="75" t="n"/>
      <c r="P14" s="450">
        <f>SUM(P12:P13)</f>
        <v/>
      </c>
    </row>
    <row r="15">
      <c r="B15" s="243" t="inlineStr">
        <is>
          <t># of Students</t>
        </is>
      </c>
      <c r="C15" s="221">
        <f>SUMIF('Monthly Detail'!$4:$4, '2025 Overview (Rolling)'!C$11, 'Monthly Detail'!17:17)</f>
        <v/>
      </c>
      <c r="D15" s="221">
        <f>SUMIF('Monthly Detail'!$4:$4, '2025 Overview (Rolling)'!D$11, 'Monthly Detail'!17:17)</f>
        <v/>
      </c>
      <c r="E15" s="221">
        <f>SUMIF('Monthly Detail'!$4:$4, '2025 Overview (Rolling)'!E$11, 'Monthly Detail'!17:17)</f>
        <v/>
      </c>
      <c r="F15" s="221">
        <f>SUMIF('Monthly Detail'!$4:$4, '2025 Overview (Rolling)'!F$11, 'Monthly Detail'!17:17)</f>
        <v/>
      </c>
      <c r="G15" s="221">
        <f>SUMIF('Monthly Detail'!$4:$4, '2025 Overview (Rolling)'!G$11, 'Monthly Detail'!17:17)</f>
        <v/>
      </c>
      <c r="H15" s="221">
        <f>SUMIF('Monthly Detail'!$4:$4, '2025 Overview (Rolling)'!H$11, 'Monthly Detail'!17:17)</f>
        <v/>
      </c>
      <c r="I15" s="221">
        <f>SUMIF('Monthly Detail'!$4:$4, '2025 Overview (Rolling)'!I$11, 'Monthly Detail'!17:17)</f>
        <v/>
      </c>
      <c r="J15" s="221">
        <f>SUMIF('Monthly Detail'!$4:$4, '2025 Overview (Rolling)'!J$11, 'Monthly Detail'!17:17)</f>
        <v/>
      </c>
      <c r="K15" s="221">
        <f>SUMIF('Monthly Detail'!$4:$4, '2025 Overview (Rolling)'!K$11, 'Monthly Detail'!17:17)</f>
        <v/>
      </c>
      <c r="L15" s="542">
        <f>SUMIF('Monthly Detail'!$4:$4, '2025 Overview (Rolling)'!L$11, 'Monthly Detail'!17:17)</f>
        <v/>
      </c>
      <c r="M15" s="221">
        <f>SUMIF('Monthly Detail'!$4:$4, '2025 Overview (Rolling)'!M$11, 'Monthly Detail'!17:17)</f>
        <v/>
      </c>
      <c r="N15" s="321">
        <f>SUMIF('Monthly Detail'!$4:$4, '2025 Overview (Rolling)'!N$11, 'Monthly Detail'!17:17)</f>
        <v/>
      </c>
      <c r="O15" s="75" t="n"/>
      <c r="P15" s="244" t="n"/>
    </row>
    <row r="16">
      <c r="B16" s="447" t="inlineStr">
        <is>
          <t># of Sessions</t>
        </is>
      </c>
      <c r="C16" s="448">
        <f>SUMIF('Monthly Detail'!$4:$4, '2025 Overview (Rolling)'!C$11, 'Monthly Detail'!22:22)</f>
        <v/>
      </c>
      <c r="D16" s="448">
        <f>SUMIF('Monthly Detail'!$4:$4, '2025 Overview (Rolling)'!D$11, 'Monthly Detail'!22:22)</f>
        <v/>
      </c>
      <c r="E16" s="448">
        <f>SUMIF('Monthly Detail'!$4:$4, '2025 Overview (Rolling)'!E$11, 'Monthly Detail'!22:22)</f>
        <v/>
      </c>
      <c r="F16" s="448">
        <f>SUMIF('Monthly Detail'!$4:$4, '2025 Overview (Rolling)'!F$11, 'Monthly Detail'!22:22)</f>
        <v/>
      </c>
      <c r="G16" s="448">
        <f>SUMIF('Monthly Detail'!$4:$4, '2025 Overview (Rolling)'!G$11, 'Monthly Detail'!22:22)</f>
        <v/>
      </c>
      <c r="H16" s="448">
        <f>SUMIF('Monthly Detail'!$4:$4, '2025 Overview (Rolling)'!H$11, 'Monthly Detail'!22:22)</f>
        <v/>
      </c>
      <c r="I16" s="448">
        <f>SUMIF('Monthly Detail'!$4:$4, '2025 Overview (Rolling)'!I$11, 'Monthly Detail'!22:22)</f>
        <v/>
      </c>
      <c r="J16" s="448">
        <f>SUMIF('Monthly Detail'!$4:$4, '2025 Overview (Rolling)'!J$11, 'Monthly Detail'!22:22)</f>
        <v/>
      </c>
      <c r="K16" s="448">
        <f>SUMIF('Monthly Detail'!$4:$4, '2025 Overview (Rolling)'!K$11, 'Monthly Detail'!22:22)</f>
        <v/>
      </c>
      <c r="L16" s="543">
        <f>SUMIF('Monthly Detail'!$4:$4, '2025 Overview (Rolling)'!L$11, 'Monthly Detail'!22:22)</f>
        <v/>
      </c>
      <c r="M16" s="448">
        <f>SUMIF('Monthly Detail'!$4:$4, '2025 Overview (Rolling)'!M$11, 'Monthly Detail'!22:22)</f>
        <v/>
      </c>
      <c r="N16" s="449">
        <f>SUMIF('Monthly Detail'!$4:$4, '2025 Overview (Rolling)'!N$11, 'Monthly Detail'!22:22)</f>
        <v/>
      </c>
      <c r="O16" s="75" t="n"/>
      <c r="P16" s="244" t="n"/>
    </row>
    <row r="17" ht="7.2" customHeight="1">
      <c r="B17" s="238" t="n"/>
      <c r="C17" s="76" t="n"/>
      <c r="D17" s="76" t="n"/>
      <c r="E17" s="76" t="n"/>
      <c r="F17" s="76" t="n"/>
      <c r="G17" s="76" t="n"/>
      <c r="H17" s="76" t="n"/>
      <c r="I17" s="76" t="n"/>
      <c r="J17" s="76" t="n"/>
      <c r="K17" s="76" t="n"/>
      <c r="L17" s="151" t="n"/>
      <c r="M17" s="76" t="n"/>
      <c r="N17" s="76" t="n"/>
      <c r="P17" s="244" t="n"/>
    </row>
    <row r="18">
      <c r="B18" s="238" t="inlineStr">
        <is>
          <t>Subcontractor Expenses</t>
        </is>
      </c>
      <c r="C18" s="76">
        <f>SUMIF('Monthly Detail'!$4:$4, '2025 Overview (Rolling)'!C$11, 'Monthly Detail'!65:65)</f>
        <v/>
      </c>
      <c r="D18" s="76">
        <f>SUMIF('Monthly Detail'!$4:$4, '2025 Overview (Rolling)'!D$11, 'Monthly Detail'!65:65)</f>
        <v/>
      </c>
      <c r="E18" s="76">
        <f>SUMIF('Monthly Detail'!$4:$4, '2025 Overview (Rolling)'!E$11, 'Monthly Detail'!65:65)</f>
        <v/>
      </c>
      <c r="F18" s="76">
        <f>SUMIF('Monthly Detail'!$4:$4, '2025 Overview (Rolling)'!F$11, 'Monthly Detail'!65:65)</f>
        <v/>
      </c>
      <c r="G18" s="76">
        <f>SUMIF('Monthly Detail'!$4:$4, '2025 Overview (Rolling)'!G$11, 'Monthly Detail'!65:65)</f>
        <v/>
      </c>
      <c r="H18" s="76">
        <f>SUMIF('Monthly Detail'!$4:$4, '2025 Overview (Rolling)'!H$11, 'Monthly Detail'!65:65)</f>
        <v/>
      </c>
      <c r="I18" s="76">
        <f>SUMIF('Monthly Detail'!$4:$4, '2025 Overview (Rolling)'!I$11, 'Monthly Detail'!65:65)</f>
        <v/>
      </c>
      <c r="J18" s="76">
        <f>SUMIF('Monthly Detail'!$4:$4, '2025 Overview (Rolling)'!J$11, 'Monthly Detail'!65:65)</f>
        <v/>
      </c>
      <c r="K18" s="76">
        <f>SUMIF('Monthly Detail'!$4:$4, '2025 Overview (Rolling)'!K$11, 'Monthly Detail'!65:65)</f>
        <v/>
      </c>
      <c r="L18" s="151">
        <f>SUMIF('Monthly Detail'!$4:$4, '2025 Overview (Rolling)'!L$11, 'Monthly Detail'!65:65)</f>
        <v/>
      </c>
      <c r="M18" s="76">
        <f>SUMIF('Monthly Detail'!$4:$4, '2025 Overview (Rolling)'!M$11, 'Monthly Detail'!65:65)</f>
        <v/>
      </c>
      <c r="N18" s="76">
        <f>SUMIF('Monthly Detail'!$4:$4, '2025 Overview (Rolling)'!N$11, 'Monthly Detail'!65:65)</f>
        <v/>
      </c>
      <c r="P18" s="240">
        <f>SUM(C18:O18)</f>
        <v/>
      </c>
    </row>
    <row r="19" ht="15.6" customHeight="1">
      <c r="B19" s="245" t="inlineStr">
        <is>
          <t>Gross Margin</t>
        </is>
      </c>
      <c r="C19" s="88">
        <f>C14-C18</f>
        <v/>
      </c>
      <c r="D19" s="88">
        <f>D14-D18</f>
        <v/>
      </c>
      <c r="E19" s="88">
        <f>E14-E18</f>
        <v/>
      </c>
      <c r="F19" s="88">
        <f>F14-F18</f>
        <v/>
      </c>
      <c r="G19" s="88">
        <f>G14-G18</f>
        <v/>
      </c>
      <c r="H19" s="88">
        <f>H14-H18</f>
        <v/>
      </c>
      <c r="I19" s="88">
        <f>I14-I18</f>
        <v/>
      </c>
      <c r="J19" s="88">
        <f>J14-J18</f>
        <v/>
      </c>
      <c r="K19" s="88">
        <f>K14-K18</f>
        <v/>
      </c>
      <c r="L19" s="152">
        <f>L14-L18</f>
        <v/>
      </c>
      <c r="M19" s="88">
        <f>M14-M18</f>
        <v/>
      </c>
      <c r="N19" s="247">
        <f>N14-N18</f>
        <v/>
      </c>
      <c r="O19" s="246" t="n"/>
      <c r="P19" s="454">
        <f>P14-P18</f>
        <v/>
      </c>
    </row>
    <row r="20">
      <c r="B20" s="451" t="inlineStr">
        <is>
          <t>GM %</t>
        </is>
      </c>
      <c r="C20" s="776">
        <f>C19/C14</f>
        <v/>
      </c>
      <c r="D20" s="776">
        <f>D19/D14</f>
        <v/>
      </c>
      <c r="E20" s="776">
        <f>E19/E14</f>
        <v/>
      </c>
      <c r="F20" s="776">
        <f>F19/F14</f>
        <v/>
      </c>
      <c r="G20" s="776">
        <f>G19/G14</f>
        <v/>
      </c>
      <c r="H20" s="776">
        <f>H19/H14</f>
        <v/>
      </c>
      <c r="I20" s="776">
        <f>I19/I14</f>
        <v/>
      </c>
      <c r="J20" s="776">
        <f>J19/J14</f>
        <v/>
      </c>
      <c r="K20" s="776">
        <f>K19/K14</f>
        <v/>
      </c>
      <c r="L20" s="795">
        <f>L19/L14</f>
        <v/>
      </c>
      <c r="M20" s="776">
        <f>M19/M14</f>
        <v/>
      </c>
      <c r="N20" s="777">
        <f>N19/N14</f>
        <v/>
      </c>
      <c r="O20" s="7" t="n"/>
      <c r="P20" s="778">
        <f>P19/P14</f>
        <v/>
      </c>
    </row>
    <row r="21" ht="6.45" customHeight="1">
      <c r="B21" s="238" t="n"/>
      <c r="L21" s="116" t="n"/>
      <c r="P21" s="184" t="n"/>
    </row>
    <row r="22">
      <c r="B22" s="238" t="inlineStr">
        <is>
          <t>Sales &amp; Marketing Expenses</t>
        </is>
      </c>
      <c r="C22" s="73">
        <f>SUMIF('Monthly Detail'!$4:$4, '2025 Overview (Rolling)'!C$11, 'Monthly Detail'!$72:$72)</f>
        <v/>
      </c>
      <c r="D22" s="73">
        <f>SUMIF('Monthly Detail'!$4:$4, '2025 Overview (Rolling)'!D$11, 'Monthly Detail'!$72:$72)</f>
        <v/>
      </c>
      <c r="E22" s="73">
        <f>SUMIF('Monthly Detail'!$4:$4, '2025 Overview (Rolling)'!E$11, 'Monthly Detail'!$72:$72)</f>
        <v/>
      </c>
      <c r="F22" s="73">
        <f>SUMIF('Monthly Detail'!$4:$4, '2025 Overview (Rolling)'!F$11, 'Monthly Detail'!$72:$72)</f>
        <v/>
      </c>
      <c r="G22" s="73">
        <f>SUMIF('Monthly Detail'!$4:$4, '2025 Overview (Rolling)'!G$11, 'Monthly Detail'!$72:$72)</f>
        <v/>
      </c>
      <c r="H22" s="73">
        <f>SUMIF('Monthly Detail'!$4:$4, '2025 Overview (Rolling)'!H$11, 'Monthly Detail'!$72:$72)</f>
        <v/>
      </c>
      <c r="I22" s="73">
        <f>SUMIF('Monthly Detail'!$4:$4, '2025 Overview (Rolling)'!I$11, 'Monthly Detail'!$72:$72)</f>
        <v/>
      </c>
      <c r="J22" s="73">
        <f>SUMIF('Monthly Detail'!$4:$4, '2025 Overview (Rolling)'!J$11, 'Monthly Detail'!$72:$72)</f>
        <v/>
      </c>
      <c r="K22" s="73">
        <f>SUMIF('Monthly Detail'!$4:$4, '2025 Overview (Rolling)'!K$11, 'Monthly Detail'!$72:$72)</f>
        <v/>
      </c>
      <c r="L22" s="149">
        <f>SUMIF('Monthly Detail'!$4:$4, '2025 Overview (Rolling)'!L$11, 'Monthly Detail'!$72:$72)</f>
        <v/>
      </c>
      <c r="M22" s="73">
        <f>SUMIF('Monthly Detail'!$4:$4, '2025 Overview (Rolling)'!M$11, 'Monthly Detail'!$72:$72)</f>
        <v/>
      </c>
      <c r="N22" s="73">
        <f>SUMIF('Monthly Detail'!$4:$4, '2025 Overview (Rolling)'!N$11, 'Monthly Detail'!$72:$72)</f>
        <v/>
      </c>
      <c r="P22" s="240">
        <f>SUM(C22:O22)</f>
        <v/>
      </c>
      <c r="T22" s="1" t="n"/>
    </row>
    <row r="23">
      <c r="B23" s="238" t="inlineStr">
        <is>
          <t>General &amp; Admintrative Expenses</t>
        </is>
      </c>
      <c r="C23" s="73">
        <f>SUMIF('Monthly Detail'!$4:$4, '2025 Overview (Rolling)'!C$11, 'Monthly Detail'!$95:$95)</f>
        <v/>
      </c>
      <c r="D23" s="73">
        <f>SUMIF('Monthly Detail'!$4:$4, '2025 Overview (Rolling)'!D$11, 'Monthly Detail'!$95:$95)</f>
        <v/>
      </c>
      <c r="E23" s="73">
        <f>SUMIF('Monthly Detail'!$4:$4, '2025 Overview (Rolling)'!E$11, 'Monthly Detail'!$95:$95)</f>
        <v/>
      </c>
      <c r="F23" s="73">
        <f>SUMIF('Monthly Detail'!$4:$4, '2025 Overview (Rolling)'!F$11, 'Monthly Detail'!$95:$95)</f>
        <v/>
      </c>
      <c r="G23" s="73">
        <f>SUMIF('Monthly Detail'!$4:$4, '2025 Overview (Rolling)'!G$11, 'Monthly Detail'!$95:$95)</f>
        <v/>
      </c>
      <c r="H23" s="73">
        <f>SUMIF('Monthly Detail'!$4:$4, '2025 Overview (Rolling)'!H$11, 'Monthly Detail'!$95:$95)</f>
        <v/>
      </c>
      <c r="I23" s="73">
        <f>SUMIF('Monthly Detail'!$4:$4, '2025 Overview (Rolling)'!I$11, 'Monthly Detail'!$95:$95)</f>
        <v/>
      </c>
      <c r="J23" s="73">
        <f>SUMIF('Monthly Detail'!$4:$4, '2025 Overview (Rolling)'!J$11, 'Monthly Detail'!$95:$95)</f>
        <v/>
      </c>
      <c r="K23" s="73">
        <f>SUMIF('Monthly Detail'!$4:$4, '2025 Overview (Rolling)'!K$11, 'Monthly Detail'!$95:$95)</f>
        <v/>
      </c>
      <c r="L23" s="149">
        <f>SUMIF('Monthly Detail'!$4:$4, '2025 Overview (Rolling)'!L$11, 'Monthly Detail'!$95:$95)</f>
        <v/>
      </c>
      <c r="M23" s="73">
        <f>SUMIF('Monthly Detail'!$4:$4, '2025 Overview (Rolling)'!M$11, 'Monthly Detail'!$95:$95)</f>
        <v/>
      </c>
      <c r="N23" s="73">
        <f>SUMIF('Monthly Detail'!$4:$4, '2025 Overview (Rolling)'!N$11, 'Monthly Detail'!$95:$95)</f>
        <v/>
      </c>
      <c r="P23" s="240">
        <f>SUM(C23:O23)</f>
        <v/>
      </c>
    </row>
    <row r="24">
      <c r="B24" s="456" t="inlineStr">
        <is>
          <t>Operating Expenses</t>
        </is>
      </c>
      <c r="C24" s="457">
        <f>SUM(C23:C23)</f>
        <v/>
      </c>
      <c r="D24" s="457">
        <f>SUM(D22:D23)</f>
        <v/>
      </c>
      <c r="E24" s="457">
        <f>SUM(E22:E23)</f>
        <v/>
      </c>
      <c r="F24" s="457">
        <f>SUM(F22:F23)</f>
        <v/>
      </c>
      <c r="G24" s="457">
        <f>SUM(G22:G23)</f>
        <v/>
      </c>
      <c r="H24" s="457">
        <f>SUM(H22:H23)</f>
        <v/>
      </c>
      <c r="I24" s="457">
        <f>SUM(I22:I23)</f>
        <v/>
      </c>
      <c r="J24" s="457">
        <f>SUM(J22:J23)</f>
        <v/>
      </c>
      <c r="K24" s="457">
        <f>SUM(K22:K23)</f>
        <v/>
      </c>
      <c r="L24" s="545">
        <f>SUM(L22:L23)</f>
        <v/>
      </c>
      <c r="M24" s="457">
        <f>SUM(M22:M23)</f>
        <v/>
      </c>
      <c r="N24" s="458">
        <f>SUM(N22:N23)</f>
        <v/>
      </c>
      <c r="O24" s="433" t="n"/>
      <c r="P24" s="459">
        <f>SUM(P22:P23)</f>
        <v/>
      </c>
    </row>
    <row r="25" ht="4.95" customHeight="1">
      <c r="B25" s="238" t="n"/>
      <c r="L25" s="116" t="n"/>
      <c r="P25" s="184" t="n"/>
    </row>
    <row r="26" ht="15.6" customHeight="1">
      <c r="B26" s="245" t="inlineStr">
        <is>
          <t>Net Operating Income (EBITDA)</t>
        </is>
      </c>
      <c r="C26" s="88">
        <f>C19-C24</f>
        <v/>
      </c>
      <c r="D26" s="88">
        <f>D19-D24</f>
        <v/>
      </c>
      <c r="E26" s="88">
        <f>E19-E24</f>
        <v/>
      </c>
      <c r="F26" s="88">
        <f>F19-F24</f>
        <v/>
      </c>
      <c r="G26" s="88">
        <f>G19-G24</f>
        <v/>
      </c>
      <c r="H26" s="88">
        <f>H19-H24</f>
        <v/>
      </c>
      <c r="I26" s="88">
        <f>I19-I24</f>
        <v/>
      </c>
      <c r="J26" s="88">
        <f>J19-J24</f>
        <v/>
      </c>
      <c r="K26" s="88">
        <f>K19-K24</f>
        <v/>
      </c>
      <c r="L26" s="152">
        <f>L19-L24</f>
        <v/>
      </c>
      <c r="M26" s="88">
        <f>M19-M24</f>
        <v/>
      </c>
      <c r="N26" s="247">
        <f>N19-N24</f>
        <v/>
      </c>
      <c r="O26" s="246" t="n"/>
      <c r="P26" s="454">
        <f>P19-P24</f>
        <v/>
      </c>
    </row>
    <row r="27">
      <c r="B27" s="451" t="inlineStr">
        <is>
          <t>EBITDA %</t>
        </is>
      </c>
      <c r="C27" s="776">
        <f>C26/C14</f>
        <v/>
      </c>
      <c r="D27" s="776">
        <f>D26/D14</f>
        <v/>
      </c>
      <c r="E27" s="776">
        <f>E26/E14</f>
        <v/>
      </c>
      <c r="F27" s="776">
        <f>F26/F14</f>
        <v/>
      </c>
      <c r="G27" s="776">
        <f>G26/G14</f>
        <v/>
      </c>
      <c r="H27" s="776">
        <f>H26/H14</f>
        <v/>
      </c>
      <c r="I27" s="776">
        <f>I26/I14</f>
        <v/>
      </c>
      <c r="J27" s="776">
        <f>J26/J14</f>
        <v/>
      </c>
      <c r="K27" s="776">
        <f>K26/K14</f>
        <v/>
      </c>
      <c r="L27" s="795">
        <f>L26/L14</f>
        <v/>
      </c>
      <c r="M27" s="776">
        <f>M26/M14</f>
        <v/>
      </c>
      <c r="N27" s="777">
        <f>N26/N14</f>
        <v/>
      </c>
      <c r="O27" s="7" t="n"/>
      <c r="P27" s="778">
        <f>P26/P14</f>
        <v/>
      </c>
    </row>
    <row r="28" ht="7.95" customHeight="1">
      <c r="B28" s="253" t="n"/>
      <c r="C28" s="770" t="n"/>
      <c r="D28" s="770" t="n"/>
      <c r="E28" s="770" t="n"/>
      <c r="F28" s="770" t="n"/>
      <c r="G28" s="770" t="n"/>
      <c r="H28" s="770" t="n"/>
      <c r="I28" s="770" t="n"/>
      <c r="J28" s="770" t="n"/>
      <c r="K28" s="770" t="n"/>
      <c r="L28" s="796" t="n"/>
      <c r="M28" s="770" t="n"/>
      <c r="N28" s="770" t="n"/>
      <c r="P28" s="779" t="n"/>
    </row>
    <row r="29">
      <c r="B29" s="238" t="inlineStr">
        <is>
          <t>Other Income / (Expense)</t>
        </is>
      </c>
      <c r="C29" s="132">
        <f>SUMIF('Monthly Detail'!$4:$4, '2025 Overview (Rolling)'!C$11, 'Monthly Detail'!109:109)</f>
        <v/>
      </c>
      <c r="D29" s="132">
        <f>SUMIF('Monthly Detail'!$4:$4, '2025 Overview (Rolling)'!D$11, 'Monthly Detail'!109:109)</f>
        <v/>
      </c>
      <c r="E29" s="132">
        <f>SUMIF('Monthly Detail'!$4:$4, '2025 Overview (Rolling)'!E$11, 'Monthly Detail'!109:109)</f>
        <v/>
      </c>
      <c r="F29" s="132">
        <f>SUMIF('Monthly Detail'!$4:$4, '2025 Overview (Rolling)'!F$11, 'Monthly Detail'!109:109)</f>
        <v/>
      </c>
      <c r="G29" s="132">
        <f>SUMIF('Monthly Detail'!$4:$4, '2025 Overview (Rolling)'!G$11, 'Monthly Detail'!109:109)</f>
        <v/>
      </c>
      <c r="H29" s="132">
        <f>SUMIF('Monthly Detail'!$4:$4, '2025 Overview (Rolling)'!H$11, 'Monthly Detail'!109:109)</f>
        <v/>
      </c>
      <c r="I29" s="132">
        <f>SUMIF('Monthly Detail'!$4:$4, '2025 Overview (Rolling)'!I$11, 'Monthly Detail'!109:109)</f>
        <v/>
      </c>
      <c r="J29" s="132">
        <f>SUMIF('Monthly Detail'!$4:$4, '2025 Overview (Rolling)'!J$11, 'Monthly Detail'!109:109)</f>
        <v/>
      </c>
      <c r="K29" s="132">
        <f>SUMIF('Monthly Detail'!$4:$4, '2025 Overview (Rolling)'!K$11, 'Monthly Detail'!109:109)</f>
        <v/>
      </c>
      <c r="L29" s="156">
        <f>SUMIF('Monthly Detail'!$4:$4, '2025 Overview (Rolling)'!L$11, 'Monthly Detail'!109:109)</f>
        <v/>
      </c>
      <c r="M29" s="132">
        <f>SUMIF('Monthly Detail'!$4:$4, '2025 Overview (Rolling)'!M$11, 'Monthly Detail'!109:109)</f>
        <v/>
      </c>
      <c r="N29" s="132">
        <f>SUMIF('Monthly Detail'!$4:$4, '2025 Overview (Rolling)'!N$11, 'Monthly Detail'!109:109)</f>
        <v/>
      </c>
      <c r="O29" s="132" t="n"/>
      <c r="P29" s="708">
        <f>SUM(C29:O29)</f>
        <v/>
      </c>
    </row>
    <row r="30" ht="15.6" customHeight="1">
      <c r="B30" s="245" t="inlineStr">
        <is>
          <t>Net Income</t>
        </is>
      </c>
      <c r="C30" s="88">
        <f>C26+SUM(C29:C29)</f>
        <v/>
      </c>
      <c r="D30" s="88">
        <f>D26+SUM(D29:D29)</f>
        <v/>
      </c>
      <c r="E30" s="88">
        <f>E26+SUM(E29:E29)</f>
        <v/>
      </c>
      <c r="F30" s="88">
        <f>F26+SUM(F29:F29)</f>
        <v/>
      </c>
      <c r="G30" s="88">
        <f>G26+SUM(G29:G29)</f>
        <v/>
      </c>
      <c r="H30" s="88">
        <f>H26+SUM(H29:H29)</f>
        <v/>
      </c>
      <c r="I30" s="88">
        <f>I26+SUM(I29:I29)</f>
        <v/>
      </c>
      <c r="J30" s="88">
        <f>J26+SUM(J29:J29)</f>
        <v/>
      </c>
      <c r="K30" s="88">
        <f>K26+SUM(K29:K29)</f>
        <v/>
      </c>
      <c r="L30" s="152">
        <f>L26+SUM(L29:L29)</f>
        <v/>
      </c>
      <c r="M30" s="88">
        <f>M26+SUM(M29:M29)</f>
        <v/>
      </c>
      <c r="N30" s="247">
        <f>N26+SUM(N29:N29)</f>
        <v/>
      </c>
      <c r="O30" s="246" t="n"/>
      <c r="P30" s="454">
        <f>P26+SUM(P29:P29)</f>
        <v/>
      </c>
    </row>
    <row r="31">
      <c r="B31" s="248" t="inlineStr">
        <is>
          <t>NI %</t>
        </is>
      </c>
      <c r="C31" s="767">
        <f>C30/C14</f>
        <v/>
      </c>
      <c r="D31" s="767">
        <f>D30/D14</f>
        <v/>
      </c>
      <c r="E31" s="767">
        <f>E30/E14</f>
        <v/>
      </c>
      <c r="F31" s="767">
        <f>F30/F14</f>
        <v/>
      </c>
      <c r="G31" s="767">
        <f>G30/G14</f>
        <v/>
      </c>
      <c r="H31" s="767">
        <f>H30/H14</f>
        <v/>
      </c>
      <c r="I31" s="767">
        <f>I30/I14</f>
        <v/>
      </c>
      <c r="J31" s="767">
        <f>J30/J14</f>
        <v/>
      </c>
      <c r="K31" s="767">
        <f>K30/K14</f>
        <v/>
      </c>
      <c r="L31" s="797">
        <f>L30/L14</f>
        <v/>
      </c>
      <c r="M31" s="767">
        <f>M30/M14</f>
        <v/>
      </c>
      <c r="N31" s="780">
        <f>N30/N14</f>
        <v/>
      </c>
      <c r="O31" s="7" t="n"/>
      <c r="P31" s="781">
        <f>P30/P14</f>
        <v/>
      </c>
    </row>
    <row r="32">
      <c r="B32" s="248" t="inlineStr">
        <is>
          <t>Cash Contributions</t>
        </is>
      </c>
      <c r="C32" s="739">
        <f>'Monthly Detail'!AN149-'Monthly Detail'!AM149</f>
        <v/>
      </c>
      <c r="D32" s="739">
        <f>'Monthly Detail'!AO149-'Monthly Detail'!AN149</f>
        <v/>
      </c>
      <c r="E32" s="739">
        <f>'Monthly Detail'!AP149-'Monthly Detail'!AO149</f>
        <v/>
      </c>
      <c r="F32" s="739">
        <f>'Monthly Detail'!AQ149-'Monthly Detail'!AP149</f>
        <v/>
      </c>
      <c r="G32" s="739">
        <f>'Monthly Detail'!AR149-'Monthly Detail'!AQ149</f>
        <v/>
      </c>
      <c r="H32" s="739">
        <f>'Monthly Detail'!AS149-'Monthly Detail'!AR149</f>
        <v/>
      </c>
      <c r="I32" s="739">
        <f>'Monthly Detail'!AT149-'Monthly Detail'!AS149</f>
        <v/>
      </c>
      <c r="J32" s="739">
        <f>'Monthly Detail'!AU149-'Monthly Detail'!AT149</f>
        <v/>
      </c>
      <c r="K32" s="739">
        <f>'Monthly Detail'!AV149-'Monthly Detail'!AU149</f>
        <v/>
      </c>
      <c r="L32" s="546">
        <f>'Monthly Detail'!AW149-'Monthly Detail'!AV149</f>
        <v/>
      </c>
      <c r="M32" s="739">
        <f>'Monthly Detail'!AX149-'Monthly Detail'!AW149</f>
        <v/>
      </c>
      <c r="N32" s="278">
        <f>'Monthly Detail'!AY149-'Monthly Detail'!AX149</f>
        <v/>
      </c>
      <c r="O32" s="7" t="n"/>
      <c r="P32" s="463">
        <f>+SUM(C32:N32)</f>
        <v/>
      </c>
    </row>
    <row r="33">
      <c r="B33" s="248" t="inlineStr">
        <is>
          <t>Owner Cash Distributions/Taxes</t>
        </is>
      </c>
      <c r="C33" s="739">
        <f>+SUM('Monthly Detail'!AN150,'Monthly Detail'!AN152:AN153)-SUM('Monthly Detail'!AM150,'Monthly Detail'!AM152:AM153)</f>
        <v/>
      </c>
      <c r="D33" s="739">
        <f>+SUM('Monthly Detail'!AO150,'Monthly Detail'!AO152:AO153)-SUM('Monthly Detail'!AN150,'Monthly Detail'!AN152:AN153)</f>
        <v/>
      </c>
      <c r="E33" s="739">
        <f>+SUM('Monthly Detail'!AP150,'Monthly Detail'!AP152:AP153)-SUM('Monthly Detail'!AO150,'Monthly Detail'!AO152:AO153)</f>
        <v/>
      </c>
      <c r="F33" s="739">
        <f>+SUM('Monthly Detail'!AQ150,'Monthly Detail'!AQ152:AQ153)-SUM('Monthly Detail'!AP150,'Monthly Detail'!AP152:AP153)</f>
        <v/>
      </c>
      <c r="G33" s="739">
        <f>+SUM('Monthly Detail'!AR150,'Monthly Detail'!AR152:AR153)-SUM('Monthly Detail'!AQ150,'Monthly Detail'!AQ152:AQ153)</f>
        <v/>
      </c>
      <c r="H33" s="739">
        <f>+SUM('Monthly Detail'!AS150,'Monthly Detail'!AS152:AS153)-SUM('Monthly Detail'!AR150,'Monthly Detail'!AR152:AR153)</f>
        <v/>
      </c>
      <c r="I33" s="739">
        <f>+SUM('Monthly Detail'!AT150,'Monthly Detail'!AT152:AT153)-SUM('Monthly Detail'!AS150,'Monthly Detail'!AS152:AS153)</f>
        <v/>
      </c>
      <c r="J33" s="739">
        <f>+SUM('Monthly Detail'!AU150,'Monthly Detail'!AU152:AU153)-SUM('Monthly Detail'!AT150,'Monthly Detail'!AT152:AT153)</f>
        <v/>
      </c>
      <c r="K33" s="739">
        <f>+SUM('Monthly Detail'!AV150,'Monthly Detail'!AV152:AV153)-SUM('Monthly Detail'!AU150,'Monthly Detail'!AU152:AU153)</f>
        <v/>
      </c>
      <c r="L33" s="546">
        <f>+SUM('Monthly Detail'!AW150,'Monthly Detail'!AW152:AW153)-SUM('Monthly Detail'!AV150,'Monthly Detail'!AV152:AV153)</f>
        <v/>
      </c>
      <c r="M33" s="739">
        <f>+SUM('Monthly Detail'!AX150,'Monthly Detail'!AX152:AX153)-SUM('Monthly Detail'!AW150,'Monthly Detail'!AW152:AW153)</f>
        <v/>
      </c>
      <c r="N33" s="278">
        <f>+SUM('Monthly Detail'!AY150,'Monthly Detail'!AY152:AY153)-SUM('Monthly Detail'!AX150,'Monthly Detail'!AX152:AX153)</f>
        <v/>
      </c>
      <c r="O33" s="7" t="n"/>
      <c r="P33" s="463">
        <f>+SUM(C33:N33)</f>
        <v/>
      </c>
    </row>
    <row r="34">
      <c r="B34" s="451" t="inlineStr">
        <is>
          <t>Accrued Tax Burden</t>
        </is>
      </c>
      <c r="C34" s="460">
        <f>+C30*0.3</f>
        <v/>
      </c>
      <c r="D34" s="460">
        <f>+C34+(D26*0.3)-SUMIF('Monthly Detail'!$4:$4, '2025 Overview (Rolling)'!D$11, 'Monthly Detail'!77:77)</f>
        <v/>
      </c>
      <c r="E34" s="460">
        <f>+D34+(E26*0.3)-SUMIF('Monthly Detail'!$4:$4, '2025 Overview (Rolling)'!E$11, 'Monthly Detail'!77:77)</f>
        <v/>
      </c>
      <c r="F34" s="460">
        <f>+E34+(F26*0.3)-SUMIF('Monthly Detail'!$4:$4, '2025 Overview (Rolling)'!F$11, 'Monthly Detail'!77:77)</f>
        <v/>
      </c>
      <c r="G34" s="460">
        <f>+F34+(G26*0.3)-SUMIF('Monthly Detail'!$4:$4, '2025 Overview (Rolling)'!G$11, 'Monthly Detail'!77:77)</f>
        <v/>
      </c>
      <c r="H34" s="460">
        <f>+G34+(H26*0.3)-SUMIF('Monthly Detail'!$4:$4, '2025 Overview (Rolling)'!H$11, 'Monthly Detail'!77:77)</f>
        <v/>
      </c>
      <c r="I34" s="460">
        <f>+H34+(I26*0.3)-SUMIF('Monthly Detail'!$4:$4, '2025 Overview (Rolling)'!I$11, 'Monthly Detail'!77:77)</f>
        <v/>
      </c>
      <c r="J34" s="460">
        <f>+I34+(J26*0.3)-SUMIF('Monthly Detail'!$4:$4, '2025 Overview (Rolling)'!J$11, 'Monthly Detail'!77:77)</f>
        <v/>
      </c>
      <c r="K34" s="460">
        <f>+J34+(K26*0.3)-SUMIF('Monthly Detail'!$4:$4, '2025 Overview (Rolling)'!K$11, 'Monthly Detail'!77:77)</f>
        <v/>
      </c>
      <c r="L34" s="547">
        <f>+K34+(L26*0.3)-SUMIF('Monthly Detail'!$4:$4, '2025 Overview (Rolling)'!L$11, 'Monthly Detail'!77:77)</f>
        <v/>
      </c>
      <c r="M34" s="460">
        <f>+L34+(M26*0.3)-SUMIF('Monthly Detail'!$4:$4, '2025 Overview (Rolling)'!M$11, 'Monthly Detail'!77:77)</f>
        <v/>
      </c>
      <c r="N34" s="461">
        <f>+M34+(N26*0.3)-SUMIF('Monthly Detail'!$4:$4, '2025 Overview (Rolling)'!N$11, 'Monthly Detail'!77:77)</f>
        <v/>
      </c>
      <c r="O34" s="375" t="n"/>
      <c r="P34" s="464">
        <f>+N34</f>
        <v/>
      </c>
    </row>
    <row r="35" ht="15" customHeight="1" thickBot="1">
      <c r="B35" s="238" t="n"/>
      <c r="H35" s="782" t="n"/>
      <c r="L35" s="116" t="n"/>
      <c r="M35" s="109" t="n"/>
      <c r="P35" s="184" t="n"/>
    </row>
    <row r="36">
      <c r="B36" s="255" t="inlineStr">
        <is>
          <t>Operating Cash</t>
        </is>
      </c>
      <c r="C36" s="784">
        <f>SUMIF('Monthly Detail'!$4:$4, '2025 Overview (Rolling)'!C$11, 'Monthly Detail'!174:174)</f>
        <v/>
      </c>
      <c r="D36" s="783">
        <f>SUMIF('Monthly Detail'!$4:$4, '2025 Overview (Rolling)'!D$11, 'Monthly Detail'!174:174)</f>
        <v/>
      </c>
      <c r="E36" s="784">
        <f>SUMIF('Monthly Detail'!$4:$4, '2025 Overview (Rolling)'!E$11, 'Monthly Detail'!174:174)</f>
        <v/>
      </c>
      <c r="F36" s="784">
        <f>SUMIF('Monthly Detail'!$4:$4, '2025 Overview (Rolling)'!F$11, 'Monthly Detail'!174:174)</f>
        <v/>
      </c>
      <c r="G36" s="784">
        <f>SUMIF('Monthly Detail'!$4:$4, '2025 Overview (Rolling)'!G$11, 'Monthly Detail'!174:174)</f>
        <v/>
      </c>
      <c r="H36" s="784">
        <f>SUMIF('Monthly Detail'!$4:$4, '2025 Overview (Rolling)'!H$11, 'Monthly Detail'!174:174)</f>
        <v/>
      </c>
      <c r="I36" s="784">
        <f>SUMIF('Monthly Detail'!$4:$4, '2025 Overview (Rolling)'!I$11, 'Monthly Detail'!174:174)</f>
        <v/>
      </c>
      <c r="J36" s="784">
        <f>SUMIF('Monthly Detail'!$4:$4, '2025 Overview (Rolling)'!J$11, 'Monthly Detail'!174:174)</f>
        <v/>
      </c>
      <c r="K36" s="784">
        <f>SUMIF('Monthly Detail'!$4:$4, '2025 Overview (Rolling)'!K$11, 'Monthly Detail'!174:174)</f>
        <v/>
      </c>
      <c r="L36" s="798">
        <f>SUMIF('Monthly Detail'!$4:$4, '2025 Overview (Rolling)'!L$11, 'Monthly Detail'!174:174)</f>
        <v/>
      </c>
      <c r="M36" s="784">
        <f>SUMIF('Monthly Detail'!$4:$4, '2025 Overview (Rolling)'!M$11, 'Monthly Detail'!174:174)</f>
        <v/>
      </c>
      <c r="N36" s="784">
        <f>SUMIF('Monthly Detail'!$4:$4, '2025 Overview (Rolling)'!N$11, 'Monthly Detail'!174:174)</f>
        <v/>
      </c>
      <c r="P36" s="184" t="n"/>
    </row>
    <row r="37">
      <c r="B37" s="256" t="inlineStr">
        <is>
          <t>Cash Inflow (Outflow)</t>
        </is>
      </c>
      <c r="C37" s="787">
        <f>SUMIF('Monthly Detail'!$4:$4, '2025 Overview (Rolling)'!C$11, 'Monthly Detail'!171:171)</f>
        <v/>
      </c>
      <c r="D37" s="786">
        <f>SUMIF('Monthly Detail'!$4:$4, '2025 Overview (Rolling)'!D$11, 'Monthly Detail'!171:171)</f>
        <v/>
      </c>
      <c r="E37" s="787">
        <f>SUMIF('Monthly Detail'!$4:$4, '2025 Overview (Rolling)'!E$11, 'Monthly Detail'!171:171)</f>
        <v/>
      </c>
      <c r="F37" s="787">
        <f>SUMIF('Monthly Detail'!$4:$4, '2025 Overview (Rolling)'!F$11, 'Monthly Detail'!171:171)</f>
        <v/>
      </c>
      <c r="G37" s="787">
        <f>SUMIF('Monthly Detail'!$4:$4, '2025 Overview (Rolling)'!G$11, 'Monthly Detail'!171:171)</f>
        <v/>
      </c>
      <c r="H37" s="787">
        <f>SUMIF('Monthly Detail'!$4:$4, '2025 Overview (Rolling)'!H$11, 'Monthly Detail'!171:171)</f>
        <v/>
      </c>
      <c r="I37" s="787">
        <f>SUMIF('Monthly Detail'!$4:$4, '2025 Overview (Rolling)'!I$11, 'Monthly Detail'!171:171)</f>
        <v/>
      </c>
      <c r="J37" s="787">
        <f>SUMIF('Monthly Detail'!$4:$4, '2025 Overview (Rolling)'!J$11, 'Monthly Detail'!171:171)</f>
        <v/>
      </c>
      <c r="K37" s="787">
        <f>SUMIF('Monthly Detail'!$4:$4, '2025 Overview (Rolling)'!K$11, 'Monthly Detail'!171:171)</f>
        <v/>
      </c>
      <c r="L37" s="799">
        <f>SUMIF('Monthly Detail'!$4:$4, '2025 Overview (Rolling)'!L$11, 'Monthly Detail'!171:171)</f>
        <v/>
      </c>
      <c r="M37" s="787">
        <f>SUMIF('Monthly Detail'!$4:$4, '2025 Overview (Rolling)'!M$11, 'Monthly Detail'!171:171)</f>
        <v/>
      </c>
      <c r="N37" s="787">
        <f>SUMIF('Monthly Detail'!$4:$4, '2025 Overview (Rolling)'!N$11, 'Monthly Detail'!171:171)</f>
        <v/>
      </c>
      <c r="O37" s="259" t="n"/>
      <c r="P37" s="260" t="n"/>
    </row>
    <row r="38">
      <c r="E38" s="782" t="n"/>
    </row>
  </sheetData>
  <mergeCells count="1">
    <mergeCell ref="B8:P8"/>
  </mergeCells>
  <pageMargins left="0.25" right="0.25" top="0.75" bottom="0.75" header="0.3" footer="0.3"/>
  <pageSetup orientation="landscape" scale="57" horizontalDpi="1200" verticalDpi="120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theme="1"/>
    <outlinePr summaryBelow="1" summaryRight="1"/>
    <pageSetUpPr fitToPage="1"/>
  </sheetPr>
  <dimension ref="B8:T34"/>
  <sheetViews>
    <sheetView showGridLines="0" topLeftCell="A7" zoomScale="58" zoomScaleNormal="90" workbookViewId="0">
      <selection activeCell="B1" sqref="B1:P52"/>
    </sheetView>
  </sheetViews>
  <sheetFormatPr baseColWidth="8" defaultColWidth="8.6640625" defaultRowHeight="14.4"/>
  <cols>
    <col width="34" bestFit="1" customWidth="1" min="2" max="2"/>
    <col width="13.77734375" bestFit="1" customWidth="1" min="3" max="3"/>
    <col width="14.77734375" bestFit="1" customWidth="1" min="4" max="4"/>
    <col width="11.77734375" bestFit="1" customWidth="1" min="5" max="5"/>
    <col width="13" bestFit="1" customWidth="1" min="6" max="6"/>
    <col width="14.77734375" bestFit="1" customWidth="1" min="7" max="7"/>
    <col width="15.109375" bestFit="1" customWidth="1" min="8" max="8"/>
    <col width="14.77734375" bestFit="1" customWidth="1" min="9" max="9"/>
    <col width="14.33203125" bestFit="1" customWidth="1" min="10" max="10"/>
    <col width="14.77734375" bestFit="1" customWidth="1" min="11" max="11"/>
    <col width="15.109375" bestFit="1" customWidth="1" min="12" max="14"/>
    <col width="1" customWidth="1" min="15" max="15"/>
    <col width="15.109375" bestFit="1" customWidth="1" min="16" max="16"/>
  </cols>
  <sheetData>
    <row r="8" ht="15.6" customHeight="1">
      <c r="B8" s="743" t="inlineStr">
        <is>
          <t>2025 Overview (Annual Operating Plan)</t>
        </is>
      </c>
    </row>
    <row r="10" ht="15.6" customHeight="1">
      <c r="B10" s="234" t="n"/>
      <c r="C10" s="235">
        <f>TEXT('Monthly Detail'!D4,"mmmm")</f>
        <v/>
      </c>
      <c r="D10" s="235">
        <f>TEXT('Monthly Detail'!E4,"mmmm")</f>
        <v/>
      </c>
      <c r="E10" s="235">
        <f>TEXT('Monthly Detail'!F4,"mmmm")</f>
        <v/>
      </c>
      <c r="F10" s="235">
        <f>TEXT('Monthly Detail'!G4,"mmmm")</f>
        <v/>
      </c>
      <c r="G10" s="235">
        <f>TEXT('Monthly Detail'!H4,"mmmm")</f>
        <v/>
      </c>
      <c r="H10" s="235">
        <f>TEXT('Monthly Detail'!I4,"mmmm")</f>
        <v/>
      </c>
      <c r="I10" s="235">
        <f>TEXT('Monthly Detail'!J4,"mmmm")</f>
        <v/>
      </c>
      <c r="J10" s="235">
        <f>TEXT('Monthly Detail'!K4,"mmmm")</f>
        <v/>
      </c>
      <c r="K10" s="235">
        <f>TEXT('Monthly Detail'!L4,"mmmm")</f>
        <v/>
      </c>
      <c r="L10" s="541">
        <f>TEXT('Monthly Detail'!M4,"mmmm")</f>
        <v/>
      </c>
      <c r="M10" s="235">
        <f>TEXT('Monthly Detail'!N4,"mmmm")</f>
        <v/>
      </c>
      <c r="N10" s="235">
        <f>TEXT('Monthly Detail'!O4,"mmmm")</f>
        <v/>
      </c>
      <c r="O10" s="236" t="n"/>
      <c r="P10" s="237" t="inlineStr">
        <is>
          <t>Total</t>
        </is>
      </c>
    </row>
    <row r="11">
      <c r="B11" s="238" t="n"/>
      <c r="C11" s="91" t="n">
        <v>45688</v>
      </c>
      <c r="D11" s="91" t="n">
        <v>45716</v>
      </c>
      <c r="E11" s="91" t="n">
        <v>45747</v>
      </c>
      <c r="F11" s="91" t="n">
        <v>45777</v>
      </c>
      <c r="G11" s="91" t="n">
        <v>45808</v>
      </c>
      <c r="H11" s="91" t="n">
        <v>45838</v>
      </c>
      <c r="I11" s="91" t="n">
        <v>45869</v>
      </c>
      <c r="J11" s="91" t="n">
        <v>45900</v>
      </c>
      <c r="K11" s="91" t="n">
        <v>45930</v>
      </c>
      <c r="L11" s="148" t="n">
        <v>45961</v>
      </c>
      <c r="M11" s="91" t="n">
        <v>45991</v>
      </c>
      <c r="N11" s="91" t="n">
        <v>46022</v>
      </c>
      <c r="O11" s="91" t="n">
        <v>45322</v>
      </c>
      <c r="P11" s="184" t="n"/>
    </row>
    <row r="12">
      <c r="B12" s="239" t="inlineStr">
        <is>
          <t>Service Income</t>
        </is>
      </c>
      <c r="C12" s="73">
        <f>+'2025 Overview (Rolling)'!C12</f>
        <v/>
      </c>
      <c r="D12" s="73">
        <f>+'2025 Overview (Rolling)'!D12</f>
        <v/>
      </c>
      <c r="E12" s="73">
        <f>+'2025 Overview (Rolling)'!E12</f>
        <v/>
      </c>
      <c r="F12" s="73">
        <f>+'2025 Overview (Rolling)'!F12</f>
        <v/>
      </c>
      <c r="G12" s="73">
        <f>+'2025 Overview (Rolling)'!G12</f>
        <v/>
      </c>
      <c r="H12" s="73">
        <f>+'2025 Overview (Rolling)'!H12</f>
        <v/>
      </c>
      <c r="I12" s="73">
        <f>+'2025 Overview (Rolling)'!I12</f>
        <v/>
      </c>
      <c r="J12" s="73">
        <f>+'2025 Overview (Rolling)'!J12</f>
        <v/>
      </c>
      <c r="K12" s="73">
        <f>+'2025 Overview (Rolling)'!K12</f>
        <v/>
      </c>
      <c r="L12" s="149">
        <f>+'2025 Overview (Rolling)'!L12</f>
        <v/>
      </c>
      <c r="M12" s="73">
        <f>+'2025 AOP'!M12</f>
        <v/>
      </c>
      <c r="N12" s="73">
        <f>+'2025 AOP'!N12</f>
        <v/>
      </c>
      <c r="O12" s="73" t="n"/>
      <c r="P12" s="240">
        <f>SUM(C12:O12)</f>
        <v/>
      </c>
    </row>
    <row r="13">
      <c r="B13" s="239" t="inlineStr">
        <is>
          <t>Tips</t>
        </is>
      </c>
      <c r="C13" s="73">
        <f>+'2025 Overview (Rolling)'!C13</f>
        <v/>
      </c>
      <c r="D13" s="73">
        <f>+'2025 Overview (Rolling)'!D13</f>
        <v/>
      </c>
      <c r="E13" s="73">
        <f>+'2025 Overview (Rolling)'!E13</f>
        <v/>
      </c>
      <c r="F13" s="73">
        <f>+'2025 Overview (Rolling)'!F13</f>
        <v/>
      </c>
      <c r="G13" s="73">
        <f>+'2025 Overview (Rolling)'!G13</f>
        <v/>
      </c>
      <c r="H13" s="73">
        <f>+'2025 Overview (Rolling)'!H13</f>
        <v/>
      </c>
      <c r="I13" s="73">
        <f>+'2025 Overview (Rolling)'!I13</f>
        <v/>
      </c>
      <c r="J13" s="73">
        <f>+'2025 Overview (Rolling)'!J13</f>
        <v/>
      </c>
      <c r="K13" s="73">
        <f>+'2025 Overview (Rolling)'!K13</f>
        <v/>
      </c>
      <c r="L13" s="149">
        <f>+'2025 Overview (Rolling)'!L13</f>
        <v/>
      </c>
      <c r="M13" s="73">
        <f>+'2025 AOP'!M13</f>
        <v/>
      </c>
      <c r="N13" s="73">
        <f>+'2025 AOP'!N13</f>
        <v/>
      </c>
      <c r="O13" s="73" t="n"/>
      <c r="P13" s="240">
        <f>+SUM(C13:N13)</f>
        <v/>
      </c>
    </row>
    <row r="14">
      <c r="B14" s="241" t="inlineStr">
        <is>
          <t>Total Income</t>
        </is>
      </c>
      <c r="C14" s="74">
        <f>+'2025 Overview (Rolling)'!C14</f>
        <v/>
      </c>
      <c r="D14" s="74">
        <f>+'2025 Overview (Rolling)'!D14</f>
        <v/>
      </c>
      <c r="E14" s="74">
        <f>+'2025 Overview (Rolling)'!E14</f>
        <v/>
      </c>
      <c r="F14" s="74">
        <f>+'2025 Overview (Rolling)'!F14</f>
        <v/>
      </c>
      <c r="G14" s="74">
        <f>+'2025 Overview (Rolling)'!G14</f>
        <v/>
      </c>
      <c r="H14" s="74">
        <f>+'2025 Overview (Rolling)'!H14</f>
        <v/>
      </c>
      <c r="I14" s="74">
        <f>+'2025 Overview (Rolling)'!I14</f>
        <v/>
      </c>
      <c r="J14" s="74">
        <f>+'2025 Overview (Rolling)'!J14</f>
        <v/>
      </c>
      <c r="K14" s="74">
        <f>+'2025 Overview (Rolling)'!K14</f>
        <v/>
      </c>
      <c r="L14" s="150">
        <f>+'2025 Overview (Rolling)'!L14</f>
        <v/>
      </c>
      <c r="M14" s="74">
        <f>SUM(M12:M13)</f>
        <v/>
      </c>
      <c r="N14" s="242">
        <f>SUM(N12:N13)</f>
        <v/>
      </c>
      <c r="O14" s="75" t="n"/>
      <c r="P14" s="242">
        <f>SUM(P12:P13)</f>
        <v/>
      </c>
    </row>
    <row r="15">
      <c r="B15" s="447" t="inlineStr">
        <is>
          <t># of Students</t>
        </is>
      </c>
      <c r="C15" s="448">
        <f>+'2025 Overview (Rolling)'!C15</f>
        <v/>
      </c>
      <c r="D15" s="448">
        <f>+'2025 Overview (Rolling)'!D15</f>
        <v/>
      </c>
      <c r="E15" s="448">
        <f>+'2025 Overview (Rolling)'!E15</f>
        <v/>
      </c>
      <c r="F15" s="448">
        <f>+'2025 Overview (Rolling)'!F15</f>
        <v/>
      </c>
      <c r="G15" s="448">
        <f>+'2025 Overview (Rolling)'!G15</f>
        <v/>
      </c>
      <c r="H15" s="448">
        <f>+'2025 Overview (Rolling)'!H15</f>
        <v/>
      </c>
      <c r="I15" s="448">
        <f>+'2025 Overview (Rolling)'!I15</f>
        <v/>
      </c>
      <c r="J15" s="448">
        <f>+'2025 Overview (Rolling)'!J15</f>
        <v/>
      </c>
      <c r="K15" s="448">
        <f>+'2025 Overview (Rolling)'!K15</f>
        <v/>
      </c>
      <c r="L15" s="543">
        <f>+'2025 Overview (Rolling)'!L15</f>
        <v/>
      </c>
      <c r="M15" s="448">
        <f>+'2025 AOP'!M15</f>
        <v/>
      </c>
      <c r="N15" s="449">
        <f>+'2025 AOP'!N15</f>
        <v/>
      </c>
      <c r="O15" s="75" t="n"/>
      <c r="P15" s="333" t="n"/>
    </row>
    <row r="16">
      <c r="B16" s="238" t="n"/>
      <c r="C16" s="76" t="n"/>
      <c r="D16" s="76" t="n"/>
      <c r="E16" s="76" t="n"/>
      <c r="F16" s="76" t="n"/>
      <c r="G16" s="76" t="n"/>
      <c r="H16" s="76" t="n"/>
      <c r="I16" s="76" t="n"/>
      <c r="J16" s="76" t="n"/>
      <c r="K16" s="76" t="n"/>
      <c r="L16" s="151" t="n"/>
      <c r="M16" s="76" t="n"/>
      <c r="N16" s="76" t="n"/>
      <c r="P16" s="244" t="n"/>
    </row>
    <row r="17">
      <c r="B17" s="238" t="inlineStr">
        <is>
          <t>Subcontractor Expenses</t>
        </is>
      </c>
      <c r="C17" s="76">
        <f>+'2025 Overview (Rolling)'!C18</f>
        <v/>
      </c>
      <c r="D17" s="76">
        <f>+'2025 Overview (Rolling)'!D18</f>
        <v/>
      </c>
      <c r="E17" s="76">
        <f>+'2025 Overview (Rolling)'!E18</f>
        <v/>
      </c>
      <c r="F17" s="76">
        <f>+'2025 Overview (Rolling)'!F18</f>
        <v/>
      </c>
      <c r="G17" s="76">
        <f>+'2025 Overview (Rolling)'!G18</f>
        <v/>
      </c>
      <c r="H17" s="76">
        <f>+'2025 Overview (Rolling)'!H18</f>
        <v/>
      </c>
      <c r="I17" s="76">
        <f>+'2025 Overview (Rolling)'!I18</f>
        <v/>
      </c>
      <c r="J17" s="76">
        <f>+'2025 Overview (Rolling)'!J18</f>
        <v/>
      </c>
      <c r="K17" s="76">
        <f>+'2025 Overview (Rolling)'!K18</f>
        <v/>
      </c>
      <c r="L17" s="151">
        <f>+'2025 Overview (Rolling)'!L18</f>
        <v/>
      </c>
      <c r="M17" s="76">
        <f>+'2025 AOP'!M18</f>
        <v/>
      </c>
      <c r="N17" s="76">
        <f>+'2025 AOP'!N18</f>
        <v/>
      </c>
      <c r="P17" s="240">
        <f>SUM(C17:O17)</f>
        <v/>
      </c>
    </row>
    <row r="18" ht="15.6" customHeight="1">
      <c r="B18" s="245" t="inlineStr">
        <is>
          <t>Gross Margin</t>
        </is>
      </c>
      <c r="C18" s="88">
        <f>+'2025 Overview (Rolling)'!C19</f>
        <v/>
      </c>
      <c r="D18" s="88">
        <f>+'2025 Overview (Rolling)'!D19</f>
        <v/>
      </c>
      <c r="E18" s="88">
        <f>+'2025 Overview (Rolling)'!E19</f>
        <v/>
      </c>
      <c r="F18" s="88">
        <f>+'2025 Overview (Rolling)'!F19</f>
        <v/>
      </c>
      <c r="G18" s="88">
        <f>+'2025 Overview (Rolling)'!G19</f>
        <v/>
      </c>
      <c r="H18" s="88">
        <f>+'2025 Overview (Rolling)'!H19</f>
        <v/>
      </c>
      <c r="I18" s="88">
        <f>+'2025 Overview (Rolling)'!I19</f>
        <v/>
      </c>
      <c r="J18" s="88">
        <f>+'2025 Overview (Rolling)'!J19</f>
        <v/>
      </c>
      <c r="K18" s="88">
        <f>+'2025 Overview (Rolling)'!K19</f>
        <v/>
      </c>
      <c r="L18" s="152">
        <f>+'2025 Overview (Rolling)'!L19</f>
        <v/>
      </c>
      <c r="M18" s="88">
        <f>M14-M17</f>
        <v/>
      </c>
      <c r="N18" s="88">
        <f>N14-N17</f>
        <v/>
      </c>
      <c r="O18" s="246" t="n"/>
      <c r="P18" s="247">
        <f>P14-P17</f>
        <v/>
      </c>
    </row>
    <row r="19">
      <c r="B19" s="248" t="inlineStr">
        <is>
          <t>GM %</t>
        </is>
      </c>
      <c r="C19" s="767">
        <f>+'2025 Overview (Rolling)'!C20</f>
        <v/>
      </c>
      <c r="D19" s="767">
        <f>+'2025 Overview (Rolling)'!D20</f>
        <v/>
      </c>
      <c r="E19" s="767">
        <f>+'2025 Overview (Rolling)'!E20</f>
        <v/>
      </c>
      <c r="F19" s="767">
        <f>+'2025 Overview (Rolling)'!F20</f>
        <v/>
      </c>
      <c r="G19" s="767">
        <f>+'2025 Overview (Rolling)'!G20</f>
        <v/>
      </c>
      <c r="H19" s="767">
        <f>+'2025 Overview (Rolling)'!H20</f>
        <v/>
      </c>
      <c r="I19" s="767">
        <f>+'2025 Overview (Rolling)'!I20</f>
        <v/>
      </c>
      <c r="J19" s="767">
        <f>+'2025 Overview (Rolling)'!J20</f>
        <v/>
      </c>
      <c r="K19" s="767">
        <f>+'2025 Overview (Rolling)'!K20</f>
        <v/>
      </c>
      <c r="L19" s="797">
        <f>+'2025 Overview (Rolling)'!L20</f>
        <v/>
      </c>
      <c r="M19" s="767">
        <f>M18/M14</f>
        <v/>
      </c>
      <c r="N19" s="767">
        <f>N18/N14</f>
        <v/>
      </c>
      <c r="O19" s="7" t="n"/>
      <c r="P19" s="780">
        <f>P18/P14</f>
        <v/>
      </c>
    </row>
    <row r="20">
      <c r="B20" s="238" t="n"/>
      <c r="L20" s="116" t="n"/>
      <c r="P20" s="184" t="n"/>
    </row>
    <row r="21">
      <c r="B21" s="238" t="inlineStr">
        <is>
          <t>Sales &amp; Marketing Expenses</t>
        </is>
      </c>
      <c r="C21" s="73">
        <f>+'2025 Overview (Rolling)'!C22</f>
        <v/>
      </c>
      <c r="D21" s="73">
        <f>+'2025 Overview (Rolling)'!D22</f>
        <v/>
      </c>
      <c r="E21" s="73">
        <f>+'2025 Overview (Rolling)'!E22</f>
        <v/>
      </c>
      <c r="F21" s="73">
        <f>+'2025 Overview (Rolling)'!F22</f>
        <v/>
      </c>
      <c r="G21" s="73">
        <f>+'2025 Overview (Rolling)'!G22</f>
        <v/>
      </c>
      <c r="H21" s="73">
        <f>+'2025 Overview (Rolling)'!H22</f>
        <v/>
      </c>
      <c r="I21" s="73">
        <f>+'2025 Overview (Rolling)'!I22</f>
        <v/>
      </c>
      <c r="J21" s="73">
        <f>+'2025 Overview (Rolling)'!J22</f>
        <v/>
      </c>
      <c r="K21" s="73">
        <f>+'2025 Overview (Rolling)'!K22</f>
        <v/>
      </c>
      <c r="L21" s="149">
        <f>+'2025 Overview (Rolling)'!L22</f>
        <v/>
      </c>
      <c r="M21" s="73">
        <f>+'2025 AOP'!M22</f>
        <v/>
      </c>
      <c r="N21" s="73">
        <f>+'2025 AOP'!N22</f>
        <v/>
      </c>
      <c r="P21" s="240">
        <f>SUM(C21:O21)</f>
        <v/>
      </c>
      <c r="T21" s="1" t="n"/>
    </row>
    <row r="22">
      <c r="B22" s="238" t="inlineStr">
        <is>
          <t>General &amp; Admintrative Expenses</t>
        </is>
      </c>
      <c r="C22" s="73">
        <f>+'2025 Overview (Rolling)'!C23</f>
        <v/>
      </c>
      <c r="D22" s="73">
        <f>+'2025 Overview (Rolling)'!D23</f>
        <v/>
      </c>
      <c r="E22" s="73">
        <f>+'2025 Overview (Rolling)'!E23</f>
        <v/>
      </c>
      <c r="F22" s="73">
        <f>+'2025 Overview (Rolling)'!F23</f>
        <v/>
      </c>
      <c r="G22" s="73">
        <f>+'2025 Overview (Rolling)'!G23</f>
        <v/>
      </c>
      <c r="H22" s="73">
        <f>+'2025 Overview (Rolling)'!H23</f>
        <v/>
      </c>
      <c r="I22" s="73">
        <f>+'2025 Overview (Rolling)'!I23</f>
        <v/>
      </c>
      <c r="J22" s="73">
        <f>+'2025 Overview (Rolling)'!J23</f>
        <v/>
      </c>
      <c r="K22" s="73">
        <f>+'2025 Overview (Rolling)'!K23</f>
        <v/>
      </c>
      <c r="L22" s="149">
        <f>+'2025 Overview (Rolling)'!L23</f>
        <v/>
      </c>
      <c r="M22" s="73">
        <f>+'2025 AOP'!M23</f>
        <v/>
      </c>
      <c r="N22" s="73">
        <f>+'2025 AOP'!N23</f>
        <v/>
      </c>
      <c r="P22" s="240">
        <f>SUM(C22:O22)</f>
        <v/>
      </c>
      <c r="T22" s="1" t="n"/>
    </row>
    <row r="23">
      <c r="B23" s="250" t="inlineStr">
        <is>
          <t>Operating Expenses</t>
        </is>
      </c>
      <c r="C23" s="103">
        <f>+'2025 Overview (Rolling)'!C24</f>
        <v/>
      </c>
      <c r="D23" s="103">
        <f>+'2025 Overview (Rolling)'!D24</f>
        <v/>
      </c>
      <c r="E23" s="103">
        <f>+'2025 Overview (Rolling)'!E24</f>
        <v/>
      </c>
      <c r="F23" s="103">
        <f>+'2025 Overview (Rolling)'!F24</f>
        <v/>
      </c>
      <c r="G23" s="103">
        <f>+'2025 Overview (Rolling)'!G24</f>
        <v/>
      </c>
      <c r="H23" s="103">
        <f>+'2025 Overview (Rolling)'!H24</f>
        <v/>
      </c>
      <c r="I23" s="103">
        <f>+'2025 Overview (Rolling)'!I24</f>
        <v/>
      </c>
      <c r="J23" s="103">
        <f>+'2025 Overview (Rolling)'!J24</f>
        <v/>
      </c>
      <c r="K23" s="103">
        <f>+'2025 Overview (Rolling)'!K24</f>
        <v/>
      </c>
      <c r="L23" s="154">
        <f>+'2025 Overview (Rolling)'!L24</f>
        <v/>
      </c>
      <c r="M23" s="103">
        <f>SUM(M21:M22)</f>
        <v/>
      </c>
      <c r="N23" s="103">
        <f>SUM(N21:N22)</f>
        <v/>
      </c>
      <c r="O23" s="433" t="n"/>
      <c r="P23" s="252">
        <f>SUM(P21:P22)</f>
        <v/>
      </c>
    </row>
    <row r="24">
      <c r="B24" s="238" t="n"/>
      <c r="L24" s="116" t="n"/>
      <c r="P24" s="184" t="n"/>
    </row>
    <row r="25" ht="15.6" customHeight="1">
      <c r="B25" s="245" t="inlineStr">
        <is>
          <t>Net Operating Income (EBITDA)</t>
        </is>
      </c>
      <c r="C25" s="88">
        <f>+'2025 Overview (Rolling)'!C26</f>
        <v/>
      </c>
      <c r="D25" s="88">
        <f>+'2025 Overview (Rolling)'!D26</f>
        <v/>
      </c>
      <c r="E25" s="88">
        <f>+'2025 Overview (Rolling)'!E26</f>
        <v/>
      </c>
      <c r="F25" s="88">
        <f>+'2025 Overview (Rolling)'!F26</f>
        <v/>
      </c>
      <c r="G25" s="88">
        <f>+'2025 Overview (Rolling)'!G26</f>
        <v/>
      </c>
      <c r="H25" s="88">
        <f>+'2025 Overview (Rolling)'!H26</f>
        <v/>
      </c>
      <c r="I25" s="88">
        <f>+'2025 Overview (Rolling)'!I26</f>
        <v/>
      </c>
      <c r="J25" s="88">
        <f>+'2025 Overview (Rolling)'!J26</f>
        <v/>
      </c>
      <c r="K25" s="88">
        <f>+'2025 Overview (Rolling)'!K26</f>
        <v/>
      </c>
      <c r="L25" s="152">
        <f>+'2025 Overview (Rolling)'!L26</f>
        <v/>
      </c>
      <c r="M25" s="88">
        <f>M18-M23</f>
        <v/>
      </c>
      <c r="N25" s="88">
        <f>N18-N23</f>
        <v/>
      </c>
      <c r="O25" s="246" t="n"/>
      <c r="P25" s="247">
        <f>P18-P23</f>
        <v/>
      </c>
    </row>
    <row r="26">
      <c r="B26" s="248" t="inlineStr">
        <is>
          <t>EBITDA %</t>
        </is>
      </c>
      <c r="C26" s="767">
        <f>+'2025 Overview (Rolling)'!C27</f>
        <v/>
      </c>
      <c r="D26" s="767">
        <f>+'2025 Overview (Rolling)'!D27</f>
        <v/>
      </c>
      <c r="E26" s="767">
        <f>+'2025 Overview (Rolling)'!E27</f>
        <v/>
      </c>
      <c r="F26" s="767">
        <f>+'2025 Overview (Rolling)'!F27</f>
        <v/>
      </c>
      <c r="G26" s="767">
        <f>+'2025 Overview (Rolling)'!G27</f>
        <v/>
      </c>
      <c r="H26" s="767">
        <f>+'2025 Overview (Rolling)'!H27</f>
        <v/>
      </c>
      <c r="I26" s="767">
        <f>+'2025 Overview (Rolling)'!I27</f>
        <v/>
      </c>
      <c r="J26" s="767">
        <f>+'2025 Overview (Rolling)'!J27</f>
        <v/>
      </c>
      <c r="K26" s="767">
        <f>+'2025 Overview (Rolling)'!K27</f>
        <v/>
      </c>
      <c r="L26" s="797">
        <f>+'2025 Overview (Rolling)'!L27</f>
        <v/>
      </c>
      <c r="M26" s="767">
        <f>M25/M14</f>
        <v/>
      </c>
      <c r="N26" s="767">
        <f>N25/N14</f>
        <v/>
      </c>
      <c r="O26" s="7" t="n"/>
      <c r="P26" s="780">
        <f>P25/P14</f>
        <v/>
      </c>
    </row>
    <row r="27">
      <c r="B27" s="253" t="n"/>
      <c r="C27" s="770" t="n"/>
      <c r="D27" s="770" t="n"/>
      <c r="E27" s="770" t="n"/>
      <c r="F27" s="770" t="n"/>
      <c r="G27" s="770" t="n"/>
      <c r="H27" s="770" t="n"/>
      <c r="I27" s="770" t="n"/>
      <c r="J27" s="770" t="n"/>
      <c r="K27" s="770" t="n"/>
      <c r="L27" s="796" t="n"/>
      <c r="M27" s="770" t="n"/>
      <c r="N27" s="770" t="n"/>
      <c r="P27" s="779" t="n"/>
    </row>
    <row r="28">
      <c r="B28" s="238" t="inlineStr">
        <is>
          <t>Other Income / (Expense)</t>
        </is>
      </c>
      <c r="C28" s="132">
        <f>+'2025 Overview (Rolling)'!C29</f>
        <v/>
      </c>
      <c r="D28" s="132">
        <f>+'2025 Overview (Rolling)'!D29</f>
        <v/>
      </c>
      <c r="E28" s="132">
        <f>+'2025 Overview (Rolling)'!E29</f>
        <v/>
      </c>
      <c r="F28" s="132">
        <f>+'2025 Overview (Rolling)'!F29</f>
        <v/>
      </c>
      <c r="G28" s="132">
        <f>+'2025 Overview (Rolling)'!G29</f>
        <v/>
      </c>
      <c r="H28" s="132">
        <f>+'2025 Overview (Rolling)'!H29</f>
        <v/>
      </c>
      <c r="I28" s="132">
        <f>+'2025 Overview (Rolling)'!I29</f>
        <v/>
      </c>
      <c r="J28" s="132">
        <f>+'2025 Overview (Rolling)'!J29</f>
        <v/>
      </c>
      <c r="K28" s="132">
        <f>+'2025 Overview (Rolling)'!K29</f>
        <v/>
      </c>
      <c r="L28" s="156">
        <f>+'2025 Overview (Rolling)'!L29</f>
        <v/>
      </c>
      <c r="M28" s="132">
        <f>+'2025 AOP'!M29</f>
        <v/>
      </c>
      <c r="N28" s="132">
        <f>+'2025 AOP'!N29</f>
        <v/>
      </c>
      <c r="O28" s="132" t="n"/>
      <c r="P28" s="708">
        <f>SUM(C28:O28)</f>
        <v/>
      </c>
    </row>
    <row r="29" ht="15.6" customHeight="1">
      <c r="B29" s="245" t="inlineStr">
        <is>
          <t>Net Income</t>
        </is>
      </c>
      <c r="C29" s="88">
        <f>+'2025 Overview (Rolling)'!C30</f>
        <v/>
      </c>
      <c r="D29" s="88">
        <f>+'2025 Overview (Rolling)'!D30</f>
        <v/>
      </c>
      <c r="E29" s="88">
        <f>+'2025 Overview (Rolling)'!E30</f>
        <v/>
      </c>
      <c r="F29" s="88">
        <f>+'2025 Overview (Rolling)'!F30</f>
        <v/>
      </c>
      <c r="G29" s="88">
        <f>+'2025 Overview (Rolling)'!G30</f>
        <v/>
      </c>
      <c r="H29" s="88">
        <f>+'2025 Overview (Rolling)'!H30</f>
        <v/>
      </c>
      <c r="I29" s="88">
        <f>+'2025 Overview (Rolling)'!I30</f>
        <v/>
      </c>
      <c r="J29" s="88">
        <f>+'2025 Overview (Rolling)'!J30</f>
        <v/>
      </c>
      <c r="K29" s="88">
        <f>+'2025 Overview (Rolling)'!K30</f>
        <v/>
      </c>
      <c r="L29" s="152">
        <f>+'2025 Overview (Rolling)'!L30</f>
        <v/>
      </c>
      <c r="M29" s="88">
        <f>M25+SUM(M28:M28)</f>
        <v/>
      </c>
      <c r="N29" s="88">
        <f>N25+SUM(N28:N28)</f>
        <v/>
      </c>
      <c r="O29" s="246" t="n"/>
      <c r="P29" s="247">
        <f>P25+SUM(P28:P28)</f>
        <v/>
      </c>
    </row>
    <row r="30">
      <c r="B30" s="248" t="inlineStr">
        <is>
          <t>NI %</t>
        </is>
      </c>
      <c r="C30" s="767">
        <f>+'2025 Overview (Rolling)'!C31</f>
        <v/>
      </c>
      <c r="D30" s="767">
        <f>+'2025 Overview (Rolling)'!D31</f>
        <v/>
      </c>
      <c r="E30" s="767">
        <f>+'2025 Overview (Rolling)'!E31</f>
        <v/>
      </c>
      <c r="F30" s="767">
        <f>+'2025 Overview (Rolling)'!F31</f>
        <v/>
      </c>
      <c r="G30" s="767">
        <f>+'2025 Overview (Rolling)'!G31</f>
        <v/>
      </c>
      <c r="H30" s="767">
        <f>+'2025 Overview (Rolling)'!H31</f>
        <v/>
      </c>
      <c r="I30" s="767">
        <f>+'2025 Overview (Rolling)'!I31</f>
        <v/>
      </c>
      <c r="J30" s="767">
        <f>+'2025 Overview (Rolling)'!J31</f>
        <v/>
      </c>
      <c r="K30" s="767">
        <f>+'2025 Overview (Rolling)'!K31</f>
        <v/>
      </c>
      <c r="L30" s="797">
        <f>+'2025 Overview (Rolling)'!L31</f>
        <v/>
      </c>
      <c r="M30" s="767">
        <f>M29/M14</f>
        <v/>
      </c>
      <c r="N30" s="767">
        <f>N29/N14</f>
        <v/>
      </c>
      <c r="O30" s="7" t="n"/>
      <c r="P30" s="780">
        <f>P29/P14</f>
        <v/>
      </c>
    </row>
    <row r="31" ht="15" customHeight="1" thickBot="1">
      <c r="B31" s="238" t="n"/>
      <c r="L31" s="116" t="n"/>
      <c r="M31" s="109" t="n"/>
      <c r="P31" s="184" t="n"/>
    </row>
    <row r="32">
      <c r="B32" s="255" t="inlineStr">
        <is>
          <t>Operating Cash</t>
        </is>
      </c>
      <c r="C32" s="784">
        <f>+'2025 Overview (Rolling)'!C36</f>
        <v/>
      </c>
      <c r="D32" s="783">
        <f>+'2025 Overview (Rolling)'!D36</f>
        <v/>
      </c>
      <c r="E32" s="783">
        <f>+'2025 Overview (Rolling)'!E36</f>
        <v/>
      </c>
      <c r="F32" s="784">
        <f>+'2025 Overview (Rolling)'!F36</f>
        <v/>
      </c>
      <c r="G32" s="784">
        <f>+'2025 Overview (Rolling)'!G36</f>
        <v/>
      </c>
      <c r="H32" s="784">
        <f>+'2025 Overview (Rolling)'!H36</f>
        <v/>
      </c>
      <c r="I32" s="784">
        <f>+'2025 Overview (Rolling)'!I36</f>
        <v/>
      </c>
      <c r="J32" s="784">
        <f>+'2025 Overview (Rolling)'!J36</f>
        <v/>
      </c>
      <c r="K32" s="784">
        <f>+'2025 Overview (Rolling)'!K36</f>
        <v/>
      </c>
      <c r="L32" s="798">
        <f>+'2025 Overview (Rolling)'!L36</f>
        <v/>
      </c>
      <c r="M32" s="800">
        <f>+'2024 AOP'!M31</f>
        <v/>
      </c>
      <c r="N32" s="784">
        <f>+'2024 AOP'!N31</f>
        <v/>
      </c>
      <c r="P32" s="184" t="n"/>
    </row>
    <row r="33">
      <c r="B33" s="256" t="inlineStr">
        <is>
          <t>Cash Inflow (Outflow)</t>
        </is>
      </c>
      <c r="C33" s="787">
        <f>+'2025 Overview (Rolling)'!C37</f>
        <v/>
      </c>
      <c r="D33" s="786">
        <f>+'2025 Overview (Rolling)'!D37</f>
        <v/>
      </c>
      <c r="E33" s="786">
        <f>+'2025 Overview (Rolling)'!E37</f>
        <v/>
      </c>
      <c r="F33" s="787">
        <f>+'2025 Overview (Rolling)'!F37</f>
        <v/>
      </c>
      <c r="G33" s="787">
        <f>+'2025 Overview (Rolling)'!G37</f>
        <v/>
      </c>
      <c r="H33" s="787">
        <f>+'2025 Overview (Rolling)'!H37</f>
        <v/>
      </c>
      <c r="I33" s="787">
        <f>+'2025 Overview (Rolling)'!I37</f>
        <v/>
      </c>
      <c r="J33" s="787">
        <f>+'2025 Overview (Rolling)'!J37</f>
        <v/>
      </c>
      <c r="K33" s="787">
        <f>+'2025 Overview (Rolling)'!K37</f>
        <v/>
      </c>
      <c r="L33" s="799">
        <f>+'2025 Overview (Rolling)'!L37</f>
        <v/>
      </c>
      <c r="M33" s="801">
        <f>+'2024 AOP'!M32</f>
        <v/>
      </c>
      <c r="N33" s="786">
        <f>+'2024 AOP'!N32</f>
        <v/>
      </c>
      <c r="O33" s="259" t="n"/>
      <c r="P33" s="260" t="n"/>
    </row>
    <row r="34">
      <c r="E34" s="782" t="n"/>
    </row>
  </sheetData>
  <mergeCells count="1">
    <mergeCell ref="B8:P8"/>
  </mergeCells>
  <pageMargins left="0.25" right="0.25" top="0.75" bottom="0.75" header="0.3" footer="0.3"/>
  <pageSetup orientation="landscape" scale="56" horizontalDpi="1200" verticalDpi="120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theme="1"/>
    <outlinePr summaryBelow="1" summaryRight="1"/>
    <pageSetUpPr fitToPage="1"/>
  </sheetPr>
  <dimension ref="B1:T38"/>
  <sheetViews>
    <sheetView showGridLines="0" topLeftCell="A8" zoomScale="70" zoomScaleNormal="70" workbookViewId="0">
      <selection activeCell="G74" sqref="G74"/>
    </sheetView>
  </sheetViews>
  <sheetFormatPr baseColWidth="8" defaultColWidth="8.6640625" defaultRowHeight="14.4"/>
  <cols>
    <col width="34" bestFit="1" customWidth="1" min="2" max="2"/>
    <col width="14.33203125" bestFit="1" customWidth="1" min="3" max="3"/>
    <col width="13.44140625" bestFit="1" customWidth="1" min="4" max="5"/>
    <col width="14.44140625" bestFit="1" customWidth="1" min="6" max="7"/>
    <col width="14.33203125" bestFit="1" customWidth="1" min="8" max="8"/>
    <col width="14.44140625" bestFit="1" customWidth="1" min="9" max="9"/>
    <col width="13" bestFit="1" customWidth="1" min="10" max="10"/>
    <col width="15" bestFit="1" customWidth="1" min="11" max="13"/>
    <col width="15.44140625" bestFit="1" customWidth="1" min="14" max="14"/>
    <col width="1.44140625" customWidth="1" min="15" max="15"/>
    <col width="14.44140625" bestFit="1" customWidth="1" min="16" max="16"/>
  </cols>
  <sheetData>
    <row r="1">
      <c r="B1" t="inlineStr">
        <is>
          <t xml:space="preserve"> </t>
        </is>
      </c>
    </row>
    <row r="8" ht="15.6" customHeight="1">
      <c r="B8" s="743" t="inlineStr">
        <is>
          <t>2024 Overview (Rolling Forecast)</t>
        </is>
      </c>
    </row>
    <row r="9" ht="1.95" customHeight="1"/>
    <row r="10" ht="15.6" customHeight="1">
      <c r="B10" s="234" t="n"/>
      <c r="C10" s="235">
        <f>TEXT('Monthly Detail'!D4,"mmmm")</f>
        <v/>
      </c>
      <c r="D10" s="235">
        <f>TEXT('Monthly Detail'!E4,"mmmm")</f>
        <v/>
      </c>
      <c r="E10" s="235">
        <f>TEXT('Monthly Detail'!F4,"mmmm")</f>
        <v/>
      </c>
      <c r="F10" s="235">
        <f>TEXT('Monthly Detail'!G4,"mmmm")</f>
        <v/>
      </c>
      <c r="G10" s="235">
        <f>TEXT('Monthly Detail'!H4,"mmmm")</f>
        <v/>
      </c>
      <c r="H10" s="320">
        <f>TEXT('Monthly Detail'!I4,"mmmm")</f>
        <v/>
      </c>
      <c r="I10" s="235">
        <f>TEXT('Monthly Detail'!J4,"mmmm")</f>
        <v/>
      </c>
      <c r="J10" s="494">
        <f>TEXT('Monthly Detail'!K4,"mmmm")</f>
        <v/>
      </c>
      <c r="K10" s="235">
        <f>TEXT('Monthly Detail'!L4,"mmmm")</f>
        <v/>
      </c>
      <c r="L10" s="314">
        <f>TEXT('Monthly Detail'!M4,"mmmm")</f>
        <v/>
      </c>
      <c r="M10" s="235">
        <f>TEXT('Monthly Detail'!N4,"mmmm")</f>
        <v/>
      </c>
      <c r="N10" s="235">
        <f>TEXT('Monthly Detail'!O4,"mmmm")</f>
        <v/>
      </c>
      <c r="O10" s="236" t="n"/>
      <c r="P10" s="237" t="inlineStr">
        <is>
          <t>Total</t>
        </is>
      </c>
    </row>
    <row r="11">
      <c r="B11" s="238" t="n"/>
      <c r="C11" s="91" t="n">
        <v>45322</v>
      </c>
      <c r="D11" s="91" t="n">
        <v>45351</v>
      </c>
      <c r="E11" s="91" t="n">
        <v>45382</v>
      </c>
      <c r="F11" s="91" t="n">
        <v>45412</v>
      </c>
      <c r="G11" s="91" t="n">
        <v>45443</v>
      </c>
      <c r="H11" s="91" t="n">
        <v>45473</v>
      </c>
      <c r="I11" s="91" t="n">
        <v>45504</v>
      </c>
      <c r="J11" s="91" t="n">
        <v>45535</v>
      </c>
      <c r="K11" s="91" t="n">
        <v>45565</v>
      </c>
      <c r="L11" s="91" t="n">
        <v>45596</v>
      </c>
      <c r="M11" s="91" t="n">
        <v>45626</v>
      </c>
      <c r="N11" s="91" t="n">
        <v>45657</v>
      </c>
      <c r="O11" s="91" t="n">
        <v>45322</v>
      </c>
      <c r="P11" s="184" t="n"/>
    </row>
    <row r="12">
      <c r="B12" s="239" t="inlineStr">
        <is>
          <t>Service Income</t>
        </is>
      </c>
      <c r="C12" s="73">
        <f>SUMIF('Monthly Detail'!$4:$4, '2024 Overview (Rolling)'!C$11, 'Monthly Detail'!12:12)</f>
        <v/>
      </c>
      <c r="D12" s="73">
        <f>SUMIF('Monthly Detail'!$4:$4, '2024 Overview (Rolling)'!D$11, 'Monthly Detail'!12:12)</f>
        <v/>
      </c>
      <c r="E12" s="73">
        <f>SUMIF('Monthly Detail'!$4:$4, '2024 Overview (Rolling)'!E$11, 'Monthly Detail'!12:12)</f>
        <v/>
      </c>
      <c r="F12" s="73">
        <f>SUMIF('Monthly Detail'!$4:$4, '2024 Overview (Rolling)'!F$11, 'Monthly Detail'!12:12)</f>
        <v/>
      </c>
      <c r="G12" s="73">
        <f>SUMIF('Monthly Detail'!$4:$4, '2024 Overview (Rolling)'!G$11, 'Monthly Detail'!12:12)</f>
        <v/>
      </c>
      <c r="H12" s="73">
        <f>SUMIF('Monthly Detail'!$4:$4, '2024 Overview (Rolling)'!H$11, 'Monthly Detail'!12:12)</f>
        <v/>
      </c>
      <c r="I12" s="73">
        <f>SUMIF('Monthly Detail'!$4:$4, '2024 Overview (Rolling)'!I$11, 'Monthly Detail'!12:12)</f>
        <v/>
      </c>
      <c r="J12" s="73">
        <f>SUMIF('Monthly Detail'!$4:$4, '2024 Overview (Rolling)'!J$11, 'Monthly Detail'!12:12)</f>
        <v/>
      </c>
      <c r="K12" s="73">
        <f>SUMIF('Monthly Detail'!$4:$4, '2024 Overview (Rolling)'!K$11, 'Monthly Detail'!12:12)</f>
        <v/>
      </c>
      <c r="L12" s="73">
        <f>SUMIF('Monthly Detail'!$4:$4, '2024 Overview (Rolling)'!L$11, 'Monthly Detail'!12:12)</f>
        <v/>
      </c>
      <c r="M12" s="73">
        <f>SUMIF('Monthly Detail'!$4:$4, '2024 Overview (Rolling)'!M$11, 'Monthly Detail'!12:12)</f>
        <v/>
      </c>
      <c r="N12" s="73">
        <f>SUMIF('Monthly Detail'!$4:$4, '2024 Overview (Rolling)'!N$11, 'Monthly Detail'!12:12)</f>
        <v/>
      </c>
      <c r="O12" s="73" t="n"/>
      <c r="P12" s="240">
        <f>SUM(C12:O12)</f>
        <v/>
      </c>
    </row>
    <row r="13">
      <c r="B13" s="239" t="inlineStr">
        <is>
          <t>Tips</t>
        </is>
      </c>
      <c r="C13" s="73">
        <f>SUMIF('Monthly Detail'!$4:$4, '2024 Overview (Rolling)'!C$11, 'Monthly Detail'!13:13)</f>
        <v/>
      </c>
      <c r="D13" s="73">
        <f>SUMIF('Monthly Detail'!$4:$4, '2024 Overview (Rolling)'!D$11, 'Monthly Detail'!13:13)</f>
        <v/>
      </c>
      <c r="E13" s="73">
        <f>SUMIF('Monthly Detail'!$4:$4, '2024 Overview (Rolling)'!E$11, 'Monthly Detail'!13:13)</f>
        <v/>
      </c>
      <c r="F13" s="73">
        <f>SUMIF('Monthly Detail'!$4:$4, '2024 Overview (Rolling)'!F$11, 'Monthly Detail'!13:13)</f>
        <v/>
      </c>
      <c r="G13" s="73">
        <f>SUMIF('Monthly Detail'!$4:$4, '2024 Overview (Rolling)'!G$11, 'Monthly Detail'!13:13)</f>
        <v/>
      </c>
      <c r="H13" s="73">
        <f>SUMIF('Monthly Detail'!$4:$4, '2024 Overview (Rolling)'!H$11, 'Monthly Detail'!13:13)</f>
        <v/>
      </c>
      <c r="I13" s="73">
        <f>SUMIF('Monthly Detail'!$4:$4, '2024 Overview (Rolling)'!I$11, 'Monthly Detail'!13:13)</f>
        <v/>
      </c>
      <c r="J13" s="73">
        <f>SUMIF('Monthly Detail'!$4:$4, '2024 Overview (Rolling)'!J$11, 'Monthly Detail'!13:13)</f>
        <v/>
      </c>
      <c r="K13" s="73">
        <f>SUMIF('Monthly Detail'!$4:$4, '2024 Overview (Rolling)'!K$11, 'Monthly Detail'!13:13)</f>
        <v/>
      </c>
      <c r="L13" s="73">
        <f>SUMIF('Monthly Detail'!$4:$4, '2024 Overview (Rolling)'!L$11, 'Monthly Detail'!13:13)</f>
        <v/>
      </c>
      <c r="M13" s="73">
        <f>SUMIF('Monthly Detail'!$4:$4, '2024 Overview (Rolling)'!M$11, 'Monthly Detail'!13:13)</f>
        <v/>
      </c>
      <c r="N13" s="73">
        <f>SUMIF('Monthly Detail'!$4:$4, '2024 Overview (Rolling)'!N$11, 'Monthly Detail'!13:13)</f>
        <v/>
      </c>
      <c r="O13" s="73" t="n"/>
      <c r="P13" s="240">
        <f>+SUM(C13:N13)</f>
        <v/>
      </c>
    </row>
    <row r="14">
      <c r="B14" s="241" t="inlineStr">
        <is>
          <t>Total Income</t>
        </is>
      </c>
      <c r="C14" s="74">
        <f>SUM(C12:C13)</f>
        <v/>
      </c>
      <c r="D14" s="74">
        <f>SUM(D12:D13)</f>
        <v/>
      </c>
      <c r="E14" s="74">
        <f>SUM(E12:E13)</f>
        <v/>
      </c>
      <c r="F14" s="74">
        <f>SUM(F12:F13)</f>
        <v/>
      </c>
      <c r="G14" s="74">
        <f>SUM(G12:G13)</f>
        <v/>
      </c>
      <c r="H14" s="74">
        <f>SUM(H12:H13)</f>
        <v/>
      </c>
      <c r="I14" s="74">
        <f>SUM(I12:I13)</f>
        <v/>
      </c>
      <c r="J14" s="495">
        <f>SUM(J12:J13)</f>
        <v/>
      </c>
      <c r="K14" s="74">
        <f>SUM(K12:K13)</f>
        <v/>
      </c>
      <c r="L14" s="74">
        <f>SUM(L12:L13)</f>
        <v/>
      </c>
      <c r="M14" s="74">
        <f>SUM(M12:M13)</f>
        <v/>
      </c>
      <c r="N14" s="242">
        <f>SUM(N12:N13)</f>
        <v/>
      </c>
      <c r="O14" s="75" t="n"/>
      <c r="P14" s="450">
        <f>SUM(P12:P13)</f>
        <v/>
      </c>
    </row>
    <row r="15">
      <c r="B15" s="243" t="inlineStr">
        <is>
          <t># of Students</t>
        </is>
      </c>
      <c r="C15" s="221">
        <f>+'Monthly Detail'!AB17</f>
        <v/>
      </c>
      <c r="D15" s="221">
        <f>+'Monthly Detail'!AC17</f>
        <v/>
      </c>
      <c r="E15" s="221">
        <f>+'Monthly Detail'!AD17</f>
        <v/>
      </c>
      <c r="F15" s="221">
        <f>+'Monthly Detail'!AE17</f>
        <v/>
      </c>
      <c r="G15" s="221">
        <f>+'Monthly Detail'!AF17</f>
        <v/>
      </c>
      <c r="H15" s="221">
        <f>+'Monthly Detail'!AG17</f>
        <v/>
      </c>
      <c r="I15" s="221">
        <f>+'Monthly Detail'!AH17</f>
        <v/>
      </c>
      <c r="J15" s="496">
        <f>+'Monthly Detail'!AI17</f>
        <v/>
      </c>
      <c r="K15" s="221">
        <f>+'Monthly Detail'!AJ17</f>
        <v/>
      </c>
      <c r="L15" s="221">
        <f>+'Monthly Detail'!AK17</f>
        <v/>
      </c>
      <c r="M15" s="221">
        <f>+'Monthly Detail'!AL17</f>
        <v/>
      </c>
      <c r="N15" s="321">
        <f>+'Monthly Detail'!AM17</f>
        <v/>
      </c>
      <c r="O15" s="75" t="n"/>
      <c r="P15" s="244" t="n"/>
    </row>
    <row r="16">
      <c r="B16" s="447" t="inlineStr">
        <is>
          <t># of Sessions</t>
        </is>
      </c>
      <c r="C16" s="448">
        <f>+'Monthly Detail'!AB22</f>
        <v/>
      </c>
      <c r="D16" s="448">
        <f>+'Monthly Detail'!AC22</f>
        <v/>
      </c>
      <c r="E16" s="448">
        <f>+'Monthly Detail'!AD22</f>
        <v/>
      </c>
      <c r="F16" s="448">
        <f>+'Monthly Detail'!AE22</f>
        <v/>
      </c>
      <c r="G16" s="448">
        <f>+'Monthly Detail'!AF22</f>
        <v/>
      </c>
      <c r="H16" s="448">
        <f>+'Monthly Detail'!AG22</f>
        <v/>
      </c>
      <c r="I16" s="448">
        <f>+'Monthly Detail'!AH22</f>
        <v/>
      </c>
      <c r="J16" s="497">
        <f>+'Monthly Detail'!AI22</f>
        <v/>
      </c>
      <c r="K16" s="448">
        <f>+'Monthly Detail'!AJ22</f>
        <v/>
      </c>
      <c r="L16" s="448">
        <f>+'Monthly Detail'!AK22</f>
        <v/>
      </c>
      <c r="M16" s="448">
        <f>+'Monthly Detail'!AL22</f>
        <v/>
      </c>
      <c r="N16" s="449">
        <f>+'Monthly Detail'!AM22</f>
        <v/>
      </c>
      <c r="O16" s="75" t="n"/>
      <c r="P16" s="244" t="n"/>
    </row>
    <row r="17" ht="7.2" customHeight="1">
      <c r="B17" s="238" t="n"/>
      <c r="C17" s="76" t="n"/>
      <c r="D17" s="76" t="n"/>
      <c r="E17" s="76" t="n"/>
      <c r="F17" s="76" t="n"/>
      <c r="G17" s="76" t="n"/>
      <c r="H17" s="76" t="n"/>
      <c r="I17" s="76" t="n"/>
      <c r="J17" s="76" t="n"/>
      <c r="K17" s="76" t="n"/>
      <c r="L17" s="76" t="n"/>
      <c r="M17" s="76" t="n"/>
      <c r="N17" s="76" t="n"/>
      <c r="P17" s="244" t="n"/>
    </row>
    <row r="18">
      <c r="B18" s="238" t="inlineStr">
        <is>
          <t>Subcontractor Expenses</t>
        </is>
      </c>
      <c r="C18" s="76">
        <f>SUMIF('Monthly Detail'!$4:$4, '2025 Overview (Budget)'!C$11, 'Monthly Detail'!65:65)</f>
        <v/>
      </c>
      <c r="D18" s="76">
        <f>SUMIF('Monthly Detail'!$4:$4, '2025 Overview (Budget)'!D$11, 'Monthly Detail'!65:65)</f>
        <v/>
      </c>
      <c r="E18" s="76">
        <f>SUMIF('Monthly Detail'!$4:$4, '2025 Overview (Budget)'!E$11, 'Monthly Detail'!65:65)</f>
        <v/>
      </c>
      <c r="F18" s="76">
        <f>SUMIF('Monthly Detail'!$4:$4, '2025 Overview (Budget)'!F$11, 'Monthly Detail'!65:65)</f>
        <v/>
      </c>
      <c r="G18" s="76">
        <f>SUMIF('Monthly Detail'!$4:$4, '2025 Overview (Budget)'!G$11, 'Monthly Detail'!65:65)</f>
        <v/>
      </c>
      <c r="H18" s="76">
        <f>SUMIF('Monthly Detail'!$4:$4, '2025 Overview (Budget)'!H$11, 'Monthly Detail'!65:65)</f>
        <v/>
      </c>
      <c r="I18" s="76">
        <f>SUMIF('Monthly Detail'!$4:$4, '2025 Overview (Budget)'!I$11, 'Monthly Detail'!65:65)</f>
        <v/>
      </c>
      <c r="J18" s="76">
        <f>SUMIF('Monthly Detail'!$4:$4, '2025 Overview (Budget)'!J$11, 'Monthly Detail'!65:65)</f>
        <v/>
      </c>
      <c r="K18" s="76">
        <f>SUMIF('Monthly Detail'!$4:$4, '2025 Overview (Budget)'!K$11, 'Monthly Detail'!65:65)</f>
        <v/>
      </c>
      <c r="L18" s="76">
        <f>SUMIF('Monthly Detail'!$4:$4, '2025 Overview (Budget)'!L$11, 'Monthly Detail'!65:65)</f>
        <v/>
      </c>
      <c r="M18" s="76">
        <f>SUMIF('Monthly Detail'!$4:$4, '2025 Overview (Budget)'!M$11, 'Monthly Detail'!65:65)</f>
        <v/>
      </c>
      <c r="N18" s="76">
        <f>SUMIF('Monthly Detail'!$4:$4, '2025 Overview (Budget)'!N$11, 'Monthly Detail'!65:65)</f>
        <v/>
      </c>
      <c r="P18" s="240">
        <f>SUM(C18:O18)</f>
        <v/>
      </c>
    </row>
    <row r="19" ht="15.6" customHeight="1">
      <c r="B19" s="245" t="inlineStr">
        <is>
          <t>Gross Margin</t>
        </is>
      </c>
      <c r="C19" s="88">
        <f>C14-C18</f>
        <v/>
      </c>
      <c r="D19" s="88">
        <f>D14-D18</f>
        <v/>
      </c>
      <c r="E19" s="88">
        <f>E14-E18</f>
        <v/>
      </c>
      <c r="F19" s="88">
        <f>F14-F18</f>
        <v/>
      </c>
      <c r="G19" s="88">
        <f>G14-G18</f>
        <v/>
      </c>
      <c r="H19" s="88">
        <f>H14-H18</f>
        <v/>
      </c>
      <c r="I19" s="88">
        <f>I14-I18</f>
        <v/>
      </c>
      <c r="J19" s="498">
        <f>J14-J18</f>
        <v/>
      </c>
      <c r="K19" s="88">
        <f>K14-K18</f>
        <v/>
      </c>
      <c r="L19" s="88">
        <f>L14-L18</f>
        <v/>
      </c>
      <c r="M19" s="88">
        <f>M14-M18</f>
        <v/>
      </c>
      <c r="N19" s="247">
        <f>N14-N18</f>
        <v/>
      </c>
      <c r="O19" s="246" t="n"/>
      <c r="P19" s="454">
        <f>P14-P18</f>
        <v/>
      </c>
    </row>
    <row r="20">
      <c r="B20" s="451" t="inlineStr">
        <is>
          <t>GM %</t>
        </is>
      </c>
      <c r="C20" s="776">
        <f>C19/C14</f>
        <v/>
      </c>
      <c r="D20" s="776">
        <f>D19/D14</f>
        <v/>
      </c>
      <c r="E20" s="776">
        <f>E19/E14</f>
        <v/>
      </c>
      <c r="F20" s="776">
        <f>F19/F14</f>
        <v/>
      </c>
      <c r="G20" s="776">
        <f>G19/G14</f>
        <v/>
      </c>
      <c r="H20" s="776">
        <f>H19/H14</f>
        <v/>
      </c>
      <c r="I20" s="776">
        <f>I19/I14</f>
        <v/>
      </c>
      <c r="J20" s="776">
        <f>J19/J14</f>
        <v/>
      </c>
      <c r="K20" s="776">
        <f>K19/K14</f>
        <v/>
      </c>
      <c r="L20" s="776">
        <f>L19/L14</f>
        <v/>
      </c>
      <c r="M20" s="776">
        <f>M19/M14</f>
        <v/>
      </c>
      <c r="N20" s="777">
        <f>N19/N14</f>
        <v/>
      </c>
      <c r="O20" s="7" t="n"/>
      <c r="P20" s="778">
        <f>P19/P14</f>
        <v/>
      </c>
    </row>
    <row r="21" ht="6.45" customHeight="1">
      <c r="B21" s="238" t="n"/>
      <c r="P21" s="184" t="n"/>
    </row>
    <row r="22">
      <c r="B22" s="238" t="inlineStr">
        <is>
          <t>Sales &amp; Marketing Expenses</t>
        </is>
      </c>
      <c r="C22" s="73">
        <f>SUMIF('Monthly Detail'!$4:$4, '2024 Overview (Rolling)'!C$11, 'Monthly Detail'!$72:$72)</f>
        <v/>
      </c>
      <c r="D22" s="73">
        <f>SUMIF('Monthly Detail'!$4:$4, '2024 Overview (Rolling)'!D$11, 'Monthly Detail'!$72:$72)</f>
        <v/>
      </c>
      <c r="E22" s="73">
        <f>SUMIF('Monthly Detail'!$4:$4, '2024 Overview (Rolling)'!E$11, 'Monthly Detail'!$72:$72)</f>
        <v/>
      </c>
      <c r="F22" s="73">
        <f>SUMIF('Monthly Detail'!$4:$4, '2024 Overview (Rolling)'!F$11, 'Monthly Detail'!$72:$72)</f>
        <v/>
      </c>
      <c r="G22" s="73">
        <f>SUMIF('Monthly Detail'!$4:$4, '2024 Overview (Rolling)'!G$11, 'Monthly Detail'!$72:$72)</f>
        <v/>
      </c>
      <c r="H22" s="73">
        <f>SUMIF('Monthly Detail'!$4:$4, '2024 Overview (Rolling)'!H$11, 'Monthly Detail'!$72:$72)</f>
        <v/>
      </c>
      <c r="I22" s="73">
        <f>SUMIF('Monthly Detail'!$4:$4, '2024 Overview (Rolling)'!I$11, 'Monthly Detail'!$72:$72)</f>
        <v/>
      </c>
      <c r="J22" s="73">
        <f>SUMIF('Monthly Detail'!$4:$4, '2024 Overview (Rolling)'!J$11, 'Monthly Detail'!$72:$72)</f>
        <v/>
      </c>
      <c r="K22" s="73">
        <f>SUMIF('Monthly Detail'!$4:$4, '2024 Overview (Rolling)'!K$11, 'Monthly Detail'!$72:$72)</f>
        <v/>
      </c>
      <c r="L22" s="73">
        <f>SUMIF('Monthly Detail'!$4:$4, '2024 Overview (Rolling)'!L$11, 'Monthly Detail'!$72:$72)</f>
        <v/>
      </c>
      <c r="M22" s="73">
        <f>SUMIF('Monthly Detail'!$4:$4, '2024 Overview (Rolling)'!M$11, 'Monthly Detail'!$72:$72)</f>
        <v/>
      </c>
      <c r="N22" s="73">
        <f>SUMIF('Monthly Detail'!$4:$4, '2024 Overview (Rolling)'!N$11, 'Monthly Detail'!$72:$72)</f>
        <v/>
      </c>
      <c r="P22" s="240">
        <f>SUM(C22:O22)</f>
        <v/>
      </c>
      <c r="T22" s="1" t="n"/>
    </row>
    <row r="23">
      <c r="B23" s="238" t="inlineStr">
        <is>
          <t>General &amp; Admintrative Expenses</t>
        </is>
      </c>
      <c r="C23" s="73">
        <f>SUMIF('Monthly Detail'!$4:$4, '2024 Overview (Rolling)'!C$11, 'Monthly Detail'!$95:$95)</f>
        <v/>
      </c>
      <c r="D23" s="73">
        <f>SUMIF('Monthly Detail'!$4:$4, '2024 Overview (Rolling)'!D$11, 'Monthly Detail'!$95:$95)</f>
        <v/>
      </c>
      <c r="E23" s="73">
        <f>SUMIF('Monthly Detail'!$4:$4, '2024 Overview (Rolling)'!E$11, 'Monthly Detail'!$95:$95)</f>
        <v/>
      </c>
      <c r="F23" s="73">
        <f>SUMIF('Monthly Detail'!$4:$4, '2024 Overview (Rolling)'!F$11, 'Monthly Detail'!$95:$95)</f>
        <v/>
      </c>
      <c r="G23" s="73">
        <f>SUMIF('Monthly Detail'!$4:$4, '2024 Overview (Rolling)'!G$11, 'Monthly Detail'!$95:$95)</f>
        <v/>
      </c>
      <c r="H23" s="73">
        <f>SUMIF('Monthly Detail'!$4:$4, '2024 Overview (Rolling)'!H$11, 'Monthly Detail'!$95:$95)</f>
        <v/>
      </c>
      <c r="I23" s="73">
        <f>SUMIF('Monthly Detail'!$4:$4, '2024 Overview (Rolling)'!I$11, 'Monthly Detail'!$95:$95)</f>
        <v/>
      </c>
      <c r="J23" s="73">
        <f>SUMIF('Monthly Detail'!$4:$4, '2024 Overview (Rolling)'!J$11, 'Monthly Detail'!$95:$95)</f>
        <v/>
      </c>
      <c r="K23" s="73">
        <f>SUMIF('Monthly Detail'!$4:$4, '2024 Overview (Rolling)'!K$11, 'Monthly Detail'!$95:$95)</f>
        <v/>
      </c>
      <c r="L23" s="73">
        <f>SUMIF('Monthly Detail'!$4:$4, '2024 Overview (Rolling)'!L$11, 'Monthly Detail'!$95:$95)</f>
        <v/>
      </c>
      <c r="M23" s="73">
        <f>SUMIF('Monthly Detail'!$4:$4, '2024 Overview (Rolling)'!M$11, 'Monthly Detail'!$95:$95)</f>
        <v/>
      </c>
      <c r="N23" s="73">
        <f>SUMIF('Monthly Detail'!$4:$4, '2024 Overview (Rolling)'!N$11, 'Monthly Detail'!$95:$95)</f>
        <v/>
      </c>
      <c r="P23" s="240">
        <f>SUM(C23:O23)</f>
        <v/>
      </c>
    </row>
    <row r="24">
      <c r="B24" s="456" t="inlineStr">
        <is>
          <t>Operating Expenses</t>
        </is>
      </c>
      <c r="C24" s="457">
        <f>SUM(C23:C23)</f>
        <v/>
      </c>
      <c r="D24" s="457">
        <f>SUM(D22:D23)</f>
        <v/>
      </c>
      <c r="E24" s="457">
        <f>SUM(E22:E23)</f>
        <v/>
      </c>
      <c r="F24" s="457">
        <f>SUM(F22:F23)</f>
        <v/>
      </c>
      <c r="G24" s="457">
        <f>SUM(G22:G23)</f>
        <v/>
      </c>
      <c r="H24" s="457">
        <f>SUM(H22:H23)</f>
        <v/>
      </c>
      <c r="I24" s="457">
        <f>SUM(I22:I23)</f>
        <v/>
      </c>
      <c r="J24" s="499">
        <f>SUM(J22:J23)</f>
        <v/>
      </c>
      <c r="K24" s="457">
        <f>SUM(K22:K23)</f>
        <v/>
      </c>
      <c r="L24" s="457">
        <f>SUM(L22:L23)</f>
        <v/>
      </c>
      <c r="M24" s="457">
        <f>SUM(M22:M23)</f>
        <v/>
      </c>
      <c r="N24" s="458">
        <f>SUM(N22:N23)</f>
        <v/>
      </c>
      <c r="O24" s="433" t="n"/>
      <c r="P24" s="459">
        <f>SUM(P22:P23)</f>
        <v/>
      </c>
    </row>
    <row r="25" ht="4.95" customHeight="1">
      <c r="B25" s="238" t="n"/>
      <c r="P25" s="184" t="n"/>
    </row>
    <row r="26" ht="15.6" customHeight="1">
      <c r="B26" s="245" t="inlineStr">
        <is>
          <t>Net Operating Income (EBITDA)</t>
        </is>
      </c>
      <c r="C26" s="88">
        <f>C19-C24</f>
        <v/>
      </c>
      <c r="D26" s="88">
        <f>D19-D24</f>
        <v/>
      </c>
      <c r="E26" s="88">
        <f>E19-E24</f>
        <v/>
      </c>
      <c r="F26" s="88">
        <f>F19-F24</f>
        <v/>
      </c>
      <c r="G26" s="88">
        <f>G19-G24</f>
        <v/>
      </c>
      <c r="H26" s="88">
        <f>H19-H24</f>
        <v/>
      </c>
      <c r="I26" s="88">
        <f>I19-I24</f>
        <v/>
      </c>
      <c r="J26" s="498">
        <f>J19-J24</f>
        <v/>
      </c>
      <c r="K26" s="88">
        <f>K19-K24</f>
        <v/>
      </c>
      <c r="L26" s="88">
        <f>L19-L24</f>
        <v/>
      </c>
      <c r="M26" s="88">
        <f>M19-M24</f>
        <v/>
      </c>
      <c r="N26" s="247">
        <f>N19-N24</f>
        <v/>
      </c>
      <c r="O26" s="246" t="n"/>
      <c r="P26" s="454">
        <f>P19-P24</f>
        <v/>
      </c>
    </row>
    <row r="27">
      <c r="B27" s="451" t="inlineStr">
        <is>
          <t>EBITDA %</t>
        </is>
      </c>
      <c r="C27" s="776">
        <f>C26/C14</f>
        <v/>
      </c>
      <c r="D27" s="776">
        <f>D26/D14</f>
        <v/>
      </c>
      <c r="E27" s="776">
        <f>E26/E14</f>
        <v/>
      </c>
      <c r="F27" s="776">
        <f>F26/F14</f>
        <v/>
      </c>
      <c r="G27" s="776">
        <f>G26/G14</f>
        <v/>
      </c>
      <c r="H27" s="776">
        <f>H26/H14</f>
        <v/>
      </c>
      <c r="I27" s="776">
        <f>I26/I14</f>
        <v/>
      </c>
      <c r="J27" s="776">
        <f>J26/J14</f>
        <v/>
      </c>
      <c r="K27" s="776">
        <f>K26/K14</f>
        <v/>
      </c>
      <c r="L27" s="776">
        <f>L26/L14</f>
        <v/>
      </c>
      <c r="M27" s="776">
        <f>M26/M14</f>
        <v/>
      </c>
      <c r="N27" s="777">
        <f>N26/N14</f>
        <v/>
      </c>
      <c r="O27" s="7" t="n"/>
      <c r="P27" s="778">
        <f>P26/P14</f>
        <v/>
      </c>
    </row>
    <row r="28" ht="7.95" customHeight="1">
      <c r="B28" s="253" t="n"/>
      <c r="C28" s="770" t="n"/>
      <c r="D28" s="770" t="n"/>
      <c r="E28" s="770" t="n"/>
      <c r="F28" s="770" t="n"/>
      <c r="G28" s="770" t="n"/>
      <c r="H28" s="770" t="n"/>
      <c r="I28" s="770" t="n"/>
      <c r="J28" s="770" t="n"/>
      <c r="K28" s="770" t="n"/>
      <c r="L28" s="770" t="n"/>
      <c r="M28" s="770" t="n"/>
      <c r="N28" s="770" t="n"/>
      <c r="P28" s="779" t="n"/>
    </row>
    <row r="29">
      <c r="B29" s="238" t="inlineStr">
        <is>
          <t>Other Income / (Expense)</t>
        </is>
      </c>
      <c r="C29" s="132">
        <f>SUMIF('Monthly Detail'!$4:$4, '2024 Overview (Rolling)'!C$11, 'Monthly Detail'!109:109)</f>
        <v/>
      </c>
      <c r="D29" s="132">
        <f>SUMIF('Monthly Detail'!$4:$4, '2024 Overview (Rolling)'!D$11, 'Monthly Detail'!109:109)</f>
        <v/>
      </c>
      <c r="E29" s="132">
        <f>SUMIF('Monthly Detail'!$4:$4, '2024 Overview (Rolling)'!E$11, 'Monthly Detail'!109:109)</f>
        <v/>
      </c>
      <c r="F29" s="132">
        <f>SUMIF('Monthly Detail'!$4:$4, '2024 Overview (Rolling)'!F$11, 'Monthly Detail'!109:109)</f>
        <v/>
      </c>
      <c r="G29" s="132">
        <f>SUMIF('Monthly Detail'!$4:$4, '2024 Overview (Rolling)'!G$11, 'Monthly Detail'!109:109)</f>
        <v/>
      </c>
      <c r="H29" s="132">
        <f>SUMIF('Monthly Detail'!$4:$4, '2024 Overview (Rolling)'!H$11, 'Monthly Detail'!109:109)</f>
        <v/>
      </c>
      <c r="I29" s="132">
        <f>SUMIF('Monthly Detail'!$4:$4, '2024 Overview (Rolling)'!I$11, 'Monthly Detail'!109:109)</f>
        <v/>
      </c>
      <c r="J29" s="500">
        <f>SUMIF('Monthly Detail'!$4:$4, '2024 Overview (Rolling)'!J$11, 'Monthly Detail'!109:109)</f>
        <v/>
      </c>
      <c r="K29" s="132">
        <f>SUMIF('Monthly Detail'!$4:$4, '2024 Overview (Rolling)'!K$11, 'Monthly Detail'!109:109)</f>
        <v/>
      </c>
      <c r="L29" s="132">
        <f>SUMIF('Monthly Detail'!$4:$4, '2024 Overview (Rolling)'!L$11, 'Monthly Detail'!109:109)</f>
        <v/>
      </c>
      <c r="M29" s="132">
        <f>SUMIF('Monthly Detail'!$4:$4, '2024 Overview (Rolling)'!M$11, 'Monthly Detail'!109:109)</f>
        <v/>
      </c>
      <c r="N29" s="132">
        <f>SUMIF('Monthly Detail'!$4:$4, '2024 Overview (Rolling)'!N$11, 'Monthly Detail'!109:109)</f>
        <v/>
      </c>
      <c r="O29" s="132" t="n"/>
      <c r="P29" s="708">
        <f>SUM(C29:O29)</f>
        <v/>
      </c>
    </row>
    <row r="30" ht="15.6" customHeight="1">
      <c r="B30" s="245" t="inlineStr">
        <is>
          <t>Net Income</t>
        </is>
      </c>
      <c r="C30" s="88">
        <f>C26+SUM(C29:C29)</f>
        <v/>
      </c>
      <c r="D30" s="88">
        <f>D26+SUM(D29:D29)</f>
        <v/>
      </c>
      <c r="E30" s="88">
        <f>E26+SUM(E29:E29)</f>
        <v/>
      </c>
      <c r="F30" s="88">
        <f>F26+SUM(F29:F29)</f>
        <v/>
      </c>
      <c r="G30" s="88">
        <f>G26+SUM(G29:G29)</f>
        <v/>
      </c>
      <c r="H30" s="88">
        <f>H26+SUM(H29:H29)</f>
        <v/>
      </c>
      <c r="I30" s="88">
        <f>I26+SUM(I29:I29)</f>
        <v/>
      </c>
      <c r="J30" s="498">
        <f>J26+SUM(J29:J29)</f>
        <v/>
      </c>
      <c r="K30" s="88">
        <f>K26+SUM(K29:K29)</f>
        <v/>
      </c>
      <c r="L30" s="88">
        <f>L26+SUM(L29:L29)</f>
        <v/>
      </c>
      <c r="M30" s="88">
        <f>M26+SUM(M29:M29)</f>
        <v/>
      </c>
      <c r="N30" s="247">
        <f>N26+SUM(N29:N29)</f>
        <v/>
      </c>
      <c r="O30" s="246" t="n"/>
      <c r="P30" s="454">
        <f>P26+SUM(P29:P29)</f>
        <v/>
      </c>
    </row>
    <row r="31">
      <c r="B31" s="248" t="inlineStr">
        <is>
          <t>NI %</t>
        </is>
      </c>
      <c r="C31" s="767">
        <f>C30/C14</f>
        <v/>
      </c>
      <c r="D31" s="767">
        <f>D30/D14</f>
        <v/>
      </c>
      <c r="E31" s="767">
        <f>E30/E14</f>
        <v/>
      </c>
      <c r="F31" s="767">
        <f>F30/F14</f>
        <v/>
      </c>
      <c r="G31" s="767">
        <f>G30/G14</f>
        <v/>
      </c>
      <c r="H31" s="767">
        <f>H30/H14</f>
        <v/>
      </c>
      <c r="I31" s="767">
        <f>I30/I14</f>
        <v/>
      </c>
      <c r="J31" s="767">
        <f>J30/J14</f>
        <v/>
      </c>
      <c r="K31" s="767">
        <f>K30/K14</f>
        <v/>
      </c>
      <c r="L31" s="767">
        <f>L30/L14</f>
        <v/>
      </c>
      <c r="M31" s="767">
        <f>M30/M14</f>
        <v/>
      </c>
      <c r="N31" s="780">
        <f>N30/N14</f>
        <v/>
      </c>
      <c r="O31" s="7" t="n"/>
      <c r="P31" s="781">
        <f>P30/P14</f>
        <v/>
      </c>
    </row>
    <row r="32">
      <c r="B32" s="248" t="inlineStr">
        <is>
          <t>Cash Contributions</t>
        </is>
      </c>
      <c r="C32" s="739">
        <f>+'Monthly Detail'!AB149-'Monthly Detail'!AA149</f>
        <v/>
      </c>
      <c r="D32" s="739">
        <f>+'Monthly Detail'!AC149-'Monthly Detail'!AB149</f>
        <v/>
      </c>
      <c r="E32" s="739">
        <f>+'Monthly Detail'!AD149-'Monthly Detail'!AC149</f>
        <v/>
      </c>
      <c r="F32" s="739">
        <f>+'Monthly Detail'!AE149-'Monthly Detail'!AD149</f>
        <v/>
      </c>
      <c r="G32" s="739">
        <f>+'Monthly Detail'!AF149-'Monthly Detail'!AE149</f>
        <v/>
      </c>
      <c r="H32" s="739">
        <f>+'Monthly Detail'!AG149-'Monthly Detail'!AF149</f>
        <v/>
      </c>
      <c r="I32" s="739">
        <f>+'Monthly Detail'!AH149-'Monthly Detail'!AG149</f>
        <v/>
      </c>
      <c r="J32" s="739">
        <f>+'Monthly Detail'!AI149-'Monthly Detail'!AH149</f>
        <v/>
      </c>
      <c r="K32" s="739">
        <f>+'Monthly Detail'!AJ149-'Monthly Detail'!AI149</f>
        <v/>
      </c>
      <c r="L32" s="739">
        <f>+'Monthly Detail'!AK149-'Monthly Detail'!AJ149</f>
        <v/>
      </c>
      <c r="M32" s="739">
        <f>+'Monthly Detail'!AL149-'Monthly Detail'!AK149</f>
        <v/>
      </c>
      <c r="N32" s="278">
        <f>+'Monthly Detail'!AM149-'Monthly Detail'!AL149</f>
        <v/>
      </c>
      <c r="O32" s="7" t="n"/>
      <c r="P32" s="463">
        <f>+SUM(C32:N32)</f>
        <v/>
      </c>
    </row>
    <row r="33">
      <c r="B33" s="248" t="inlineStr">
        <is>
          <t>Owner Cash Distributions</t>
        </is>
      </c>
      <c r="C33" s="739">
        <f>+'Monthly Detail'!AB150-'Monthly Detail'!AA150</f>
        <v/>
      </c>
      <c r="D33" s="739">
        <f>+'Monthly Detail'!AC150-'Monthly Detail'!AB150</f>
        <v/>
      </c>
      <c r="E33" s="739">
        <f>+'Monthly Detail'!AD150-'Monthly Detail'!AC150</f>
        <v/>
      </c>
      <c r="F33" s="739">
        <f>+'Monthly Detail'!AE150-'Monthly Detail'!AD150</f>
        <v/>
      </c>
      <c r="G33" s="739">
        <f>+'Monthly Detail'!AF150-'Monthly Detail'!AE150</f>
        <v/>
      </c>
      <c r="H33" s="739">
        <f>+'Monthly Detail'!AG150-'Monthly Detail'!AF150</f>
        <v/>
      </c>
      <c r="I33" s="739">
        <f>+'Monthly Detail'!AH150-'Monthly Detail'!AG150</f>
        <v/>
      </c>
      <c r="J33" s="739">
        <f>+'Monthly Detail'!AI150-'Monthly Detail'!AH150</f>
        <v/>
      </c>
      <c r="K33" s="739">
        <f>+'Monthly Detail'!AJ150-'Monthly Detail'!AI150</f>
        <v/>
      </c>
      <c r="L33" s="739">
        <f>+'Monthly Detail'!AK150-'Monthly Detail'!AJ150</f>
        <v/>
      </c>
      <c r="M33" s="739">
        <f>+'Monthly Detail'!AL150-'Monthly Detail'!AK150</f>
        <v/>
      </c>
      <c r="N33" s="278">
        <f>+'Monthly Detail'!AM150-'Monthly Detail'!AL150</f>
        <v/>
      </c>
      <c r="O33" s="7" t="n"/>
      <c r="P33" s="463">
        <f>+SUM(C33:N33)</f>
        <v/>
      </c>
    </row>
    <row r="34">
      <c r="B34" s="451" t="inlineStr">
        <is>
          <t>Accrued Tax Burden</t>
        </is>
      </c>
      <c r="C34" s="460">
        <f>+(C30)*0.153</f>
        <v/>
      </c>
      <c r="D34" s="460">
        <f>+C34+((D26)*0.153)</f>
        <v/>
      </c>
      <c r="E34" s="460">
        <f>+D34+((E26)*0.153)</f>
        <v/>
      </c>
      <c r="F34" s="460">
        <f>+E34+((F26)*0.153)</f>
        <v/>
      </c>
      <c r="G34" s="460">
        <f>+F34+((G26)*0.153)</f>
        <v/>
      </c>
      <c r="H34" s="460">
        <f>+G34+((H26)*0.153)</f>
        <v/>
      </c>
      <c r="I34" s="460">
        <f>+H34+((I26)*0.153)</f>
        <v/>
      </c>
      <c r="J34" s="460">
        <f>+I34+((J26)*0.153)</f>
        <v/>
      </c>
      <c r="K34" s="460">
        <f>+J34+((K26)*0.153)</f>
        <v/>
      </c>
      <c r="L34" s="460">
        <f>+K34+((L26)*0.153)</f>
        <v/>
      </c>
      <c r="M34" s="460">
        <f>+L34+((M26)*0.153)</f>
        <v/>
      </c>
      <c r="N34" s="461">
        <f>+M34+((N26)*0.153)</f>
        <v/>
      </c>
      <c r="O34" s="375" t="n"/>
      <c r="P34" s="562">
        <f>+N34</f>
        <v/>
      </c>
    </row>
    <row r="35" ht="15" customHeight="1" thickBot="1">
      <c r="B35" s="238" t="n"/>
      <c r="H35" s="782" t="n"/>
      <c r="M35" s="109" t="n"/>
      <c r="P35" s="184" t="n"/>
    </row>
    <row r="36">
      <c r="B36" s="255" t="inlineStr">
        <is>
          <t>Operating Cash</t>
        </is>
      </c>
      <c r="C36" s="783">
        <f>SUMIF('Monthly Detail'!$4:$4, '2024 Overview (Rolling)'!C$11, 'Monthly Detail'!174:174)</f>
        <v/>
      </c>
      <c r="D36" s="784">
        <f>SUMIF('Monthly Detail'!$4:$4, '2024 Overview (Rolling)'!D$11, 'Monthly Detail'!174:174)</f>
        <v/>
      </c>
      <c r="E36" s="784">
        <f>SUMIF('Monthly Detail'!$4:$4, '2024 Overview (Rolling)'!E$11, 'Monthly Detail'!174:174)</f>
        <v/>
      </c>
      <c r="F36" s="784">
        <f>SUMIF('Monthly Detail'!$4:$4, '2024 Overview (Rolling)'!F$11, 'Monthly Detail'!174:174)</f>
        <v/>
      </c>
      <c r="G36" s="784">
        <f>SUMIF('Monthly Detail'!$4:$4, '2024 Overview (Rolling)'!G$11, 'Monthly Detail'!174:174)</f>
        <v/>
      </c>
      <c r="H36" s="784">
        <f>SUMIF('Monthly Detail'!$4:$4, '2024 Overview (Rolling)'!H$11, 'Monthly Detail'!174:174)</f>
        <v/>
      </c>
      <c r="I36" s="784">
        <f>SUMIF('Monthly Detail'!$4:$4, '2024 Overview (Rolling)'!I$11, 'Monthly Detail'!174:174)</f>
        <v/>
      </c>
      <c r="J36" s="802">
        <f>SUMIF('Monthly Detail'!$4:$4, '2024 Overview (Rolling)'!J$11, 'Monthly Detail'!174:174)</f>
        <v/>
      </c>
      <c r="K36" s="784">
        <f>SUMIF('Monthly Detail'!$4:$4, '2024 Overview (Rolling)'!K$11, 'Monthly Detail'!174:174)</f>
        <v/>
      </c>
      <c r="L36" s="785">
        <f>SUMIF('Monthly Detail'!$4:$4, '2024 Overview (Rolling)'!L$11, 'Monthly Detail'!174:174)</f>
        <v/>
      </c>
      <c r="M36" s="784">
        <f>SUMIF('Monthly Detail'!$4:$4, '2024 Overview (Rolling)'!M$11, 'Monthly Detail'!174:174)</f>
        <v/>
      </c>
      <c r="N36" s="783">
        <f>SUMIF('Monthly Detail'!$4:$4, '2024 Overview (Rolling)'!N$11, 'Monthly Detail'!174:174)</f>
        <v/>
      </c>
      <c r="P36" s="184" t="n"/>
    </row>
    <row r="37">
      <c r="B37" s="256" t="inlineStr">
        <is>
          <t>Cash Inflow (Outflow)</t>
        </is>
      </c>
      <c r="C37" s="786">
        <f>SUMIF('Monthly Detail'!$4:$4, '2024 Overview (Rolling)'!C$11, 'Monthly Detail'!171:171)</f>
        <v/>
      </c>
      <c r="D37" s="787">
        <f>SUMIF('Monthly Detail'!$4:$4, '2024 Overview (Rolling)'!D$11, 'Monthly Detail'!171:171)</f>
        <v/>
      </c>
      <c r="E37" s="787">
        <f>SUMIF('Monthly Detail'!$4:$4, '2024 Overview (Rolling)'!E$11, 'Monthly Detail'!171:171)</f>
        <v/>
      </c>
      <c r="F37" s="787">
        <f>SUMIF('Monthly Detail'!$4:$4, '2024 Overview (Rolling)'!F$11, 'Monthly Detail'!171:171)</f>
        <v/>
      </c>
      <c r="G37" s="787">
        <f>SUMIF('Monthly Detail'!$4:$4, '2024 Overview (Rolling)'!G$11, 'Monthly Detail'!171:171)</f>
        <v/>
      </c>
      <c r="H37" s="787">
        <f>SUMIF('Monthly Detail'!$4:$4, '2024 Overview (Rolling)'!H$11, 'Monthly Detail'!171:171)</f>
        <v/>
      </c>
      <c r="I37" s="787">
        <f>SUMIF('Monthly Detail'!$4:$4, '2024 Overview (Rolling)'!I$11, 'Monthly Detail'!171:171)</f>
        <v/>
      </c>
      <c r="J37" s="803">
        <f>SUMIF('Monthly Detail'!$4:$4, '2024 Overview (Rolling)'!J$11, 'Monthly Detail'!171:171)</f>
        <v/>
      </c>
      <c r="K37" s="787">
        <f>SUMIF('Monthly Detail'!$4:$4, '2024 Overview (Rolling)'!K$11, 'Monthly Detail'!171:171)</f>
        <v/>
      </c>
      <c r="L37" s="788">
        <f>SUMIF('Monthly Detail'!$4:$4, '2024 Overview (Rolling)'!L$11, 'Monthly Detail'!171:171)</f>
        <v/>
      </c>
      <c r="M37" s="787">
        <f>SUMIF('Monthly Detail'!$4:$4, '2024 Overview (Rolling)'!M$11, 'Monthly Detail'!171:171)</f>
        <v/>
      </c>
      <c r="N37" s="786">
        <f>SUMIF('Monthly Detail'!$4:$4, '2024 Overview (Rolling)'!N$11, 'Monthly Detail'!171:171)</f>
        <v/>
      </c>
      <c r="O37" s="259" t="n"/>
      <c r="P37" s="260" t="n"/>
    </row>
    <row r="38">
      <c r="E38" s="782" t="n"/>
    </row>
  </sheetData>
  <mergeCells count="1">
    <mergeCell ref="B8:P8"/>
  </mergeCells>
  <pageMargins left="0.25" right="0.25" top="0.75" bottom="0.75" header="0.3" footer="0.3"/>
  <pageSetup orientation="landscape" scale="55" horizontalDpi="1200" verticalDpi="120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theme="1"/>
    <outlinePr summaryBelow="1" summaryRight="1"/>
    <pageSetUpPr fitToPage="1"/>
  </sheetPr>
  <dimension ref="B10:T33"/>
  <sheetViews>
    <sheetView showGridLines="0" zoomScale="90" zoomScaleNormal="90" workbookViewId="0">
      <selection activeCell="C12" sqref="C12"/>
    </sheetView>
  </sheetViews>
  <sheetFormatPr baseColWidth="8" defaultColWidth="8.6640625" defaultRowHeight="14.4"/>
  <cols>
    <col width="34" bestFit="1" customWidth="1" min="2" max="2"/>
    <col width="12.6640625" bestFit="1" customWidth="1" min="3" max="3"/>
    <col width="13.6640625" bestFit="1" customWidth="1" min="4" max="4"/>
    <col width="14.33203125" bestFit="1" customWidth="1" min="5" max="6"/>
    <col width="15.33203125" bestFit="1" customWidth="1" min="7" max="7"/>
    <col width="15.6640625" bestFit="1" customWidth="1" min="8" max="8"/>
    <col width="15.33203125" bestFit="1" customWidth="1" min="9" max="9"/>
    <col width="14.6640625" bestFit="1" customWidth="1" min="10" max="10"/>
    <col width="15.33203125" bestFit="1" customWidth="1" min="11" max="11"/>
    <col width="15.6640625" bestFit="1" customWidth="1" min="12" max="14"/>
    <col width="9.44140625" bestFit="1" customWidth="1" min="15" max="15"/>
    <col width="13.6640625" bestFit="1" customWidth="1" min="16" max="16"/>
  </cols>
  <sheetData>
    <row r="10" ht="15.6" customHeight="1">
      <c r="B10" s="68" t="n"/>
      <c r="C10" s="69" t="inlineStr">
        <is>
          <t>January</t>
        </is>
      </c>
      <c r="D10" s="69" t="inlineStr">
        <is>
          <t>February</t>
        </is>
      </c>
      <c r="E10" s="69" t="inlineStr">
        <is>
          <t>March</t>
        </is>
      </c>
      <c r="F10" s="69" t="inlineStr">
        <is>
          <t>April</t>
        </is>
      </c>
      <c r="G10" s="69" t="inlineStr">
        <is>
          <t>May</t>
        </is>
      </c>
      <c r="H10" s="69" t="inlineStr">
        <is>
          <t>June</t>
        </is>
      </c>
      <c r="I10" s="69" t="inlineStr">
        <is>
          <t>July</t>
        </is>
      </c>
      <c r="J10" s="69" t="inlineStr">
        <is>
          <t>August</t>
        </is>
      </c>
      <c r="K10" s="69" t="inlineStr">
        <is>
          <t>September</t>
        </is>
      </c>
      <c r="L10" s="69" t="inlineStr">
        <is>
          <t>October</t>
        </is>
      </c>
      <c r="M10" s="69" t="inlineStr">
        <is>
          <t>November</t>
        </is>
      </c>
      <c r="N10" s="69" t="inlineStr">
        <is>
          <t>December</t>
        </is>
      </c>
      <c r="O10" s="70" t="n"/>
      <c r="P10" s="71" t="inlineStr">
        <is>
          <t>Total</t>
        </is>
      </c>
    </row>
    <row r="11">
      <c r="B11" s="7" t="n"/>
      <c r="C11" s="91" t="n">
        <v>45322</v>
      </c>
      <c r="D11" s="91" t="n">
        <v>45351</v>
      </c>
      <c r="E11" s="91" t="n">
        <v>45382</v>
      </c>
      <c r="F11" s="91" t="n">
        <v>45412</v>
      </c>
      <c r="G11" s="91" t="n">
        <v>45443</v>
      </c>
      <c r="H11" s="91" t="n">
        <v>45473</v>
      </c>
      <c r="I11" s="91" t="n">
        <v>45504</v>
      </c>
      <c r="J11" s="91" t="n">
        <v>45535</v>
      </c>
      <c r="K11" s="91" t="n">
        <v>45565</v>
      </c>
      <c r="L11" s="91" t="n">
        <v>45596</v>
      </c>
      <c r="M11" s="91" t="n">
        <v>45626</v>
      </c>
      <c r="N11" s="91" t="n">
        <v>45657</v>
      </c>
      <c r="O11" s="91" t="n">
        <v>45322</v>
      </c>
    </row>
    <row r="12">
      <c r="B12" s="72" t="inlineStr">
        <is>
          <t>Service Income</t>
        </is>
      </c>
      <c r="C12" s="73" t="n">
        <v>3016.979166666667</v>
      </c>
      <c r="D12" s="73" t="n">
        <v>4844.161184210527</v>
      </c>
      <c r="E12" s="73" t="n">
        <v>3944.633152173913</v>
      </c>
      <c r="F12" s="73" t="n">
        <v>5914.955357142858</v>
      </c>
      <c r="G12" s="73" t="n">
        <v>10182.29166666667</v>
      </c>
      <c r="H12" s="73" t="n">
        <v>6680.871212121212</v>
      </c>
      <c r="I12" s="73" t="n">
        <v>9818.973214285714</v>
      </c>
      <c r="J12" s="73" t="n">
        <v>9199.488491048593</v>
      </c>
      <c r="K12" s="73" t="n">
        <v>12430.84590517241</v>
      </c>
      <c r="L12" s="73" t="n">
        <v>10145.19708806818</v>
      </c>
      <c r="M12" s="73" t="n">
        <v>5993.1640625</v>
      </c>
      <c r="N12" s="73" t="n">
        <v>4062.5</v>
      </c>
      <c r="O12" s="73" t="n"/>
      <c r="P12" s="73" t="n">
        <v>86234.06050005674</v>
      </c>
    </row>
    <row r="13">
      <c r="B13" s="72" t="inlineStr">
        <is>
          <t>Tips</t>
        </is>
      </c>
      <c r="C13" s="73" t="n">
        <v>49.5</v>
      </c>
      <c r="D13" s="73" t="n">
        <v>49.5</v>
      </c>
      <c r="E13" s="73" t="n">
        <v>49.5</v>
      </c>
      <c r="F13" s="73" t="n">
        <v>49.5</v>
      </c>
      <c r="G13" s="73" t="n">
        <v>49.5</v>
      </c>
      <c r="H13" s="73" t="n">
        <v>49.5</v>
      </c>
      <c r="I13" s="73" t="n">
        <v>49.5</v>
      </c>
      <c r="J13" s="73" t="n">
        <v>49.5</v>
      </c>
      <c r="K13" s="73" t="n">
        <v>49.5</v>
      </c>
      <c r="L13" s="73" t="n">
        <v>49.5</v>
      </c>
      <c r="M13" s="73" t="n">
        <v>49.5</v>
      </c>
      <c r="N13" s="73" t="n">
        <v>49.5</v>
      </c>
      <c r="O13" s="73" t="n"/>
      <c r="P13" s="73">
        <f>+SUM(C13:N13)</f>
        <v/>
      </c>
    </row>
    <row r="14">
      <c r="B14" s="74" t="inlineStr">
        <is>
          <t>Total Income</t>
        </is>
      </c>
      <c r="C14" s="74" t="n">
        <v>3066.479166666667</v>
      </c>
      <c r="D14" s="74" t="n">
        <v>4893.661184210527</v>
      </c>
      <c r="E14" s="74" t="n">
        <v>3994.133152173913</v>
      </c>
      <c r="F14" s="74" t="n">
        <v>5964.455357142858</v>
      </c>
      <c r="G14" s="74" t="n">
        <v>10231.79166666667</v>
      </c>
      <c r="H14" s="74" t="n">
        <v>6730.371212121212</v>
      </c>
      <c r="I14" s="74" t="n">
        <v>9868.473214285714</v>
      </c>
      <c r="J14" s="74" t="n">
        <v>9248.988491048593</v>
      </c>
      <c r="K14" s="74" t="n">
        <v>12480.34590517241</v>
      </c>
      <c r="L14" s="74" t="n">
        <v>10194.69708806818</v>
      </c>
      <c r="M14" s="74" t="n">
        <v>6042.6640625</v>
      </c>
      <c r="N14" s="74" t="n">
        <v>4112</v>
      </c>
      <c r="O14" s="75" t="n"/>
      <c r="P14" s="74" t="n">
        <v>86828.06050005001</v>
      </c>
    </row>
    <row r="15">
      <c r="B15" s="266" t="inlineStr">
        <is>
          <t># of Students</t>
        </is>
      </c>
      <c r="C15" s="221" t="n">
        <v>21</v>
      </c>
      <c r="D15" s="221" t="n">
        <v>33</v>
      </c>
      <c r="E15" s="221" t="n">
        <v>35</v>
      </c>
      <c r="F15" s="221" t="n">
        <v>33</v>
      </c>
      <c r="G15" s="221" t="n">
        <v>34</v>
      </c>
      <c r="H15" s="221" t="n">
        <v>34</v>
      </c>
      <c r="I15" s="221" t="n">
        <v>31</v>
      </c>
      <c r="J15" s="221" t="n">
        <v>32</v>
      </c>
      <c r="K15" s="221" t="n">
        <v>43</v>
      </c>
      <c r="L15" s="221" t="n">
        <v>38</v>
      </c>
      <c r="M15" s="221" t="n">
        <v>38</v>
      </c>
      <c r="N15" s="221" t="n">
        <v>38</v>
      </c>
      <c r="O15" s="75" t="n"/>
      <c r="P15" s="76" t="n"/>
    </row>
    <row r="16">
      <c r="B16" s="266" t="inlineStr">
        <is>
          <t># of Sessions</t>
        </is>
      </c>
      <c r="C16" s="221" t="n">
        <v>28</v>
      </c>
      <c r="D16" s="221" t="n">
        <v>44.95772282967198</v>
      </c>
      <c r="E16" s="221" t="n">
        <v>36.60937718138135</v>
      </c>
      <c r="F16" s="221" t="n">
        <v>54.89555639954425</v>
      </c>
      <c r="G16" s="221" t="n">
        <v>94.49987915616478</v>
      </c>
      <c r="H16" s="221" t="n">
        <v>62.00387328032945</v>
      </c>
      <c r="I16" s="221" t="n">
        <v>91.12799088492214</v>
      </c>
      <c r="J16" s="221" t="n">
        <v>85.37867301018063</v>
      </c>
      <c r="K16" s="221" t="n">
        <v>115.3682760525617</v>
      </c>
      <c r="L16" s="221" t="n">
        <v>94.15561154827633</v>
      </c>
      <c r="M16" s="221" t="n">
        <v>55.62139626419916</v>
      </c>
      <c r="N16" s="221" t="n">
        <v>37.70327659427546</v>
      </c>
      <c r="O16" s="75" t="n"/>
      <c r="P16" s="76" t="n"/>
    </row>
    <row r="17">
      <c r="B17" s="7" t="n"/>
      <c r="C17" s="76" t="n"/>
      <c r="D17" s="76" t="n"/>
      <c r="E17" s="76" t="n"/>
      <c r="F17" s="76" t="n"/>
      <c r="G17" s="76" t="n"/>
      <c r="H17" s="76" t="n"/>
      <c r="I17" s="76" t="n"/>
      <c r="J17" s="76" t="n"/>
      <c r="K17" s="76" t="n"/>
      <c r="L17" s="76" t="n"/>
      <c r="M17" s="76" t="n"/>
      <c r="N17" s="76" t="n"/>
      <c r="P17" s="76" t="n"/>
    </row>
    <row r="18" ht="15.6" customHeight="1">
      <c r="B18" s="87" t="inlineStr">
        <is>
          <t>Gross Margin</t>
        </is>
      </c>
      <c r="C18" s="88" t="n">
        <v>3066.479166666667</v>
      </c>
      <c r="D18" s="88" t="n">
        <v>4893.661184210527</v>
      </c>
      <c r="E18" s="88" t="n">
        <v>3994.133152173913</v>
      </c>
      <c r="F18" s="88" t="n">
        <v>5964.455357142858</v>
      </c>
      <c r="G18" s="88" t="n">
        <v>10231.79166666667</v>
      </c>
      <c r="H18" s="88" t="n">
        <v>6730.371212121212</v>
      </c>
      <c r="I18" s="88" t="n">
        <v>9868.473214285714</v>
      </c>
      <c r="J18" s="88" t="n">
        <v>9248.988491048593</v>
      </c>
      <c r="K18" s="88" t="n">
        <v>12480.34590517241</v>
      </c>
      <c r="L18" s="88" t="n">
        <v>10194.69708806818</v>
      </c>
      <c r="M18" s="88" t="n">
        <v>6042.6640625</v>
      </c>
      <c r="N18" s="88" t="n">
        <v>4112</v>
      </c>
      <c r="O18" s="246" t="n"/>
      <c r="P18" s="88" t="n">
        <v>86234.06050005674</v>
      </c>
    </row>
    <row r="19">
      <c r="B19" s="89" t="inlineStr">
        <is>
          <t>GM %</t>
        </is>
      </c>
      <c r="C19" s="767" t="n">
        <v>1</v>
      </c>
      <c r="D19" s="767" t="n">
        <v>1</v>
      </c>
      <c r="E19" s="767" t="n">
        <v>1</v>
      </c>
      <c r="F19" s="767" t="n">
        <v>1</v>
      </c>
      <c r="G19" s="767" t="n">
        <v>1</v>
      </c>
      <c r="H19" s="767" t="n">
        <v>1</v>
      </c>
      <c r="I19" s="767" t="n">
        <v>1</v>
      </c>
      <c r="J19" s="767" t="n">
        <v>1</v>
      </c>
      <c r="K19" s="767" t="n">
        <v>1</v>
      </c>
      <c r="L19" s="767" t="n">
        <v>1</v>
      </c>
      <c r="M19" s="767" t="n">
        <v>1</v>
      </c>
      <c r="N19" s="767" t="n">
        <v>1</v>
      </c>
      <c r="O19" s="7" t="n"/>
      <c r="P19" s="767" t="n">
        <v>1</v>
      </c>
    </row>
    <row r="20">
      <c r="B20" s="7" t="n"/>
    </row>
    <row r="21">
      <c r="B21" s="7" t="inlineStr">
        <is>
          <t>General &amp; Admintrative Expenses</t>
        </is>
      </c>
      <c r="C21" s="73" t="n">
        <v>810.7606666666668</v>
      </c>
      <c r="D21" s="73" t="n">
        <v>810.7606666666668</v>
      </c>
      <c r="E21" s="73" t="n">
        <v>810.7606666666668</v>
      </c>
      <c r="F21" s="73" t="n">
        <v>960.7606666666668</v>
      </c>
      <c r="G21" s="73" t="n">
        <v>810.7606666666668</v>
      </c>
      <c r="H21" s="73" t="n">
        <v>810.7606666666668</v>
      </c>
      <c r="I21" s="73" t="n">
        <v>960.7606666666668</v>
      </c>
      <c r="J21" s="73" t="n">
        <v>810.7606666666668</v>
      </c>
      <c r="K21" s="73" t="n">
        <v>1846.502045977012</v>
      </c>
      <c r="L21" s="73" t="n">
        <v>960.7606666666668</v>
      </c>
      <c r="M21" s="73" t="n">
        <v>810.7606666666668</v>
      </c>
      <c r="N21" s="73" t="n">
        <v>810.7606666666668</v>
      </c>
      <c r="P21" s="73" t="n">
        <v>11214.86937931035</v>
      </c>
      <c r="T21" s="1" t="n"/>
    </row>
    <row r="22">
      <c r="B22" s="78" t="inlineStr">
        <is>
          <t>Operating Expenses</t>
        </is>
      </c>
      <c r="C22" s="103" t="n">
        <v>810.7606666666668</v>
      </c>
      <c r="D22" s="103" t="n">
        <v>810.7606666666668</v>
      </c>
      <c r="E22" s="103" t="n">
        <v>810.7606666666668</v>
      </c>
      <c r="F22" s="103" t="n">
        <v>960.7606666666668</v>
      </c>
      <c r="G22" s="103" t="n">
        <v>810.7606666666668</v>
      </c>
      <c r="H22" s="103" t="n">
        <v>810.7606666666668</v>
      </c>
      <c r="I22" s="103" t="n">
        <v>960.7606666666668</v>
      </c>
      <c r="J22" s="103" t="n">
        <v>810.7606666666668</v>
      </c>
      <c r="K22" s="103" t="n">
        <v>1846.502045977012</v>
      </c>
      <c r="L22" s="103" t="n">
        <v>960.7606666666668</v>
      </c>
      <c r="M22" s="103" t="n">
        <v>810.7606666666668</v>
      </c>
      <c r="N22" s="103" t="n">
        <v>810.7606666666668</v>
      </c>
      <c r="O22" s="433" t="n"/>
      <c r="P22" s="103" t="n">
        <v>11214.86937931035</v>
      </c>
    </row>
    <row r="23">
      <c r="B23" s="7" t="n"/>
    </row>
    <row r="24" ht="15.6" customHeight="1">
      <c r="B24" s="87" t="inlineStr">
        <is>
          <t>Net Operating Income (EBITDA)</t>
        </is>
      </c>
      <c r="C24" s="88" t="n">
        <v>2255.7185</v>
      </c>
      <c r="D24" s="88" t="n">
        <v>4082.90051754386</v>
      </c>
      <c r="E24" s="88" t="n">
        <v>3183.372485507246</v>
      </c>
      <c r="F24" s="88" t="n">
        <v>5003.694690476191</v>
      </c>
      <c r="G24" s="88" t="n">
        <v>9421.031000000001</v>
      </c>
      <c r="H24" s="88" t="n">
        <v>5919.610545454545</v>
      </c>
      <c r="I24" s="88" t="n">
        <v>8907.712547619047</v>
      </c>
      <c r="J24" s="88" t="n">
        <v>8438.227824381926</v>
      </c>
      <c r="K24" s="88" t="n">
        <v>10633.8438591954</v>
      </c>
      <c r="L24" s="88" t="n">
        <v>9233.936421401515</v>
      </c>
      <c r="M24" s="88" t="n">
        <v>5231.903395833333</v>
      </c>
      <c r="N24" s="88" t="n">
        <v>3301.239333333333</v>
      </c>
      <c r="O24" s="246" t="n"/>
      <c r="P24" s="88" t="n">
        <v>75019.1911207464</v>
      </c>
    </row>
    <row r="25">
      <c r="B25" s="89" t="inlineStr">
        <is>
          <t>EBITDA %</t>
        </is>
      </c>
      <c r="C25" s="767" t="n">
        <v>0.7356053563057524</v>
      </c>
      <c r="D25" s="767" t="n">
        <v>0.834324315446562</v>
      </c>
      <c r="E25" s="767" t="n">
        <v>0.7970121085659377</v>
      </c>
      <c r="F25" s="767" t="n">
        <v>0.838918960887839</v>
      </c>
      <c r="G25" s="767" t="n">
        <v>0.9207606357635312</v>
      </c>
      <c r="H25" s="767" t="n">
        <v>0.8795370060411364</v>
      </c>
      <c r="I25" s="767" t="n">
        <v>0.9026434337101044</v>
      </c>
      <c r="J25" s="767" t="n">
        <v>0.9123406124408803</v>
      </c>
      <c r="K25" s="767" t="n">
        <v>0.8520472060624746</v>
      </c>
      <c r="L25" s="767" t="n">
        <v>0.9057587823976511</v>
      </c>
      <c r="M25" s="767" t="n">
        <v>0.865827281099715</v>
      </c>
      <c r="N25" s="767" t="n">
        <v>0.8028305771725032</v>
      </c>
      <c r="O25" s="7" t="n"/>
      <c r="P25" s="767" t="n">
        <v>0.8699484946635099</v>
      </c>
    </row>
    <row r="26">
      <c r="B26" s="81" t="n"/>
      <c r="C26" s="770" t="n"/>
      <c r="D26" s="770" t="n"/>
      <c r="E26" s="770" t="n"/>
      <c r="F26" s="770" t="n"/>
      <c r="G26" s="770" t="n"/>
      <c r="H26" s="770" t="n"/>
      <c r="I26" s="770" t="n"/>
      <c r="J26" s="770" t="n"/>
      <c r="K26" s="770" t="n"/>
      <c r="L26" s="770" t="n"/>
      <c r="M26" s="770" t="n"/>
      <c r="N26" s="770" t="n"/>
      <c r="P26" s="770" t="n"/>
    </row>
    <row r="27">
      <c r="B27" s="7" t="inlineStr">
        <is>
          <t>Other Income / (Expense)</t>
        </is>
      </c>
      <c r="C27" s="132" t="n">
        <v>0</v>
      </c>
      <c r="D27" s="132" t="n">
        <v>0</v>
      </c>
      <c r="E27" s="132" t="n">
        <v>0</v>
      </c>
      <c r="F27" s="132" t="n">
        <v>0</v>
      </c>
      <c r="G27" s="132" t="n">
        <v>0</v>
      </c>
      <c r="H27" s="132" t="n">
        <v>0</v>
      </c>
      <c r="I27" s="132" t="n">
        <v>0</v>
      </c>
      <c r="J27" s="132" t="n">
        <v>0</v>
      </c>
      <c r="K27" s="132" t="n">
        <v>0</v>
      </c>
      <c r="L27" s="132" t="n">
        <v>0</v>
      </c>
      <c r="M27" s="132" t="n">
        <v>0</v>
      </c>
      <c r="N27" s="132" t="n">
        <v>0</v>
      </c>
      <c r="O27" s="132" t="n"/>
      <c r="P27" s="707" t="n">
        <v>0</v>
      </c>
    </row>
    <row r="28" ht="15.6" customHeight="1">
      <c r="B28" s="87" t="inlineStr">
        <is>
          <t>Net Income</t>
        </is>
      </c>
      <c r="C28" s="88" t="n">
        <v>2255.7185</v>
      </c>
      <c r="D28" s="88" t="n">
        <v>4082.90051754386</v>
      </c>
      <c r="E28" s="88" t="n">
        <v>3183.372485507246</v>
      </c>
      <c r="F28" s="88" t="n">
        <v>5003.694690476191</v>
      </c>
      <c r="G28" s="88" t="n">
        <v>9421.031000000001</v>
      </c>
      <c r="H28" s="88" t="n">
        <v>5919.610545454545</v>
      </c>
      <c r="I28" s="88" t="n">
        <v>8907.712547619047</v>
      </c>
      <c r="J28" s="88" t="n">
        <v>8438.227824381926</v>
      </c>
      <c r="K28" s="88" t="n">
        <v>10633.8438591954</v>
      </c>
      <c r="L28" s="88" t="n">
        <v>9233.936421401515</v>
      </c>
      <c r="M28" s="88" t="n">
        <v>5231.903395833333</v>
      </c>
      <c r="N28" s="88" t="n">
        <v>3301.239333333333</v>
      </c>
      <c r="O28" s="246" t="n"/>
      <c r="P28" s="88" t="n">
        <v>75019.1911207464</v>
      </c>
    </row>
    <row r="29">
      <c r="B29" s="89" t="inlineStr">
        <is>
          <t>NI %</t>
        </is>
      </c>
      <c r="C29" s="767" t="n">
        <v>0.7356053563057524</v>
      </c>
      <c r="D29" s="767" t="n">
        <v>0.834324315446562</v>
      </c>
      <c r="E29" s="767" t="n">
        <v>0.7970121085659377</v>
      </c>
      <c r="F29" s="767" t="n">
        <v>0.838918960887839</v>
      </c>
      <c r="G29" s="767" t="n">
        <v>0.9207606357635312</v>
      </c>
      <c r="H29" s="767" t="n">
        <v>0.8795370060411364</v>
      </c>
      <c r="I29" s="767" t="n">
        <v>0.9026434337101044</v>
      </c>
      <c r="J29" s="767" t="n">
        <v>0.9123406124408803</v>
      </c>
      <c r="K29" s="767" t="n">
        <v>0.8520472060624746</v>
      </c>
      <c r="L29" s="767" t="n">
        <v>0.9057587823976511</v>
      </c>
      <c r="M29" s="767" t="n">
        <v>0.865827281099715</v>
      </c>
      <c r="N29" s="767" t="n">
        <v>0.8028305771725032</v>
      </c>
      <c r="O29" s="7" t="n"/>
      <c r="P29" s="767" t="n">
        <v>0.8699484946635099</v>
      </c>
    </row>
    <row r="30" ht="15" customHeight="1" thickBot="1">
      <c r="B30" s="7" t="n"/>
    </row>
    <row r="31">
      <c r="B31" s="83" t="inlineStr">
        <is>
          <t>Operating Cash</t>
        </is>
      </c>
      <c r="C31" s="783" t="n">
        <v>583.9352373458239</v>
      </c>
      <c r="D31" s="784" t="n">
        <v>3316.641228245538</v>
      </c>
      <c r="E31" s="783" t="n">
        <v>5497.800518344566</v>
      </c>
      <c r="F31" s="784" t="n">
        <v>8902.783648626997</v>
      </c>
      <c r="G31" s="783" t="n">
        <v>15222.71810150201</v>
      </c>
      <c r="H31" s="783" t="n">
        <v>20447.59003079357</v>
      </c>
      <c r="I31" s="783" t="n">
        <v>26375.12213383965</v>
      </c>
      <c r="J31" s="784" t="n">
        <v>28510.12740648337</v>
      </c>
      <c r="K31" s="783" t="n">
        <v>33013.07954277593</v>
      </c>
      <c r="L31" s="783" t="n">
        <v>34722.53370578027</v>
      </c>
      <c r="M31" s="783" t="n">
        <v>36536.59004355026</v>
      </c>
      <c r="N31" s="783" t="n">
        <v>38730.02535341259</v>
      </c>
    </row>
    <row r="32" ht="15" customHeight="1" thickBot="1">
      <c r="B32" s="85" t="inlineStr">
        <is>
          <t>Cash Inflow (Outflow)</t>
        </is>
      </c>
      <c r="C32" s="792" t="n">
        <v>-413.0847626541758</v>
      </c>
      <c r="D32" s="793" t="n">
        <v>2732.705990899713</v>
      </c>
      <c r="E32" s="792" t="n">
        <v>2181.159290099028</v>
      </c>
      <c r="F32" s="793" t="n">
        <v>3404.983130282431</v>
      </c>
      <c r="G32" s="792" t="n">
        <v>6319.934452875008</v>
      </c>
      <c r="H32" s="792" t="n">
        <v>5224.871929291568</v>
      </c>
      <c r="I32" s="792" t="n">
        <v>5927.532103046078</v>
      </c>
      <c r="J32" s="793" t="n">
        <v>2135.005272643717</v>
      </c>
      <c r="K32" s="792" t="n">
        <v>4502.952136292559</v>
      </c>
      <c r="L32" s="792" t="n">
        <v>1709.454163004337</v>
      </c>
      <c r="M32" s="792" t="n">
        <v>1814.056337769992</v>
      </c>
      <c r="N32" s="792" t="n">
        <v>2193.435309862332</v>
      </c>
    </row>
    <row r="33">
      <c r="E33" s="782" t="n"/>
    </row>
  </sheetData>
  <pageMargins left="0.25" right="0.25" top="0.75" bottom="0.75" header="0.3" footer="0.3"/>
  <pageSetup orientation="landscape" scale="55" horizontalDpi="1200" verticalDpi="120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theme="1"/>
    <outlinePr summaryBelow="1" summaryRight="1"/>
    <pageSetUpPr fitToPage="1"/>
  </sheetPr>
  <dimension ref="B9:O40"/>
  <sheetViews>
    <sheetView showGridLines="0" zoomScale="74" workbookViewId="0">
      <selection activeCell="K49" sqref="K49"/>
    </sheetView>
  </sheetViews>
  <sheetFormatPr baseColWidth="8" defaultColWidth="8.6640625" defaultRowHeight="14.4"/>
  <cols>
    <col width="45.109375" bestFit="1" customWidth="1" min="2" max="2"/>
    <col width="16.33203125" bestFit="1" customWidth="1" min="3" max="3"/>
    <col width="15.6640625" bestFit="1" customWidth="1" min="4" max="4"/>
    <col outlineLevel="1" width="15.33203125" bestFit="1" customWidth="1" min="5" max="5"/>
    <col width="18.44140625" bestFit="1" customWidth="1" min="6" max="6"/>
    <col outlineLevel="1" width="16.77734375" bestFit="1" customWidth="1" min="7" max="7"/>
    <col width="18" bestFit="1" customWidth="1" min="8" max="8"/>
    <col hidden="1" outlineLevel="1" width="16.6640625" customWidth="1" min="9" max="9"/>
    <col collapsed="1" width="0.6640625" customWidth="1" min="10" max="10"/>
    <col width="15.6640625" bestFit="1" customWidth="1" min="11" max="11"/>
  </cols>
  <sheetData>
    <row r="9">
      <c r="C9" s="91" t="n">
        <v>45382</v>
      </c>
      <c r="D9" s="91" t="n">
        <v>45473</v>
      </c>
      <c r="E9" s="206" t="n"/>
      <c r="F9" s="91" t="n">
        <v>45565</v>
      </c>
      <c r="G9" s="206" t="n"/>
      <c r="H9" s="91" t="n">
        <v>45657</v>
      </c>
      <c r="I9" s="206" t="n"/>
    </row>
    <row r="10" ht="15.6" customHeight="1">
      <c r="B10" s="234" t="n"/>
      <c r="C10" s="235" t="inlineStr">
        <is>
          <t>Q1 2025</t>
        </is>
      </c>
      <c r="D10" s="235" t="inlineStr">
        <is>
          <t>Q2 2025</t>
        </is>
      </c>
      <c r="E10" s="396" t="inlineStr">
        <is>
          <t>Variance</t>
        </is>
      </c>
      <c r="F10" s="235" t="inlineStr">
        <is>
          <t>Q3 2025</t>
        </is>
      </c>
      <c r="G10" s="396" t="inlineStr">
        <is>
          <t>Variance</t>
        </is>
      </c>
      <c r="H10" s="275" t="inlineStr">
        <is>
          <t>Q4 2025</t>
        </is>
      </c>
      <c r="I10" s="275" t="inlineStr">
        <is>
          <t>Variance</t>
        </is>
      </c>
      <c r="J10" s="236" t="n"/>
      <c r="K10" s="237" t="inlineStr">
        <is>
          <t>Total</t>
        </is>
      </c>
      <c r="M10" s="281" t="n"/>
    </row>
    <row r="11" ht="3.45" customHeight="1">
      <c r="B11" s="238" t="n"/>
      <c r="C11" s="91">
        <f>+C10</f>
        <v/>
      </c>
      <c r="D11" s="91">
        <f>+D10</f>
        <v/>
      </c>
      <c r="E11" s="397" t="n"/>
      <c r="F11" s="91">
        <f>+F10</f>
        <v/>
      </c>
      <c r="G11" s="397" t="n"/>
      <c r="H11" s="187">
        <f>+H10</f>
        <v/>
      </c>
      <c r="I11" s="187" t="n"/>
      <c r="J11" s="91" t="n">
        <v>45322</v>
      </c>
      <c r="K11" s="184" t="n"/>
    </row>
    <row r="12">
      <c r="B12" s="239" t="inlineStr">
        <is>
          <t>Service Income</t>
        </is>
      </c>
      <c r="C12" s="279">
        <f>SUMIF('Monthly Detail'!$3:$3, 'Quarterly Overview'!C$11, 'Monthly Detail'!12:12)</f>
        <v/>
      </c>
      <c r="D12" s="279">
        <f>SUMIF('Monthly Detail'!$3:$3, 'Quarterly Overview'!D$11, 'Monthly Detail'!12:12)</f>
        <v/>
      </c>
      <c r="E12" s="398">
        <f>+D12-C12</f>
        <v/>
      </c>
      <c r="F12" s="279">
        <f>SUMIF('Monthly Detail'!$3:$3, 'Quarterly Overview'!F$11, 'Monthly Detail'!12:12)</f>
        <v/>
      </c>
      <c r="G12" s="398">
        <f>+F12-D12</f>
        <v/>
      </c>
      <c r="H12" s="201">
        <f>SUMIF('Monthly Detail'!$3:$3, 'Quarterly Overview'!H$11, 'Monthly Detail'!12:12)</f>
        <v/>
      </c>
      <c r="I12" s="207">
        <f>+H12-F12</f>
        <v/>
      </c>
      <c r="J12" s="73" t="n"/>
      <c r="K12" s="240">
        <f>SUM(C12,D12,F12,H12)</f>
        <v/>
      </c>
    </row>
    <row r="13">
      <c r="B13" s="239" t="inlineStr">
        <is>
          <t>Tips</t>
        </is>
      </c>
      <c r="C13" s="279">
        <f>SUMIF('Monthly Detail'!$3:$3, 'Quarterly Overview'!C$11, 'Monthly Detail'!13:13)</f>
        <v/>
      </c>
      <c r="D13" s="279">
        <f>SUMIF('Monthly Detail'!$3:$3, 'Quarterly Overview'!D$11, 'Monthly Detail'!13:13)</f>
        <v/>
      </c>
      <c r="E13" s="398">
        <f>+D13-C13</f>
        <v/>
      </c>
      <c r="F13" s="279">
        <f>SUMIF('Monthly Detail'!$3:$3, 'Quarterly Overview'!F$11, 'Monthly Detail'!13:13)</f>
        <v/>
      </c>
      <c r="G13" s="398">
        <f>+F13-D13</f>
        <v/>
      </c>
      <c r="H13" s="201">
        <f>SUMIF('Monthly Detail'!$3:$3, 'Quarterly Overview'!H$11, 'Monthly Detail'!13:13)</f>
        <v/>
      </c>
      <c r="I13" s="207">
        <f>+H13-F13</f>
        <v/>
      </c>
      <c r="J13" s="73" t="n"/>
      <c r="K13" s="240">
        <f>+SUM(H13,F13,D13,C13)</f>
        <v/>
      </c>
    </row>
    <row r="14">
      <c r="B14" s="241" t="inlineStr">
        <is>
          <t>Total Income</t>
        </is>
      </c>
      <c r="C14" s="74">
        <f>SUM(C12:C13)</f>
        <v/>
      </c>
      <c r="D14" s="74">
        <f>SUM(D12:D13)</f>
        <v/>
      </c>
      <c r="E14" s="399">
        <f>+D14-C14</f>
        <v/>
      </c>
      <c r="F14" s="74">
        <f>SUM(F12:F13)</f>
        <v/>
      </c>
      <c r="G14" s="399">
        <f>+F14-D14</f>
        <v/>
      </c>
      <c r="H14" s="189">
        <f>SUM(H12:H13)</f>
        <v/>
      </c>
      <c r="I14" s="208">
        <f>+H14-F14</f>
        <v/>
      </c>
      <c r="J14" s="75" t="n"/>
      <c r="K14" s="242">
        <f>SUM(K12:K13)</f>
        <v/>
      </c>
    </row>
    <row r="15">
      <c r="B15" s="447" t="inlineStr">
        <is>
          <t>Avg. # of Students</t>
        </is>
      </c>
      <c r="C15" s="448">
        <f>+AVERAGEIFS('Monthly Detail'!17:17,'Monthly Detail'!3:3,'Quarterly Overview'!C10)</f>
        <v/>
      </c>
      <c r="D15" s="448">
        <f>+AVERAGEIFS('Monthly Detail'!17:17,'Monthly Detail'!3:3,'Quarterly Overview'!D10)</f>
        <v/>
      </c>
      <c r="E15" s="474">
        <f>+D15-C15</f>
        <v/>
      </c>
      <c r="F15" s="448">
        <f>+AVERAGEIFS('Monthly Detail'!17:17,'Monthly Detail'!3:3,'Quarterly Overview'!F10)</f>
        <v/>
      </c>
      <c r="G15" s="474">
        <f>+F15-D15</f>
        <v/>
      </c>
      <c r="H15" s="475">
        <f>+AVERAGEIFS('Monthly Detail'!17:17,'Monthly Detail'!3:3,'Quarterly Overview'!H10)</f>
        <v/>
      </c>
      <c r="I15" s="391">
        <f>+H15-F15</f>
        <v/>
      </c>
      <c r="J15" s="75" t="n"/>
      <c r="K15" s="333" t="n"/>
    </row>
    <row r="16" ht="4.95" customHeight="1">
      <c r="B16" s="238" t="n"/>
      <c r="C16" s="280" t="n"/>
      <c r="D16" s="280" t="n"/>
      <c r="E16" s="400" t="n"/>
      <c r="F16" s="280" t="n"/>
      <c r="G16" s="400" t="n"/>
      <c r="H16" s="202" t="n"/>
      <c r="I16" s="209" t="n"/>
      <c r="K16" s="244" t="n"/>
    </row>
    <row r="17">
      <c r="B17" s="238" t="inlineStr">
        <is>
          <t>Subcontractor Expenses</t>
        </is>
      </c>
      <c r="C17" s="279">
        <f>SUMIF('Monthly Detail'!$3:$3, 'Quarterly Overview'!C$11, 'Monthly Detail'!$65:$65)</f>
        <v/>
      </c>
      <c r="D17" s="279">
        <f>SUMIF('Monthly Detail'!$3:$3, 'Quarterly Overview'!D$11, 'Monthly Detail'!$65:$65)</f>
        <v/>
      </c>
      <c r="E17" s="400">
        <f>+D17-C17</f>
        <v/>
      </c>
      <c r="F17" s="280">
        <f>SUMIF('Monthly Detail'!$3:$3, 'Quarterly Overview'!F$11, 'Monthly Detail'!$65:$65)</f>
        <v/>
      </c>
      <c r="G17" s="400">
        <f>+F17-E17</f>
        <v/>
      </c>
      <c r="H17" s="202">
        <f>SUMIF('Monthly Detail'!$3:$3, 'Quarterly Overview'!H$11, 'Monthly Detail'!$65:$65)</f>
        <v/>
      </c>
      <c r="I17" s="400">
        <f>+H17-G17</f>
        <v/>
      </c>
      <c r="K17" s="240">
        <f>SUM(C17,D17,F17,H17)</f>
        <v/>
      </c>
    </row>
    <row r="18" ht="15.6" customHeight="1">
      <c r="B18" s="245" t="inlineStr">
        <is>
          <t>Gross Margin</t>
        </is>
      </c>
      <c r="C18" s="88">
        <f>C14-C17</f>
        <v/>
      </c>
      <c r="D18" s="88">
        <f>D14-D17</f>
        <v/>
      </c>
      <c r="E18" s="401">
        <f>+D18-C18</f>
        <v/>
      </c>
      <c r="F18" s="88">
        <f>F14-F17</f>
        <v/>
      </c>
      <c r="G18" s="401">
        <f>+F18-D18</f>
        <v/>
      </c>
      <c r="H18" s="191">
        <f>H14-H17</f>
        <v/>
      </c>
      <c r="I18" s="210">
        <f>+H18-F18</f>
        <v/>
      </c>
      <c r="J18" s="246" t="n"/>
      <c r="K18" s="247">
        <f>K14-K17</f>
        <v/>
      </c>
    </row>
    <row r="19">
      <c r="B19" s="451" t="inlineStr">
        <is>
          <t>GM %</t>
        </is>
      </c>
      <c r="C19" s="804">
        <f>C18/C14</f>
        <v/>
      </c>
      <c r="D19" s="804">
        <f>D18/D14</f>
        <v/>
      </c>
      <c r="E19" s="805">
        <f>+D19-C19</f>
        <v/>
      </c>
      <c r="F19" s="804">
        <f>F18/F14</f>
        <v/>
      </c>
      <c r="G19" s="805">
        <f>+F19-D19</f>
        <v/>
      </c>
      <c r="H19" s="806">
        <f>H18/H14</f>
        <v/>
      </c>
      <c r="I19" s="807">
        <f>+H19-F19</f>
        <v/>
      </c>
      <c r="J19" s="7" t="n"/>
      <c r="K19" s="780">
        <f>K18/K14</f>
        <v/>
      </c>
    </row>
    <row r="20" ht="5.7" customHeight="1">
      <c r="B20" s="238" t="n"/>
      <c r="C20" s="281" t="n"/>
      <c r="D20" s="281" t="n"/>
      <c r="E20" s="402" t="n"/>
      <c r="F20" s="281" t="n"/>
      <c r="G20" s="402" t="n"/>
      <c r="H20" s="203" t="n"/>
      <c r="I20" s="212" t="n"/>
      <c r="K20" s="184" t="n"/>
    </row>
    <row r="21">
      <c r="B21" s="238" t="inlineStr">
        <is>
          <t>Sales &amp; Marketing Expenses</t>
        </is>
      </c>
      <c r="C21" s="279">
        <f>SUMIF('Monthly Detail'!$3:$3, 'Quarterly Overview'!C$11, 'Monthly Detail'!$72:$72)</f>
        <v/>
      </c>
      <c r="D21" s="279">
        <f>SUMIF('Monthly Detail'!$3:$3, 'Quarterly Overview'!D$11, 'Monthly Detail'!$72:$72)</f>
        <v/>
      </c>
      <c r="E21" s="403">
        <f>+D21-C21</f>
        <v/>
      </c>
      <c r="F21" s="279">
        <f>SUMIF('Monthly Detail'!$3:$3, 'Quarterly Overview'!F$11, 'Monthly Detail'!$72:$72)</f>
        <v/>
      </c>
      <c r="G21" s="403">
        <f>SUMIF('Monthly Detail'!$3:$3, 'Quarterly Overview'!G$11, 'Monthly Detail'!$72:$72)</f>
        <v/>
      </c>
      <c r="H21" s="201">
        <f>SUMIF('Monthly Detail'!$3:$3, 'Quarterly Overview'!H$11, 'Monthly Detail'!$72:$72)</f>
        <v/>
      </c>
      <c r="I21" s="403">
        <f>SUMIF('Monthly Detail'!$3:$3, 'Quarterly Overview'!I$11, 'Monthly Detail'!$72:$72)</f>
        <v/>
      </c>
      <c r="K21" s="240">
        <f>SUM(C21,D21,F21,H21)</f>
        <v/>
      </c>
    </row>
    <row r="22">
      <c r="B22" s="238" t="inlineStr">
        <is>
          <t>General &amp; Admintrative Expenses</t>
        </is>
      </c>
      <c r="C22" s="279">
        <f>SUMIF('Monthly Detail'!$3:$3, 'Quarterly Overview'!C$11, 'Monthly Detail'!$95:$95)</f>
        <v/>
      </c>
      <c r="D22" s="279">
        <f>SUMIF('Monthly Detail'!$3:$3, 'Quarterly Overview'!D$11, 'Monthly Detail'!$95:$95)</f>
        <v/>
      </c>
      <c r="E22" s="403">
        <f>+D22-C22</f>
        <v/>
      </c>
      <c r="F22" s="279">
        <f>SUMIF('Monthly Detail'!$3:$3, 'Quarterly Overview'!F$11, 'Monthly Detail'!$95:$95)</f>
        <v/>
      </c>
      <c r="G22" s="403">
        <f>+F22-D22</f>
        <v/>
      </c>
      <c r="H22" s="201">
        <f>SUMIF('Monthly Detail'!$3:$3, 'Quarterly Overview'!H$11, 'Monthly Detail'!$95:$95)</f>
        <v/>
      </c>
      <c r="I22" s="213">
        <f>+H22-F22</f>
        <v/>
      </c>
      <c r="K22" s="240">
        <f>SUM(C22,D22,F22,H22)</f>
        <v/>
      </c>
      <c r="O22" s="1" t="n"/>
    </row>
    <row r="23">
      <c r="B23" s="250" t="inlineStr">
        <is>
          <t>Operating Expenses</t>
        </is>
      </c>
      <c r="C23" s="103">
        <f>SUM(C21:C22)</f>
        <v/>
      </c>
      <c r="D23" s="103">
        <f>SUM(D21:D22)</f>
        <v/>
      </c>
      <c r="E23" s="404">
        <f>SUM(E21:E22)</f>
        <v/>
      </c>
      <c r="F23" s="103">
        <f>SUM(F21:F22)</f>
        <v/>
      </c>
      <c r="G23" s="404">
        <f>SUM(G21:G22)</f>
        <v/>
      </c>
      <c r="H23" s="194">
        <f>SUM(H21:H22)</f>
        <v/>
      </c>
      <c r="I23" s="214">
        <f>+H23-F23</f>
        <v/>
      </c>
      <c r="J23" s="433" t="n"/>
      <c r="K23" s="252">
        <f>SUM(K21:K22)</f>
        <v/>
      </c>
    </row>
    <row r="24" ht="1.95" customHeight="1">
      <c r="B24" s="238" t="n"/>
      <c r="C24" s="281" t="n"/>
      <c r="D24" s="281" t="n"/>
      <c r="E24" s="402" t="n"/>
      <c r="F24" s="281" t="n"/>
      <c r="G24" s="402" t="n"/>
      <c r="H24" s="203" t="n"/>
      <c r="I24" s="212" t="n"/>
      <c r="K24" s="184" t="n"/>
    </row>
    <row r="25" ht="15.6" customHeight="1">
      <c r="B25" s="245" t="inlineStr">
        <is>
          <t>Net Operating Income (EBITDA)</t>
        </is>
      </c>
      <c r="C25" s="88">
        <f>C18-C23</f>
        <v/>
      </c>
      <c r="D25" s="88">
        <f>D18-D23</f>
        <v/>
      </c>
      <c r="E25" s="401">
        <f>+D25-C25</f>
        <v/>
      </c>
      <c r="F25" s="88">
        <f>F18-F23</f>
        <v/>
      </c>
      <c r="G25" s="401">
        <f>+F25-D25</f>
        <v/>
      </c>
      <c r="H25" s="191">
        <f>H18-H23</f>
        <v/>
      </c>
      <c r="I25" s="210">
        <f>+H25-F25</f>
        <v/>
      </c>
      <c r="J25" s="246" t="n"/>
      <c r="K25" s="247">
        <f>K18-K23</f>
        <v/>
      </c>
    </row>
    <row r="26">
      <c r="B26" s="451" t="inlineStr">
        <is>
          <t>EBITDA %</t>
        </is>
      </c>
      <c r="C26" s="804">
        <f>C25/C14</f>
        <v/>
      </c>
      <c r="D26" s="804">
        <f>D25/D14</f>
        <v/>
      </c>
      <c r="E26" s="805">
        <f>+D26-C26</f>
        <v/>
      </c>
      <c r="F26" s="804">
        <f>F25/F14</f>
        <v/>
      </c>
      <c r="G26" s="805">
        <f>+F26-D26</f>
        <v/>
      </c>
      <c r="H26" s="806">
        <f>H25/H14</f>
        <v/>
      </c>
      <c r="I26" s="807">
        <f>+H26-F26</f>
        <v/>
      </c>
      <c r="J26" s="7" t="n"/>
      <c r="K26" s="780">
        <f>K25/K14</f>
        <v/>
      </c>
    </row>
    <row r="27" ht="4.2" customHeight="1">
      <c r="B27" s="253" t="n"/>
      <c r="C27" s="808" t="n"/>
      <c r="D27" s="808" t="n"/>
      <c r="E27" s="809" t="n"/>
      <c r="F27" s="808" t="n"/>
      <c r="G27" s="809" t="n"/>
      <c r="H27" s="810" t="n"/>
      <c r="I27" s="811" t="n"/>
      <c r="K27" s="779" t="n"/>
    </row>
    <row r="28">
      <c r="B28" s="238" t="inlineStr">
        <is>
          <t>Other Income / (Expense)</t>
        </is>
      </c>
      <c r="C28" s="165">
        <f>SUMIF('Monthly Detail'!$3:$3, 'Quarterly Overview'!C$11, 'Monthly Detail'!109:109)</f>
        <v/>
      </c>
      <c r="D28" s="165">
        <f>SUMIF('Monthly Detail'!$3:$3, 'Quarterly Overview'!D$11, 'Monthly Detail'!109:109)</f>
        <v/>
      </c>
      <c r="E28" s="406">
        <f>+D28-C28</f>
        <v/>
      </c>
      <c r="F28" s="165">
        <f>SUMIF('Monthly Detail'!$3:$3, 'Quarterly Overview'!F$11, 'Monthly Detail'!109:109)</f>
        <v/>
      </c>
      <c r="G28" s="406">
        <f>+F28-D28</f>
        <v/>
      </c>
      <c r="H28" s="205">
        <f>SUMIF('Monthly Detail'!$3:$3, 'Quarterly Overview'!H$11, 'Monthly Detail'!109:109)</f>
        <v/>
      </c>
      <c r="I28" s="216">
        <f>+H28-F28</f>
        <v/>
      </c>
      <c r="J28" s="132" t="n"/>
      <c r="K28" s="708">
        <f>SUM(C28,D28,F28,H28)</f>
        <v/>
      </c>
    </row>
    <row r="29" ht="15.6" customHeight="1">
      <c r="B29" s="245" t="inlineStr">
        <is>
          <t>Net Income</t>
        </is>
      </c>
      <c r="C29" s="88">
        <f>C25+SUM(C28:C28)</f>
        <v/>
      </c>
      <c r="D29" s="88">
        <f>D25+SUM(D28:D28)</f>
        <v/>
      </c>
      <c r="E29" s="401">
        <f>+D29-C29</f>
        <v/>
      </c>
      <c r="F29" s="88">
        <f>F25+SUM(F28:F28)</f>
        <v/>
      </c>
      <c r="G29" s="401">
        <f>+F29-D29</f>
        <v/>
      </c>
      <c r="H29" s="191">
        <f>H25+SUM(H28:H28)</f>
        <v/>
      </c>
      <c r="I29" s="210">
        <f>+H29-F29</f>
        <v/>
      </c>
      <c r="J29" s="246" t="n"/>
      <c r="K29" s="247">
        <f>K25+SUM(K28:K28)</f>
        <v/>
      </c>
      <c r="L29" s="222" t="n"/>
    </row>
    <row r="30">
      <c r="B30" s="248" t="inlineStr">
        <is>
          <t>NI %</t>
        </is>
      </c>
      <c r="C30" s="767">
        <f>C29/C14</f>
        <v/>
      </c>
      <c r="D30" s="767">
        <f>D29/D14</f>
        <v/>
      </c>
      <c r="E30" s="812">
        <f>+D30-C30</f>
        <v/>
      </c>
      <c r="F30" s="767">
        <f>F29/F14</f>
        <v/>
      </c>
      <c r="G30" s="812">
        <f>+F30-D30</f>
        <v/>
      </c>
      <c r="H30" s="789">
        <f>H29/H14</f>
        <v/>
      </c>
      <c r="I30" s="813">
        <f>+H30-F30</f>
        <v/>
      </c>
      <c r="J30" s="7" t="n"/>
      <c r="K30" s="780">
        <f>K29/K14</f>
        <v/>
      </c>
      <c r="L30" s="222" t="n"/>
    </row>
    <row r="31" ht="2.25" customHeight="1" thickBot="1">
      <c r="B31" s="238" t="n"/>
      <c r="E31" s="408" t="n"/>
      <c r="G31" s="408" t="n"/>
      <c r="H31" s="193" t="n"/>
      <c r="I31" s="218" t="n"/>
      <c r="K31" s="184" t="n"/>
    </row>
    <row r="32">
      <c r="B32" s="255" t="inlineStr">
        <is>
          <t>Operating Cash</t>
        </is>
      </c>
      <c r="C32" s="783">
        <f>SUMIF('Monthly Detail'!$4:$4, 'Quarterly Overview'!C$9, 'Monthly Detail'!174:174)</f>
        <v/>
      </c>
      <c r="D32" s="784">
        <f>SUMIF('Monthly Detail'!$4:$4, 'Quarterly Overview'!D$9, 'Monthly Detail'!174:174)</f>
        <v/>
      </c>
      <c r="E32" s="814" t="n"/>
      <c r="F32" s="784">
        <f>SUMIF('Monthly Detail'!$4:$4, 'Quarterly Overview'!F$9, 'Monthly Detail'!174:174)</f>
        <v/>
      </c>
      <c r="G32" s="814" t="n"/>
      <c r="H32" s="815">
        <f>SUMIF('Monthly Detail'!$4:$4, 'Quarterly Overview'!H$9, 'Monthly Detail'!174:174)</f>
        <v/>
      </c>
      <c r="I32" s="791" t="n"/>
      <c r="K32" s="184" t="n"/>
    </row>
    <row r="33">
      <c r="B33" s="256" t="inlineStr">
        <is>
          <t>Cash Inflow (Outflow)</t>
        </is>
      </c>
      <c r="C33" s="786">
        <f>SUMIF('Monthly Detail'!$3:$3, 'Quarterly Overview'!C$10, 'Monthly Detail'!171:171)</f>
        <v/>
      </c>
      <c r="D33" s="787">
        <f>SUMIF('Monthly Detail'!$3:$3, 'Quarterly Overview'!D$10, 'Monthly Detail'!171:171)</f>
        <v/>
      </c>
      <c r="E33" s="816">
        <f>+D33-C33</f>
        <v/>
      </c>
      <c r="F33" s="787">
        <f>SUMIF('Monthly Detail'!$3:$3, 'Quarterly Overview'!F$10, 'Monthly Detail'!171:171)</f>
        <v/>
      </c>
      <c r="G33" s="816">
        <f>+F33-D33</f>
        <v/>
      </c>
      <c r="H33" s="817">
        <f>SUMIF('Monthly Detail'!$3:$3, 'Quarterly Overview'!H$10, 'Monthly Detail'!171:171)</f>
        <v/>
      </c>
      <c r="I33" s="818">
        <f>+H33-F33</f>
        <v/>
      </c>
      <c r="J33" s="259" t="n"/>
      <c r="K33" s="260" t="n"/>
    </row>
    <row r="37">
      <c r="C37" t="inlineStr">
        <is>
          <t>Q1</t>
        </is>
      </c>
      <c r="D37" t="inlineStr">
        <is>
          <t>Q2</t>
        </is>
      </c>
      <c r="F37" t="inlineStr">
        <is>
          <t>Q3</t>
        </is>
      </c>
      <c r="H37" t="inlineStr">
        <is>
          <t>Q4</t>
        </is>
      </c>
    </row>
    <row r="38">
      <c r="B38" t="inlineStr">
        <is>
          <t>2024 AOP Income</t>
        </is>
      </c>
      <c r="C38" s="819">
        <f>+SUM('2025 AOP'!C14:E14)</f>
        <v/>
      </c>
      <c r="D38" s="819">
        <f>+SUM('2025 AOP'!F14:H14)</f>
        <v/>
      </c>
      <c r="F38" s="819">
        <f>+SUM('2025 AOP'!I14:K14)</f>
        <v/>
      </c>
      <c r="H38" s="819">
        <f>+SUM('2025 AOP'!L14:N14)</f>
        <v/>
      </c>
    </row>
    <row r="39">
      <c r="B39" t="inlineStr">
        <is>
          <t>2024 AOP Net Income</t>
        </is>
      </c>
      <c r="C39" s="819">
        <f>+AVERAGE('2025 AOP'!C28:E28)</f>
        <v/>
      </c>
      <c r="D39" s="819">
        <f>+SUM('2025 AOP'!F28:H28)</f>
        <v/>
      </c>
      <c r="F39" s="819">
        <f>+SUM('2025 AOP'!I28:K28)</f>
        <v/>
      </c>
      <c r="H39" s="819">
        <f>+SUM('2025 AOP'!L28:N28)</f>
        <v/>
      </c>
    </row>
    <row r="40">
      <c r="B40" t="inlineStr">
        <is>
          <t>2024 AOP Avg. Students</t>
        </is>
      </c>
      <c r="C40" s="377">
        <f>+AVERAGE('2025 AOP'!C15:E15)</f>
        <v/>
      </c>
      <c r="D40" s="377">
        <f>+AVERAGE('2025 AOP'!F15:H15)</f>
        <v/>
      </c>
      <c r="F40" s="377">
        <f>+AVERAGE('2025 AOP'!I15:K15)</f>
        <v/>
      </c>
      <c r="H40" s="377">
        <f>+AVERAGE('2025 AOP'!L15:N15)</f>
        <v/>
      </c>
    </row>
  </sheetData>
  <pageMargins left="0.25" right="0.25" top="0.75" bottom="0.75" header="0.3" footer="0.3"/>
  <pageSetup orientation="landscape" scale="50" horizontalDpi="1200" verticalDpi="1200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theme="1"/>
    <outlinePr summaryBelow="1" summaryRight="1"/>
    <pageSetUpPr fitToPage="1"/>
  </sheetPr>
  <dimension ref="B10:T31"/>
  <sheetViews>
    <sheetView showGridLines="0" topLeftCell="A5" workbookViewId="0">
      <selection activeCell="N28" sqref="L28:N28"/>
    </sheetView>
  </sheetViews>
  <sheetFormatPr baseColWidth="8" defaultColWidth="8.6640625" defaultRowHeight="14.4"/>
  <cols>
    <col width="32.109375" bestFit="1" customWidth="1" min="2" max="2"/>
    <col hidden="1" outlineLevel="1" width="12.33203125" customWidth="1" min="3" max="9"/>
    <col collapsed="1" width="9.44140625" bestFit="1" customWidth="1" min="10" max="10"/>
    <col width="11.109375" bestFit="1" customWidth="1" min="11" max="12"/>
    <col width="10.6640625" bestFit="1" customWidth="1" min="13" max="13"/>
    <col width="10.44140625" bestFit="1" customWidth="1" min="14" max="14"/>
    <col width="0.6640625" customWidth="1" min="15" max="15"/>
    <col width="8.6640625" bestFit="1" customWidth="1" min="16" max="16"/>
  </cols>
  <sheetData>
    <row r="10" ht="15.6" customHeight="1">
      <c r="B10" s="68" t="n"/>
      <c r="C10" s="69">
        <f>TEXT('Monthly Detail'!D4,"mmmm")</f>
        <v/>
      </c>
      <c r="D10" s="69">
        <f>TEXT('Monthly Detail'!E4,"mmmm")</f>
        <v/>
      </c>
      <c r="E10" s="69">
        <f>TEXT('Monthly Detail'!F4,"mmmm")</f>
        <v/>
      </c>
      <c r="F10" s="69">
        <f>TEXT('Monthly Detail'!G4,"mmmm")</f>
        <v/>
      </c>
      <c r="G10" s="69">
        <f>TEXT('Monthly Detail'!H4,"mmmm")</f>
        <v/>
      </c>
      <c r="H10" s="69">
        <f>TEXT('Monthly Detail'!I4,"mmmm")</f>
        <v/>
      </c>
      <c r="I10" s="69">
        <f>TEXT('Monthly Detail'!J4,"mmmm")</f>
        <v/>
      </c>
      <c r="J10" s="69">
        <f>TEXT('Monthly Detail'!K4,"mmmm")</f>
        <v/>
      </c>
      <c r="K10" s="69">
        <f>TEXT('Monthly Detail'!L4,"mmmm")</f>
        <v/>
      </c>
      <c r="L10" s="69">
        <f>TEXT('Monthly Detail'!M4,"mmmm")</f>
        <v/>
      </c>
      <c r="M10" s="69">
        <f>TEXT('Monthly Detail'!N4,"mmmm")</f>
        <v/>
      </c>
      <c r="N10" s="147">
        <f>TEXT('Monthly Detail'!O4,"mmmm")</f>
        <v/>
      </c>
      <c r="O10" s="70" t="n"/>
      <c r="P10" s="71" t="inlineStr">
        <is>
          <t>Total</t>
        </is>
      </c>
    </row>
    <row r="11" ht="1.5" customHeight="1">
      <c r="B11" s="7" t="n"/>
      <c r="C11" s="91" t="n">
        <v>44592</v>
      </c>
      <c r="D11" s="91" t="n">
        <v>44620</v>
      </c>
      <c r="E11" s="91" t="n">
        <v>44651</v>
      </c>
      <c r="F11" s="91" t="n">
        <v>44681</v>
      </c>
      <c r="G11" s="91" t="n">
        <v>44712</v>
      </c>
      <c r="H11" s="91" t="n">
        <v>44742</v>
      </c>
      <c r="I11" s="91" t="n">
        <v>44773</v>
      </c>
      <c r="J11" s="91" t="n">
        <v>44804</v>
      </c>
      <c r="K11" s="91" t="n">
        <v>44834</v>
      </c>
      <c r="L11" s="91" t="n">
        <v>44865</v>
      </c>
      <c r="M11" s="91" t="n">
        <v>44895</v>
      </c>
      <c r="N11" s="148" t="n">
        <v>44926</v>
      </c>
    </row>
    <row r="12">
      <c r="B12" s="72" t="inlineStr">
        <is>
          <t>Service Income</t>
        </is>
      </c>
      <c r="C12" s="73">
        <f>SUMIF('Monthly Detail'!$4:$4, '2022 Overview'!C$11, 'Monthly Detail'!12:12)</f>
        <v/>
      </c>
      <c r="D12" s="73">
        <f>SUMIF('Monthly Detail'!$4:$4, '2022 Overview'!D$11, 'Monthly Detail'!12:12)</f>
        <v/>
      </c>
      <c r="E12" s="73">
        <f>SUMIF('Monthly Detail'!$4:$4, '2022 Overview'!E$11, 'Monthly Detail'!12:12)</f>
        <v/>
      </c>
      <c r="F12" s="73">
        <f>SUMIF('Monthly Detail'!$4:$4, '2022 Overview'!F$11, 'Monthly Detail'!12:12)</f>
        <v/>
      </c>
      <c r="G12" s="73">
        <f>SUMIF('Monthly Detail'!$4:$4, '2022 Overview'!G$11, 'Monthly Detail'!12:12)</f>
        <v/>
      </c>
      <c r="H12" s="73">
        <f>SUMIF('Monthly Detail'!$4:$4, '2022 Overview'!H$11, 'Monthly Detail'!12:12)</f>
        <v/>
      </c>
      <c r="I12" s="73">
        <f>SUMIF('Monthly Detail'!$4:$4, '2022 Overview'!I$11, 'Monthly Detail'!12:12)</f>
        <v/>
      </c>
      <c r="J12" s="73">
        <f>SUMIF('Monthly Detail'!$4:$4, '2022 Overview'!J$11, 'Monthly Detail'!12:12)</f>
        <v/>
      </c>
      <c r="K12" s="73">
        <f>SUMIF('Monthly Detail'!$4:$4, '2022 Overview'!K$11, 'Monthly Detail'!12:12)</f>
        <v/>
      </c>
      <c r="L12" s="73">
        <f>SUMIF('Monthly Detail'!$4:$4, '2022 Overview'!L$11, 'Monthly Detail'!12:12)</f>
        <v/>
      </c>
      <c r="M12" s="73">
        <f>SUMIF('Monthly Detail'!$4:$4, '2022 Overview'!M$11, 'Monthly Detail'!12:12)</f>
        <v/>
      </c>
      <c r="N12" s="149">
        <f>SUMIF('Monthly Detail'!$4:$4, '2022 Overview'!N$11, 'Monthly Detail'!12:12)</f>
        <v/>
      </c>
      <c r="O12" s="73" t="n"/>
      <c r="P12" s="73">
        <f>SUM(C12:O12)</f>
        <v/>
      </c>
    </row>
    <row r="13">
      <c r="B13" s="72" t="inlineStr">
        <is>
          <t>Misc.</t>
        </is>
      </c>
      <c r="C13" s="73">
        <f>SUMIF('Monthly Detail'!$4:$4, '2022 Overview'!C$11, 'Monthly Detail'!13:13)</f>
        <v/>
      </c>
      <c r="D13" s="73">
        <f>SUMIF('Monthly Detail'!$4:$4, '2022 Overview'!D$11, 'Monthly Detail'!13:13)</f>
        <v/>
      </c>
      <c r="E13" s="73">
        <f>SUMIF('Monthly Detail'!$4:$4, '2022 Overview'!E$11, 'Monthly Detail'!13:13)</f>
        <v/>
      </c>
      <c r="F13" s="73">
        <f>SUMIF('Monthly Detail'!$4:$4, '2022 Overview'!F$11, 'Monthly Detail'!13:13)</f>
        <v/>
      </c>
      <c r="G13" s="73">
        <f>SUMIF('Monthly Detail'!$4:$4, '2022 Overview'!G$11, 'Monthly Detail'!13:13)</f>
        <v/>
      </c>
      <c r="H13" s="73">
        <f>SUMIF('Monthly Detail'!$4:$4, '2022 Overview'!H$11, 'Monthly Detail'!13:13)</f>
        <v/>
      </c>
      <c r="I13" s="73">
        <f>SUMIF('Monthly Detail'!$4:$4, '2022 Overview'!I$11, 'Monthly Detail'!13:13)</f>
        <v/>
      </c>
      <c r="J13" s="73">
        <f>SUMIF('Monthly Detail'!$4:$4, '2022 Overview'!J$11, 'Monthly Detail'!13:13)</f>
        <v/>
      </c>
      <c r="K13" s="73">
        <f>SUMIF('Monthly Detail'!$4:$4, '2022 Overview'!K$11, 'Monthly Detail'!13:13)</f>
        <v/>
      </c>
      <c r="L13" s="73">
        <f>SUMIF('Monthly Detail'!$4:$4, '2022 Overview'!L$11, 'Monthly Detail'!13:13)</f>
        <v/>
      </c>
      <c r="M13" s="133">
        <f>SUMIF('Monthly Detail'!$4:$4, '2022 Overview'!M$11, 'Monthly Detail'!13:13)</f>
        <v/>
      </c>
      <c r="N13" s="149">
        <f>SUMIF('Monthly Detail'!$4:$4, '2022 Overview'!N$11, 'Monthly Detail'!13:13)</f>
        <v/>
      </c>
      <c r="O13" s="73" t="n"/>
      <c r="P13" s="73" t="n"/>
    </row>
    <row r="14">
      <c r="B14" s="74" t="inlineStr">
        <is>
          <t>Total Income</t>
        </is>
      </c>
      <c r="C14" s="74" t="n">
        <v>0.1</v>
      </c>
      <c r="D14" s="74" t="n">
        <v>0.1</v>
      </c>
      <c r="E14" s="74" t="n">
        <v>0.1</v>
      </c>
      <c r="F14" s="74" t="n">
        <v>0.1</v>
      </c>
      <c r="G14" s="74" t="n">
        <v>0.1</v>
      </c>
      <c r="H14" s="74" t="n">
        <v>0.1</v>
      </c>
      <c r="I14" s="74" t="n">
        <v>0.1</v>
      </c>
      <c r="J14" s="74">
        <f>SUM(J12:J13)</f>
        <v/>
      </c>
      <c r="K14" s="74">
        <f>SUM(K12:K13)</f>
        <v/>
      </c>
      <c r="L14" s="74">
        <f>SUM(L12:L13)</f>
        <v/>
      </c>
      <c r="M14" s="74">
        <f>SUM(M12:M13)</f>
        <v/>
      </c>
      <c r="N14" s="150">
        <f>SUM(N12:N13)</f>
        <v/>
      </c>
      <c r="O14" s="75" t="n"/>
      <c r="P14" s="74">
        <f>SUM(P12:P12)</f>
        <v/>
      </c>
    </row>
    <row r="15">
      <c r="B15" s="7" t="n"/>
      <c r="C15" s="76" t="n"/>
      <c r="D15" s="76" t="n"/>
      <c r="E15" s="76" t="n"/>
      <c r="F15" s="76" t="n"/>
      <c r="G15" s="76" t="n"/>
      <c r="H15" s="76" t="n"/>
      <c r="I15" s="76" t="n"/>
      <c r="J15" s="76" t="n"/>
      <c r="K15" s="76" t="n"/>
      <c r="L15" s="76" t="n"/>
      <c r="M15" s="76" t="n"/>
      <c r="N15" s="151" t="n"/>
      <c r="P15" s="76" t="n"/>
    </row>
    <row r="16" ht="15.6" customHeight="1">
      <c r="B16" s="87" t="inlineStr">
        <is>
          <t>Gross Margin</t>
        </is>
      </c>
      <c r="C16" s="88">
        <f>C14</f>
        <v/>
      </c>
      <c r="D16" s="88">
        <f>D14</f>
        <v/>
      </c>
      <c r="E16" s="88">
        <f>E14</f>
        <v/>
      </c>
      <c r="F16" s="88">
        <f>F14</f>
        <v/>
      </c>
      <c r="G16" s="88">
        <f>G14</f>
        <v/>
      </c>
      <c r="H16" s="88">
        <f>H14</f>
        <v/>
      </c>
      <c r="I16" s="88">
        <f>I14</f>
        <v/>
      </c>
      <c r="J16" s="88">
        <f>J14</f>
        <v/>
      </c>
      <c r="K16" s="88">
        <f>K14</f>
        <v/>
      </c>
      <c r="L16" s="88">
        <f>L14</f>
        <v/>
      </c>
      <c r="M16" s="88">
        <f>M14</f>
        <v/>
      </c>
      <c r="N16" s="152">
        <f>N14</f>
        <v/>
      </c>
      <c r="O16" s="246" t="n"/>
      <c r="P16" s="88">
        <f>P14</f>
        <v/>
      </c>
    </row>
    <row r="17">
      <c r="B17" s="89" t="inlineStr">
        <is>
          <t>GM %</t>
        </is>
      </c>
      <c r="C17" s="767">
        <f>C16/C14</f>
        <v/>
      </c>
      <c r="D17" s="767">
        <f>D16/D14</f>
        <v/>
      </c>
      <c r="E17" s="767">
        <f>E16/E14</f>
        <v/>
      </c>
      <c r="F17" s="767">
        <f>F16/F14</f>
        <v/>
      </c>
      <c r="G17" s="767">
        <f>G16/G14</f>
        <v/>
      </c>
      <c r="H17" s="767">
        <f>H16/H14</f>
        <v/>
      </c>
      <c r="I17" s="767">
        <f>I16/I14</f>
        <v/>
      </c>
      <c r="J17" s="767">
        <f>J16/J14</f>
        <v/>
      </c>
      <c r="K17" s="767">
        <f>K16/K14</f>
        <v/>
      </c>
      <c r="L17" s="767">
        <f>L16/L14</f>
        <v/>
      </c>
      <c r="M17" s="767">
        <f>M16/M14</f>
        <v/>
      </c>
      <c r="N17" s="797">
        <f>N16/N14</f>
        <v/>
      </c>
      <c r="O17" s="7" t="n"/>
      <c r="P17" s="767">
        <f>P16/P14</f>
        <v/>
      </c>
    </row>
    <row r="18">
      <c r="B18" s="7" t="n"/>
      <c r="N18" s="116" t="n"/>
    </row>
    <row r="19">
      <c r="B19" s="7" t="inlineStr">
        <is>
          <t>General &amp; Admintrative Expenses</t>
        </is>
      </c>
      <c r="C19" s="73">
        <f>SUMIF('Monthly Detail'!$4:$4, '2023 Overview'!C$11, 'Monthly Detail'!$95:$95)</f>
        <v/>
      </c>
      <c r="D19" s="73">
        <f>SUMIF('Monthly Detail'!$4:$4, '2023 Overview'!D$11, 'Monthly Detail'!$95:$95)</f>
        <v/>
      </c>
      <c r="E19" s="73">
        <f>SUMIF('Monthly Detail'!$4:$4, '2023 Overview'!E$11, 'Monthly Detail'!$95:$95)</f>
        <v/>
      </c>
      <c r="F19" s="73">
        <f>SUMIF('Monthly Detail'!$4:$4, '2023 Overview'!F$11, 'Monthly Detail'!$95:$95)</f>
        <v/>
      </c>
      <c r="G19" s="73">
        <f>SUMIF('Monthly Detail'!$4:$4, '2023 Overview'!G$11, 'Monthly Detail'!$95:$95)</f>
        <v/>
      </c>
      <c r="H19" s="73">
        <f>SUMIF('Monthly Detail'!$4:$4, '2023 Overview'!H$11, 'Monthly Detail'!$95:$95)</f>
        <v/>
      </c>
      <c r="I19" s="73">
        <f>SUMIF('Monthly Detail'!$4:$4, '2023 Overview'!I$11, 'Monthly Detail'!$95:$95)</f>
        <v/>
      </c>
      <c r="J19" s="73">
        <f>SUMIF('Monthly Detail'!$4:$4, '2023 Overview'!J$11, 'Monthly Detail'!$95:$95)</f>
        <v/>
      </c>
      <c r="K19" s="73">
        <f>SUMIF('Monthly Detail'!$4:$4, '2023 Overview'!K$11, 'Monthly Detail'!$95:$95)</f>
        <v/>
      </c>
      <c r="L19" s="73">
        <f>SUMIF('Monthly Detail'!$4:$4, '2023 Overview'!L$11, 'Monthly Detail'!$95:$95)</f>
        <v/>
      </c>
      <c r="M19" s="73">
        <f>SUMIF('Monthly Detail'!$4:$4, '2023 Overview'!M$11, 'Monthly Detail'!$95:$95)</f>
        <v/>
      </c>
      <c r="N19" s="149">
        <f>SUMIF('Monthly Detail'!$4:$4, '2023 Overview'!N$11, 'Monthly Detail'!$95:$95)</f>
        <v/>
      </c>
      <c r="P19" s="73">
        <f>SUM(C19:O19)</f>
        <v/>
      </c>
      <c r="T19" s="1" t="n"/>
    </row>
    <row r="20">
      <c r="B20" s="7" t="inlineStr">
        <is>
          <t>Owner Guarenteed Payments</t>
        </is>
      </c>
      <c r="C20" s="73">
        <f>SUMIF('Monthly Detail'!$4:$4, '2022 Overview'!C$11, 'Monthly Detail'!52:52)</f>
        <v/>
      </c>
      <c r="D20" s="73">
        <f>SUMIF('Monthly Detail'!$4:$4, '2022 Overview'!D$11, 'Monthly Detail'!52:52)</f>
        <v/>
      </c>
      <c r="E20" s="73">
        <f>SUMIF('Monthly Detail'!$4:$4, '2022 Overview'!E$11, 'Monthly Detail'!52:52)</f>
        <v/>
      </c>
      <c r="F20" s="73">
        <f>SUMIF('Monthly Detail'!$4:$4, '2022 Overview'!F$11, 'Monthly Detail'!52:52)</f>
        <v/>
      </c>
      <c r="G20" s="73">
        <f>SUMIF('Monthly Detail'!$4:$4, '2022 Overview'!G$11, 'Monthly Detail'!52:52)</f>
        <v/>
      </c>
      <c r="H20" s="73">
        <f>SUMIF('Monthly Detail'!$4:$4, '2022 Overview'!H$11, 'Monthly Detail'!52:52)</f>
        <v/>
      </c>
      <c r="I20" s="73">
        <f>SUMIF('Monthly Detail'!$4:$4, '2022 Overview'!I$11, 'Monthly Detail'!52:52)</f>
        <v/>
      </c>
      <c r="J20" s="73">
        <f>SUMIF('Monthly Detail'!$4:$4, '2022 Overview'!J$11, 'Monthly Detail'!52:52)</f>
        <v/>
      </c>
      <c r="K20" s="73">
        <f>SUMIF('Monthly Detail'!$4:$4, '2022 Overview'!K$11, 'Monthly Detail'!52:52)</f>
        <v/>
      </c>
      <c r="L20" s="73">
        <f>SUMIF('Monthly Detail'!$4:$4, '2022 Overview'!L$11, 'Monthly Detail'!52:52)</f>
        <v/>
      </c>
      <c r="M20" s="73">
        <f>SUMIF('Monthly Detail'!$4:$4, '2022 Overview'!M$11, 'Monthly Detail'!52:52)</f>
        <v/>
      </c>
      <c r="N20" s="149">
        <f>SUMIF('Monthly Detail'!$4:$4, '2022 Overview'!N$11, 'Monthly Detail'!52:52)</f>
        <v/>
      </c>
      <c r="P20" s="73">
        <f>SUM(C20:O20)</f>
        <v/>
      </c>
      <c r="T20" s="1" t="n"/>
    </row>
    <row r="21">
      <c r="B21" s="78" t="inlineStr">
        <is>
          <t>Operating Expenses</t>
        </is>
      </c>
      <c r="C21" s="103">
        <f>SUM(C19:C20)</f>
        <v/>
      </c>
      <c r="D21" s="103">
        <f>SUM(D19:D20)</f>
        <v/>
      </c>
      <c r="E21" s="103">
        <f>SUM(E19:E20)</f>
        <v/>
      </c>
      <c r="F21" s="103">
        <f>SUM(F19:F20)</f>
        <v/>
      </c>
      <c r="G21" s="103">
        <f>SUM(G19:G20)</f>
        <v/>
      </c>
      <c r="H21" s="103">
        <f>SUM(H19:H20)</f>
        <v/>
      </c>
      <c r="I21" s="103">
        <f>SUM(I19:I20)</f>
        <v/>
      </c>
      <c r="J21" s="103">
        <f>SUM(J19:J20)</f>
        <v/>
      </c>
      <c r="K21" s="103">
        <f>SUM(K19:K20)</f>
        <v/>
      </c>
      <c r="L21" s="103">
        <f>SUM(L19:L20)</f>
        <v/>
      </c>
      <c r="M21" s="103">
        <f>SUM(M19:M20)</f>
        <v/>
      </c>
      <c r="N21" s="154">
        <f>SUM(N19:N20)</f>
        <v/>
      </c>
      <c r="O21" s="433" t="n"/>
      <c r="P21" s="103">
        <f>SUM(P19:P20)</f>
        <v/>
      </c>
    </row>
    <row r="22" ht="3" customHeight="1">
      <c r="B22" s="7" t="n"/>
      <c r="N22" s="116" t="n"/>
    </row>
    <row r="23" ht="15.6" customHeight="1">
      <c r="B23" s="87" t="inlineStr">
        <is>
          <t>Net Operating Income (EBITDA)</t>
        </is>
      </c>
      <c r="C23" s="88">
        <f>C16-C21</f>
        <v/>
      </c>
      <c r="D23" s="88">
        <f>D16-D21</f>
        <v/>
      </c>
      <c r="E23" s="88">
        <f>E16-E21</f>
        <v/>
      </c>
      <c r="F23" s="88">
        <f>F16-F21</f>
        <v/>
      </c>
      <c r="G23" s="88">
        <f>G16-G21</f>
        <v/>
      </c>
      <c r="H23" s="88">
        <f>H16-H21</f>
        <v/>
      </c>
      <c r="I23" s="88">
        <f>I16-I21</f>
        <v/>
      </c>
      <c r="J23" s="88">
        <f>J16-J21</f>
        <v/>
      </c>
      <c r="K23" s="88">
        <f>K16-K21</f>
        <v/>
      </c>
      <c r="L23" s="88">
        <f>L16-L21</f>
        <v/>
      </c>
      <c r="M23" s="88">
        <f>M16-M21</f>
        <v/>
      </c>
      <c r="N23" s="152">
        <f>N16-N21</f>
        <v/>
      </c>
      <c r="O23" s="246" t="n"/>
      <c r="P23" s="88">
        <f>P16-P21</f>
        <v/>
      </c>
    </row>
    <row r="24">
      <c r="B24" s="89" t="inlineStr">
        <is>
          <t>EBITDA %</t>
        </is>
      </c>
      <c r="C24" s="767">
        <f>C23/C14</f>
        <v/>
      </c>
      <c r="D24" s="767">
        <f>D23/D14</f>
        <v/>
      </c>
      <c r="E24" s="767">
        <f>E23/E14</f>
        <v/>
      </c>
      <c r="F24" s="767">
        <f>F23/F14</f>
        <v/>
      </c>
      <c r="G24" s="767">
        <f>G23/G14</f>
        <v/>
      </c>
      <c r="H24" s="767">
        <f>H23/H14</f>
        <v/>
      </c>
      <c r="I24" s="767">
        <f>I23/I14</f>
        <v/>
      </c>
      <c r="J24" s="767">
        <f>J23/J14</f>
        <v/>
      </c>
      <c r="K24" s="767">
        <f>K23/K14</f>
        <v/>
      </c>
      <c r="L24" s="767">
        <f>L23/L14</f>
        <v/>
      </c>
      <c r="M24" s="767">
        <f>M23/M14</f>
        <v/>
      </c>
      <c r="N24" s="797">
        <f>N23/N14</f>
        <v/>
      </c>
      <c r="O24" s="7" t="n"/>
      <c r="P24" s="767">
        <f>P23/P14</f>
        <v/>
      </c>
    </row>
    <row r="25" ht="8.25" customHeight="1">
      <c r="B25" s="81" t="n"/>
      <c r="C25" s="770" t="n"/>
      <c r="D25" s="770" t="n"/>
      <c r="E25" s="770" t="n"/>
      <c r="F25" s="770" t="n"/>
      <c r="G25" s="770" t="n"/>
      <c r="H25" s="770" t="n"/>
      <c r="I25" s="770" t="n"/>
      <c r="J25" s="770" t="n"/>
      <c r="K25" s="770" t="n"/>
      <c r="L25" s="770" t="n"/>
      <c r="M25" s="770" t="n"/>
      <c r="N25" s="796" t="n"/>
      <c r="P25" s="770" t="n"/>
    </row>
    <row r="26">
      <c r="B26" s="7" t="inlineStr">
        <is>
          <t>Other Income / (Expense)</t>
        </is>
      </c>
      <c r="C26" s="73">
        <f>SUMIF('Monthly Detail'!$4:$4, '2022 Overview'!C$11, 'Monthly Detail'!88:88)</f>
        <v/>
      </c>
      <c r="D26" s="73">
        <f>SUMIF('Monthly Detail'!$4:$4, '2022 Overview'!D$11, 'Monthly Detail'!88:88)</f>
        <v/>
      </c>
      <c r="E26" s="73">
        <f>SUMIF('Monthly Detail'!$4:$4, '2022 Overview'!E$11, 'Monthly Detail'!88:88)</f>
        <v/>
      </c>
      <c r="F26" s="73">
        <f>SUMIF('Monthly Detail'!$4:$4, '2022 Overview'!F$11, 'Monthly Detail'!88:88)</f>
        <v/>
      </c>
      <c r="G26" s="73">
        <f>SUMIF('Monthly Detail'!$4:$4, '2022 Overview'!G$11, 'Monthly Detail'!88:88)</f>
        <v/>
      </c>
      <c r="H26" s="73">
        <f>SUMIF('Monthly Detail'!$4:$4, '2022 Overview'!H$11, 'Monthly Detail'!88:88)</f>
        <v/>
      </c>
      <c r="I26" s="73">
        <f>SUMIF('Monthly Detail'!$4:$4, '2022 Overview'!I$11, 'Monthly Detail'!88:88)</f>
        <v/>
      </c>
      <c r="J26" s="73">
        <f>SUMIF('Monthly Detail'!$4:$4, '2022 Overview'!J$11, 'Monthly Detail'!88:88)</f>
        <v/>
      </c>
      <c r="K26" s="73">
        <f>SUMIF('Monthly Detail'!$4:$4, '2022 Overview'!K$11, 'Monthly Detail'!88:88)</f>
        <v/>
      </c>
      <c r="L26" s="132">
        <f>SUMIF('Monthly Detail'!$4:$4, '2022 Overview'!L$11, 'Monthly Detail'!88:88)</f>
        <v/>
      </c>
      <c r="M26" s="132">
        <f>SUMIF('Monthly Detail'!$4:$4, '2022 Overview'!M$11, 'Monthly Detail'!88:88)</f>
        <v/>
      </c>
      <c r="N26" s="156">
        <f>SUMIF('Monthly Detail'!$4:$4, '2022 Overview'!N$11, 'Monthly Detail'!88:88)</f>
        <v/>
      </c>
      <c r="O26" s="73" t="n"/>
      <c r="P26" s="132">
        <f>SUM(C26:O26)</f>
        <v/>
      </c>
    </row>
    <row r="27" ht="15.6" customHeight="1">
      <c r="B27" s="87" t="inlineStr">
        <is>
          <t>Net Income</t>
        </is>
      </c>
      <c r="C27" s="88">
        <f>C23+SUM(C26:C26)</f>
        <v/>
      </c>
      <c r="D27" s="88">
        <f>D23+SUM(D26:D26)</f>
        <v/>
      </c>
      <c r="E27" s="88">
        <f>E23+SUM(E26:E26)</f>
        <v/>
      </c>
      <c r="F27" s="88">
        <f>F23+SUM(F26:F26)</f>
        <v/>
      </c>
      <c r="G27" s="88">
        <f>G23+SUM(G26:G26)</f>
        <v/>
      </c>
      <c r="H27" s="88">
        <f>H23+SUM(H26:H26)</f>
        <v/>
      </c>
      <c r="I27" s="88">
        <f>I23+SUM(I26:I26)</f>
        <v/>
      </c>
      <c r="J27" s="88">
        <f>J23+SUM(J26:J26)</f>
        <v/>
      </c>
      <c r="K27" s="88">
        <f>K23+SUM(K26:K26)</f>
        <v/>
      </c>
      <c r="L27" s="88">
        <f>L23+SUM(L26:L26)</f>
        <v/>
      </c>
      <c r="M27" s="88">
        <f>M23+SUM(M26:M26)</f>
        <v/>
      </c>
      <c r="N27" s="152">
        <f>N23+SUM(N26:N26)</f>
        <v/>
      </c>
      <c r="O27" s="246" t="n"/>
      <c r="P27" s="88">
        <f>P23+SUM(P26:P26)</f>
        <v/>
      </c>
    </row>
    <row r="28">
      <c r="B28" s="89" t="inlineStr">
        <is>
          <t>NI %</t>
        </is>
      </c>
      <c r="C28" s="767">
        <f>C27/C14</f>
        <v/>
      </c>
      <c r="D28" s="767">
        <f>D27/D14</f>
        <v/>
      </c>
      <c r="E28" s="767">
        <f>E27/E14</f>
        <v/>
      </c>
      <c r="F28" s="767">
        <f>F27/F14</f>
        <v/>
      </c>
      <c r="G28" s="767">
        <f>G27/G14</f>
        <v/>
      </c>
      <c r="H28" s="767">
        <f>H27/H14</f>
        <v/>
      </c>
      <c r="I28" s="767">
        <f>I27/I14</f>
        <v/>
      </c>
      <c r="J28" s="767">
        <f>J27/J14</f>
        <v/>
      </c>
      <c r="K28" s="767">
        <f>K27/K14</f>
        <v/>
      </c>
      <c r="L28" s="767">
        <f>L27/L14</f>
        <v/>
      </c>
      <c r="M28" s="767">
        <f>M27/M14</f>
        <v/>
      </c>
      <c r="N28" s="797">
        <f>N27/N14</f>
        <v/>
      </c>
      <c r="O28" s="7" t="n"/>
      <c r="P28" s="767">
        <f>P27/P14</f>
        <v/>
      </c>
    </row>
    <row r="29" ht="15" customHeight="1" thickBot="1">
      <c r="B29" s="7" t="n"/>
      <c r="M29" s="109" t="n"/>
      <c r="N29" s="116" t="n"/>
    </row>
    <row r="30">
      <c r="B30" s="83" t="inlineStr">
        <is>
          <t>Operating Cash</t>
        </is>
      </c>
      <c r="C30" s="783">
        <f>SUMIF('Monthly Detail'!$4:$4, '2022 Overview'!C$11, 'Monthly Detail'!174:174)</f>
        <v/>
      </c>
      <c r="D30" s="783">
        <f>SUMIF('Monthly Detail'!$4:$4, '2022 Overview'!D$11, 'Monthly Detail'!174:174)</f>
        <v/>
      </c>
      <c r="E30" s="783">
        <f>SUMIF('Monthly Detail'!$4:$4, '2022 Overview'!E$11, 'Monthly Detail'!174:174)</f>
        <v/>
      </c>
      <c r="F30" s="783">
        <f>SUMIF('Monthly Detail'!$4:$4, '2022 Overview'!F$11, 'Monthly Detail'!174:174)</f>
        <v/>
      </c>
      <c r="G30" s="783">
        <f>SUMIF('Monthly Detail'!$4:$4, '2022 Overview'!G$11, 'Monthly Detail'!174:174)</f>
        <v/>
      </c>
      <c r="H30" s="783">
        <f>SUMIF('Monthly Detail'!$4:$4, '2022 Overview'!H$11, 'Monthly Detail'!174:174)</f>
        <v/>
      </c>
      <c r="I30" s="783">
        <f>SUMIF('Monthly Detail'!$4:$4, '2022 Overview'!I$11, 'Monthly Detail'!174:174)</f>
        <v/>
      </c>
      <c r="J30" s="783">
        <f>SUMIF('Monthly Detail'!$4:$4, '2022 Overview'!J$11, 'Monthly Detail'!174:174)</f>
        <v/>
      </c>
      <c r="K30" s="783">
        <f>SUMIF('Monthly Detail'!$4:$4, '2022 Overview'!K$11, 'Monthly Detail'!174:174)</f>
        <v/>
      </c>
      <c r="L30" s="783">
        <f>SUMIF('Monthly Detail'!$4:$4, '2022 Overview'!L$11, 'Monthly Detail'!174:174)</f>
        <v/>
      </c>
      <c r="M30" s="783">
        <f>SUMIF('Monthly Detail'!$4:$4, '2022 Overview'!M$11, 'Monthly Detail'!174:174)</f>
        <v/>
      </c>
      <c r="N30" s="820">
        <f>SUMIF('Monthly Detail'!$4:$4, '2022 Overview'!N$11, 'Monthly Detail'!174:174)</f>
        <v/>
      </c>
    </row>
    <row r="31" ht="15" customHeight="1" thickBot="1">
      <c r="B31" s="85" t="inlineStr">
        <is>
          <t>Cash Inflow (Outflow)</t>
        </is>
      </c>
      <c r="C31" s="792">
        <f>SUMIF('Monthly Detail'!$4:$4, '2022 Overview'!C$11, 'Monthly Detail'!160:160)</f>
        <v/>
      </c>
      <c r="D31" s="792">
        <f>D30-C30</f>
        <v/>
      </c>
      <c r="E31" s="792">
        <f>E30-D30</f>
        <v/>
      </c>
      <c r="F31" s="792">
        <f>F30-E30</f>
        <v/>
      </c>
      <c r="G31" s="792">
        <f>G30-F30</f>
        <v/>
      </c>
      <c r="H31" s="792">
        <f>H30-G30</f>
        <v/>
      </c>
      <c r="I31" s="792">
        <f>I30-H30</f>
        <v/>
      </c>
      <c r="J31" s="792">
        <f>J30-I30</f>
        <v/>
      </c>
      <c r="K31" s="792">
        <f>K30-J30</f>
        <v/>
      </c>
      <c r="L31" s="792">
        <f>L30-K30</f>
        <v/>
      </c>
      <c r="M31" s="792">
        <f>M30-L30</f>
        <v/>
      </c>
      <c r="N31" s="821">
        <f>N30-M30</f>
        <v/>
      </c>
    </row>
  </sheetData>
  <pageMargins left="0.7" right="0.7" top="0.75" bottom="0.75" header="0.3" footer="0.3"/>
  <pageSetup orientation="landscape" fitToHeight="0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Normal="100" workbookViewId="0">
      <selection activeCell="M27" sqref="M27"/>
    </sheetView>
  </sheetViews>
  <sheetFormatPr baseColWidth="8" defaultColWidth="8.6640625" defaultRowHeight="14.4"/>
  <sheetData/>
  <pageMargins left="0.7" right="0.7" top="0.75" bottom="0.75" header="0.3" footer="0.3"/>
  <pageSetup orientation="portrait" horizontalDpi="1200" verticalDpi="1200"/>
</worksheet>
</file>

<file path=xl/worksheets/sheet13.xml><?xml version="1.0" encoding="utf-8"?>
<worksheet xmlns="http://schemas.openxmlformats.org/spreadsheetml/2006/main">
  <sheetPr>
    <tabColor theme="0" tint="-0.499984740745262"/>
    <outlinePr summaryBelow="1" summaryRight="1"/>
    <pageSetUpPr fitToPage="1"/>
  </sheetPr>
  <dimension ref="A1:DJ176"/>
  <sheetViews>
    <sheetView tabSelected="1" topLeftCell="B1" zoomScale="63" zoomScaleNormal="140" workbookViewId="0">
      <pane xSplit="2" ySplit="4" topLeftCell="AQ5" activePane="bottomRight" state="frozen"/>
      <selection activeCell="B1" sqref="B1"/>
      <selection pane="topRight" activeCell="D1" sqref="D1"/>
      <selection pane="bottomLeft" activeCell="B5" sqref="B5"/>
      <selection pane="bottomRight" activeCell="D4" sqref="D4:DG4"/>
    </sheetView>
  </sheetViews>
  <sheetFormatPr baseColWidth="8" defaultColWidth="8.6640625" defaultRowHeight="14.4"/>
  <cols>
    <col hidden="1" outlineLevel="1" width="13" customWidth="1" min="1" max="1"/>
    <col collapsed="1" width="36.44140625" bestFit="1" customWidth="1" min="2" max="2"/>
    <col width="30.44140625" bestFit="1" customWidth="1" min="3" max="3"/>
    <col hidden="1" outlineLevel="1" width="10.6640625" customWidth="1" min="4" max="9"/>
    <col hidden="1" outlineLevel="1" collapsed="1" width="10.6640625" customWidth="1" min="10" max="10"/>
    <col hidden="1" outlineLevel="1" width="10.6640625" customWidth="1" min="11" max="11"/>
    <col hidden="1" outlineLevel="1" width="14.33203125" customWidth="1" min="12" max="12"/>
    <col hidden="1" outlineLevel="1" width="13.109375" customWidth="1" min="13" max="15"/>
    <col hidden="1" outlineLevel="1" collapsed="1" width="13.109375" customWidth="1" min="16" max="16"/>
    <col hidden="1" outlineLevel="1" width="13.109375" customWidth="1" min="17" max="25"/>
    <col hidden="1" outlineLevel="1" width="14.33203125" customWidth="1" min="26" max="27"/>
    <col hidden="1" outlineLevel="1" collapsed="1" width="13.109375" customWidth="1" min="28" max="28"/>
    <col hidden="1" outlineLevel="1" width="13.109375" customWidth="1" min="29" max="30"/>
    <col hidden="1" outlineLevel="1" width="14.109375" customWidth="1" min="31" max="31"/>
    <col hidden="1" outlineLevel="1" width="13.109375" customWidth="1" min="32" max="32"/>
    <col hidden="1" outlineLevel="1" width="14.109375" customWidth="1" min="33" max="33"/>
    <col hidden="1" outlineLevel="1" width="15" customWidth="1" min="34" max="34"/>
    <col hidden="1" outlineLevel="1" width="16.44140625" customWidth="1" min="35" max="35"/>
    <col hidden="1" outlineLevel="1" width="16" customWidth="1" min="36" max="36"/>
    <col hidden="1" outlineLevel="1" width="15" customWidth="1" min="37" max="38"/>
    <col hidden="1" outlineLevel="1" width="14.33203125" customWidth="1" style="97" min="39" max="39"/>
    <col hidden="1" outlineLevel="1" collapsed="1" width="14.33203125" customWidth="1" min="40" max="40"/>
    <col hidden="1" outlineLevel="1" width="15.44140625" customWidth="1" min="41" max="42"/>
    <col collapsed="1" width="15.44140625" bestFit="1" customWidth="1" min="43" max="43"/>
    <col width="15.44140625" bestFit="1" customWidth="1" min="44" max="44"/>
    <col width="16.44140625" bestFit="1" customWidth="1" min="45" max="50"/>
    <col width="16.6640625" bestFit="1" customWidth="1" min="51" max="51"/>
    <col width="13.44140625" bestFit="1" customWidth="1" min="52" max="111"/>
    <col width="5.109375" bestFit="1" customWidth="1" min="112" max="113"/>
    <col width="8.44140625" bestFit="1" customWidth="1" min="114" max="114"/>
  </cols>
  <sheetData>
    <row r="1" ht="15" customHeight="1" thickBot="1">
      <c r="A1" s="29" t="n"/>
      <c r="B1" s="29" t="n"/>
      <c r="C1" s="29" t="n"/>
      <c r="D1" s="30">
        <f>YEAR(D4)</f>
        <v/>
      </c>
      <c r="E1" s="30">
        <f>YEAR(E4)</f>
        <v/>
      </c>
      <c r="F1" s="30">
        <f>YEAR(F4)</f>
        <v/>
      </c>
      <c r="G1" s="30">
        <f>YEAR(G4)</f>
        <v/>
      </c>
      <c r="H1" s="30">
        <f>YEAR(H4)</f>
        <v/>
      </c>
      <c r="I1" s="30">
        <f>YEAR(I4)</f>
        <v/>
      </c>
      <c r="J1" s="30">
        <f>YEAR(J4)</f>
        <v/>
      </c>
      <c r="K1" s="30">
        <f>YEAR(K4)</f>
        <v/>
      </c>
      <c r="L1" s="30">
        <f>YEAR(L4)</f>
        <v/>
      </c>
      <c r="M1" s="30">
        <f>YEAR(M4)</f>
        <v/>
      </c>
      <c r="N1" s="30">
        <f>YEAR(N4)</f>
        <v/>
      </c>
      <c r="O1" s="30">
        <f>YEAR(O4)</f>
        <v/>
      </c>
      <c r="P1" s="30">
        <f>YEAR(P4)</f>
        <v/>
      </c>
      <c r="Q1" s="30">
        <f>YEAR(Q4)</f>
        <v/>
      </c>
      <c r="R1" s="30">
        <f>YEAR(R4)</f>
        <v/>
      </c>
      <c r="S1" s="30">
        <f>YEAR(S4)</f>
        <v/>
      </c>
      <c r="T1" s="30">
        <f>YEAR(T4)</f>
        <v/>
      </c>
      <c r="U1" s="30">
        <f>YEAR(U4)</f>
        <v/>
      </c>
      <c r="V1" s="30">
        <f>YEAR(V4)</f>
        <v/>
      </c>
      <c r="W1" s="30">
        <f>YEAR(W4)</f>
        <v/>
      </c>
      <c r="X1" s="30">
        <f>YEAR(X4)</f>
        <v/>
      </c>
      <c r="Y1" s="30">
        <f>YEAR(Y4)</f>
        <v/>
      </c>
      <c r="Z1" s="30">
        <f>YEAR(Z4)</f>
        <v/>
      </c>
      <c r="AA1" s="30">
        <f>YEAR(AA4)</f>
        <v/>
      </c>
      <c r="AB1" s="30">
        <f>YEAR(AB4)</f>
        <v/>
      </c>
      <c r="AC1" s="30">
        <f>YEAR(AC4)</f>
        <v/>
      </c>
      <c r="AD1" s="30">
        <f>YEAR(AD4)</f>
        <v/>
      </c>
      <c r="AE1" s="30">
        <f>YEAR(AE4)</f>
        <v/>
      </c>
      <c r="AF1" s="30">
        <f>YEAR(AF4)</f>
        <v/>
      </c>
      <c r="AG1" s="30">
        <f>YEAR(AG4)</f>
        <v/>
      </c>
      <c r="AH1" s="30">
        <f>YEAR(AH4)</f>
        <v/>
      </c>
      <c r="AI1" s="301">
        <f>YEAR(AI4)</f>
        <v/>
      </c>
      <c r="AJ1" s="30">
        <f>YEAR(AJ4)</f>
        <v/>
      </c>
      <c r="AK1" s="30">
        <f>YEAR(AK4)</f>
        <v/>
      </c>
      <c r="AL1" s="30">
        <f>YEAR(AL4)</f>
        <v/>
      </c>
      <c r="AM1" s="52">
        <f>YEAR(AM4)</f>
        <v/>
      </c>
      <c r="AN1" s="30">
        <f>YEAR(AN4)</f>
        <v/>
      </c>
      <c r="AO1" s="30">
        <f>YEAR(AO4)</f>
        <v/>
      </c>
      <c r="AP1" s="30">
        <f>YEAR(AP4)</f>
        <v/>
      </c>
      <c r="AQ1" s="30">
        <f>YEAR(AQ4)</f>
        <v/>
      </c>
      <c r="AR1" s="30">
        <f>YEAR(AR4)</f>
        <v/>
      </c>
      <c r="AS1" s="30">
        <f>YEAR(AS4)</f>
        <v/>
      </c>
      <c r="AT1" s="30">
        <f>YEAR(AT4)</f>
        <v/>
      </c>
      <c r="AU1" s="301">
        <f>YEAR(AU4)</f>
        <v/>
      </c>
      <c r="AV1" s="30">
        <f>YEAR(AV4)</f>
        <v/>
      </c>
      <c r="AW1" s="301">
        <f>YEAR(AW4)</f>
        <v/>
      </c>
      <c r="AX1" s="30">
        <f>YEAR(AX4)</f>
        <v/>
      </c>
      <c r="AY1" s="301">
        <f>YEAR(AY4)</f>
        <v/>
      </c>
      <c r="AZ1" s="30">
        <f>YEAR(AZ4)</f>
        <v/>
      </c>
      <c r="BA1" s="30">
        <f>YEAR(BA4)</f>
        <v/>
      </c>
      <c r="BB1" s="30">
        <f>YEAR(BB4)</f>
        <v/>
      </c>
      <c r="BC1" s="30">
        <f>YEAR(BC4)</f>
        <v/>
      </c>
      <c r="BD1" s="30">
        <f>YEAR(BD4)</f>
        <v/>
      </c>
      <c r="BE1" s="30">
        <f>YEAR(BE4)</f>
        <v/>
      </c>
      <c r="BF1" s="30">
        <f>YEAR(BF4)</f>
        <v/>
      </c>
      <c r="BG1" s="30">
        <f>YEAR(BG4)</f>
        <v/>
      </c>
      <c r="BH1" s="30">
        <f>YEAR(BH4)</f>
        <v/>
      </c>
      <c r="BI1" s="30">
        <f>YEAR(BI4)</f>
        <v/>
      </c>
      <c r="BJ1" s="30">
        <f>YEAR(BJ4)</f>
        <v/>
      </c>
      <c r="BK1" s="301">
        <f>YEAR(BK4)</f>
        <v/>
      </c>
      <c r="BL1" s="30">
        <f>YEAR(BL4)</f>
        <v/>
      </c>
      <c r="BM1" s="30">
        <f>YEAR(BM4)</f>
        <v/>
      </c>
      <c r="BN1" s="30">
        <f>YEAR(BN4)</f>
        <v/>
      </c>
      <c r="BO1" s="30">
        <f>YEAR(BO4)</f>
        <v/>
      </c>
      <c r="BP1" s="30">
        <f>YEAR(BP4)</f>
        <v/>
      </c>
      <c r="BQ1" s="30">
        <f>YEAR(BQ4)</f>
        <v/>
      </c>
      <c r="BR1" s="30">
        <f>YEAR(BR4)</f>
        <v/>
      </c>
      <c r="BS1" s="30">
        <f>YEAR(BS4)</f>
        <v/>
      </c>
      <c r="BT1" s="30">
        <f>YEAR(BT4)</f>
        <v/>
      </c>
      <c r="BU1" s="30">
        <f>YEAR(BU4)</f>
        <v/>
      </c>
      <c r="BV1" s="30">
        <f>YEAR(BV4)</f>
        <v/>
      </c>
      <c r="BW1" s="301">
        <f>YEAR(BW4)</f>
        <v/>
      </c>
      <c r="BX1" s="30">
        <f>YEAR(BX4)</f>
        <v/>
      </c>
      <c r="BY1" s="30">
        <f>YEAR(BY4)</f>
        <v/>
      </c>
      <c r="BZ1" s="30">
        <f>YEAR(BZ4)</f>
        <v/>
      </c>
      <c r="CA1" s="30">
        <f>YEAR(CA4)</f>
        <v/>
      </c>
      <c r="CB1" s="30">
        <f>YEAR(CB4)</f>
        <v/>
      </c>
      <c r="CC1" s="30">
        <f>YEAR(CC4)</f>
        <v/>
      </c>
      <c r="CD1" s="30">
        <f>YEAR(CD4)</f>
        <v/>
      </c>
      <c r="CE1" s="30">
        <f>YEAR(CE4)</f>
        <v/>
      </c>
      <c r="CF1" s="30">
        <f>YEAR(CF4)</f>
        <v/>
      </c>
      <c r="CG1" s="30">
        <f>YEAR(CG4)</f>
        <v/>
      </c>
      <c r="CH1" s="30">
        <f>YEAR(CH4)</f>
        <v/>
      </c>
      <c r="CI1" s="301">
        <f>YEAR(CI4)</f>
        <v/>
      </c>
      <c r="CJ1" s="30">
        <f>YEAR(CJ4)</f>
        <v/>
      </c>
      <c r="CK1" s="30">
        <f>YEAR(CK4)</f>
        <v/>
      </c>
      <c r="CL1" s="30">
        <f>YEAR(CL4)</f>
        <v/>
      </c>
      <c r="CM1" s="30">
        <f>YEAR(CM4)</f>
        <v/>
      </c>
      <c r="CN1" s="30">
        <f>YEAR(CN4)</f>
        <v/>
      </c>
      <c r="CO1" s="30">
        <f>YEAR(CO4)</f>
        <v/>
      </c>
      <c r="CP1" s="30">
        <f>YEAR(CP4)</f>
        <v/>
      </c>
      <c r="CQ1" s="30">
        <f>YEAR(CQ4)</f>
        <v/>
      </c>
      <c r="CR1" s="30">
        <f>YEAR(CR4)</f>
        <v/>
      </c>
      <c r="CS1" s="30">
        <f>YEAR(CS4)</f>
        <v/>
      </c>
      <c r="CT1" s="30">
        <f>YEAR(CT4)</f>
        <v/>
      </c>
      <c r="CU1" s="301">
        <f>YEAR(CU4)</f>
        <v/>
      </c>
      <c r="CV1" s="30">
        <f>YEAR(CV4)</f>
        <v/>
      </c>
      <c r="CW1" s="30">
        <f>YEAR(CW4)</f>
        <v/>
      </c>
      <c r="CX1" s="30">
        <f>YEAR(CX4)</f>
        <v/>
      </c>
      <c r="CY1" s="30">
        <f>YEAR(CY4)</f>
        <v/>
      </c>
      <c r="CZ1" s="30">
        <f>YEAR(CZ4)</f>
        <v/>
      </c>
      <c r="DA1" s="30">
        <f>YEAR(DA4)</f>
        <v/>
      </c>
      <c r="DB1" s="30">
        <f>YEAR(DB4)</f>
        <v/>
      </c>
      <c r="DC1" s="30">
        <f>YEAR(DC4)</f>
        <v/>
      </c>
      <c r="DD1" s="30">
        <f>YEAR(DD4)</f>
        <v/>
      </c>
      <c r="DE1" s="30">
        <f>YEAR(DE4)</f>
        <v/>
      </c>
      <c r="DF1" s="30">
        <f>YEAR(DF4)</f>
        <v/>
      </c>
      <c r="DG1" s="30">
        <f>YEAR(DG4)</f>
        <v/>
      </c>
      <c r="DH1" s="30" t="n"/>
      <c r="DI1" s="30" t="n"/>
      <c r="DJ1" s="52" t="n"/>
    </row>
    <row r="2">
      <c r="A2" s="29" t="n"/>
      <c r="B2" s="29" t="n"/>
      <c r="C2" s="479" t="n"/>
      <c r="D2" s="299" t="n"/>
      <c r="E2" s="299" t="n"/>
      <c r="F2" s="299" t="n"/>
      <c r="G2" s="300" t="inlineStr">
        <is>
          <t>Peak</t>
        </is>
      </c>
      <c r="H2" s="300" t="inlineStr">
        <is>
          <t>Peak</t>
        </is>
      </c>
      <c r="I2" s="300" t="inlineStr">
        <is>
          <t>Shoulder</t>
        </is>
      </c>
      <c r="J2" s="300" t="inlineStr">
        <is>
          <t>Shoulder</t>
        </is>
      </c>
      <c r="K2" s="300" t="inlineStr">
        <is>
          <t>Trough</t>
        </is>
      </c>
      <c r="L2" s="300" t="inlineStr">
        <is>
          <t>Shoulder</t>
        </is>
      </c>
      <c r="M2" s="300" t="inlineStr">
        <is>
          <t>Shoulder</t>
        </is>
      </c>
      <c r="N2" s="300" t="inlineStr">
        <is>
          <t>Trough</t>
        </is>
      </c>
      <c r="O2" s="300" t="inlineStr">
        <is>
          <t>Shoulder</t>
        </is>
      </c>
      <c r="P2" s="300" t="inlineStr">
        <is>
          <t>Shoulder</t>
        </is>
      </c>
      <c r="Q2" s="300" t="inlineStr">
        <is>
          <t>Peak</t>
        </is>
      </c>
      <c r="R2" s="300" t="inlineStr">
        <is>
          <t>Shoulder</t>
        </is>
      </c>
      <c r="S2" s="300" t="inlineStr">
        <is>
          <t>Shoulder</t>
        </is>
      </c>
      <c r="T2" s="300" t="inlineStr">
        <is>
          <t>Peak</t>
        </is>
      </c>
      <c r="U2" s="300" t="inlineStr">
        <is>
          <t>Shoulder</t>
        </is>
      </c>
      <c r="V2" s="300" t="inlineStr">
        <is>
          <t>Peak</t>
        </is>
      </c>
      <c r="W2" s="300" t="inlineStr">
        <is>
          <t>Peak</t>
        </is>
      </c>
      <c r="X2" s="300" t="inlineStr">
        <is>
          <t>Peak</t>
        </is>
      </c>
      <c r="Y2" s="300" t="inlineStr">
        <is>
          <t>Shoulder</t>
        </is>
      </c>
      <c r="Z2" s="300" t="inlineStr">
        <is>
          <t>Trough</t>
        </is>
      </c>
      <c r="AA2" s="560" t="inlineStr">
        <is>
          <t>Trough</t>
        </is>
      </c>
      <c r="AB2" s="300">
        <f>+P2</f>
        <v/>
      </c>
      <c r="AC2" s="300">
        <f>+Q2</f>
        <v/>
      </c>
      <c r="AD2" s="300">
        <f>+R2</f>
        <v/>
      </c>
      <c r="AE2" s="300">
        <f>+S2</f>
        <v/>
      </c>
      <c r="AF2" s="300">
        <f>+T2</f>
        <v/>
      </c>
      <c r="AG2" s="300">
        <f>+U2</f>
        <v/>
      </c>
      <c r="AH2" s="300">
        <f>+V2</f>
        <v/>
      </c>
      <c r="AI2" s="302">
        <f>+W2</f>
        <v/>
      </c>
      <c r="AJ2" s="300">
        <f>+X2</f>
        <v/>
      </c>
      <c r="AK2" s="300">
        <f>+Y2</f>
        <v/>
      </c>
      <c r="AL2" s="300">
        <f>+Z2</f>
        <v/>
      </c>
      <c r="AM2" s="560">
        <f>+AA2</f>
        <v/>
      </c>
      <c r="AN2" s="300">
        <f>+AB2</f>
        <v/>
      </c>
      <c r="AO2" s="300">
        <f>+AC2</f>
        <v/>
      </c>
      <c r="AP2" s="300">
        <f>+AD2</f>
        <v/>
      </c>
      <c r="AQ2" s="300">
        <f>+AE2</f>
        <v/>
      </c>
      <c r="AR2" s="300">
        <f>+AF2</f>
        <v/>
      </c>
      <c r="AS2" s="300">
        <f>+AG2</f>
        <v/>
      </c>
      <c r="AT2" s="300">
        <f>+AH2</f>
        <v/>
      </c>
      <c r="AU2" s="302">
        <f>+AI2</f>
        <v/>
      </c>
      <c r="AV2" s="300">
        <f>+AJ2</f>
        <v/>
      </c>
      <c r="AW2" s="302">
        <f>+AK2</f>
        <v/>
      </c>
      <c r="AX2" s="300">
        <f>+AL2</f>
        <v/>
      </c>
      <c r="AY2" s="560">
        <f>+AM2</f>
        <v/>
      </c>
      <c r="AZ2" s="30">
        <f>+AN2</f>
        <v/>
      </c>
      <c r="BA2" s="30">
        <f>+AO2</f>
        <v/>
      </c>
      <c r="BB2" s="30">
        <f>+AP2</f>
        <v/>
      </c>
      <c r="BC2" s="30">
        <f>+AQ2</f>
        <v/>
      </c>
      <c r="BD2" s="30">
        <f>+AR2</f>
        <v/>
      </c>
      <c r="BE2" s="30">
        <f>+AS2</f>
        <v/>
      </c>
      <c r="BF2" s="30">
        <f>+AT2</f>
        <v/>
      </c>
      <c r="BG2" s="30">
        <f>+AU2</f>
        <v/>
      </c>
      <c r="BH2" s="30">
        <f>+AV2</f>
        <v/>
      </c>
      <c r="BI2" s="30">
        <f>+AW2</f>
        <v/>
      </c>
      <c r="BJ2" s="30">
        <f>+AX2</f>
        <v/>
      </c>
      <c r="BK2" s="301">
        <f>+AY2</f>
        <v/>
      </c>
      <c r="BL2" s="30">
        <f>+AZ2</f>
        <v/>
      </c>
      <c r="BM2" s="30">
        <f>+BA2</f>
        <v/>
      </c>
      <c r="BN2" s="30">
        <f>+BB2</f>
        <v/>
      </c>
      <c r="BO2" s="30">
        <f>+BC2</f>
        <v/>
      </c>
      <c r="BP2" s="30">
        <f>+BD2</f>
        <v/>
      </c>
      <c r="BQ2" s="30">
        <f>+BE2</f>
        <v/>
      </c>
      <c r="BR2" s="30">
        <f>+BF2</f>
        <v/>
      </c>
      <c r="BS2" s="30">
        <f>+BG2</f>
        <v/>
      </c>
      <c r="BT2" s="30">
        <f>+BH2</f>
        <v/>
      </c>
      <c r="BU2" s="30">
        <f>+BI2</f>
        <v/>
      </c>
      <c r="BV2" s="30">
        <f>+BJ2</f>
        <v/>
      </c>
      <c r="BW2" s="301">
        <f>+BK2</f>
        <v/>
      </c>
      <c r="BX2" s="30">
        <f>+BL2</f>
        <v/>
      </c>
      <c r="BY2" s="30">
        <f>+BM2</f>
        <v/>
      </c>
      <c r="BZ2" s="30">
        <f>+BN2</f>
        <v/>
      </c>
      <c r="CA2" s="30">
        <f>+BO2</f>
        <v/>
      </c>
      <c r="CB2" s="30">
        <f>+BP2</f>
        <v/>
      </c>
      <c r="CC2" s="30">
        <f>+BQ2</f>
        <v/>
      </c>
      <c r="CD2" s="30">
        <f>+BR2</f>
        <v/>
      </c>
      <c r="CE2" s="30">
        <f>+BS2</f>
        <v/>
      </c>
      <c r="CF2" s="30">
        <f>+BT2</f>
        <v/>
      </c>
      <c r="CG2" s="30">
        <f>+BU2</f>
        <v/>
      </c>
      <c r="CH2" s="30">
        <f>+BV2</f>
        <v/>
      </c>
      <c r="CI2" s="301">
        <f>+BW2</f>
        <v/>
      </c>
      <c r="CJ2" s="30">
        <f>+BX2</f>
        <v/>
      </c>
      <c r="CK2" s="30">
        <f>+BY2</f>
        <v/>
      </c>
      <c r="CL2" s="30">
        <f>+BZ2</f>
        <v/>
      </c>
      <c r="CM2" s="30">
        <f>+CA2</f>
        <v/>
      </c>
      <c r="CN2" s="30">
        <f>+CB2</f>
        <v/>
      </c>
      <c r="CO2" s="30">
        <f>+CC2</f>
        <v/>
      </c>
      <c r="CP2" s="30">
        <f>+CD2</f>
        <v/>
      </c>
      <c r="CQ2" s="30">
        <f>+CE2</f>
        <v/>
      </c>
      <c r="CR2" s="30">
        <f>+CF2</f>
        <v/>
      </c>
      <c r="CS2" s="30">
        <f>+CG2</f>
        <v/>
      </c>
      <c r="CT2" s="30">
        <f>+CH2</f>
        <v/>
      </c>
      <c r="CU2" s="301">
        <f>+CI2</f>
        <v/>
      </c>
      <c r="CV2" s="30">
        <f>+CJ2</f>
        <v/>
      </c>
      <c r="CW2" s="30">
        <f>+CK2</f>
        <v/>
      </c>
      <c r="CX2" s="30">
        <f>+CL2</f>
        <v/>
      </c>
      <c r="CY2" s="30">
        <f>+CM2</f>
        <v/>
      </c>
      <c r="CZ2" s="30">
        <f>+CN2</f>
        <v/>
      </c>
      <c r="DA2" s="30">
        <f>+CO2</f>
        <v/>
      </c>
      <c r="DB2" s="30">
        <f>+CP2</f>
        <v/>
      </c>
      <c r="DC2" s="30">
        <f>+CQ2</f>
        <v/>
      </c>
      <c r="DD2" s="30">
        <f>+CR2</f>
        <v/>
      </c>
      <c r="DE2" s="30">
        <f>+CS2</f>
        <v/>
      </c>
      <c r="DF2" s="30">
        <f>+CT2</f>
        <v/>
      </c>
      <c r="DG2" s="30">
        <f>+CU2</f>
        <v/>
      </c>
      <c r="DH2" s="30" t="n"/>
      <c r="DI2" s="30" t="n"/>
      <c r="DJ2" s="30" t="n"/>
    </row>
    <row r="3">
      <c r="A3" s="29" t="n"/>
      <c r="B3" s="29" t="n"/>
      <c r="C3" s="480" t="n"/>
      <c r="D3" s="164">
        <f>+"Q1 "&amp;D1</f>
        <v/>
      </c>
      <c r="E3" s="164">
        <f>+"Q1 "&amp;E1</f>
        <v/>
      </c>
      <c r="F3" s="164">
        <f>+"Q1 "&amp;F1</f>
        <v/>
      </c>
      <c r="G3" s="164">
        <f>+"Q2 "&amp;G1</f>
        <v/>
      </c>
      <c r="H3" s="164">
        <f>+"Q2 "&amp;H1</f>
        <v/>
      </c>
      <c r="I3" s="164">
        <f>+"Q2 "&amp;I1</f>
        <v/>
      </c>
      <c r="J3" s="164">
        <f>+"Q3 "&amp;J1</f>
        <v/>
      </c>
      <c r="K3" s="164">
        <f>+"Q3 "&amp;K1</f>
        <v/>
      </c>
      <c r="L3" s="164">
        <f>+"Q3 "&amp;L1</f>
        <v/>
      </c>
      <c r="M3" s="164">
        <f>+"Q4 "&amp;M1</f>
        <v/>
      </c>
      <c r="N3" s="164">
        <f>+"Q4 "&amp;N1</f>
        <v/>
      </c>
      <c r="O3" s="164">
        <f>+"Q4 "&amp;O1</f>
        <v/>
      </c>
      <c r="P3" s="164">
        <f>+"Q1 "&amp;P1</f>
        <v/>
      </c>
      <c r="Q3" s="164">
        <f>+"Q1 "&amp;Q1</f>
        <v/>
      </c>
      <c r="R3" s="164">
        <f>+"Q1 "&amp;R1</f>
        <v/>
      </c>
      <c r="S3" s="164">
        <f>+"Q2 "&amp;S1</f>
        <v/>
      </c>
      <c r="T3" s="164">
        <f>+"Q2 "&amp;T1</f>
        <v/>
      </c>
      <c r="U3" s="164">
        <f>+"Q2 "&amp;U1</f>
        <v/>
      </c>
      <c r="V3" s="164">
        <f>+"Q3 "&amp;V1</f>
        <v/>
      </c>
      <c r="W3" s="164">
        <f>+"Q3 "&amp;W1</f>
        <v/>
      </c>
      <c r="X3" s="164">
        <f>+"Q3 "&amp;X1</f>
        <v/>
      </c>
      <c r="Y3" s="164">
        <f>+"Q4 "&amp;Y1</f>
        <v/>
      </c>
      <c r="Z3" s="164">
        <f>+"Q4 "&amp;Z1</f>
        <v/>
      </c>
      <c r="AA3" s="512">
        <f>+"Q4 "&amp;AA1</f>
        <v/>
      </c>
      <c r="AB3" s="164">
        <f>+"Q1 "&amp;AB1</f>
        <v/>
      </c>
      <c r="AC3" s="164">
        <f>+"Q1 "&amp;AC1</f>
        <v/>
      </c>
      <c r="AD3" s="164">
        <f>+"Q1 "&amp;AD1</f>
        <v/>
      </c>
      <c r="AE3" s="164">
        <f>+"Q2 "&amp;AE1</f>
        <v/>
      </c>
      <c r="AF3" s="164">
        <f>+"Q2 "&amp;AF1</f>
        <v/>
      </c>
      <c r="AG3" s="164">
        <f>+"Q2 "&amp;AG1</f>
        <v/>
      </c>
      <c r="AH3" s="164">
        <f>+"Q3 "&amp;AH1</f>
        <v/>
      </c>
      <c r="AI3" s="303">
        <f>+"Q3 "&amp;AI1</f>
        <v/>
      </c>
      <c r="AJ3" s="164">
        <f>+"Q3 "&amp;AJ1</f>
        <v/>
      </c>
      <c r="AK3" s="164">
        <f>+"Q4 "&amp;AK1</f>
        <v/>
      </c>
      <c r="AL3" s="164">
        <f>+"Q4 "&amp;AL1</f>
        <v/>
      </c>
      <c r="AM3" s="512">
        <f>+"Q4 "&amp;AM1</f>
        <v/>
      </c>
      <c r="AN3" s="164">
        <f>+"Q1 "&amp;AN1</f>
        <v/>
      </c>
      <c r="AO3" s="164">
        <f>+"Q1 "&amp;AO1</f>
        <v/>
      </c>
      <c r="AP3" s="164">
        <f>+"Q1 "&amp;AP1</f>
        <v/>
      </c>
      <c r="AQ3" s="164">
        <f>+"Q2 "&amp;AQ1</f>
        <v/>
      </c>
      <c r="AR3" s="164">
        <f>+"Q2 "&amp;AR1</f>
        <v/>
      </c>
      <c r="AS3" s="164">
        <f>+"Q2 "&amp;AS1</f>
        <v/>
      </c>
      <c r="AT3" s="164">
        <f>+"Q3 "&amp;AT1</f>
        <v/>
      </c>
      <c r="AU3" s="164">
        <f>+"Q3 "&amp;AU1</f>
        <v/>
      </c>
      <c r="AV3" s="164">
        <f>+"Q3 "&amp;AV1</f>
        <v/>
      </c>
      <c r="AW3" s="164">
        <f>+"Q4 "&amp;AW1</f>
        <v/>
      </c>
      <c r="AX3" s="164">
        <f>+"Q4 "&amp;AX1</f>
        <v/>
      </c>
      <c r="AY3" s="512">
        <f>+"Q4 "&amp;AY1</f>
        <v/>
      </c>
      <c r="AZ3" s="164">
        <f>+"Q1 "&amp;AZ1</f>
        <v/>
      </c>
      <c r="BA3" s="164">
        <f>+"Q1 "&amp;BA1</f>
        <v/>
      </c>
      <c r="BB3" s="164">
        <f>+"Q1 "&amp;BB1</f>
        <v/>
      </c>
      <c r="BC3" s="164">
        <f>+"Q2 "&amp;BC1</f>
        <v/>
      </c>
      <c r="BD3" s="164">
        <f>+"Q2 "&amp;BD1</f>
        <v/>
      </c>
      <c r="BE3" s="164">
        <f>+"Q2 "&amp;BE1</f>
        <v/>
      </c>
      <c r="BF3" s="164">
        <f>+"Q3 "&amp;BF1</f>
        <v/>
      </c>
      <c r="BG3" s="164">
        <f>+"Q3 "&amp;BG1</f>
        <v/>
      </c>
      <c r="BH3" s="164">
        <f>+"Q3 "&amp;BH1</f>
        <v/>
      </c>
      <c r="BI3" s="164">
        <f>+"Q4 "&amp;BI1</f>
        <v/>
      </c>
      <c r="BJ3" s="164">
        <f>+"Q4 "&amp;BJ1</f>
        <v/>
      </c>
      <c r="BK3" s="303">
        <f>+"Q4 "&amp;BK1</f>
        <v/>
      </c>
      <c r="BL3" s="164">
        <f>+"Q1 "&amp;BL1</f>
        <v/>
      </c>
      <c r="BM3" s="164">
        <f>+"Q1 "&amp;BM1</f>
        <v/>
      </c>
      <c r="BN3" s="164">
        <f>+"Q1 "&amp;BN1</f>
        <v/>
      </c>
      <c r="BO3" s="164">
        <f>+"Q2 "&amp;BO1</f>
        <v/>
      </c>
      <c r="BP3" s="164">
        <f>+"Q2 "&amp;BP1</f>
        <v/>
      </c>
      <c r="BQ3" s="164">
        <f>+"Q2 "&amp;BQ1</f>
        <v/>
      </c>
      <c r="BR3" s="164">
        <f>+"Q3 "&amp;BR1</f>
        <v/>
      </c>
      <c r="BS3" s="164">
        <f>+"Q3 "&amp;BS1</f>
        <v/>
      </c>
      <c r="BT3" s="164">
        <f>+"Q3 "&amp;BT1</f>
        <v/>
      </c>
      <c r="BU3" s="164">
        <f>+"Q4 "&amp;BU1</f>
        <v/>
      </c>
      <c r="BV3" s="164">
        <f>+"Q4 "&amp;BV1</f>
        <v/>
      </c>
      <c r="BW3" s="303">
        <f>+"Q4 "&amp;BW1</f>
        <v/>
      </c>
      <c r="BX3" s="164">
        <f>+"Q1 "&amp;BX1</f>
        <v/>
      </c>
      <c r="BY3" s="164">
        <f>+"Q1 "&amp;BY1</f>
        <v/>
      </c>
      <c r="BZ3" s="164">
        <f>+"Q1 "&amp;BZ1</f>
        <v/>
      </c>
      <c r="CA3" s="164">
        <f>+"Q2 "&amp;CA1</f>
        <v/>
      </c>
      <c r="CB3" s="164">
        <f>+"Q2 "&amp;CB1</f>
        <v/>
      </c>
      <c r="CC3" s="164">
        <f>+"Q2 "&amp;CC1</f>
        <v/>
      </c>
      <c r="CD3" s="164">
        <f>+"Q3 "&amp;CD1</f>
        <v/>
      </c>
      <c r="CE3" s="164">
        <f>+"Q3 "&amp;CE1</f>
        <v/>
      </c>
      <c r="CF3" s="164">
        <f>+"Q3 "&amp;CF1</f>
        <v/>
      </c>
      <c r="CG3" s="164">
        <f>+"Q4 "&amp;CG1</f>
        <v/>
      </c>
      <c r="CH3" s="164">
        <f>+"Q4 "&amp;CH1</f>
        <v/>
      </c>
      <c r="CI3" s="303">
        <f>+"Q4 "&amp;CI1</f>
        <v/>
      </c>
      <c r="CJ3" s="164">
        <f>+"Q1 "&amp;CJ1</f>
        <v/>
      </c>
      <c r="CK3" s="164">
        <f>+"Q1 "&amp;CK1</f>
        <v/>
      </c>
      <c r="CL3" s="164">
        <f>+"Q1 "&amp;CL1</f>
        <v/>
      </c>
      <c r="CM3" s="164">
        <f>+"Q2 "&amp;CM1</f>
        <v/>
      </c>
      <c r="CN3" s="164">
        <f>+"Q2 "&amp;CN1</f>
        <v/>
      </c>
      <c r="CO3" s="164">
        <f>+"Q2 "&amp;CO1</f>
        <v/>
      </c>
      <c r="CP3" s="164">
        <f>+"Q3 "&amp;CP1</f>
        <v/>
      </c>
      <c r="CQ3" s="164">
        <f>+"Q3 "&amp;CQ1</f>
        <v/>
      </c>
      <c r="CR3" s="164">
        <f>+"Q3 "&amp;CR1</f>
        <v/>
      </c>
      <c r="CS3" s="164">
        <f>+"Q4 "&amp;CS1</f>
        <v/>
      </c>
      <c r="CT3" s="164">
        <f>+"Q4 "&amp;CT1</f>
        <v/>
      </c>
      <c r="CU3" s="303">
        <f>+"Q4 "&amp;CU1</f>
        <v/>
      </c>
      <c r="CV3" s="164">
        <f>+"Q1 "&amp;CV1</f>
        <v/>
      </c>
      <c r="CW3" s="164">
        <f>+"Q1 "&amp;CW1</f>
        <v/>
      </c>
      <c r="CX3" s="164">
        <f>+"Q1 "&amp;CX1</f>
        <v/>
      </c>
      <c r="CY3" s="164">
        <f>+"Q2 "&amp;CY1</f>
        <v/>
      </c>
      <c r="CZ3" s="164">
        <f>+"Q2 "&amp;CZ1</f>
        <v/>
      </c>
      <c r="DA3" s="164">
        <f>+"Q2 "&amp;DA1</f>
        <v/>
      </c>
      <c r="DB3" s="164">
        <f>+"Q3 "&amp;DB1</f>
        <v/>
      </c>
      <c r="DC3" s="164">
        <f>+"Q3 "&amp;DC1</f>
        <v/>
      </c>
      <c r="DD3" s="164">
        <f>+"Q3 "&amp;DD1</f>
        <v/>
      </c>
      <c r="DE3" s="164">
        <f>+"Q4 "&amp;DE1</f>
        <v/>
      </c>
      <c r="DF3" s="164">
        <f>+"Q4 "&amp;DF1</f>
        <v/>
      </c>
      <c r="DG3" s="164">
        <f>+"Q4 "&amp;DG1</f>
        <v/>
      </c>
      <c r="DH3" s="30" t="n"/>
      <c r="DI3" s="30" t="n"/>
      <c r="DJ3" s="30" t="n"/>
    </row>
    <row r="4" ht="15" customHeight="1" thickBot="1">
      <c r="A4" s="31" t="n"/>
      <c r="B4" s="32" t="n"/>
      <c r="C4" s="481" t="n"/>
      <c r="D4" s="731" t="n">
        <v>44592</v>
      </c>
      <c r="E4" s="731" t="n">
        <v>44620</v>
      </c>
      <c r="F4" s="731" t="n">
        <v>44651</v>
      </c>
      <c r="G4" s="33" t="n">
        <v>44681</v>
      </c>
      <c r="H4" s="33" t="n">
        <v>44712</v>
      </c>
      <c r="I4" s="33" t="n">
        <v>44742</v>
      </c>
      <c r="J4" s="33" t="n">
        <v>44773</v>
      </c>
      <c r="K4" s="33" t="n">
        <v>44804</v>
      </c>
      <c r="L4" s="33" t="n">
        <v>44834</v>
      </c>
      <c r="M4" s="33" t="n">
        <v>44865</v>
      </c>
      <c r="N4" s="33" t="n">
        <v>44895</v>
      </c>
      <c r="O4" s="33" t="n">
        <v>44926</v>
      </c>
      <c r="P4" s="162" t="n">
        <v>44957</v>
      </c>
      <c r="Q4" s="33" t="n">
        <v>44985</v>
      </c>
      <c r="R4" s="33" t="n">
        <v>45016</v>
      </c>
      <c r="S4" s="33" t="n">
        <v>45046</v>
      </c>
      <c r="T4" s="33" t="n">
        <v>45077</v>
      </c>
      <c r="U4" s="33" t="n">
        <v>45107</v>
      </c>
      <c r="V4" s="33" t="n">
        <v>45138</v>
      </c>
      <c r="W4" s="33" t="n">
        <v>45169</v>
      </c>
      <c r="X4" s="33" t="n">
        <v>45199</v>
      </c>
      <c r="Y4" s="33" t="n">
        <v>45230</v>
      </c>
      <c r="Z4" s="33" t="n">
        <v>45260</v>
      </c>
      <c r="AA4" s="53" t="n">
        <v>45291</v>
      </c>
      <c r="AB4" s="33" t="n">
        <v>45322</v>
      </c>
      <c r="AC4" s="33" t="n">
        <v>45351</v>
      </c>
      <c r="AD4" s="33" t="n">
        <v>45382</v>
      </c>
      <c r="AE4" s="33" t="n">
        <v>45412</v>
      </c>
      <c r="AF4" s="33" t="n">
        <v>45443</v>
      </c>
      <c r="AG4" s="33" t="n">
        <v>45473</v>
      </c>
      <c r="AH4" s="33" t="n">
        <v>45504</v>
      </c>
      <c r="AI4" s="304" t="n">
        <v>45535</v>
      </c>
      <c r="AJ4" s="33" t="n">
        <v>45565</v>
      </c>
      <c r="AK4" s="33" t="n">
        <v>45596</v>
      </c>
      <c r="AL4" s="33" t="n">
        <v>45626</v>
      </c>
      <c r="AM4" s="53" t="n">
        <v>45657</v>
      </c>
      <c r="AN4" s="33" t="n">
        <v>45688</v>
      </c>
      <c r="AO4" s="33" t="n">
        <v>45716</v>
      </c>
      <c r="AP4" s="33" t="n">
        <v>45747</v>
      </c>
      <c r="AQ4" s="33" t="n">
        <v>45777</v>
      </c>
      <c r="AR4" s="33" t="n">
        <v>45808</v>
      </c>
      <c r="AS4" s="33" t="n">
        <v>45838</v>
      </c>
      <c r="AT4" s="33" t="n">
        <v>45869</v>
      </c>
      <c r="AU4" s="304" t="n">
        <v>45900</v>
      </c>
      <c r="AV4" s="33" t="n">
        <v>45930</v>
      </c>
      <c r="AW4" s="304" t="n">
        <v>45961</v>
      </c>
      <c r="AX4" s="33" t="n">
        <v>45991</v>
      </c>
      <c r="AY4" s="53" t="n">
        <v>46022</v>
      </c>
      <c r="AZ4" s="33" t="n">
        <v>46053</v>
      </c>
      <c r="BA4" s="33" t="n">
        <v>46081</v>
      </c>
      <c r="BB4" s="33" t="n">
        <v>46112</v>
      </c>
      <c r="BC4" s="33" t="n">
        <v>46142</v>
      </c>
      <c r="BD4" s="33" t="n">
        <v>46173</v>
      </c>
      <c r="BE4" s="33" t="n">
        <v>46203</v>
      </c>
      <c r="BF4" s="33" t="n">
        <v>46234</v>
      </c>
      <c r="BG4" s="33" t="n">
        <v>46265</v>
      </c>
      <c r="BH4" s="33" t="n">
        <v>46295</v>
      </c>
      <c r="BI4" s="33" t="n">
        <v>46326</v>
      </c>
      <c r="BJ4" s="33" t="n">
        <v>46356</v>
      </c>
      <c r="BK4" s="304" t="n">
        <v>46387</v>
      </c>
      <c r="BL4" s="33" t="n">
        <v>46418</v>
      </c>
      <c r="BM4" s="33" t="n">
        <v>46446</v>
      </c>
      <c r="BN4" s="33" t="n">
        <v>46477</v>
      </c>
      <c r="BO4" s="33" t="n">
        <v>46507</v>
      </c>
      <c r="BP4" s="33" t="n">
        <v>46538</v>
      </c>
      <c r="BQ4" s="33" t="n">
        <v>46568</v>
      </c>
      <c r="BR4" s="33" t="n">
        <v>46599</v>
      </c>
      <c r="BS4" s="33" t="n">
        <v>46630</v>
      </c>
      <c r="BT4" s="33" t="n">
        <v>46660</v>
      </c>
      <c r="BU4" s="33" t="n">
        <v>46691</v>
      </c>
      <c r="BV4" s="33" t="n">
        <v>46721</v>
      </c>
      <c r="BW4" s="304" t="n">
        <v>46752</v>
      </c>
      <c r="BX4" s="33" t="n">
        <v>46783</v>
      </c>
      <c r="BY4" s="33" t="n">
        <v>46812</v>
      </c>
      <c r="BZ4" s="33" t="n">
        <v>46843</v>
      </c>
      <c r="CA4" s="33" t="n">
        <v>46873</v>
      </c>
      <c r="CB4" s="33" t="n">
        <v>46904</v>
      </c>
      <c r="CC4" s="33" t="n">
        <v>46934</v>
      </c>
      <c r="CD4" s="33" t="n">
        <v>46965</v>
      </c>
      <c r="CE4" s="33" t="n">
        <v>46996</v>
      </c>
      <c r="CF4" s="33" t="n">
        <v>47026</v>
      </c>
      <c r="CG4" s="33" t="n">
        <v>47057</v>
      </c>
      <c r="CH4" s="33" t="n">
        <v>47087</v>
      </c>
      <c r="CI4" s="304" t="n">
        <v>47118</v>
      </c>
      <c r="CJ4" s="33" t="n">
        <v>47149</v>
      </c>
      <c r="CK4" s="33" t="n">
        <v>47177</v>
      </c>
      <c r="CL4" s="33" t="n">
        <v>47208</v>
      </c>
      <c r="CM4" s="33" t="n">
        <v>47238</v>
      </c>
      <c r="CN4" s="33" t="n">
        <v>47269</v>
      </c>
      <c r="CO4" s="33" t="n">
        <v>47299</v>
      </c>
      <c r="CP4" s="33" t="n">
        <v>47330</v>
      </c>
      <c r="CQ4" s="33" t="n">
        <v>47361</v>
      </c>
      <c r="CR4" s="33" t="n">
        <v>47391</v>
      </c>
      <c r="CS4" s="33" t="n">
        <v>47422</v>
      </c>
      <c r="CT4" s="33" t="n">
        <v>47452</v>
      </c>
      <c r="CU4" s="304" t="n">
        <v>47483</v>
      </c>
      <c r="CV4" s="33" t="n">
        <v>47514</v>
      </c>
      <c r="CW4" s="33" t="n">
        <v>47542</v>
      </c>
      <c r="CX4" s="33" t="n">
        <v>47573</v>
      </c>
      <c r="CY4" s="33" t="n">
        <v>47603</v>
      </c>
      <c r="CZ4" s="33" t="n">
        <v>47634</v>
      </c>
      <c r="DA4" s="33" t="n">
        <v>47664</v>
      </c>
      <c r="DB4" s="33" t="n">
        <v>47695</v>
      </c>
      <c r="DC4" s="33" t="n">
        <v>47726</v>
      </c>
      <c r="DD4" s="33" t="n">
        <v>47756</v>
      </c>
      <c r="DE4" s="33" t="n">
        <v>47787</v>
      </c>
      <c r="DF4" s="33" t="n">
        <v>47817</v>
      </c>
      <c r="DG4" s="33" t="n">
        <v>47848</v>
      </c>
      <c r="DH4" s="33" t="n"/>
      <c r="DI4" s="33" t="n"/>
      <c r="DJ4" s="53" t="n"/>
    </row>
    <row r="5">
      <c r="B5" s="1" t="inlineStr">
        <is>
          <t>Income</t>
        </is>
      </c>
      <c r="C5" s="482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2" t="n"/>
      <c r="N5" s="2" t="n"/>
      <c r="O5" s="2" t="n"/>
      <c r="P5" s="2" t="n"/>
      <c r="AA5" s="97" t="n"/>
      <c r="AW5" s="184" t="n"/>
      <c r="AY5" s="97" t="n"/>
      <c r="BK5" s="184" t="n"/>
      <c r="BW5" s="184" t="n"/>
      <c r="CI5" s="184" t="n"/>
      <c r="CU5" s="184" t="n"/>
    </row>
    <row r="6" customFormat="1" s="707">
      <c r="B6" s="1" t="inlineStr">
        <is>
          <t xml:space="preserve">   50000 Service Income</t>
        </is>
      </c>
      <c r="C6" s="482" t="n"/>
      <c r="D6" s="707">
        <f>0</f>
        <v/>
      </c>
      <c r="E6" s="707">
        <f>0</f>
        <v/>
      </c>
      <c r="F6" s="707">
        <f>0</f>
        <v/>
      </c>
      <c r="G6" s="707">
        <f>0</f>
        <v/>
      </c>
      <c r="H6" s="707">
        <f>0</f>
        <v/>
      </c>
      <c r="I6" s="707">
        <f>0</f>
        <v/>
      </c>
      <c r="J6" s="707">
        <f>0</f>
        <v/>
      </c>
      <c r="K6" s="707" t="n">
        <v>0</v>
      </c>
      <c r="L6" s="707" t="n">
        <v>0</v>
      </c>
      <c r="M6" s="707" t="n">
        <v>0</v>
      </c>
      <c r="N6" s="707" t="n"/>
      <c r="O6" s="159" t="n"/>
      <c r="P6" s="159" t="n"/>
      <c r="Q6" s="707" t="n"/>
      <c r="R6" s="707" t="n"/>
      <c r="S6" s="707" t="n"/>
      <c r="T6" s="707" t="n"/>
      <c r="U6" s="707" t="n"/>
      <c r="V6" s="707" t="n"/>
      <c r="W6" s="707" t="n"/>
      <c r="X6" s="707" t="n"/>
      <c r="Y6" s="707" t="n"/>
      <c r="Z6" s="707" t="n"/>
      <c r="AA6" s="513" t="n"/>
      <c r="AB6" s="707" t="n"/>
      <c r="AC6" s="707" t="n"/>
      <c r="AD6" s="707" t="n"/>
      <c r="AE6" s="707" t="n"/>
      <c r="AF6" s="707" t="n"/>
      <c r="AG6" s="707" t="n"/>
      <c r="AH6" s="707" t="n"/>
      <c r="AI6" s="707" t="n"/>
      <c r="AJ6" s="707" t="n"/>
      <c r="AK6" s="707" t="n"/>
      <c r="AL6" s="707" t="n"/>
      <c r="AM6" s="513" t="n"/>
      <c r="AN6" s="707" t="n"/>
      <c r="AO6" s="707" t="n"/>
      <c r="AP6" s="707" t="n"/>
      <c r="AQ6" s="707" t="n"/>
      <c r="AR6" s="707" t="n"/>
      <c r="AS6" s="707" t="n"/>
      <c r="AT6" s="707" t="n"/>
      <c r="AU6" s="707" t="n"/>
      <c r="AV6" s="707" t="n"/>
      <c r="AW6" s="708" t="n"/>
      <c r="AX6" s="707" t="n"/>
      <c r="AY6" s="513" t="n"/>
      <c r="BK6" s="708" t="n"/>
      <c r="BW6" s="708" t="n"/>
      <c r="CI6" s="708" t="n"/>
      <c r="CU6" s="708" t="n"/>
    </row>
    <row r="7" customFormat="1" s="707">
      <c r="B7" s="1" t="inlineStr">
        <is>
          <t xml:space="preserve">      50100 Tutoring Sessions</t>
        </is>
      </c>
      <c r="C7" s="482" t="n"/>
      <c r="D7" s="707">
        <f>0</f>
        <v/>
      </c>
      <c r="E7" s="707">
        <f>0</f>
        <v/>
      </c>
      <c r="F7" s="707">
        <f>0</f>
        <v/>
      </c>
      <c r="G7" s="707">
        <f>0</f>
        <v/>
      </c>
      <c r="H7" s="707">
        <f>0</f>
        <v/>
      </c>
      <c r="I7" s="707">
        <f>0</f>
        <v/>
      </c>
      <c r="J7" s="707" t="n">
        <v>0</v>
      </c>
      <c r="K7" s="707" t="n">
        <v>50</v>
      </c>
      <c r="L7" s="707" t="n">
        <v>350</v>
      </c>
      <c r="M7" s="707" t="n">
        <v>2640</v>
      </c>
      <c r="N7" s="707" t="n">
        <v>1865</v>
      </c>
      <c r="O7" s="707" t="n">
        <v>1932.5</v>
      </c>
      <c r="P7" s="707" t="n">
        <v>1360</v>
      </c>
      <c r="Q7" s="707" t="n">
        <v>1225</v>
      </c>
      <c r="R7" s="707" t="n">
        <v>1177.5</v>
      </c>
      <c r="S7" s="707" t="n">
        <v>1875</v>
      </c>
      <c r="T7" s="707" t="n">
        <v>2446.25</v>
      </c>
      <c r="U7" s="707" t="n">
        <v>1963.75</v>
      </c>
      <c r="V7" s="707" t="n">
        <v>2220</v>
      </c>
      <c r="W7" s="707" t="n">
        <v>5316.66</v>
      </c>
      <c r="X7" s="707" t="n">
        <v>4203.34</v>
      </c>
      <c r="Y7" s="707" t="n">
        <v>3105</v>
      </c>
      <c r="Z7" s="707" t="n">
        <v>2692.5</v>
      </c>
      <c r="AA7" s="513" t="n">
        <v>1350</v>
      </c>
      <c r="AB7" s="707" t="n">
        <v>1342.5</v>
      </c>
      <c r="AC7" s="707" t="n">
        <v>2167.5</v>
      </c>
      <c r="AD7" s="707" t="n">
        <v>1847.5</v>
      </c>
      <c r="AE7" s="707" t="n">
        <v>2035</v>
      </c>
      <c r="AF7" s="707" t="n">
        <v>1725</v>
      </c>
      <c r="AG7" s="707" t="n">
        <v>1285</v>
      </c>
      <c r="AH7" s="707" t="n">
        <v>1122.52</v>
      </c>
      <c r="AI7" s="707" t="n">
        <v>506.26</v>
      </c>
      <c r="AJ7" s="707" t="n">
        <v>326.25</v>
      </c>
      <c r="AK7" s="707" t="n">
        <v>135</v>
      </c>
      <c r="AL7" s="707" t="n">
        <v>727.5</v>
      </c>
      <c r="AM7" s="513" t="n">
        <v>585</v>
      </c>
      <c r="AN7" s="707" t="n">
        <v>371.25</v>
      </c>
      <c r="AO7" s="707" t="n">
        <v>1108.75</v>
      </c>
      <c r="AP7" s="707" t="n">
        <v>1537.5</v>
      </c>
      <c r="AQ7" s="707" t="n">
        <v>435</v>
      </c>
      <c r="AR7" s="707" t="n">
        <v>281.25</v>
      </c>
      <c r="AS7" s="707" t="n"/>
      <c r="AT7" s="707" t="n">
        <v>168.75</v>
      </c>
      <c r="AU7" s="707" t="n">
        <v>843.75</v>
      </c>
      <c r="AV7" s="707">
        <f>1443.75</f>
        <v/>
      </c>
      <c r="AW7" s="708">
        <f>1871.26</f>
        <v/>
      </c>
      <c r="AX7" s="707">
        <f>+(AX36*AX28)+(AX32*AX40)</f>
        <v/>
      </c>
      <c r="AY7" s="513">
        <f>+(AY36*AY28)+(AY32*AY40)</f>
        <v/>
      </c>
      <c r="AZ7" s="707">
        <f>+(AZ36*AZ28)+(AZ32*AZ40)</f>
        <v/>
      </c>
      <c r="BA7" s="707">
        <f>+(BA36*BA28)+(BA32*BA40)</f>
        <v/>
      </c>
      <c r="BB7" s="707">
        <f>+(BB36*BB28)+(BB32*BB40)</f>
        <v/>
      </c>
      <c r="BC7" s="707">
        <f>+(BC36*BC28)+(BC32*BC40)</f>
        <v/>
      </c>
      <c r="BD7" s="707">
        <f>+(BD36*BD28)+(BD32*BD40)</f>
        <v/>
      </c>
      <c r="BE7" s="707">
        <f>+(BE36*BE28)+(BE32*BE40)</f>
        <v/>
      </c>
      <c r="BF7" s="707">
        <f>+(BF36*BF28)+(BF32*BF40)</f>
        <v/>
      </c>
      <c r="BG7" s="707">
        <f>+(BG36*BG28)+(BG32*BG40)</f>
        <v/>
      </c>
      <c r="BH7" s="707">
        <f>+(BH36*BH28)+(BH32*BH40)</f>
        <v/>
      </c>
      <c r="BI7" s="707">
        <f>+(BI36*BI28)+(BI32*BI40)</f>
        <v/>
      </c>
      <c r="BJ7" s="707">
        <f>+(BJ36*BJ28)+(BJ32*BJ40)</f>
        <v/>
      </c>
      <c r="BK7" s="708">
        <f>+(BK36*BK28)+(BK32*BK40)</f>
        <v/>
      </c>
      <c r="BL7" s="707">
        <f>+(BL36*BL28)+(BL32*BL40)</f>
        <v/>
      </c>
      <c r="BM7" s="707">
        <f>+(BM36*BM28)+(BM32*BM40)</f>
        <v/>
      </c>
      <c r="BN7" s="707">
        <f>+(BN36*BN28)+(BN32*BN40)</f>
        <v/>
      </c>
      <c r="BO7" s="707">
        <f>+(BO36*BO28)+(BO32*BO40)</f>
        <v/>
      </c>
      <c r="BP7" s="707">
        <f>+(BP36*BP28)+(BP32*BP40)</f>
        <v/>
      </c>
      <c r="BQ7" s="707">
        <f>+(BQ36*BQ28)+(BQ32*BQ40)</f>
        <v/>
      </c>
      <c r="BR7" s="707">
        <f>+(BR36*BR28)+(BR32*BR40)</f>
        <v/>
      </c>
      <c r="BS7" s="707">
        <f>+(BS36*BS28)+(BS32*BS40)</f>
        <v/>
      </c>
      <c r="BT7" s="707">
        <f>+(BT36*BT28)+(BT32*BT40)</f>
        <v/>
      </c>
      <c r="BU7" s="707">
        <f>+(BU36*BU28)+(BU32*BU40)</f>
        <v/>
      </c>
      <c r="BV7" s="707">
        <f>+(BV36*BV28)+(BV32*BV40)</f>
        <v/>
      </c>
      <c r="BW7" s="708">
        <f>+(BW36*BW28)+(BW32*BW40)</f>
        <v/>
      </c>
      <c r="BX7" s="707">
        <f>+(BX36*BX28)+(BX32*BX40)</f>
        <v/>
      </c>
      <c r="BY7" s="707">
        <f>+(BY36*BY28)+(BY32*BY40)</f>
        <v/>
      </c>
      <c r="BZ7" s="707">
        <f>+(BZ36*BZ28)+(BZ32*BZ40)</f>
        <v/>
      </c>
      <c r="CA7" s="707">
        <f>+(CA36*CA28)+(CA32*CA40)</f>
        <v/>
      </c>
      <c r="CB7" s="707">
        <f>+(CB36*CB28)+(CB32*CB40)</f>
        <v/>
      </c>
      <c r="CC7" s="707">
        <f>+(CC36*CC28)+(CC32*CC40)</f>
        <v/>
      </c>
      <c r="CD7" s="707">
        <f>+(CD36*CD28)+(CD32*CD40)</f>
        <v/>
      </c>
      <c r="CE7" s="707">
        <f>+(CE36*CE28)+(CE32*CE40)</f>
        <v/>
      </c>
      <c r="CF7" s="707">
        <f>+(CF36*CF28)+(CF32*CF40)</f>
        <v/>
      </c>
      <c r="CG7" s="707">
        <f>+(CG36*CG28)+(CG32*CG40)</f>
        <v/>
      </c>
      <c r="CH7" s="707">
        <f>+(CH36*CH28)+(CH32*CH40)</f>
        <v/>
      </c>
      <c r="CI7" s="708">
        <f>+(CI36*CI28)+(CI32*CI40)</f>
        <v/>
      </c>
      <c r="CJ7" s="707">
        <f>+(CJ36*CJ28)+(CJ32*CJ40)</f>
        <v/>
      </c>
      <c r="CK7" s="707">
        <f>+(CK36*CK28)+(CK32*CK40)</f>
        <v/>
      </c>
      <c r="CL7" s="707">
        <f>+(CL36*CL28)+(CL32*CL40)</f>
        <v/>
      </c>
      <c r="CM7" s="707">
        <f>+(CM36*CM28)+(CM32*CM40)</f>
        <v/>
      </c>
      <c r="CN7" s="707">
        <f>+(CN36*CN28)+(CN32*CN40)</f>
        <v/>
      </c>
      <c r="CO7" s="707">
        <f>+(CO36*CO28)+(CO32*CO40)</f>
        <v/>
      </c>
      <c r="CP7" s="707">
        <f>+(CP36*CP28)+(CP32*CP40)</f>
        <v/>
      </c>
      <c r="CQ7" s="707">
        <f>+(CQ36*CQ28)+(CQ32*CQ40)</f>
        <v/>
      </c>
      <c r="CR7" s="707">
        <f>+(CR36*CR28)+(CR32*CR40)</f>
        <v/>
      </c>
      <c r="CS7" s="707">
        <f>+(CS36*CS28)+(CS32*CS40)</f>
        <v/>
      </c>
      <c r="CT7" s="707">
        <f>+(CT36*CT28)+(CT32*CT40)</f>
        <v/>
      </c>
      <c r="CU7" s="708">
        <f>+(CU36*CU28)+(CU32*CU40)</f>
        <v/>
      </c>
      <c r="CV7" s="707">
        <f>+(CV36*CV28)+(CV32*CV40)</f>
        <v/>
      </c>
      <c r="CW7" s="707">
        <f>+(CW36*CW28)+(CW32*CW40)</f>
        <v/>
      </c>
      <c r="CX7" s="707">
        <f>+(CX36*CX28)+(CX32*CX40)</f>
        <v/>
      </c>
      <c r="CY7" s="707">
        <f>+(CY36*CY28)+(CY32*CY40)</f>
        <v/>
      </c>
      <c r="CZ7" s="707">
        <f>+(CZ36*CZ28)+(CZ32*CZ40)</f>
        <v/>
      </c>
      <c r="DA7" s="707">
        <f>+(DA36*DA28)+(DA32*DA40)</f>
        <v/>
      </c>
      <c r="DB7" s="707">
        <f>+(DB36*DB28)+(DB32*DB40)</f>
        <v/>
      </c>
      <c r="DC7" s="707">
        <f>+(DC36*DC28)+(DC32*DC40)</f>
        <v/>
      </c>
      <c r="DD7" s="707">
        <f>+(DD36*DD28)+(DD32*DD40)</f>
        <v/>
      </c>
      <c r="DE7" s="707">
        <f>+(DE36*DE28)+(DE32*DE40)</f>
        <v/>
      </c>
      <c r="DF7" s="707">
        <f>+(DF36*DF28)+(DF32*DF40)</f>
        <v/>
      </c>
      <c r="DG7" s="707">
        <f>+(DG36*DG28)+(DG32*DG40)</f>
        <v/>
      </c>
    </row>
    <row r="8" customFormat="1" s="707">
      <c r="B8" s="1" t="inlineStr">
        <is>
          <t xml:space="preserve">      50200 SAT/ACT Prep</t>
        </is>
      </c>
      <c r="C8" s="482" t="n"/>
      <c r="D8" s="707">
        <f>0</f>
        <v/>
      </c>
      <c r="E8" s="707">
        <f>0</f>
        <v/>
      </c>
      <c r="F8" s="707">
        <f>0</f>
        <v/>
      </c>
      <c r="G8" s="707">
        <f>0</f>
        <v/>
      </c>
      <c r="H8" s="707">
        <f>0</f>
        <v/>
      </c>
      <c r="I8" s="707">
        <f>0</f>
        <v/>
      </c>
      <c r="J8" s="707" t="n">
        <v>0</v>
      </c>
      <c r="K8" s="707" t="n">
        <v>175</v>
      </c>
      <c r="L8" s="707" t="n">
        <v>50</v>
      </c>
      <c r="M8" s="707" t="n">
        <v>325</v>
      </c>
      <c r="N8" s="707" t="n">
        <v>225</v>
      </c>
      <c r="O8" s="707" t="n">
        <v>0</v>
      </c>
      <c r="P8" s="707" t="n"/>
      <c r="Q8" s="707" t="n"/>
      <c r="R8" s="707" t="n"/>
      <c r="S8" s="707" t="n"/>
      <c r="T8" s="707" t="n"/>
      <c r="U8" s="707" t="n"/>
      <c r="V8" s="707" t="n">
        <v>150</v>
      </c>
      <c r="W8" s="707" t="n">
        <v>140</v>
      </c>
      <c r="X8" s="707" t="n">
        <v>1827.5</v>
      </c>
      <c r="Y8" s="707" t="n">
        <v>1620</v>
      </c>
      <c r="Z8" s="707" t="n">
        <v>1070</v>
      </c>
      <c r="AA8" s="513" t="n">
        <v>700</v>
      </c>
      <c r="AB8" s="707" t="n">
        <v>1110</v>
      </c>
      <c r="AC8" s="707" t="n">
        <v>2115</v>
      </c>
      <c r="AD8" s="707" t="n">
        <v>1470</v>
      </c>
      <c r="AE8" s="707" t="n">
        <v>1935</v>
      </c>
      <c r="AF8" s="707" t="n">
        <v>3645</v>
      </c>
      <c r="AG8" s="707" t="n">
        <v>1305.01</v>
      </c>
      <c r="AH8" s="707" t="n">
        <v>4406.25</v>
      </c>
      <c r="AI8" s="707" t="n">
        <v>8085</v>
      </c>
      <c r="AJ8" s="707" t="n">
        <v>1530</v>
      </c>
      <c r="AK8" s="707" t="n">
        <v>2085</v>
      </c>
      <c r="AL8" s="707" t="n">
        <v>956.25</v>
      </c>
      <c r="AM8" s="513" t="n">
        <v>1706.25</v>
      </c>
      <c r="AN8" s="707" t="n">
        <v>3195</v>
      </c>
      <c r="AO8" s="707" t="n">
        <v>4511.25</v>
      </c>
      <c r="AP8" s="707" t="n">
        <v>5467.5</v>
      </c>
      <c r="AQ8" s="707" t="n">
        <v>2733.75</v>
      </c>
      <c r="AR8" s="707" t="n">
        <v>4901.25</v>
      </c>
      <c r="AS8" s="707" t="n">
        <v>2047.5</v>
      </c>
      <c r="AT8" s="707" t="n">
        <v>5011.25</v>
      </c>
      <c r="AU8" s="707" t="n">
        <v>5946.25</v>
      </c>
      <c r="AV8" s="707">
        <f>8113.75</f>
        <v/>
      </c>
      <c r="AW8" s="708">
        <f>4536.25</f>
        <v/>
      </c>
      <c r="AX8" s="707">
        <f>+AX37*AX29</f>
        <v/>
      </c>
      <c r="AY8" s="513">
        <f>+AY37*AY29</f>
        <v/>
      </c>
      <c r="AZ8" s="707">
        <f>+AZ37*AZ29</f>
        <v/>
      </c>
      <c r="BA8" s="707">
        <f>+BA37*BA29</f>
        <v/>
      </c>
      <c r="BB8" s="707">
        <f>+BB37*BB29</f>
        <v/>
      </c>
      <c r="BC8" s="707">
        <f>+BC37*BC29</f>
        <v/>
      </c>
      <c r="BD8" s="707">
        <f>+BD37*BD29</f>
        <v/>
      </c>
      <c r="BE8" s="707">
        <f>+BE37*BE29</f>
        <v/>
      </c>
      <c r="BF8" s="707">
        <f>+BF37*BF29</f>
        <v/>
      </c>
      <c r="BG8" s="707">
        <f>+BG37*BG29</f>
        <v/>
      </c>
      <c r="BH8" s="707">
        <f>+BH37*BH29</f>
        <v/>
      </c>
      <c r="BI8" s="707">
        <f>+BI37*BI29</f>
        <v/>
      </c>
      <c r="BJ8" s="707">
        <f>+BJ37*BJ29</f>
        <v/>
      </c>
      <c r="BK8" s="708">
        <f>+BK37*BK29</f>
        <v/>
      </c>
      <c r="BL8" s="707">
        <f>+BL37*BL29</f>
        <v/>
      </c>
      <c r="BM8" s="707">
        <f>+BM37*BM29</f>
        <v/>
      </c>
      <c r="BN8" s="707">
        <f>+BN37*BN29</f>
        <v/>
      </c>
      <c r="BO8" s="707">
        <f>+BO37*BO29</f>
        <v/>
      </c>
      <c r="BP8" s="707">
        <f>+BP37*BP29</f>
        <v/>
      </c>
      <c r="BQ8" s="707">
        <f>+BQ37*BQ29</f>
        <v/>
      </c>
      <c r="BR8" s="707">
        <f>+BR37*BR29</f>
        <v/>
      </c>
      <c r="BS8" s="707">
        <f>+BS37*BS29</f>
        <v/>
      </c>
      <c r="BT8" s="707">
        <f>+BT37*BT29</f>
        <v/>
      </c>
      <c r="BU8" s="707">
        <f>+BU37*BU29</f>
        <v/>
      </c>
      <c r="BV8" s="707">
        <f>+BV37*BV29</f>
        <v/>
      </c>
      <c r="BW8" s="708">
        <f>+BW37*BW29</f>
        <v/>
      </c>
      <c r="BX8" s="707">
        <f>+BX37*BX29</f>
        <v/>
      </c>
      <c r="BY8" s="707">
        <f>+BY37*BY29</f>
        <v/>
      </c>
      <c r="BZ8" s="707">
        <f>+BZ37*BZ29</f>
        <v/>
      </c>
      <c r="CA8" s="707">
        <f>+CA37*CA29</f>
        <v/>
      </c>
      <c r="CB8" s="707">
        <f>+CB37*CB29</f>
        <v/>
      </c>
      <c r="CC8" s="707">
        <f>+CC37*CC29</f>
        <v/>
      </c>
      <c r="CD8" s="707">
        <f>+CD37*CD29</f>
        <v/>
      </c>
      <c r="CE8" s="707">
        <f>+CE37*CE29</f>
        <v/>
      </c>
      <c r="CF8" s="707">
        <f>+CF37*CF29</f>
        <v/>
      </c>
      <c r="CG8" s="707">
        <f>+CG37*CG29</f>
        <v/>
      </c>
      <c r="CH8" s="707">
        <f>+CH37*CH29</f>
        <v/>
      </c>
      <c r="CI8" s="708">
        <f>+CI37*CI29</f>
        <v/>
      </c>
      <c r="CJ8" s="707">
        <f>+CJ37*CJ29</f>
        <v/>
      </c>
      <c r="CK8" s="707">
        <f>+CK37*CK29</f>
        <v/>
      </c>
      <c r="CL8" s="707">
        <f>+CL37*CL29</f>
        <v/>
      </c>
      <c r="CM8" s="707">
        <f>+CM37*CM29</f>
        <v/>
      </c>
      <c r="CN8" s="707">
        <f>+CN37*CN29</f>
        <v/>
      </c>
      <c r="CO8" s="707">
        <f>+CO37*CO29</f>
        <v/>
      </c>
      <c r="CP8" s="707">
        <f>+CP37*CP29</f>
        <v/>
      </c>
      <c r="CQ8" s="707">
        <f>+CQ37*CQ29</f>
        <v/>
      </c>
      <c r="CR8" s="707">
        <f>+CR37*CR29</f>
        <v/>
      </c>
      <c r="CS8" s="707">
        <f>+CS37*CS29</f>
        <v/>
      </c>
      <c r="CT8" s="707">
        <f>+CT37*CT29</f>
        <v/>
      </c>
      <c r="CU8" s="708">
        <f>+CU37*CU29</f>
        <v/>
      </c>
      <c r="CV8" s="707">
        <f>+CV37*CV29</f>
        <v/>
      </c>
      <c r="CW8" s="707">
        <f>+CW37*CW29</f>
        <v/>
      </c>
      <c r="CX8" s="707">
        <f>+CX37*CX29</f>
        <v/>
      </c>
      <c r="CY8" s="707">
        <f>+CY37*CY29</f>
        <v/>
      </c>
      <c r="CZ8" s="707">
        <f>+CZ37*CZ29</f>
        <v/>
      </c>
      <c r="DA8" s="707">
        <f>+DA37*DA29</f>
        <v/>
      </c>
      <c r="DB8" s="707">
        <f>+DB37*DB29</f>
        <v/>
      </c>
      <c r="DC8" s="707">
        <f>+DC37*DC29</f>
        <v/>
      </c>
      <c r="DD8" s="707">
        <f>+DD37*DD29</f>
        <v/>
      </c>
      <c r="DE8" s="707">
        <f>+DE37*DE29</f>
        <v/>
      </c>
      <c r="DF8" s="707">
        <f>+DF37*DF29</f>
        <v/>
      </c>
      <c r="DG8" s="707">
        <f>+DG37*DG29</f>
        <v/>
      </c>
    </row>
    <row r="9" customFormat="1" s="707">
      <c r="B9" s="1" t="inlineStr">
        <is>
          <t xml:space="preserve">      50300 Resume Review</t>
        </is>
      </c>
      <c r="C9" s="482" t="n"/>
      <c r="D9" s="707" t="n"/>
      <c r="E9" s="707" t="n"/>
      <c r="F9" s="707" t="n"/>
      <c r="G9" s="707" t="n"/>
      <c r="H9" s="707" t="n"/>
      <c r="I9" s="707" t="n"/>
      <c r="J9" s="707" t="n"/>
      <c r="K9" s="707" t="n"/>
      <c r="L9" s="707" t="n"/>
      <c r="M9" s="707" t="n"/>
      <c r="N9" s="707" t="n"/>
      <c r="O9" s="707" t="n"/>
      <c r="P9" s="707" t="n"/>
      <c r="Q9" s="707" t="n"/>
      <c r="R9" s="707" t="n"/>
      <c r="S9" s="707" t="n"/>
      <c r="T9" s="707" t="n"/>
      <c r="U9" s="707" t="n"/>
      <c r="V9" s="707" t="n"/>
      <c r="W9" s="707" t="n"/>
      <c r="X9" s="707" t="n"/>
      <c r="Y9" s="707" t="n"/>
      <c r="Z9" s="707" t="n"/>
      <c r="AA9" s="513" t="n"/>
      <c r="AB9" s="707" t="n"/>
      <c r="AC9" s="707" t="n"/>
      <c r="AD9" s="707" t="n"/>
      <c r="AE9" s="707" t="n"/>
      <c r="AF9" s="707" t="n"/>
      <c r="AG9" s="707" t="n"/>
      <c r="AH9" s="707" t="n"/>
      <c r="AI9" s="707" t="n">
        <v>851.25</v>
      </c>
      <c r="AJ9" s="707" t="n">
        <v>997.5</v>
      </c>
      <c r="AK9" s="707" t="n">
        <v>1592.5</v>
      </c>
      <c r="AL9" s="707" t="n">
        <v>150</v>
      </c>
      <c r="AM9" s="513" t="n"/>
      <c r="AN9" s="707" t="n"/>
      <c r="AO9" s="707" t="n">
        <v>562.5</v>
      </c>
      <c r="AP9" s="707" t="n"/>
      <c r="AQ9" s="707" t="n"/>
      <c r="AR9" s="707" t="n">
        <v>450</v>
      </c>
      <c r="AS9" s="707" t="n">
        <v>637.5</v>
      </c>
      <c r="AT9" s="707" t="n">
        <v>1212.5</v>
      </c>
      <c r="AU9" s="707" t="n">
        <v>1750</v>
      </c>
      <c r="AV9" s="707">
        <f>2272.5</f>
        <v/>
      </c>
      <c r="AW9" s="708">
        <f>2393.75</f>
        <v/>
      </c>
      <c r="AX9" s="707">
        <f>+AX38*AX30</f>
        <v/>
      </c>
      <c r="AY9" s="513">
        <f>+AY38*AY30</f>
        <v/>
      </c>
      <c r="AZ9" s="707">
        <f>+AZ38*AZ30</f>
        <v/>
      </c>
      <c r="BA9" s="707">
        <f>+BA38*BA30</f>
        <v/>
      </c>
      <c r="BB9" s="707">
        <f>+BB38*BB30</f>
        <v/>
      </c>
      <c r="BC9" s="707">
        <f>+BC38*BC30</f>
        <v/>
      </c>
      <c r="BD9" s="707">
        <f>+BD38*BD30</f>
        <v/>
      </c>
      <c r="BE9" s="707">
        <f>+BE38*BE30</f>
        <v/>
      </c>
      <c r="BF9" s="707">
        <f>+BF38*BF30</f>
        <v/>
      </c>
      <c r="BG9" s="707">
        <f>+BG38*BG30</f>
        <v/>
      </c>
      <c r="BH9" s="707">
        <f>+BH38*BH30</f>
        <v/>
      </c>
      <c r="BI9" s="707">
        <f>+BI38*BI30</f>
        <v/>
      </c>
      <c r="BJ9" s="707">
        <f>+BJ38*BJ30</f>
        <v/>
      </c>
      <c r="BK9" s="708">
        <f>+BK38*BK30</f>
        <v/>
      </c>
      <c r="BL9" s="707">
        <f>+BL38*BL30</f>
        <v/>
      </c>
      <c r="BM9" s="707">
        <f>+BM38*BM30</f>
        <v/>
      </c>
      <c r="BN9" s="707">
        <f>+BN38*BN30</f>
        <v/>
      </c>
      <c r="BO9" s="707">
        <f>+BO38*BO30</f>
        <v/>
      </c>
      <c r="BP9" s="707">
        <f>+BP38*BP30</f>
        <v/>
      </c>
      <c r="BQ9" s="707">
        <f>+BQ38*BQ30</f>
        <v/>
      </c>
      <c r="BR9" s="707">
        <f>+BR38*BR30</f>
        <v/>
      </c>
      <c r="BS9" s="707">
        <f>+BS38*BS30</f>
        <v/>
      </c>
      <c r="BT9" s="707">
        <f>+BT38*BT30</f>
        <v/>
      </c>
      <c r="BU9" s="707">
        <f>+BU38*BU30</f>
        <v/>
      </c>
      <c r="BV9" s="707">
        <f>+BV38*BV30</f>
        <v/>
      </c>
      <c r="BW9" s="708">
        <f>+BW38*BW30</f>
        <v/>
      </c>
      <c r="BX9" s="707">
        <f>+BX38*BX30</f>
        <v/>
      </c>
      <c r="BY9" s="707">
        <f>+BY38*BY30</f>
        <v/>
      </c>
      <c r="BZ9" s="707">
        <f>+BZ38*BZ30</f>
        <v/>
      </c>
      <c r="CA9" s="707">
        <f>+CA38*CA30</f>
        <v/>
      </c>
      <c r="CB9" s="707">
        <f>+CB38*CB30</f>
        <v/>
      </c>
      <c r="CC9" s="707">
        <f>+CC38*CC30</f>
        <v/>
      </c>
      <c r="CD9" s="707">
        <f>+CD38*CD30</f>
        <v/>
      </c>
      <c r="CE9" s="707">
        <f>+CE38*CE30</f>
        <v/>
      </c>
      <c r="CF9" s="707">
        <f>+CF38*CF30</f>
        <v/>
      </c>
      <c r="CG9" s="707">
        <f>+CG38*CG30</f>
        <v/>
      </c>
      <c r="CH9" s="707">
        <f>+CH38*CH30</f>
        <v/>
      </c>
      <c r="CI9" s="708">
        <f>+CI38*CI30</f>
        <v/>
      </c>
      <c r="CJ9" s="707">
        <f>+CJ38*CJ30</f>
        <v/>
      </c>
      <c r="CK9" s="707">
        <f>+CK38*CK30</f>
        <v/>
      </c>
      <c r="CL9" s="707">
        <f>+CL38*CL30</f>
        <v/>
      </c>
      <c r="CM9" s="707">
        <f>+CM38*CM30</f>
        <v/>
      </c>
      <c r="CN9" s="707">
        <f>+CN38*CN30</f>
        <v/>
      </c>
      <c r="CO9" s="707">
        <f>+CO38*CO30</f>
        <v/>
      </c>
      <c r="CP9" s="707">
        <f>+CP38*CP30</f>
        <v/>
      </c>
      <c r="CQ9" s="707">
        <f>+CQ38*CQ30</f>
        <v/>
      </c>
      <c r="CR9" s="707">
        <f>+CR38*CR30</f>
        <v/>
      </c>
      <c r="CS9" s="707">
        <f>+CS38*CS30</f>
        <v/>
      </c>
      <c r="CT9" s="707">
        <f>+CT38*CT30</f>
        <v/>
      </c>
      <c r="CU9" s="708">
        <f>+CU38*CU30</f>
        <v/>
      </c>
      <c r="CV9" s="707">
        <f>+CV38*CV30</f>
        <v/>
      </c>
      <c r="CW9" s="707">
        <f>+CW38*CW30</f>
        <v/>
      </c>
      <c r="CX9" s="707">
        <f>+CX38*CX30</f>
        <v/>
      </c>
      <c r="CY9" s="707">
        <f>+CY38*CY30</f>
        <v/>
      </c>
      <c r="CZ9" s="707">
        <f>+CZ38*CZ30</f>
        <v/>
      </c>
      <c r="DA9" s="707">
        <f>+DA38*DA30</f>
        <v/>
      </c>
      <c r="DB9" s="707">
        <f>+DB38*DB30</f>
        <v/>
      </c>
      <c r="DC9" s="707">
        <f>+DC38*DC30</f>
        <v/>
      </c>
      <c r="DD9" s="707">
        <f>+DD38*DD30</f>
        <v/>
      </c>
      <c r="DE9" s="707">
        <f>+DE38*DE30</f>
        <v/>
      </c>
      <c r="DF9" s="707">
        <f>+DF38*DF30</f>
        <v/>
      </c>
      <c r="DG9" s="707">
        <f>+DG38*DG30</f>
        <v/>
      </c>
    </row>
    <row r="10" customFormat="1" s="707">
      <c r="B10" s="1" t="inlineStr">
        <is>
          <t xml:space="preserve">      50400 College Essay Review</t>
        </is>
      </c>
      <c r="C10" s="482" t="n"/>
      <c r="D10" s="707">
        <f>0</f>
        <v/>
      </c>
      <c r="E10" s="707">
        <f>0</f>
        <v/>
      </c>
      <c r="F10" s="707">
        <f>0</f>
        <v/>
      </c>
      <c r="G10" s="707">
        <f>0</f>
        <v/>
      </c>
      <c r="H10" s="707">
        <f>0</f>
        <v/>
      </c>
      <c r="I10" s="707">
        <f>0</f>
        <v/>
      </c>
      <c r="J10" s="707" t="n">
        <v>0</v>
      </c>
      <c r="K10" s="707" t="n">
        <v>150</v>
      </c>
      <c r="L10" s="707" t="n">
        <v>675</v>
      </c>
      <c r="M10" s="707" t="n">
        <v>675</v>
      </c>
      <c r="N10" s="707" t="n">
        <v>0</v>
      </c>
      <c r="O10" s="707" t="n">
        <v>100</v>
      </c>
      <c r="P10" s="707" t="n">
        <v>150</v>
      </c>
      <c r="Q10" s="707" t="n"/>
      <c r="R10" s="707" t="n"/>
      <c r="S10" s="707" t="n">
        <v>44.91</v>
      </c>
      <c r="T10" s="707" t="n"/>
      <c r="U10" s="707" t="n">
        <v>75</v>
      </c>
      <c r="V10" s="707" t="n">
        <v>415</v>
      </c>
      <c r="W10" s="707" t="n">
        <v>1595</v>
      </c>
      <c r="X10" s="707" t="n">
        <v>2690</v>
      </c>
      <c r="Y10" s="707" t="n">
        <v>3315</v>
      </c>
      <c r="Z10" s="707" t="n">
        <v>1065</v>
      </c>
      <c r="AA10" s="513" t="n">
        <v>45</v>
      </c>
      <c r="AB10" s="707" t="n">
        <v>195</v>
      </c>
      <c r="AC10" s="707" t="n">
        <v>75</v>
      </c>
      <c r="AD10" s="707" t="n">
        <v>150</v>
      </c>
      <c r="AE10" s="707" t="n">
        <v>30</v>
      </c>
      <c r="AF10" s="707" t="n"/>
      <c r="AG10" s="707" t="n">
        <v>1706.25</v>
      </c>
      <c r="AH10" s="707" t="n">
        <v>3502.5</v>
      </c>
      <c r="AI10" s="707" t="n">
        <v>4631.25</v>
      </c>
      <c r="AJ10" s="707" t="n">
        <v>7043.75</v>
      </c>
      <c r="AK10" s="707" t="n">
        <v>13573.75</v>
      </c>
      <c r="AL10" s="707" t="n">
        <v>7730</v>
      </c>
      <c r="AM10" s="513" t="n">
        <v>2868.75</v>
      </c>
      <c r="AN10" s="707" t="n">
        <v>2911.25</v>
      </c>
      <c r="AO10" s="707" t="n">
        <v>1870</v>
      </c>
      <c r="AP10" s="707" t="n">
        <v>625</v>
      </c>
      <c r="AQ10" s="707" t="n">
        <v>587.5</v>
      </c>
      <c r="AR10" s="707" t="n">
        <v>400</v>
      </c>
      <c r="AS10" s="707" t="n">
        <v>4137.5</v>
      </c>
      <c r="AT10" s="707" t="n">
        <v>8462.5</v>
      </c>
      <c r="AU10" s="707" t="n">
        <v>11872.5</v>
      </c>
      <c r="AV10" s="707">
        <f>16427.5</f>
        <v/>
      </c>
      <c r="AW10" s="708">
        <f>30345</f>
        <v/>
      </c>
      <c r="AX10" s="707">
        <f>+AX39*AX31</f>
        <v/>
      </c>
      <c r="AY10" s="513">
        <f>+AY39*AY31</f>
        <v/>
      </c>
      <c r="AZ10" s="707">
        <f>+AZ39*AZ31</f>
        <v/>
      </c>
      <c r="BA10" s="707">
        <f>+BA39*BA31</f>
        <v/>
      </c>
      <c r="BB10" s="707">
        <f>+BB39*BB31</f>
        <v/>
      </c>
      <c r="BC10" s="707">
        <f>+BC39*BC31</f>
        <v/>
      </c>
      <c r="BD10" s="707">
        <f>+BD39*BD31</f>
        <v/>
      </c>
      <c r="BE10" s="707">
        <f>+BE39*BE31</f>
        <v/>
      </c>
      <c r="BF10" s="707">
        <f>+BF39*BF31</f>
        <v/>
      </c>
      <c r="BG10" s="707">
        <f>+BG39*BG31</f>
        <v/>
      </c>
      <c r="BH10" s="707">
        <f>+BH39*BH31</f>
        <v/>
      </c>
      <c r="BI10" s="707">
        <f>+BI39*BI31</f>
        <v/>
      </c>
      <c r="BJ10" s="707">
        <f>+BJ39*BJ31</f>
        <v/>
      </c>
      <c r="BK10" s="708">
        <f>+BK39*BK31</f>
        <v/>
      </c>
      <c r="BL10" s="707">
        <f>+BL39*BL31</f>
        <v/>
      </c>
      <c r="BM10" s="707">
        <f>+BM39*BM31</f>
        <v/>
      </c>
      <c r="BN10" s="707">
        <f>+BN39*BN31</f>
        <v/>
      </c>
      <c r="BO10" s="707">
        <f>+BO39*BO31</f>
        <v/>
      </c>
      <c r="BP10" s="707">
        <f>+BP39*BP31</f>
        <v/>
      </c>
      <c r="BQ10" s="707">
        <f>+BQ39*BQ31</f>
        <v/>
      </c>
      <c r="BR10" s="707">
        <f>+BR39*BR31</f>
        <v/>
      </c>
      <c r="BS10" s="707">
        <f>+BS39*BS31</f>
        <v/>
      </c>
      <c r="BT10" s="707">
        <f>+BT39*BT31</f>
        <v/>
      </c>
      <c r="BU10" s="707">
        <f>+BU39*BU31</f>
        <v/>
      </c>
      <c r="BV10" s="707">
        <f>+BV39*BV31</f>
        <v/>
      </c>
      <c r="BW10" s="708">
        <f>+BW39*BW31</f>
        <v/>
      </c>
      <c r="BX10" s="707">
        <f>+BX39*BX31</f>
        <v/>
      </c>
      <c r="BY10" s="707">
        <f>+BY39*BY31</f>
        <v/>
      </c>
      <c r="BZ10" s="707">
        <f>+BZ39*BZ31</f>
        <v/>
      </c>
      <c r="CA10" s="707">
        <f>+CA39*CA31</f>
        <v/>
      </c>
      <c r="CB10" s="707">
        <f>+CB39*CB31</f>
        <v/>
      </c>
      <c r="CC10" s="707">
        <f>+CC39*CC31</f>
        <v/>
      </c>
      <c r="CD10" s="707">
        <f>+CD39*CD31</f>
        <v/>
      </c>
      <c r="CE10" s="707">
        <f>+CE39*CE31</f>
        <v/>
      </c>
      <c r="CF10" s="707">
        <f>+CF39*CF31</f>
        <v/>
      </c>
      <c r="CG10" s="707">
        <f>+CG39*CG31</f>
        <v/>
      </c>
      <c r="CH10" s="707">
        <f>+CH39*CH31</f>
        <v/>
      </c>
      <c r="CI10" s="708">
        <f>+CI39*CI31</f>
        <v/>
      </c>
      <c r="CJ10" s="707">
        <f>+CJ39*CJ31</f>
        <v/>
      </c>
      <c r="CK10" s="707">
        <f>+CK39*CK31</f>
        <v/>
      </c>
      <c r="CL10" s="707">
        <f>+CL39*CL31</f>
        <v/>
      </c>
      <c r="CM10" s="707">
        <f>+CM39*CM31</f>
        <v/>
      </c>
      <c r="CN10" s="707">
        <f>+CN39*CN31</f>
        <v/>
      </c>
      <c r="CO10" s="707">
        <f>+CO39*CO31</f>
        <v/>
      </c>
      <c r="CP10" s="707">
        <f>+CP39*CP31</f>
        <v/>
      </c>
      <c r="CQ10" s="707">
        <f>+CQ39*CQ31</f>
        <v/>
      </c>
      <c r="CR10" s="707">
        <f>+CR39*CR31</f>
        <v/>
      </c>
      <c r="CS10" s="707">
        <f>+CS39*CS31</f>
        <v/>
      </c>
      <c r="CT10" s="707">
        <f>+CT39*CT31</f>
        <v/>
      </c>
      <c r="CU10" s="708">
        <f>+CU39*CU31</f>
        <v/>
      </c>
      <c r="CV10" s="707">
        <f>+CV39*CV31</f>
        <v/>
      </c>
      <c r="CW10" s="707">
        <f>+CW39*CW31</f>
        <v/>
      </c>
      <c r="CX10" s="707">
        <f>+CX39*CX31</f>
        <v/>
      </c>
      <c r="CY10" s="707">
        <f>+CY39*CY31</f>
        <v/>
      </c>
      <c r="CZ10" s="707">
        <f>+CZ39*CZ31</f>
        <v/>
      </c>
      <c r="DA10" s="707">
        <f>+DA39*DA31</f>
        <v/>
      </c>
      <c r="DB10" s="707">
        <f>+DB39*DB31</f>
        <v/>
      </c>
      <c r="DC10" s="707">
        <f>+DC39*DC31</f>
        <v/>
      </c>
      <c r="DD10" s="707">
        <f>+DD39*DD31</f>
        <v/>
      </c>
      <c r="DE10" s="707">
        <f>+DE39*DE31</f>
        <v/>
      </c>
      <c r="DF10" s="707">
        <f>+DF39*DF31</f>
        <v/>
      </c>
      <c r="DG10" s="707">
        <f>+DG39*DG31</f>
        <v/>
      </c>
    </row>
    <row r="11" customFormat="1" s="707">
      <c r="B11" s="1" t="inlineStr">
        <is>
          <t xml:space="preserve">      50500 Interview Prep</t>
        </is>
      </c>
      <c r="C11" s="482" t="n"/>
      <c r="D11" s="707" t="n"/>
      <c r="E11" s="707" t="n"/>
      <c r="F11" s="707" t="n"/>
      <c r="G11" s="707" t="n"/>
      <c r="H11" s="707" t="n"/>
      <c r="I11" s="707" t="n"/>
      <c r="J11" s="707" t="n"/>
      <c r="K11" s="707" t="n"/>
      <c r="L11" s="707" t="n"/>
      <c r="M11" s="707" t="n"/>
      <c r="N11" s="707" t="n"/>
      <c r="O11" s="707" t="n"/>
      <c r="P11" s="707" t="n"/>
      <c r="Q11" s="707" t="n"/>
      <c r="R11" s="707" t="n"/>
      <c r="S11" s="707" t="n"/>
      <c r="T11" s="707" t="n"/>
      <c r="U11" s="707" t="n"/>
      <c r="V11" s="707" t="n"/>
      <c r="W11" s="707" t="n"/>
      <c r="X11" s="707" t="n"/>
      <c r="Y11" s="707" t="n"/>
      <c r="Z11" s="707" t="n"/>
      <c r="AA11" s="513" t="n"/>
      <c r="AB11" s="707" t="n">
        <v>237.5</v>
      </c>
      <c r="AC11" s="707" t="n"/>
      <c r="AD11" s="707" t="n"/>
      <c r="AE11" s="707" t="n"/>
      <c r="AF11" s="707" t="n"/>
      <c r="AG11" s="707" t="n"/>
      <c r="AH11" s="707" t="n"/>
      <c r="AI11" s="707" t="n"/>
      <c r="AJ11" s="707" t="n"/>
      <c r="AK11" s="707" t="n"/>
      <c r="AL11" s="707" t="n"/>
      <c r="AM11" s="513" t="n"/>
      <c r="AN11" s="707" t="n"/>
      <c r="AO11" s="707" t="n"/>
      <c r="AP11" s="707" t="n"/>
      <c r="AQ11" s="707" t="n"/>
      <c r="AR11" s="707" t="n">
        <v>0</v>
      </c>
      <c r="AS11" s="707" t="n">
        <v>0</v>
      </c>
      <c r="AT11" s="707" t="n">
        <v>0</v>
      </c>
      <c r="AU11" s="707" t="n">
        <v>0</v>
      </c>
      <c r="AV11" s="707" t="n">
        <v>0</v>
      </c>
      <c r="AW11" s="708">
        <f>187.5</f>
        <v/>
      </c>
      <c r="AX11" s="707" t="n"/>
      <c r="AY11" s="513" t="n"/>
      <c r="BK11" s="708" t="n"/>
      <c r="BW11" s="708" t="n"/>
      <c r="CI11" s="708" t="n"/>
      <c r="CU11" s="708" t="n"/>
    </row>
    <row r="12" customFormat="1" s="3">
      <c r="B12" s="4" t="inlineStr">
        <is>
          <t xml:space="preserve">   Total 50000 Service Income</t>
        </is>
      </c>
      <c r="C12" s="483" t="n"/>
      <c r="D12" s="822">
        <f>(((D6)+(D7))+(D8))+(D10)</f>
        <v/>
      </c>
      <c r="E12" s="822">
        <f>(((E6)+(E7))+(E8))+(E10)</f>
        <v/>
      </c>
      <c r="F12" s="822">
        <f>(((F6)+(F7))+(F8))+(F10)</f>
        <v/>
      </c>
      <c r="G12" s="822">
        <f>(((G6)+(G7))+(G8))+(G10)</f>
        <v/>
      </c>
      <c r="H12" s="822">
        <f>(((H6)+(H7))+(H8))+(H10)</f>
        <v/>
      </c>
      <c r="I12" s="822">
        <f>(((I6)+(I7))+(I8))+(I10)</f>
        <v/>
      </c>
      <c r="J12" s="822">
        <f>(((J6)+(J7))+(J8))+(J10)</f>
        <v/>
      </c>
      <c r="K12" s="822">
        <f>SUM(K7:K10)</f>
        <v/>
      </c>
      <c r="L12" s="822">
        <f>SUM(L7:L10)</f>
        <v/>
      </c>
      <c r="M12" s="822">
        <f>SUM(M7:M10)</f>
        <v/>
      </c>
      <c r="N12" s="822">
        <f>SUM(N7:N10)</f>
        <v/>
      </c>
      <c r="O12" s="822">
        <f>SUM(O7:O10)</f>
        <v/>
      </c>
      <c r="P12" s="822">
        <f>SUM(P7:P10)</f>
        <v/>
      </c>
      <c r="Q12" s="822">
        <f>SUM(Q7:Q10)</f>
        <v/>
      </c>
      <c r="R12" s="822">
        <f>SUM(R7:R10)</f>
        <v/>
      </c>
      <c r="S12" s="822">
        <f>SUM(S7:S10)</f>
        <v/>
      </c>
      <c r="T12" s="822">
        <f>SUM(T7:T10)</f>
        <v/>
      </c>
      <c r="U12" s="822">
        <f>SUM(U7:U10)</f>
        <v/>
      </c>
      <c r="V12" s="822">
        <f>SUM(V7:V10)</f>
        <v/>
      </c>
      <c r="W12" s="822">
        <f>SUM(W7:W10)</f>
        <v/>
      </c>
      <c r="X12" s="822">
        <f>SUM(X7:X10)</f>
        <v/>
      </c>
      <c r="Y12" s="822">
        <f>SUM(Y7:Y10)</f>
        <v/>
      </c>
      <c r="Z12" s="822">
        <f>SUM(Z7:Z10)</f>
        <v/>
      </c>
      <c r="AA12" s="823">
        <f>SUM(AA7:AA11)</f>
        <v/>
      </c>
      <c r="AB12" s="822">
        <f>SUM(AB7:AB11)</f>
        <v/>
      </c>
      <c r="AC12" s="822">
        <f>SUM(AC7:AC11)</f>
        <v/>
      </c>
      <c r="AD12" s="822">
        <f>SUM(AD7:AD11)</f>
        <v/>
      </c>
      <c r="AE12" s="822">
        <f>SUM(AE7:AE11)</f>
        <v/>
      </c>
      <c r="AF12" s="822">
        <f>SUM(AF7:AF11)</f>
        <v/>
      </c>
      <c r="AG12" s="822">
        <f>SUM(AG7:AG11)</f>
        <v/>
      </c>
      <c r="AH12" s="822">
        <f>SUM(AH7:AH11)</f>
        <v/>
      </c>
      <c r="AI12" s="822">
        <f>SUM(AI7:AI11)</f>
        <v/>
      </c>
      <c r="AJ12" s="822">
        <f>SUM(AJ7:AJ11)</f>
        <v/>
      </c>
      <c r="AK12" s="822">
        <f>SUM(AK7:AK11)</f>
        <v/>
      </c>
      <c r="AL12" s="822">
        <f>SUM(AL7:AL11)</f>
        <v/>
      </c>
      <c r="AM12" s="823">
        <f>SUM(AM7:AM11)</f>
        <v/>
      </c>
      <c r="AN12" s="822">
        <f>SUM(AN7:AN11)</f>
        <v/>
      </c>
      <c r="AO12" s="824">
        <f>SUM(AO7:AO11)</f>
        <v/>
      </c>
      <c r="AP12" s="824">
        <f>SUM(AP7:AP11)</f>
        <v/>
      </c>
      <c r="AQ12" s="824">
        <f>SUM(AQ7:AQ11)</f>
        <v/>
      </c>
      <c r="AR12" s="824">
        <f>SUM(AR7:AR11)</f>
        <v/>
      </c>
      <c r="AS12" s="824">
        <f>SUM(AS7:AS11)</f>
        <v/>
      </c>
      <c r="AT12" s="824">
        <f>SUM(AT7:AT11)</f>
        <v/>
      </c>
      <c r="AU12" s="824">
        <f>SUM(AU7:AU11)</f>
        <v/>
      </c>
      <c r="AV12" s="824">
        <f>SUM(AV7:AV11)</f>
        <v/>
      </c>
      <c r="AW12" s="825">
        <f>SUM(AW7:AW11)</f>
        <v/>
      </c>
      <c r="AX12" s="826">
        <f>SUM(AX7:AX11)</f>
        <v/>
      </c>
      <c r="AY12" s="827">
        <f>SUM(AY7:AY11)</f>
        <v/>
      </c>
      <c r="AZ12" s="826">
        <f>SUM(AZ7:AZ11)</f>
        <v/>
      </c>
      <c r="BA12" s="826">
        <f>SUM(BA7:BA11)</f>
        <v/>
      </c>
      <c r="BB12" s="826">
        <f>SUM(BB7:BB11)</f>
        <v/>
      </c>
      <c r="BC12" s="826">
        <f>SUM(BC7:BC11)</f>
        <v/>
      </c>
      <c r="BD12" s="826">
        <f>SUM(BD7:BD11)</f>
        <v/>
      </c>
      <c r="BE12" s="826">
        <f>SUM(BE7:BE11)</f>
        <v/>
      </c>
      <c r="BF12" s="826">
        <f>SUM(BF7:BF11)</f>
        <v/>
      </c>
      <c r="BG12" s="826">
        <f>SUM(BG7:BG11)</f>
        <v/>
      </c>
      <c r="BH12" s="826">
        <f>SUM(BH7:BH11)</f>
        <v/>
      </c>
      <c r="BI12" s="826">
        <f>SUM(BI7:BI11)</f>
        <v/>
      </c>
      <c r="BJ12" s="826">
        <f>SUM(BJ7:BJ11)</f>
        <v/>
      </c>
      <c r="BK12" s="828">
        <f>SUM(BK7:BK11)</f>
        <v/>
      </c>
      <c r="BL12" s="826">
        <f>SUM(BL7:BL11)</f>
        <v/>
      </c>
      <c r="BM12" s="826">
        <f>SUM(BM7:BM11)</f>
        <v/>
      </c>
      <c r="BN12" s="826">
        <f>SUM(BN7:BN11)</f>
        <v/>
      </c>
      <c r="BO12" s="826">
        <f>SUM(BO7:BO11)</f>
        <v/>
      </c>
      <c r="BP12" s="826">
        <f>SUM(BP7:BP11)</f>
        <v/>
      </c>
      <c r="BQ12" s="826">
        <f>SUM(BQ7:BQ11)</f>
        <v/>
      </c>
      <c r="BR12" s="826">
        <f>SUM(BR7:BR11)</f>
        <v/>
      </c>
      <c r="BS12" s="826">
        <f>SUM(BS7:BS11)</f>
        <v/>
      </c>
      <c r="BT12" s="826">
        <f>SUM(BT7:BT11)</f>
        <v/>
      </c>
      <c r="BU12" s="826">
        <f>SUM(BU7:BU11)</f>
        <v/>
      </c>
      <c r="BV12" s="826">
        <f>SUM(BV7:BV11)</f>
        <v/>
      </c>
      <c r="BW12" s="828">
        <f>SUM(BW7:BW11)</f>
        <v/>
      </c>
      <c r="BX12" s="826">
        <f>SUM(BX7:BX11)</f>
        <v/>
      </c>
      <c r="BY12" s="826">
        <f>SUM(BY7:BY11)</f>
        <v/>
      </c>
      <c r="BZ12" s="826">
        <f>SUM(BZ7:BZ11)</f>
        <v/>
      </c>
      <c r="CA12" s="826">
        <f>SUM(CA7:CA11)</f>
        <v/>
      </c>
      <c r="CB12" s="826">
        <f>SUM(CB7:CB11)</f>
        <v/>
      </c>
      <c r="CC12" s="826">
        <f>SUM(CC7:CC11)</f>
        <v/>
      </c>
      <c r="CD12" s="826">
        <f>SUM(CD7:CD11)</f>
        <v/>
      </c>
      <c r="CE12" s="826">
        <f>SUM(CE7:CE11)</f>
        <v/>
      </c>
      <c r="CF12" s="826">
        <f>SUM(CF7:CF11)</f>
        <v/>
      </c>
      <c r="CG12" s="826">
        <f>SUM(CG7:CG11)</f>
        <v/>
      </c>
      <c r="CH12" s="826">
        <f>SUM(CH7:CH11)</f>
        <v/>
      </c>
      <c r="CI12" s="828">
        <f>SUM(CI7:CI11)</f>
        <v/>
      </c>
      <c r="CJ12" s="826">
        <f>SUM(CJ7:CJ11)</f>
        <v/>
      </c>
      <c r="CK12" s="826">
        <f>SUM(CK7:CK11)</f>
        <v/>
      </c>
      <c r="CL12" s="826">
        <f>SUM(CL7:CL11)</f>
        <v/>
      </c>
      <c r="CM12" s="826">
        <f>SUM(CM7:CM11)</f>
        <v/>
      </c>
      <c r="CN12" s="826">
        <f>SUM(CN7:CN11)</f>
        <v/>
      </c>
      <c r="CO12" s="826">
        <f>SUM(CO7:CO11)</f>
        <v/>
      </c>
      <c r="CP12" s="826">
        <f>SUM(CP7:CP11)</f>
        <v/>
      </c>
      <c r="CQ12" s="826">
        <f>SUM(CQ7:CQ11)</f>
        <v/>
      </c>
      <c r="CR12" s="826">
        <f>SUM(CR7:CR11)</f>
        <v/>
      </c>
      <c r="CS12" s="826">
        <f>SUM(CS7:CS11)</f>
        <v/>
      </c>
      <c r="CT12" s="826">
        <f>SUM(CT7:CT11)</f>
        <v/>
      </c>
      <c r="CU12" s="828">
        <f>SUM(CU7:CU11)</f>
        <v/>
      </c>
      <c r="CV12" s="826">
        <f>SUM(CV7:CV11)</f>
        <v/>
      </c>
      <c r="CW12" s="826">
        <f>SUM(CW7:CW11)</f>
        <v/>
      </c>
      <c r="CX12" s="826">
        <f>SUM(CX7:CX11)</f>
        <v/>
      </c>
      <c r="CY12" s="826">
        <f>SUM(CY7:CY11)</f>
        <v/>
      </c>
      <c r="CZ12" s="826">
        <f>SUM(CZ7:CZ11)</f>
        <v/>
      </c>
      <c r="DA12" s="826">
        <f>SUM(DA7:DA11)</f>
        <v/>
      </c>
      <c r="DB12" s="826">
        <f>SUM(DB7:DB11)</f>
        <v/>
      </c>
      <c r="DC12" s="826">
        <f>SUM(DC7:DC11)</f>
        <v/>
      </c>
      <c r="DD12" s="826">
        <f>SUM(DD7:DD11)</f>
        <v/>
      </c>
      <c r="DE12" s="826">
        <f>SUM(DE7:DE11)</f>
        <v/>
      </c>
      <c r="DF12" s="826">
        <f>SUM(DF7:DF11)</f>
        <v/>
      </c>
      <c r="DG12" s="826">
        <f>SUM(DG7:DG11)</f>
        <v/>
      </c>
    </row>
    <row r="13" customFormat="1" s="707">
      <c r="B13" s="114" t="inlineStr">
        <is>
          <t xml:space="preserve">   70000 Tips/Miscellaneous</t>
        </is>
      </c>
      <c r="C13" s="484" t="n"/>
      <c r="D13" s="707">
        <f>0</f>
        <v/>
      </c>
      <c r="E13" s="707">
        <f>0</f>
        <v/>
      </c>
      <c r="F13" s="707">
        <f>0</f>
        <v/>
      </c>
      <c r="G13" s="707">
        <f>0</f>
        <v/>
      </c>
      <c r="H13" s="707">
        <f>0</f>
        <v/>
      </c>
      <c r="I13" s="707">
        <f>0</f>
        <v/>
      </c>
      <c r="J13" s="707">
        <f>0</f>
        <v/>
      </c>
      <c r="K13" s="707" t="n">
        <v>0</v>
      </c>
      <c r="L13" s="707" t="n">
        <v>0</v>
      </c>
      <c r="M13" s="707" t="n">
        <v>125</v>
      </c>
      <c r="N13" s="707" t="n">
        <v>0</v>
      </c>
      <c r="O13" s="707" t="n">
        <v>0</v>
      </c>
      <c r="P13" s="707" t="n">
        <v>35.99</v>
      </c>
      <c r="Q13" s="707" t="n">
        <v>30.75</v>
      </c>
      <c r="R13" s="707" t="n">
        <v>29.25</v>
      </c>
      <c r="S13" s="707" t="n">
        <v>37.5</v>
      </c>
      <c r="T13" s="707" t="n">
        <v>40.68</v>
      </c>
      <c r="U13" s="707" t="n">
        <v>4.68</v>
      </c>
      <c r="V13" s="707" t="n">
        <v>50.5</v>
      </c>
      <c r="W13" s="707" t="n">
        <v>27</v>
      </c>
      <c r="X13" s="707" t="n">
        <v>35.25</v>
      </c>
      <c r="Y13" s="707" t="n">
        <v>156.37</v>
      </c>
      <c r="Z13" s="707" t="n">
        <v>110.62</v>
      </c>
      <c r="AA13" s="513" t="n">
        <v>49.5</v>
      </c>
      <c r="AB13" s="707" t="n">
        <v>117</v>
      </c>
      <c r="AC13" s="707" t="n"/>
      <c r="AD13" s="707" t="n">
        <v>12</v>
      </c>
      <c r="AE13" s="707" t="n">
        <v>18</v>
      </c>
      <c r="AF13" s="707" t="n">
        <v>50.08</v>
      </c>
      <c r="AG13" s="707" t="n">
        <v>12</v>
      </c>
      <c r="AH13" s="707" t="n">
        <v>29.62</v>
      </c>
      <c r="AI13" s="707" t="n">
        <v>37.5</v>
      </c>
      <c r="AJ13" s="707" t="n"/>
      <c r="AK13" s="707" t="n">
        <v>19.5</v>
      </c>
      <c r="AL13" s="707" t="n">
        <v>9.75</v>
      </c>
      <c r="AM13" s="513" t="n">
        <v>34</v>
      </c>
      <c r="AN13" s="707" t="n">
        <v>108</v>
      </c>
      <c r="AO13" s="707" t="n">
        <v>59.62</v>
      </c>
      <c r="AP13" s="707" t="n">
        <v>52.37</v>
      </c>
      <c r="AQ13" s="707" t="n"/>
      <c r="AR13" s="707" t="n">
        <v>12</v>
      </c>
      <c r="AS13" s="707" t="n">
        <v>93.5</v>
      </c>
      <c r="AT13" s="707" t="n">
        <v>75</v>
      </c>
      <c r="AU13" s="707" t="n">
        <v>44.5</v>
      </c>
      <c r="AV13" s="707" t="n">
        <v>50</v>
      </c>
      <c r="AW13" s="708" t="n">
        <v>29.37</v>
      </c>
      <c r="AX13" s="707">
        <f>+AX15*AX12</f>
        <v/>
      </c>
      <c r="AY13" s="513">
        <f>+AY15*AY12</f>
        <v/>
      </c>
      <c r="AZ13" s="707">
        <f>+AZ15*AZ12</f>
        <v/>
      </c>
      <c r="BA13" s="707">
        <f>+BA15*BA12</f>
        <v/>
      </c>
      <c r="BB13" s="707">
        <f>+BB15*BB12</f>
        <v/>
      </c>
      <c r="BC13" s="707">
        <f>+BC15*BC12</f>
        <v/>
      </c>
      <c r="BD13" s="707">
        <f>+BD15*BD12</f>
        <v/>
      </c>
      <c r="BE13" s="707">
        <f>+BE15*BE12</f>
        <v/>
      </c>
      <c r="BF13" s="707">
        <f>+BF15*BF12</f>
        <v/>
      </c>
      <c r="BG13" s="707">
        <f>+BG15*BG12</f>
        <v/>
      </c>
      <c r="BH13" s="707">
        <f>+BH15*BH12</f>
        <v/>
      </c>
      <c r="BI13" s="707">
        <f>+BI15*BI12</f>
        <v/>
      </c>
      <c r="BJ13" s="707">
        <f>+BJ15*BJ12</f>
        <v/>
      </c>
      <c r="BK13" s="708">
        <f>+BK15*BK12</f>
        <v/>
      </c>
      <c r="BL13" s="707">
        <f>+BL15*BL12</f>
        <v/>
      </c>
      <c r="BM13" s="707">
        <f>+BM15*BM12</f>
        <v/>
      </c>
      <c r="BN13" s="707">
        <f>+BN15*BN12</f>
        <v/>
      </c>
      <c r="BO13" s="707">
        <f>+BO15*BO12</f>
        <v/>
      </c>
      <c r="BP13" s="707">
        <f>+BP15*BP12</f>
        <v/>
      </c>
      <c r="BQ13" s="707">
        <f>+BQ15*BQ12</f>
        <v/>
      </c>
      <c r="BR13" s="707">
        <f>+BR15*BR12</f>
        <v/>
      </c>
      <c r="BS13" s="707">
        <f>+BS15*BS12</f>
        <v/>
      </c>
      <c r="BT13" s="707">
        <f>+BT15*BT12</f>
        <v/>
      </c>
      <c r="BU13" s="707">
        <f>+BU15*BU12</f>
        <v/>
      </c>
      <c r="BV13" s="707">
        <f>+BV15*BV12</f>
        <v/>
      </c>
      <c r="BW13" s="708">
        <f>+BW15*BW12</f>
        <v/>
      </c>
      <c r="BX13" s="707">
        <f>+BX15*BX12</f>
        <v/>
      </c>
      <c r="BY13" s="707">
        <f>+BY15*BY12</f>
        <v/>
      </c>
      <c r="BZ13" s="707">
        <f>+BZ15*BZ12</f>
        <v/>
      </c>
      <c r="CA13" s="707">
        <f>+CA15*CA12</f>
        <v/>
      </c>
      <c r="CB13" s="707">
        <f>+CB15*CB12</f>
        <v/>
      </c>
      <c r="CC13" s="707">
        <f>+CC15*CC12</f>
        <v/>
      </c>
      <c r="CD13" s="707">
        <f>+CD15*CD12</f>
        <v/>
      </c>
      <c r="CE13" s="707">
        <f>+CE15*CE12</f>
        <v/>
      </c>
      <c r="CF13" s="707">
        <f>+CF15*CF12</f>
        <v/>
      </c>
      <c r="CG13" s="707">
        <f>+CG15*CG12</f>
        <v/>
      </c>
      <c r="CH13" s="707">
        <f>+CH15*CH12</f>
        <v/>
      </c>
      <c r="CI13" s="708">
        <f>+CI15*CI12</f>
        <v/>
      </c>
      <c r="CJ13" s="707">
        <f>+CJ15*CJ12</f>
        <v/>
      </c>
      <c r="CK13" s="707">
        <f>+CK15*CK12</f>
        <v/>
      </c>
      <c r="CL13" s="707">
        <f>+CL15*CL12</f>
        <v/>
      </c>
      <c r="CM13" s="707">
        <f>+CM15*CM12</f>
        <v/>
      </c>
      <c r="CN13" s="707">
        <f>+CN15*CN12</f>
        <v/>
      </c>
      <c r="CO13" s="707">
        <f>+CO15*CO12</f>
        <v/>
      </c>
      <c r="CP13" s="707">
        <f>+CP15*CP12</f>
        <v/>
      </c>
      <c r="CQ13" s="707">
        <f>+CQ15*CQ12</f>
        <v/>
      </c>
      <c r="CR13" s="707">
        <f>+CR15*CR12</f>
        <v/>
      </c>
      <c r="CS13" s="707">
        <f>+CS15*CS12</f>
        <v/>
      </c>
      <c r="CT13" s="707">
        <f>+CT15*CT12</f>
        <v/>
      </c>
      <c r="CU13" s="708">
        <f>+CU15*CU12</f>
        <v/>
      </c>
      <c r="CV13" s="707">
        <f>+CV15*CV12</f>
        <v/>
      </c>
      <c r="CW13" s="707">
        <f>+CW15*CW12</f>
        <v/>
      </c>
      <c r="CX13" s="707">
        <f>+CX15*CX12</f>
        <v/>
      </c>
      <c r="CY13" s="707">
        <f>+CY15*CY12</f>
        <v/>
      </c>
      <c r="CZ13" s="707">
        <f>+CZ15*CZ12</f>
        <v/>
      </c>
      <c r="DA13" s="707">
        <f>+DA15*DA12</f>
        <v/>
      </c>
      <c r="DB13" s="707">
        <f>+DB15*DB12</f>
        <v/>
      </c>
      <c r="DC13" s="707">
        <f>+DC15*DC12</f>
        <v/>
      </c>
      <c r="DD13" s="707">
        <f>+DD15*DD12</f>
        <v/>
      </c>
      <c r="DE13" s="707">
        <f>+DE15*DE12</f>
        <v/>
      </c>
      <c r="DF13" s="707">
        <f>+DF15*DF12</f>
        <v/>
      </c>
      <c r="DG13" s="707">
        <f>+DG15*DG12</f>
        <v/>
      </c>
    </row>
    <row r="14" customFormat="1" s="3">
      <c r="B14" s="4" t="inlineStr">
        <is>
          <t>Total Income</t>
        </is>
      </c>
      <c r="C14" s="490" t="inlineStr">
        <is>
          <t>Total Revenue</t>
        </is>
      </c>
      <c r="D14" s="822">
        <f>(D12)+(D13)</f>
        <v/>
      </c>
      <c r="E14" s="822">
        <f>(E12)+(E13)</f>
        <v/>
      </c>
      <c r="F14" s="822">
        <f>(F12)+(F13)</f>
        <v/>
      </c>
      <c r="G14" s="822">
        <f>(G12)+(G13)</f>
        <v/>
      </c>
      <c r="H14" s="822">
        <f>(H12)+(H13)</f>
        <v/>
      </c>
      <c r="I14" s="822">
        <f>(I12)+(I13)</f>
        <v/>
      </c>
      <c r="J14" s="822">
        <f>(J12)+(J13)</f>
        <v/>
      </c>
      <c r="K14" s="822">
        <f>K13+K12</f>
        <v/>
      </c>
      <c r="L14" s="822">
        <f>L13+L12</f>
        <v/>
      </c>
      <c r="M14" s="822">
        <f>M13+M12</f>
        <v/>
      </c>
      <c r="N14" s="822">
        <f>N13+N12</f>
        <v/>
      </c>
      <c r="O14" s="822">
        <f>O13+O12</f>
        <v/>
      </c>
      <c r="P14" s="822">
        <f>P13+P12</f>
        <v/>
      </c>
      <c r="Q14" s="822">
        <f>Q13+Q12</f>
        <v/>
      </c>
      <c r="R14" s="822">
        <f>R13+R12</f>
        <v/>
      </c>
      <c r="S14" s="822">
        <f>S13+S12</f>
        <v/>
      </c>
      <c r="T14" s="822">
        <f>T13+T12</f>
        <v/>
      </c>
      <c r="U14" s="822">
        <f>U13+U12</f>
        <v/>
      </c>
      <c r="V14" s="822">
        <f>V13+V12</f>
        <v/>
      </c>
      <c r="W14" s="822">
        <f>W13+W12</f>
        <v/>
      </c>
      <c r="X14" s="822">
        <f>X13+X12</f>
        <v/>
      </c>
      <c r="Y14" s="822">
        <f>Y13+Y12</f>
        <v/>
      </c>
      <c r="Z14" s="822">
        <f>Z13+Z12</f>
        <v/>
      </c>
      <c r="AA14" s="823">
        <f>AA13+AA12</f>
        <v/>
      </c>
      <c r="AB14" s="822">
        <f>AB13+AB12</f>
        <v/>
      </c>
      <c r="AC14" s="822">
        <f>AC13+AC12</f>
        <v/>
      </c>
      <c r="AD14" s="822">
        <f>AD13+AD12</f>
        <v/>
      </c>
      <c r="AE14" s="822">
        <f>AE13+AE12</f>
        <v/>
      </c>
      <c r="AF14" s="822">
        <f>AF13+AF12</f>
        <v/>
      </c>
      <c r="AG14" s="822">
        <f>AG13+AG12</f>
        <v/>
      </c>
      <c r="AH14" s="822">
        <f>AH13+AH12</f>
        <v/>
      </c>
      <c r="AI14" s="822">
        <f>AI13+AI12</f>
        <v/>
      </c>
      <c r="AJ14" s="822">
        <f>AJ13+AJ12</f>
        <v/>
      </c>
      <c r="AK14" s="822">
        <f>AK13+AK12</f>
        <v/>
      </c>
      <c r="AL14" s="822">
        <f>AL13+AL12</f>
        <v/>
      </c>
      <c r="AM14" s="823">
        <f>AM13+AM12</f>
        <v/>
      </c>
      <c r="AN14" s="822">
        <f>AN13+AN12</f>
        <v/>
      </c>
      <c r="AO14" s="822">
        <f>AO13+AO12</f>
        <v/>
      </c>
      <c r="AP14" s="822">
        <f>AP13+AP12</f>
        <v/>
      </c>
      <c r="AQ14" s="822">
        <f>AQ13+AQ12</f>
        <v/>
      </c>
      <c r="AR14" s="822">
        <f>AR13+AR12</f>
        <v/>
      </c>
      <c r="AS14" s="822">
        <f>AS13+AS12</f>
        <v/>
      </c>
      <c r="AT14" s="822">
        <f>AT13+AT12</f>
        <v/>
      </c>
      <c r="AU14" s="822">
        <f>AU13+AU12</f>
        <v/>
      </c>
      <c r="AV14" s="822">
        <f>AV13+AV12</f>
        <v/>
      </c>
      <c r="AW14" s="829">
        <f>AW13+AW12</f>
        <v/>
      </c>
      <c r="AX14" s="822">
        <f>AX13+AX12</f>
        <v/>
      </c>
      <c r="AY14" s="823">
        <f>AY13+AY12</f>
        <v/>
      </c>
      <c r="AZ14" s="822">
        <f>AZ13+AZ12</f>
        <v/>
      </c>
      <c r="BA14" s="822">
        <f>BA13+BA12</f>
        <v/>
      </c>
      <c r="BB14" s="822">
        <f>BB13+BB12</f>
        <v/>
      </c>
      <c r="BC14" s="822">
        <f>BC13+BC12</f>
        <v/>
      </c>
      <c r="BD14" s="822">
        <f>BD13+BD12</f>
        <v/>
      </c>
      <c r="BE14" s="822">
        <f>BE13+BE12</f>
        <v/>
      </c>
      <c r="BF14" s="822">
        <f>BF13+BF12</f>
        <v/>
      </c>
      <c r="BG14" s="822">
        <f>BG13+BG12</f>
        <v/>
      </c>
      <c r="BH14" s="822">
        <f>BH13+BH12</f>
        <v/>
      </c>
      <c r="BI14" s="822">
        <f>BI13+BI12</f>
        <v/>
      </c>
      <c r="BJ14" s="822">
        <f>BJ13+BJ12</f>
        <v/>
      </c>
      <c r="BK14" s="829">
        <f>BK13+BK12</f>
        <v/>
      </c>
      <c r="BL14" s="822">
        <f>BL13+BL12</f>
        <v/>
      </c>
      <c r="BM14" s="822">
        <f>BM13+BM12</f>
        <v/>
      </c>
      <c r="BN14" s="822">
        <f>BN13+BN12</f>
        <v/>
      </c>
      <c r="BO14" s="822">
        <f>BO13+BO12</f>
        <v/>
      </c>
      <c r="BP14" s="822">
        <f>BP13+BP12</f>
        <v/>
      </c>
      <c r="BQ14" s="822">
        <f>BQ13+BQ12</f>
        <v/>
      </c>
      <c r="BR14" s="822">
        <f>BR13+BR12</f>
        <v/>
      </c>
      <c r="BS14" s="822">
        <f>BS13+BS12</f>
        <v/>
      </c>
      <c r="BT14" s="822">
        <f>BT13+BT12</f>
        <v/>
      </c>
      <c r="BU14" s="822">
        <f>BU13+BU12</f>
        <v/>
      </c>
      <c r="BV14" s="822">
        <f>BV13+BV12</f>
        <v/>
      </c>
      <c r="BW14" s="829">
        <f>BW13+BW12</f>
        <v/>
      </c>
      <c r="BX14" s="822">
        <f>BX13+BX12</f>
        <v/>
      </c>
      <c r="BY14" s="822">
        <f>BY13+BY12</f>
        <v/>
      </c>
      <c r="BZ14" s="822">
        <f>BZ13+BZ12</f>
        <v/>
      </c>
      <c r="CA14" s="822">
        <f>CA13+CA12</f>
        <v/>
      </c>
      <c r="CB14" s="822">
        <f>CB13+CB12</f>
        <v/>
      </c>
      <c r="CC14" s="822">
        <f>CC13+CC12</f>
        <v/>
      </c>
      <c r="CD14" s="822">
        <f>CD13+CD12</f>
        <v/>
      </c>
      <c r="CE14" s="822">
        <f>CE13+CE12</f>
        <v/>
      </c>
      <c r="CF14" s="822">
        <f>CF13+CF12</f>
        <v/>
      </c>
      <c r="CG14" s="822">
        <f>CG13+CG12</f>
        <v/>
      </c>
      <c r="CH14" s="822">
        <f>CH13+CH12</f>
        <v/>
      </c>
      <c r="CI14" s="829">
        <f>CI13+CI12</f>
        <v/>
      </c>
      <c r="CJ14" s="822">
        <f>CJ13+CJ12</f>
        <v/>
      </c>
      <c r="CK14" s="822">
        <f>CK13+CK12</f>
        <v/>
      </c>
      <c r="CL14" s="822">
        <f>CL13+CL12</f>
        <v/>
      </c>
      <c r="CM14" s="822">
        <f>CM13+CM12</f>
        <v/>
      </c>
      <c r="CN14" s="822">
        <f>CN13+CN12</f>
        <v/>
      </c>
      <c r="CO14" s="822">
        <f>CO13+CO12</f>
        <v/>
      </c>
      <c r="CP14" s="822">
        <f>CP13+CP12</f>
        <v/>
      </c>
      <c r="CQ14" s="822">
        <f>CQ13+CQ12</f>
        <v/>
      </c>
      <c r="CR14" s="822">
        <f>CR13+CR12</f>
        <v/>
      </c>
      <c r="CS14" s="822">
        <f>CS13+CS12</f>
        <v/>
      </c>
      <c r="CT14" s="822">
        <f>CT13+CT12</f>
        <v/>
      </c>
      <c r="CU14" s="829">
        <f>CU13+CU12</f>
        <v/>
      </c>
      <c r="CV14" s="822">
        <f>CV13+CV12</f>
        <v/>
      </c>
      <c r="CW14" s="822">
        <f>CW13+CW12</f>
        <v/>
      </c>
      <c r="CX14" s="822">
        <f>CX13+CX12</f>
        <v/>
      </c>
      <c r="CY14" s="822">
        <f>CY13+CY12</f>
        <v/>
      </c>
      <c r="CZ14" s="822">
        <f>CZ13+CZ12</f>
        <v/>
      </c>
      <c r="DA14" s="822">
        <f>DA13+DA12</f>
        <v/>
      </c>
      <c r="DB14" s="822">
        <f>DB13+DB12</f>
        <v/>
      </c>
      <c r="DC14" s="822">
        <f>DC13+DC12</f>
        <v/>
      </c>
      <c r="DD14" s="822">
        <f>DD13+DD12</f>
        <v/>
      </c>
      <c r="DE14" s="822">
        <f>DE13+DE12</f>
        <v/>
      </c>
      <c r="DF14" s="822">
        <f>DF13+DF12</f>
        <v/>
      </c>
      <c r="DG14" s="822">
        <f>DG13+DG12</f>
        <v/>
      </c>
    </row>
    <row r="15" customFormat="1" s="363">
      <c r="B15" s="364" t="n"/>
      <c r="C15" s="491" t="inlineStr">
        <is>
          <t>Tips as a % of Revenue</t>
        </is>
      </c>
      <c r="D15" s="830" t="n"/>
      <c r="E15" s="830" t="n"/>
      <c r="F15" s="830" t="n"/>
      <c r="G15" s="830" t="n"/>
      <c r="H15" s="830" t="n"/>
      <c r="I15" s="830" t="n"/>
      <c r="J15" s="830" t="n"/>
      <c r="K15" s="366">
        <f>+K13/K12</f>
        <v/>
      </c>
      <c r="L15" s="366">
        <f>+L13/L12</f>
        <v/>
      </c>
      <c r="M15" s="366">
        <f>+M13/M12</f>
        <v/>
      </c>
      <c r="N15" s="366">
        <f>+N13/N12</f>
        <v/>
      </c>
      <c r="O15" s="366">
        <f>+O13/O12</f>
        <v/>
      </c>
      <c r="P15" s="366">
        <f>+P13/P12</f>
        <v/>
      </c>
      <c r="Q15" s="366">
        <f>+Q13/Q12</f>
        <v/>
      </c>
      <c r="R15" s="366">
        <f>+R13/R12</f>
        <v/>
      </c>
      <c r="S15" s="366">
        <f>+S13/S12</f>
        <v/>
      </c>
      <c r="T15" s="366">
        <f>+T13/T12</f>
        <v/>
      </c>
      <c r="U15" s="366">
        <f>+U13/U12</f>
        <v/>
      </c>
      <c r="V15" s="366">
        <f>+V13/V12</f>
        <v/>
      </c>
      <c r="W15" s="366">
        <f>+W13/W12</f>
        <v/>
      </c>
      <c r="X15" s="366">
        <f>+X13/X12</f>
        <v/>
      </c>
      <c r="Y15" s="366">
        <f>+Y13/Y12</f>
        <v/>
      </c>
      <c r="Z15" s="366">
        <f>+Z13/Z12</f>
        <v/>
      </c>
      <c r="AA15" s="515">
        <f>+AA13/AA12</f>
        <v/>
      </c>
      <c r="AB15" s="366">
        <f>+AB13/AB12</f>
        <v/>
      </c>
      <c r="AC15" s="366">
        <f>+AC13/AC12</f>
        <v/>
      </c>
      <c r="AD15" s="366">
        <f>+AD13/AD12</f>
        <v/>
      </c>
      <c r="AE15" s="366">
        <f>+AE13/AE12</f>
        <v/>
      </c>
      <c r="AF15" s="366">
        <f>+AF13/AF12</f>
        <v/>
      </c>
      <c r="AG15" s="366">
        <f>+AG13/AG12</f>
        <v/>
      </c>
      <c r="AH15" s="366">
        <f>+AH13/AH12</f>
        <v/>
      </c>
      <c r="AI15" s="366">
        <f>+AI13/AI12</f>
        <v/>
      </c>
      <c r="AJ15" s="366">
        <f>+AJ13/AJ12</f>
        <v/>
      </c>
      <c r="AK15" s="366">
        <f>+AK13/AK12</f>
        <v/>
      </c>
      <c r="AL15" s="366">
        <f>+AL13/AL12</f>
        <v/>
      </c>
      <c r="AM15" s="515">
        <f>+AM13/AM12</f>
        <v/>
      </c>
      <c r="AN15" s="366">
        <f>+AN13/AN12</f>
        <v/>
      </c>
      <c r="AO15" s="366">
        <f>+AO13/AO12</f>
        <v/>
      </c>
      <c r="AP15" s="366">
        <f>+AP13/AP12</f>
        <v/>
      </c>
      <c r="AQ15" s="366">
        <f>+AQ13/AQ12</f>
        <v/>
      </c>
      <c r="AR15" s="366">
        <f>+AR13/AR12</f>
        <v/>
      </c>
      <c r="AS15" s="366">
        <f>+AS13/AS12</f>
        <v/>
      </c>
      <c r="AT15" s="366">
        <f>+AT13/AT12</f>
        <v/>
      </c>
      <c r="AU15" s="366">
        <f>+AU13/AU12</f>
        <v/>
      </c>
      <c r="AV15" s="366">
        <f>+AV13/AV12</f>
        <v/>
      </c>
      <c r="AW15" s="367">
        <f>+AW13/AW12</f>
        <v/>
      </c>
      <c r="AX15" s="711">
        <f>+AVERAGE(AR15:AW15)</f>
        <v/>
      </c>
      <c r="AY15" s="515">
        <f>+AX15</f>
        <v/>
      </c>
      <c r="AZ15" s="366">
        <f>+AY15</f>
        <v/>
      </c>
      <c r="BA15" s="366">
        <f>+AZ15</f>
        <v/>
      </c>
      <c r="BB15" s="366">
        <f>+BA15</f>
        <v/>
      </c>
      <c r="BC15" s="366">
        <f>+BB15</f>
        <v/>
      </c>
      <c r="BD15" s="366">
        <f>+BC15</f>
        <v/>
      </c>
      <c r="BE15" s="366">
        <f>+BD15</f>
        <v/>
      </c>
      <c r="BF15" s="366">
        <f>+BE15</f>
        <v/>
      </c>
      <c r="BG15" s="366">
        <f>+BF15</f>
        <v/>
      </c>
      <c r="BH15" s="366">
        <f>+BG15</f>
        <v/>
      </c>
      <c r="BI15" s="366">
        <f>+BH15</f>
        <v/>
      </c>
      <c r="BJ15" s="366">
        <f>+BI15</f>
        <v/>
      </c>
      <c r="BK15" s="367">
        <f>+BJ15</f>
        <v/>
      </c>
      <c r="BL15" s="366">
        <f>+BK15</f>
        <v/>
      </c>
      <c r="BM15" s="366">
        <f>+BL15</f>
        <v/>
      </c>
      <c r="BN15" s="366">
        <f>+BM15</f>
        <v/>
      </c>
      <c r="BO15" s="366">
        <f>+BN15</f>
        <v/>
      </c>
      <c r="BP15" s="366">
        <f>+BO15</f>
        <v/>
      </c>
      <c r="BQ15" s="366">
        <f>+BP15</f>
        <v/>
      </c>
      <c r="BR15" s="366">
        <f>+BQ15</f>
        <v/>
      </c>
      <c r="BS15" s="366">
        <f>+BR15</f>
        <v/>
      </c>
      <c r="BT15" s="366">
        <f>+BS15</f>
        <v/>
      </c>
      <c r="BU15" s="366">
        <f>+BT15</f>
        <v/>
      </c>
      <c r="BV15" s="366">
        <f>+BU15</f>
        <v/>
      </c>
      <c r="BW15" s="367">
        <f>+BV15</f>
        <v/>
      </c>
      <c r="BX15" s="366">
        <f>+BW15</f>
        <v/>
      </c>
      <c r="BY15" s="366">
        <f>+BX15</f>
        <v/>
      </c>
      <c r="BZ15" s="366">
        <f>+BY15</f>
        <v/>
      </c>
      <c r="CA15" s="366">
        <f>+BZ15</f>
        <v/>
      </c>
      <c r="CB15" s="366">
        <f>+CA15</f>
        <v/>
      </c>
      <c r="CC15" s="366">
        <f>+CB15</f>
        <v/>
      </c>
      <c r="CD15" s="366">
        <f>+CC15</f>
        <v/>
      </c>
      <c r="CE15" s="366">
        <f>+CD15</f>
        <v/>
      </c>
      <c r="CF15" s="366">
        <f>+CE15</f>
        <v/>
      </c>
      <c r="CG15" s="366">
        <f>+CF15</f>
        <v/>
      </c>
      <c r="CH15" s="366">
        <f>+CG15</f>
        <v/>
      </c>
      <c r="CI15" s="367">
        <f>+CH15</f>
        <v/>
      </c>
      <c r="CJ15" s="366">
        <f>+CI15</f>
        <v/>
      </c>
      <c r="CK15" s="366">
        <f>+CJ15</f>
        <v/>
      </c>
      <c r="CL15" s="366">
        <f>+CK15</f>
        <v/>
      </c>
      <c r="CM15" s="366">
        <f>+CL15</f>
        <v/>
      </c>
      <c r="CN15" s="366">
        <f>+CM15</f>
        <v/>
      </c>
      <c r="CO15" s="366">
        <f>+CN15</f>
        <v/>
      </c>
      <c r="CP15" s="366">
        <f>+CO15</f>
        <v/>
      </c>
      <c r="CQ15" s="366">
        <f>+CP15</f>
        <v/>
      </c>
      <c r="CR15" s="366">
        <f>+CQ15</f>
        <v/>
      </c>
      <c r="CS15" s="366">
        <f>+CR15</f>
        <v/>
      </c>
      <c r="CT15" s="366">
        <f>+CS15</f>
        <v/>
      </c>
      <c r="CU15" s="367">
        <f>+CT15</f>
        <v/>
      </c>
      <c r="CV15" s="366">
        <f>+CU15</f>
        <v/>
      </c>
      <c r="CW15" s="366">
        <f>+CV15</f>
        <v/>
      </c>
      <c r="CX15" s="366">
        <f>+CW15</f>
        <v/>
      </c>
      <c r="CY15" s="366">
        <f>+CX15</f>
        <v/>
      </c>
      <c r="CZ15" s="366">
        <f>+CY15</f>
        <v/>
      </c>
      <c r="DA15" s="366">
        <f>+CZ15</f>
        <v/>
      </c>
      <c r="DB15" s="366">
        <f>+DA15</f>
        <v/>
      </c>
      <c r="DC15" s="366">
        <f>+DB15</f>
        <v/>
      </c>
      <c r="DD15" s="366">
        <f>+DC15</f>
        <v/>
      </c>
      <c r="DE15" s="366">
        <f>+DD15</f>
        <v/>
      </c>
      <c r="DF15" s="366">
        <f>+DE15</f>
        <v/>
      </c>
      <c r="DG15" s="366">
        <f>+DF15</f>
        <v/>
      </c>
    </row>
    <row r="16" hidden="1">
      <c r="B16" s="1" t="n"/>
      <c r="C16" s="485" t="n"/>
      <c r="D16" s="831" t="n"/>
      <c r="E16" s="831" t="n"/>
      <c r="F16" s="831" t="n"/>
      <c r="G16" s="831" t="n"/>
      <c r="H16" s="831" t="n"/>
      <c r="I16" s="831" t="n"/>
      <c r="J16" s="831" t="n"/>
      <c r="K16" s="831" t="n"/>
      <c r="L16" s="831" t="n"/>
      <c r="M16" s="831" t="n"/>
      <c r="N16" s="831" t="n"/>
      <c r="O16" s="831" t="n"/>
      <c r="P16" s="831" t="n"/>
      <c r="Q16" s="831" t="n"/>
      <c r="R16" s="831" t="n"/>
      <c r="S16" s="831" t="n"/>
      <c r="T16" s="831" t="n"/>
      <c r="U16" s="831" t="n"/>
      <c r="V16" s="831" t="n"/>
      <c r="W16" s="831" t="n"/>
      <c r="X16" s="831" t="n"/>
      <c r="Y16" s="831" t="n"/>
      <c r="Z16" s="831" t="n"/>
      <c r="AA16" s="832" t="n"/>
      <c r="AB16" s="831" t="n"/>
      <c r="AC16" s="831" t="n"/>
      <c r="AD16" s="831" t="n"/>
      <c r="AE16" s="831" t="n"/>
      <c r="AF16" s="831" t="n"/>
      <c r="AG16" s="831" t="n"/>
      <c r="AH16" s="831" t="n"/>
      <c r="AI16" s="831" t="n"/>
      <c r="AJ16" s="831" t="n"/>
      <c r="AK16" s="831" t="n"/>
      <c r="AL16" s="831" t="n"/>
      <c r="AM16" s="832" t="n"/>
      <c r="AN16" s="831" t="n"/>
      <c r="AO16" s="831" t="n"/>
      <c r="AP16" s="831" t="n"/>
      <c r="AQ16" s="831" t="n"/>
      <c r="AR16" s="831" t="n"/>
      <c r="AS16" s="831" t="n"/>
      <c r="AT16" s="831" t="n"/>
      <c r="AU16" s="831" t="n"/>
      <c r="AV16" s="831" t="n"/>
      <c r="AW16" s="833" t="n"/>
      <c r="AX16" s="831" t="n"/>
      <c r="AY16" s="832" t="n"/>
      <c r="AZ16" s="831" t="n"/>
      <c r="BA16" s="831" t="n"/>
      <c r="BB16" s="831" t="n"/>
      <c r="BC16" s="831" t="n"/>
      <c r="BD16" s="831" t="n"/>
      <c r="BE16" s="831" t="n"/>
      <c r="BF16" s="831" t="n"/>
      <c r="BG16" s="831" t="n"/>
      <c r="BH16" s="831" t="n"/>
      <c r="BI16" s="831" t="n"/>
      <c r="BJ16" s="831" t="n"/>
      <c r="BK16" s="833" t="n"/>
      <c r="BL16" s="831" t="n"/>
      <c r="BM16" s="831" t="n"/>
      <c r="BN16" s="831" t="n"/>
      <c r="BO16" s="831" t="n"/>
      <c r="BP16" s="831" t="n"/>
      <c r="BQ16" s="831" t="n"/>
      <c r="BR16" s="831" t="n"/>
      <c r="BS16" s="831" t="n"/>
      <c r="BT16" s="831" t="n"/>
      <c r="BU16" s="831" t="n"/>
      <c r="BV16" s="831" t="n"/>
      <c r="BW16" s="833" t="n"/>
      <c r="BX16" s="831" t="n"/>
      <c r="BY16" s="831" t="n"/>
      <c r="BZ16" s="831" t="n"/>
      <c r="CA16" s="831" t="n"/>
      <c r="CB16" s="831" t="n"/>
      <c r="CC16" s="831" t="n"/>
      <c r="CD16" s="831" t="n"/>
      <c r="CE16" s="831" t="n"/>
      <c r="CF16" s="831" t="n"/>
      <c r="CG16" s="831" t="n"/>
      <c r="CH16" s="831" t="n"/>
      <c r="CI16" s="833" t="n"/>
      <c r="CJ16" s="831" t="n"/>
      <c r="CK16" s="831" t="n"/>
      <c r="CL16" s="831" t="n"/>
      <c r="CM16" s="831" t="n"/>
      <c r="CN16" s="831" t="n"/>
      <c r="CO16" s="831" t="n"/>
      <c r="CP16" s="831" t="n"/>
      <c r="CQ16" s="831" t="n"/>
      <c r="CR16" s="831" t="n"/>
      <c r="CS16" s="831" t="n"/>
      <c r="CT16" s="831" t="n"/>
      <c r="CU16" s="833" t="n"/>
      <c r="CV16" s="831" t="n"/>
      <c r="CW16" s="831" t="n"/>
      <c r="CX16" s="831" t="n"/>
      <c r="CY16" s="831" t="n"/>
      <c r="CZ16" s="831" t="n"/>
      <c r="DA16" s="831" t="n"/>
      <c r="DB16" s="831" t="n"/>
      <c r="DC16" s="831" t="n"/>
      <c r="DD16" s="831" t="n"/>
      <c r="DE16" s="831" t="n"/>
      <c r="DF16" s="831" t="n"/>
      <c r="DG16" s="831" t="n"/>
    </row>
    <row r="17" customFormat="1" s="3">
      <c r="A17" s="142" t="n"/>
      <c r="B17" s="142" t="n"/>
      <c r="C17" s="486" t="inlineStr">
        <is>
          <t># of Students</t>
        </is>
      </c>
      <c r="D17" s="143" t="n"/>
      <c r="E17" s="144" t="n">
        <v>12</v>
      </c>
      <c r="F17" s="144" t="n">
        <v>8</v>
      </c>
      <c r="G17" s="144" t="n">
        <v>7</v>
      </c>
      <c r="H17" s="144" t="n">
        <v>10</v>
      </c>
      <c r="I17" s="144" t="n">
        <v>13</v>
      </c>
      <c r="J17" s="144" t="n">
        <v>11</v>
      </c>
      <c r="K17" s="144" t="n">
        <v>5</v>
      </c>
      <c r="L17" s="144" t="n">
        <v>9</v>
      </c>
      <c r="M17" s="144" t="n">
        <v>17</v>
      </c>
      <c r="N17" s="144" t="n">
        <v>11</v>
      </c>
      <c r="O17" s="144" t="n">
        <v>7</v>
      </c>
      <c r="P17" s="144" t="n">
        <v>12</v>
      </c>
      <c r="Q17" s="144" t="n">
        <v>10</v>
      </c>
      <c r="R17" s="144" t="n">
        <v>10</v>
      </c>
      <c r="S17" s="144" t="n">
        <v>7</v>
      </c>
      <c r="T17" s="144" t="n">
        <v>9</v>
      </c>
      <c r="U17" s="144" t="n">
        <v>13</v>
      </c>
      <c r="V17" s="144" t="n">
        <v>8</v>
      </c>
      <c r="W17" s="144" t="n">
        <v>19</v>
      </c>
      <c r="X17" s="144" t="n">
        <v>29</v>
      </c>
      <c r="Y17" s="144" t="n">
        <v>32</v>
      </c>
      <c r="Z17" s="144" t="n">
        <v>32</v>
      </c>
      <c r="AA17" s="517" t="n">
        <v>19</v>
      </c>
      <c r="AB17" s="144" t="n">
        <v>16</v>
      </c>
      <c r="AC17" s="144" t="n">
        <v>15</v>
      </c>
      <c r="AD17" s="144" t="n">
        <v>20</v>
      </c>
      <c r="AE17" s="144" t="n">
        <v>17</v>
      </c>
      <c r="AF17" s="144" t="n">
        <v>20</v>
      </c>
      <c r="AG17" s="144" t="n">
        <v>24</v>
      </c>
      <c r="AH17" s="144" t="n">
        <v>30</v>
      </c>
      <c r="AI17" s="144" t="n">
        <v>38</v>
      </c>
      <c r="AJ17" s="144" t="n">
        <v>42</v>
      </c>
      <c r="AK17" s="144" t="n">
        <v>48</v>
      </c>
      <c r="AL17" s="144" t="n">
        <v>44</v>
      </c>
      <c r="AM17" s="517" t="n">
        <v>23</v>
      </c>
      <c r="AN17" s="144" t="n">
        <v>24</v>
      </c>
      <c r="AO17" s="144" t="n">
        <v>28</v>
      </c>
      <c r="AP17" s="144" t="n">
        <v>24</v>
      </c>
      <c r="AQ17" s="144" t="n">
        <v>23</v>
      </c>
      <c r="AR17" s="144" t="n">
        <v>20</v>
      </c>
      <c r="AS17" s="144" t="n">
        <v>25</v>
      </c>
      <c r="AT17" s="144" t="n">
        <v>35</v>
      </c>
      <c r="AU17" s="144" t="n">
        <v>48</v>
      </c>
      <c r="AV17" s="144" t="n">
        <v>57</v>
      </c>
      <c r="AW17" s="582" t="n">
        <v>67</v>
      </c>
      <c r="AX17" s="145">
        <f>+AW17+AX19</f>
        <v/>
      </c>
      <c r="AY17" s="733">
        <f>+AX17+AY19</f>
        <v/>
      </c>
      <c r="AZ17" s="145">
        <f>+AY17+AZ19</f>
        <v/>
      </c>
      <c r="BA17" s="145">
        <f>+AZ17+BA19</f>
        <v/>
      </c>
      <c r="BB17" s="145">
        <f>+BA17+BB19</f>
        <v/>
      </c>
      <c r="BC17" s="145">
        <f>+BB17+BC19</f>
        <v/>
      </c>
      <c r="BD17" s="145">
        <f>+BC17+BD19</f>
        <v/>
      </c>
      <c r="BE17" s="145">
        <f>+BD17+BE19</f>
        <v/>
      </c>
      <c r="BF17" s="145">
        <f>+BE17+BF19</f>
        <v/>
      </c>
      <c r="BG17" s="145">
        <f>+BF17+BG19</f>
        <v/>
      </c>
      <c r="BH17" s="145">
        <f>+BG17+BH19</f>
        <v/>
      </c>
      <c r="BI17" s="145">
        <f>+BH17+BI19</f>
        <v/>
      </c>
      <c r="BJ17" s="145">
        <f>+BI17+BJ19</f>
        <v/>
      </c>
      <c r="BK17" s="146">
        <f>+BJ17+BK19</f>
        <v/>
      </c>
      <c r="BL17" s="145">
        <f>+BK17+BL19</f>
        <v/>
      </c>
      <c r="BM17" s="145">
        <f>+BL17+BM19</f>
        <v/>
      </c>
      <c r="BN17" s="145">
        <f>+BM17+BN19</f>
        <v/>
      </c>
      <c r="BO17" s="145">
        <f>+BN17+BO19</f>
        <v/>
      </c>
      <c r="BP17" s="145">
        <f>+BO17+BP19</f>
        <v/>
      </c>
      <c r="BQ17" s="145">
        <f>+BP17+BQ19</f>
        <v/>
      </c>
      <c r="BR17" s="145">
        <f>+BQ17+BR19</f>
        <v/>
      </c>
      <c r="BS17" s="145">
        <f>+BR17+BS19</f>
        <v/>
      </c>
      <c r="BT17" s="145">
        <f>+BS17+BT19</f>
        <v/>
      </c>
      <c r="BU17" s="145">
        <f>+BT17+BU19</f>
        <v/>
      </c>
      <c r="BV17" s="145">
        <f>+BU17+BV19</f>
        <v/>
      </c>
      <c r="BW17" s="146">
        <f>+BV17+BW19</f>
        <v/>
      </c>
      <c r="BX17" s="145">
        <f>+BW17+BX19</f>
        <v/>
      </c>
      <c r="BY17" s="145">
        <f>+BX17+BY19</f>
        <v/>
      </c>
      <c r="BZ17" s="145">
        <f>+BY17+BZ19</f>
        <v/>
      </c>
      <c r="CA17" s="145">
        <f>+BZ17+CA19</f>
        <v/>
      </c>
      <c r="CB17" s="145">
        <f>+CA17+CB19</f>
        <v/>
      </c>
      <c r="CC17" s="145">
        <f>+CB17+CC19</f>
        <v/>
      </c>
      <c r="CD17" s="145">
        <f>+CC17+CD19</f>
        <v/>
      </c>
      <c r="CE17" s="145">
        <f>+CD17+CE19</f>
        <v/>
      </c>
      <c r="CF17" s="145">
        <f>+CE17+CF19</f>
        <v/>
      </c>
      <c r="CG17" s="145">
        <f>+CF17+CG19</f>
        <v/>
      </c>
      <c r="CH17" s="145">
        <f>+CG17+CH19</f>
        <v/>
      </c>
      <c r="CI17" s="146">
        <f>+CH17+CI19</f>
        <v/>
      </c>
      <c r="CJ17" s="145">
        <f>+CI17+CJ19</f>
        <v/>
      </c>
      <c r="CK17" s="145">
        <f>+CJ17+CK19</f>
        <v/>
      </c>
      <c r="CL17" s="145">
        <f>+CK17+CL19</f>
        <v/>
      </c>
      <c r="CM17" s="145">
        <f>+CL17+CM19</f>
        <v/>
      </c>
      <c r="CN17" s="145">
        <f>+CM17+CN19</f>
        <v/>
      </c>
      <c r="CO17" s="145">
        <f>+CN17+CO19</f>
        <v/>
      </c>
      <c r="CP17" s="145">
        <f>+CO17+CP19</f>
        <v/>
      </c>
      <c r="CQ17" s="145">
        <f>+CP17+CQ19</f>
        <v/>
      </c>
      <c r="CR17" s="145">
        <f>+CQ17+CR19</f>
        <v/>
      </c>
      <c r="CS17" s="145">
        <f>+CR17+CS19</f>
        <v/>
      </c>
      <c r="CT17" s="145">
        <f>+CS17+CT19</f>
        <v/>
      </c>
      <c r="CU17" s="146">
        <f>+CT17+CU19</f>
        <v/>
      </c>
      <c r="CV17" s="145">
        <f>+CU17+CV19</f>
        <v/>
      </c>
      <c r="CW17" s="145">
        <f>+CV17+CW19</f>
        <v/>
      </c>
      <c r="CX17" s="145">
        <f>+CW17+CX19</f>
        <v/>
      </c>
      <c r="CY17" s="145">
        <f>+CX17+CY19</f>
        <v/>
      </c>
      <c r="CZ17" s="145">
        <f>+CY17+CZ19</f>
        <v/>
      </c>
      <c r="DA17" s="145">
        <f>+CZ17+DA19</f>
        <v/>
      </c>
      <c r="DB17" s="145">
        <f>+DA17+DB19</f>
        <v/>
      </c>
      <c r="DC17" s="145">
        <f>+DB17+DC19</f>
        <v/>
      </c>
      <c r="DD17" s="145">
        <f>+DC17+DD19</f>
        <v/>
      </c>
      <c r="DE17" s="145">
        <f>+DD17+DE19</f>
        <v/>
      </c>
      <c r="DF17" s="145">
        <f>+DE17+DF19</f>
        <v/>
      </c>
      <c r="DG17" s="146">
        <f>+DF17+DG19</f>
        <v/>
      </c>
    </row>
    <row r="18">
      <c r="A18" s="34" t="n"/>
      <c r="B18" s="34" t="n"/>
      <c r="C18" s="488" t="inlineStr">
        <is>
          <t># of Recurring Students</t>
        </is>
      </c>
      <c r="D18" s="15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  <c r="Z18" s="49" t="n"/>
      <c r="AA18" s="519" t="n"/>
      <c r="AB18" s="49" t="n"/>
      <c r="AC18" s="49" t="n"/>
      <c r="AD18" s="49" t="n"/>
      <c r="AE18" s="49" t="n"/>
      <c r="AF18" s="49" t="n"/>
      <c r="AG18" s="49" t="n"/>
      <c r="AH18" s="49" t="n"/>
      <c r="AI18" s="49" t="n"/>
      <c r="AJ18" s="49" t="n"/>
      <c r="AK18" s="49" t="n"/>
      <c r="AL18" s="49" t="n"/>
      <c r="AM18" s="519" t="n"/>
      <c r="AN18" s="49" t="n"/>
      <c r="AO18" s="49" t="n">
        <v>18</v>
      </c>
      <c r="AP18" s="49" t="n">
        <v>21</v>
      </c>
      <c r="AQ18" s="49" t="n">
        <v>19</v>
      </c>
      <c r="AR18" s="49" t="n">
        <v>19</v>
      </c>
      <c r="AS18" s="49" t="n">
        <v>19</v>
      </c>
      <c r="AT18" s="49" t="n">
        <v>19</v>
      </c>
      <c r="AU18" s="49" t="n">
        <v>19</v>
      </c>
      <c r="AV18" s="49" t="n">
        <v>19</v>
      </c>
      <c r="AW18" s="583" t="n">
        <v>51</v>
      </c>
      <c r="AX18" s="145" t="n"/>
      <c r="AY18" s="733" t="n"/>
      <c r="AZ18" s="145" t="n"/>
      <c r="BA18" s="145" t="n"/>
      <c r="BB18" s="145" t="n"/>
      <c r="BC18" s="145" t="n"/>
      <c r="BD18" s="145" t="n"/>
      <c r="BE18" s="145" t="n"/>
      <c r="BF18" s="145" t="n"/>
      <c r="BG18" s="145" t="n"/>
      <c r="BH18" s="145" t="n"/>
      <c r="BI18" s="145" t="n"/>
      <c r="BJ18" s="145" t="n"/>
      <c r="BK18" s="146" t="n"/>
      <c r="BL18" s="145" t="n"/>
      <c r="BM18" s="145" t="n"/>
      <c r="BN18" s="145" t="n"/>
      <c r="BO18" s="145" t="n"/>
      <c r="BP18" s="145" t="n"/>
      <c r="BQ18" s="145" t="n"/>
      <c r="BR18" s="145" t="n"/>
      <c r="BS18" s="145" t="n"/>
      <c r="BT18" s="145" t="n"/>
      <c r="BU18" s="145" t="n"/>
      <c r="BV18" s="145" t="n"/>
      <c r="BW18" s="146" t="n"/>
      <c r="BX18" s="145" t="n"/>
      <c r="BY18" s="145" t="n"/>
      <c r="BZ18" s="145" t="n"/>
      <c r="CA18" s="145" t="n"/>
      <c r="CB18" s="145" t="n"/>
      <c r="CC18" s="145" t="n"/>
      <c r="CD18" s="145" t="n"/>
      <c r="CE18" s="145" t="n"/>
      <c r="CF18" s="145" t="n"/>
      <c r="CG18" s="145" t="n"/>
      <c r="CH18" s="145" t="n"/>
      <c r="CI18" s="146" t="n"/>
      <c r="CJ18" s="145" t="n"/>
      <c r="CK18" s="145" t="n"/>
      <c r="CL18" s="145" t="n"/>
      <c r="CM18" s="145" t="n"/>
      <c r="CN18" s="145" t="n"/>
      <c r="CO18" s="145" t="n"/>
      <c r="CP18" s="145" t="n"/>
      <c r="CQ18" s="145" t="n"/>
      <c r="CR18" s="145" t="n"/>
      <c r="CS18" s="145" t="n"/>
      <c r="CT18" s="145" t="n"/>
      <c r="CU18" s="146" t="n"/>
      <c r="CV18" s="145" t="n"/>
      <c r="CW18" s="145" t="n"/>
      <c r="CX18" s="145" t="n"/>
      <c r="CY18" s="145" t="n"/>
      <c r="CZ18" s="145" t="n"/>
      <c r="DA18" s="145" t="n"/>
      <c r="DB18" s="145" t="n"/>
      <c r="DC18" s="145" t="n"/>
      <c r="DD18" s="145" t="n"/>
      <c r="DE18" s="145" t="n"/>
      <c r="DF18" s="145" t="n"/>
      <c r="DG18" s="146" t="n"/>
    </row>
    <row r="19">
      <c r="A19" s="34" t="n"/>
      <c r="B19" s="34" t="n"/>
      <c r="C19" s="487" t="inlineStr">
        <is>
          <t>Net New Students</t>
        </is>
      </c>
      <c r="D19" s="15" t="n"/>
      <c r="E19" s="50">
        <f>E17-D17</f>
        <v/>
      </c>
      <c r="F19" s="50">
        <f>F17-E17</f>
        <v/>
      </c>
      <c r="G19" s="50">
        <f>G17-F17</f>
        <v/>
      </c>
      <c r="H19" s="50">
        <f>H17-G17</f>
        <v/>
      </c>
      <c r="I19" s="50">
        <f>I17-H17</f>
        <v/>
      </c>
      <c r="J19" s="50">
        <f>J17-I17</f>
        <v/>
      </c>
      <c r="K19" s="50">
        <f>K17-J17</f>
        <v/>
      </c>
      <c r="L19" s="50">
        <f>L17-K17</f>
        <v/>
      </c>
      <c r="M19" s="50">
        <f>M17-L17</f>
        <v/>
      </c>
      <c r="N19" s="50">
        <f>N17-M17</f>
        <v/>
      </c>
      <c r="O19" s="50">
        <f>O17-N17</f>
        <v/>
      </c>
      <c r="P19" s="50">
        <f>P17-O17</f>
        <v/>
      </c>
      <c r="Q19" s="50">
        <f>Q17-P17</f>
        <v/>
      </c>
      <c r="R19" s="50">
        <f>R17-Q17</f>
        <v/>
      </c>
      <c r="S19" s="50">
        <f>S17-R17</f>
        <v/>
      </c>
      <c r="T19" s="50">
        <f>T17-S17</f>
        <v/>
      </c>
      <c r="U19" s="50">
        <f>U17-T17</f>
        <v/>
      </c>
      <c r="V19" s="50">
        <f>V17-U17</f>
        <v/>
      </c>
      <c r="W19" s="50">
        <f>W17-V17</f>
        <v/>
      </c>
      <c r="X19" s="50">
        <f>X17-W17</f>
        <v/>
      </c>
      <c r="Y19" s="50">
        <f>Y17-X17</f>
        <v/>
      </c>
      <c r="Z19" s="50">
        <f>Z17-Y17</f>
        <v/>
      </c>
      <c r="AA19" s="518">
        <f>AA17-Z17</f>
        <v/>
      </c>
      <c r="AB19" s="50">
        <f>AB17-AA17</f>
        <v/>
      </c>
      <c r="AC19" s="50">
        <f>AC17-AB17</f>
        <v/>
      </c>
      <c r="AD19" s="50">
        <f>AD17-AC17</f>
        <v/>
      </c>
      <c r="AE19" s="50">
        <f>AE17-AD17</f>
        <v/>
      </c>
      <c r="AF19" s="50">
        <f>AF17-AE17</f>
        <v/>
      </c>
      <c r="AG19" s="50">
        <f>AG17-AF17</f>
        <v/>
      </c>
      <c r="AH19" s="50">
        <f>AH17-AG17</f>
        <v/>
      </c>
      <c r="AI19" s="50">
        <f>AI17-AH17</f>
        <v/>
      </c>
      <c r="AJ19" s="50">
        <f>AJ17-AI17</f>
        <v/>
      </c>
      <c r="AK19" s="50">
        <f>AK17-AJ17</f>
        <v/>
      </c>
      <c r="AL19" s="50">
        <f>AL17-AK17</f>
        <v/>
      </c>
      <c r="AM19" s="518">
        <f>AM17-AL17</f>
        <v/>
      </c>
      <c r="AN19" s="50">
        <f>AN17-AM17</f>
        <v/>
      </c>
      <c r="AO19" s="50">
        <f>AO17-AN17</f>
        <v/>
      </c>
      <c r="AP19" s="50">
        <f>AP17-AO17</f>
        <v/>
      </c>
      <c r="AQ19" s="50">
        <f>AQ17-AP17</f>
        <v/>
      </c>
      <c r="AR19" s="50">
        <f>AR17-AQ17</f>
        <v/>
      </c>
      <c r="AS19" s="50">
        <f>AS17-AR17</f>
        <v/>
      </c>
      <c r="AT19" s="50">
        <f>AT17-AS17</f>
        <v/>
      </c>
      <c r="AU19" s="50">
        <f>AU17-AT17</f>
        <v/>
      </c>
      <c r="AV19" s="50">
        <f>AV17-AU17</f>
        <v/>
      </c>
      <c r="AW19" s="584">
        <f>AW17-AV17</f>
        <v/>
      </c>
      <c r="AX19" s="712">
        <f>+AX20+AX21</f>
        <v/>
      </c>
      <c r="AY19" s="734">
        <f>+AY20+AY21</f>
        <v/>
      </c>
      <c r="AZ19" s="60">
        <f>+AZ20+AZ21</f>
        <v/>
      </c>
      <c r="BA19" s="60">
        <f>+BA20+BA21</f>
        <v/>
      </c>
      <c r="BB19" s="60">
        <f>+BB20+BB21</f>
        <v/>
      </c>
      <c r="BC19" s="60">
        <f>+BC20+BC21</f>
        <v/>
      </c>
      <c r="BD19" s="60">
        <f>+BD20+BD21</f>
        <v/>
      </c>
      <c r="BE19" s="60">
        <f>+BE20+BE21</f>
        <v/>
      </c>
      <c r="BF19" s="60">
        <f>+BF20+BF21</f>
        <v/>
      </c>
      <c r="BG19" s="60">
        <f>+BG20+BG21</f>
        <v/>
      </c>
      <c r="BH19" s="60">
        <f>+BH20+BH21</f>
        <v/>
      </c>
      <c r="BI19" s="60">
        <f>+BI20+BI21</f>
        <v/>
      </c>
      <c r="BJ19" s="60">
        <f>+BJ20+BJ21</f>
        <v/>
      </c>
      <c r="BK19" s="140">
        <f>+BK20+BK21</f>
        <v/>
      </c>
      <c r="BL19" s="60">
        <f>+BL20+BL21</f>
        <v/>
      </c>
      <c r="BM19" s="60">
        <f>+BM20+BM21</f>
        <v/>
      </c>
      <c r="BN19" s="60">
        <f>+BN20+BN21</f>
        <v/>
      </c>
      <c r="BO19" s="60">
        <f>+BO20+BO21</f>
        <v/>
      </c>
      <c r="BP19" s="60">
        <f>+BP20+BP21</f>
        <v/>
      </c>
      <c r="BQ19" s="60">
        <f>+BQ20+BQ21</f>
        <v/>
      </c>
      <c r="BR19" s="60">
        <f>+BR20+BR21</f>
        <v/>
      </c>
      <c r="BS19" s="60">
        <f>+BS20+BS21</f>
        <v/>
      </c>
      <c r="BT19" s="60">
        <f>+BT20+BT21</f>
        <v/>
      </c>
      <c r="BU19" s="60">
        <f>+BU20+BU21</f>
        <v/>
      </c>
      <c r="BV19" s="60">
        <f>+BV20+BV21</f>
        <v/>
      </c>
      <c r="BW19" s="140">
        <f>+BW20+BW21</f>
        <v/>
      </c>
      <c r="BX19" s="60">
        <f>+BX20+BX21</f>
        <v/>
      </c>
      <c r="BY19" s="60">
        <f>+BY20+BY21</f>
        <v/>
      </c>
      <c r="BZ19" s="60">
        <f>+BZ20+BZ21</f>
        <v/>
      </c>
      <c r="CA19" s="60">
        <f>+CA20+CA21</f>
        <v/>
      </c>
      <c r="CB19" s="60">
        <f>+CB20+CB21</f>
        <v/>
      </c>
      <c r="CC19" s="60">
        <f>+CC20+CC21</f>
        <v/>
      </c>
      <c r="CD19" s="60">
        <f>+CD20+CD21</f>
        <v/>
      </c>
      <c r="CE19" s="60">
        <f>+CE20+CE21</f>
        <v/>
      </c>
      <c r="CF19" s="60">
        <f>+CF20+CF21</f>
        <v/>
      </c>
      <c r="CG19" s="60">
        <f>+CG20+CG21</f>
        <v/>
      </c>
      <c r="CH19" s="60">
        <f>+CH20+CH21</f>
        <v/>
      </c>
      <c r="CI19" s="140">
        <f>+CI20+CI21</f>
        <v/>
      </c>
      <c r="CJ19" s="60">
        <f>+CJ20+CJ21</f>
        <v/>
      </c>
      <c r="CK19" s="60">
        <f>+CK20+CK21</f>
        <v/>
      </c>
      <c r="CL19" s="60">
        <f>+CL20+CL21</f>
        <v/>
      </c>
      <c r="CM19" s="60">
        <f>+CM20+CM21</f>
        <v/>
      </c>
      <c r="CN19" s="60">
        <f>+CN20+CN21</f>
        <v/>
      </c>
      <c r="CO19" s="60">
        <f>+CO20+CO21</f>
        <v/>
      </c>
      <c r="CP19" s="60">
        <f>+CP20+CP21</f>
        <v/>
      </c>
      <c r="CQ19" s="60">
        <f>+CQ20+CQ21</f>
        <v/>
      </c>
      <c r="CR19" s="60">
        <f>+CR20+CR21</f>
        <v/>
      </c>
      <c r="CS19" s="60">
        <f>+CS20+CS21</f>
        <v/>
      </c>
      <c r="CT19" s="60">
        <f>+CT20+CT21</f>
        <v/>
      </c>
      <c r="CU19" s="140">
        <f>+CU20+CU21</f>
        <v/>
      </c>
      <c r="CV19" s="60">
        <f>+CV20+CV21</f>
        <v/>
      </c>
      <c r="CW19" s="60">
        <f>+CW20+CW21</f>
        <v/>
      </c>
      <c r="CX19" s="60">
        <f>+CX20+CX21</f>
        <v/>
      </c>
      <c r="CY19" s="60">
        <f>+CY20+CY21</f>
        <v/>
      </c>
      <c r="CZ19" s="60">
        <f>+CZ20+CZ21</f>
        <v/>
      </c>
      <c r="DA19" s="60">
        <f>+DA20+DA21</f>
        <v/>
      </c>
      <c r="DB19" s="60">
        <f>+DB20+DB21</f>
        <v/>
      </c>
      <c r="DC19" s="60">
        <f>+DC20+DC21</f>
        <v/>
      </c>
      <c r="DD19" s="60">
        <f>+DD20+DD21</f>
        <v/>
      </c>
      <c r="DE19" s="60">
        <f>+DE20+DE21</f>
        <v/>
      </c>
      <c r="DF19" s="60">
        <f>+DF20+DF21</f>
        <v/>
      </c>
      <c r="DG19" s="140">
        <f>+DG20+DG21</f>
        <v/>
      </c>
    </row>
    <row r="20">
      <c r="A20" s="34" t="n"/>
      <c r="B20" s="34" t="n"/>
      <c r="C20" s="487" t="inlineStr">
        <is>
          <t>Additions</t>
        </is>
      </c>
      <c r="D20" s="15" t="n"/>
      <c r="E20" s="50" t="n"/>
      <c r="F20" s="50">
        <f>+IF(F17&gt;E17,F17-E17, 0)</f>
        <v/>
      </c>
      <c r="G20" s="50">
        <f>+IF(G17&gt;F17,G17-F17, 0)</f>
        <v/>
      </c>
      <c r="H20" s="50">
        <f>+IF(H17&gt;G17,H17-G17, 0)</f>
        <v/>
      </c>
      <c r="I20" s="50">
        <f>+IF(I17&gt;H17,I17-H17, 0)</f>
        <v/>
      </c>
      <c r="J20" s="50">
        <f>+IF(J17&gt;I17,J17-I17, 0)</f>
        <v/>
      </c>
      <c r="K20" s="50">
        <f>+IF(K17&gt;J17,K17-J17, 0)</f>
        <v/>
      </c>
      <c r="L20" s="50">
        <f>+IF(L17&gt;K17,L17-K17, 0)</f>
        <v/>
      </c>
      <c r="M20" s="50">
        <f>+IF(M17&gt;L17,M17-L17, 0)</f>
        <v/>
      </c>
      <c r="N20" s="50">
        <f>+IF(N17&gt;M17,N17-M17, 0)</f>
        <v/>
      </c>
      <c r="O20" s="50">
        <f>+IF(O17&gt;N17,O17-N17, 0)</f>
        <v/>
      </c>
      <c r="P20" s="50">
        <f>+IF(P17&gt;O17,P17-O17, 0)</f>
        <v/>
      </c>
      <c r="Q20" s="50" t="n">
        <v>2</v>
      </c>
      <c r="R20" s="50" t="n">
        <v>2</v>
      </c>
      <c r="S20" s="50" t="n">
        <v>3</v>
      </c>
      <c r="T20" s="50" t="n">
        <v>6</v>
      </c>
      <c r="U20" s="50" t="n">
        <v>11</v>
      </c>
      <c r="V20" s="50" t="n">
        <v>4</v>
      </c>
      <c r="W20" s="50" t="n">
        <v>12</v>
      </c>
      <c r="X20" s="50" t="n">
        <v>13</v>
      </c>
      <c r="Y20" s="50" t="n">
        <v>8</v>
      </c>
      <c r="Z20" s="50" t="n">
        <v>14</v>
      </c>
      <c r="AA20" s="518" t="n">
        <v>5</v>
      </c>
      <c r="AB20" s="50" t="n">
        <v>4</v>
      </c>
      <c r="AC20" s="50" t="n">
        <v>5</v>
      </c>
      <c r="AD20" s="50" t="n">
        <v>7</v>
      </c>
      <c r="AE20" s="50" t="n">
        <v>5</v>
      </c>
      <c r="AF20" s="50" t="n">
        <v>6</v>
      </c>
      <c r="AG20" s="50" t="n">
        <v>15</v>
      </c>
      <c r="AH20" s="50" t="n">
        <v>7</v>
      </c>
      <c r="AI20" s="50" t="n">
        <v>10</v>
      </c>
      <c r="AJ20" s="50" t="n">
        <v>10</v>
      </c>
      <c r="AK20" s="50" t="n">
        <v>9</v>
      </c>
      <c r="AL20" s="50" t="n">
        <v>6</v>
      </c>
      <c r="AM20" s="518" t="n">
        <v>5</v>
      </c>
      <c r="AN20" s="50" t="n">
        <v>5</v>
      </c>
      <c r="AO20" s="50" t="n">
        <v>11</v>
      </c>
      <c r="AP20" s="50" t="n">
        <v>4</v>
      </c>
      <c r="AQ20" s="50" t="n">
        <v>5</v>
      </c>
      <c r="AR20" s="50" t="n">
        <v>3</v>
      </c>
      <c r="AS20" s="50" t="n">
        <v>3</v>
      </c>
      <c r="AT20" s="50" t="n">
        <v>12</v>
      </c>
      <c r="AU20" s="50" t="n">
        <v>15</v>
      </c>
      <c r="AV20" s="50" t="n">
        <v>15</v>
      </c>
      <c r="AW20" s="584" t="n">
        <v>16</v>
      </c>
      <c r="AX20" s="712">
        <f>IF(AX2="Trough",INDEX($H$55:$H$57,MATCH(AX2,$E$55:$E$57,0)),IF(AX2="Shoulder",INDEX($H$55:$H$57,MATCH(AX2,$E$55:$E$57,0)),INDEX($H$55:$H$57,MATCH(AX2,$E$55:$E$57,0))))</f>
        <v/>
      </c>
      <c r="AY20" s="735">
        <f>IF(AY2="Trough",INDEX($I$55:$I$57,MATCH(AY2,$E$55:$E$57,0)),IF(AY2="Shoulder",INDEX($I$55:$I$57,MATCH(AY2,$E$55:$E$57,0)),INDEX($I$55:$I$57,MATCH(AY2,$E$55:$E$57,0))))-20</f>
        <v/>
      </c>
      <c r="AZ20" s="169">
        <f>IF(AZ2="Trough",INDEX($J$55:$J$57,MATCH(AZ2,$E$55:$E$57,0)),IF(AZ2="Shoulder",INDEX($J$55:$J$57,MATCH(AZ2,$E$55:$E$57,0)),INDEX($J$55:$J$57,MATCH(AZ2,$E$55:$E$57,0))))</f>
        <v/>
      </c>
      <c r="BA20" s="169">
        <f>IF(BA2="Trough",INDEX($J$55:$J$57,MATCH(BA2,$E$55:$E$57,0)),IF(BA2="Shoulder",INDEX($J$55:$J$57,MATCH(BA2,$E$55:$E$57,0)),INDEX($J$55:$J$57,MATCH(BA2,$E$55:$E$57,0))))</f>
        <v/>
      </c>
      <c r="BB20" s="169">
        <f>IF(BB2="Trough",INDEX($J$55:$J$57,MATCH(BB2,$E$55:$E$57,0)),IF(BB2="Shoulder",INDEX($J$55:$J$57,MATCH(BB2,$E$55:$E$57,0)),INDEX($J$55:$J$57,MATCH(BB2,$E$55:$E$57,0))))</f>
        <v/>
      </c>
      <c r="BC20" s="169">
        <f>IF(BC2="Trough",INDEX($J$55:$J$57,MATCH(BC2,$E$55:$E$57,0)),IF(BC2="Shoulder",INDEX($J$55:$J$57,MATCH(BC2,$E$55:$E$57,0)),INDEX($J$55:$J$57,MATCH(BC2,$E$55:$E$57,0))))</f>
        <v/>
      </c>
      <c r="BD20" s="169">
        <f>IF(BD2="Trough",INDEX($J$55:$J$57,MATCH(BD2,$E$55:$E$57,0)),IF(BD2="Shoulder",INDEX($J$55:$J$57,MATCH(BD2,$E$55:$E$57,0)),INDEX($J$55:$J$57,MATCH(BD2,$E$55:$E$57,0))))</f>
        <v/>
      </c>
      <c r="BE20" s="169">
        <f>IF(BE2="Trough",INDEX($J$55:$J$57,MATCH(BE2,$E$55:$E$57,0)),IF(BE2="Shoulder",INDEX($J$55:$J$57,MATCH(BE2,$E$55:$E$57,0)),INDEX($J$55:$J$57,MATCH(BE2,$E$55:$E$57,0))))</f>
        <v/>
      </c>
      <c r="BF20" s="169">
        <f>IF(BF2="Trough",INDEX($J$55:$J$57,MATCH(BF2,$E$55:$E$57,0)),IF(BF2="Shoulder",INDEX($J$55:$J$57,MATCH(BF2,$E$55:$E$57,0)),INDEX($J$55:$J$57,MATCH(BF2,$E$55:$E$57,0))))</f>
        <v/>
      </c>
      <c r="BG20" s="169">
        <f>IF(BG2="Trough",INDEX($J$55:$J$57,MATCH(BG2,$E$55:$E$57,0)),IF(BG2="Shoulder",INDEX($J$55:$J$57,MATCH(BG2,$E$55:$E$57,0)),INDEX($J$55:$J$57,MATCH(BG2,$E$55:$E$57,0))))</f>
        <v/>
      </c>
      <c r="BH20" s="169">
        <f>IF(BH2="Trough",INDEX($J$55:$J$57,MATCH(BH2,$E$55:$E$57,0)),IF(BH2="Shoulder",INDEX($J$55:$J$57,MATCH(BH2,$E$55:$E$57,0)),INDEX($J$55:$J$57,MATCH(BH2,$E$55:$E$57,0))))</f>
        <v/>
      </c>
      <c r="BI20" s="169">
        <f>IF(BI2="Trough",INDEX($J$55:$J$57,MATCH(BI2,$E$55:$E$57,0)),IF(BI2="Shoulder",INDEX($J$55:$J$57,MATCH(BI2,$E$55:$E$57,0)),INDEX($J$55:$J$57,MATCH(BI2,$E$55:$E$57,0))))</f>
        <v/>
      </c>
      <c r="BJ20" s="169">
        <f>IF(BJ2="Trough",INDEX($J$55:$J$57,MATCH(BJ2,$E$55:$E$57,0)),IF(BJ2="Shoulder",INDEX($J$55:$J$57,MATCH(BJ2,$E$55:$E$57,0)),INDEX($J$55:$J$57,MATCH(BJ2,$E$55:$E$57,0))))</f>
        <v/>
      </c>
      <c r="BK20" s="170">
        <f>IF(BK2="Trough",INDEX($J$55:$J$57,MATCH(BK2,$E$55:$E$57,0)),IF(BK2="Shoulder",INDEX($J$55:$J$57,MATCH(BK2,$E$55:$E$57,0)),INDEX($J$55:$J$57,MATCH(BK2,$E$55:$E$57,0))))</f>
        <v/>
      </c>
      <c r="BL20" s="169">
        <f>IF(BL2="Trough",INDEX($K$55:$K$57,MATCH(BL2,$E$55:$E$57,0)),IF(BL2="Shoulder",INDEX($K$55:$K$57,MATCH(BL2,$E$55:$E$57,0)),INDEX($K$55:$K$57,MATCH(BL2,$E$55:$E$57,0))))</f>
        <v/>
      </c>
      <c r="BM20" s="169">
        <f>IF(BM2="Trough",INDEX($K$55:$K$57,MATCH(BM2,$E$55:$E$57,0)),IF(BM2="Shoulder",INDEX($K$55:$K$57,MATCH(BM2,$E$55:$E$57,0)),INDEX($K$55:$K$57,MATCH(BM2,$E$55:$E$57,0))))</f>
        <v/>
      </c>
      <c r="BN20" s="169">
        <f>IF(BN2="Trough",INDEX($K$55:$K$57,MATCH(BN2,$E$55:$E$57,0)),IF(BN2="Shoulder",INDEX($K$55:$K$57,MATCH(BN2,$E$55:$E$57,0)),INDEX($K$55:$K$57,MATCH(BN2,$E$55:$E$57,0))))</f>
        <v/>
      </c>
      <c r="BO20" s="169">
        <f>IF(BO2="Trough",INDEX($K$55:$K$57,MATCH(BO2,$E$55:$E$57,0)),IF(BO2="Shoulder",INDEX($K$55:$K$57,MATCH(BO2,$E$55:$E$57,0)),INDEX($K$55:$K$57,MATCH(BO2,$E$55:$E$57,0))))</f>
        <v/>
      </c>
      <c r="BP20" s="169">
        <f>IF(BP2="Trough",INDEX($K$55:$K$57,MATCH(BP2,$E$55:$E$57,0)),IF(BP2="Shoulder",INDEX($K$55:$K$57,MATCH(BP2,$E$55:$E$57,0)),INDEX($K$55:$K$57,MATCH(BP2,$E$55:$E$57,0))))</f>
        <v/>
      </c>
      <c r="BQ20" s="169">
        <f>IF(BQ2="Trough",INDEX($K$55:$K$57,MATCH(BQ2,$E$55:$E$57,0)),IF(BQ2="Shoulder",INDEX($K$55:$K$57,MATCH(BQ2,$E$55:$E$57,0)),INDEX($K$55:$K$57,MATCH(BQ2,$E$55:$E$57,0))))</f>
        <v/>
      </c>
      <c r="BR20" s="169">
        <f>IF(BR2="Trough",INDEX($K$55:$K$57,MATCH(BR2,$E$55:$E$57,0)),IF(BR2="Shoulder",INDEX($K$55:$K$57,MATCH(BR2,$E$55:$E$57,0)),INDEX($K$55:$K$57,MATCH(BR2,$E$55:$E$57,0))))</f>
        <v/>
      </c>
      <c r="BS20" s="169">
        <f>IF(BS2="Trough",INDEX($K$55:$K$57,MATCH(BS2,$E$55:$E$57,0)),IF(BS2="Shoulder",INDEX($K$55:$K$57,MATCH(BS2,$E$55:$E$57,0)),INDEX($K$55:$K$57,MATCH(BS2,$E$55:$E$57,0))))</f>
        <v/>
      </c>
      <c r="BT20" s="169">
        <f>IF(BT2="Trough",INDEX($K$55:$K$57,MATCH(BT2,$E$55:$E$57,0)),IF(BT2="Shoulder",INDEX($K$55:$K$57,MATCH(BT2,$E$55:$E$57,0)),INDEX($K$55:$K$57,MATCH(BT2,$E$55:$E$57,0))))</f>
        <v/>
      </c>
      <c r="BU20" s="169">
        <f>IF(BU2="Trough",INDEX($K$55:$K$57,MATCH(BU2,$E$55:$E$57,0)),IF(BU2="Shoulder",INDEX($K$55:$K$57,MATCH(BU2,$E$55:$E$57,0)),INDEX($K$55:$K$57,MATCH(BU2,$E$55:$E$57,0))))</f>
        <v/>
      </c>
      <c r="BV20" s="169">
        <f>IF(BV2="Trough",INDEX($K$55:$K$57,MATCH(BV2,$E$55:$E$57,0)),IF(BV2="Shoulder",INDEX($K$55:$K$57,MATCH(BV2,$E$55:$E$57,0)),INDEX($K$55:$K$57,MATCH(BV2,$E$55:$E$57,0))))</f>
        <v/>
      </c>
      <c r="BW20" s="170">
        <f>IF(BW2="Trough",INDEX($K$55:$K$57,MATCH(BW2,$E$55:$E$57,0)),IF(BW2="Shoulder",INDEX($K$55:$K$57,MATCH(BW2,$E$55:$E$57,0)),INDEX($K$55:$K$57,MATCH(BW2,$E$55:$E$57,0))))</f>
        <v/>
      </c>
      <c r="BX20" s="169">
        <f>IF(BX2="Trough",INDEX($L$55:$L$57,MATCH(BX2,$E$55:$E$57,0)),IF(BX2="Shoulder",INDEX($L$55:$L$57,MATCH(BX2,$E$55:$E$57,0)),INDEX($L$55:$L$57,MATCH(BX2,$E$55:$E$57,0))))</f>
        <v/>
      </c>
      <c r="BY20" s="169">
        <f>IF(BY2="Trough",INDEX($L$55:$L$57,MATCH(BY2,$E$55:$E$57,0)),IF(BY2="Shoulder",INDEX($L$55:$L$57,MATCH(BY2,$E$55:$E$57,0)),INDEX($L$55:$L$57,MATCH(BY2,$E$55:$E$57,0))))</f>
        <v/>
      </c>
      <c r="BZ20" s="169">
        <f>IF(BZ2="Trough",INDEX($L$55:$L$57,MATCH(BZ2,$E$55:$E$57,0)),IF(BZ2="Shoulder",INDEX($L$55:$L$57,MATCH(BZ2,$E$55:$E$57,0)),INDEX($L$55:$L$57,MATCH(BZ2,$E$55:$E$57,0))))</f>
        <v/>
      </c>
      <c r="CA20" s="169">
        <f>IF(CA2="Trough",INDEX($L$55:$L$57,MATCH(CA2,$E$55:$E$57,0)),IF(CA2="Shoulder",INDEX($L$55:$L$57,MATCH(CA2,$E$55:$E$57,0)),INDEX($L$55:$L$57,MATCH(CA2,$E$55:$E$57,0))))</f>
        <v/>
      </c>
      <c r="CB20" s="169">
        <f>IF(CB2="Trough",INDEX($L$55:$L$57,MATCH(CB2,$E$55:$E$57,0)),IF(CB2="Shoulder",INDEX($L$55:$L$57,MATCH(CB2,$E$55:$E$57,0)),INDEX($L$55:$L$57,MATCH(CB2,$E$55:$E$57,0))))</f>
        <v/>
      </c>
      <c r="CC20" s="169">
        <f>IF(CC2="Trough",INDEX($L$55:$L$57,MATCH(CC2,$E$55:$E$57,0)),IF(CC2="Shoulder",INDEX($L$55:$L$57,MATCH(CC2,$E$55:$E$57,0)),INDEX($L$55:$L$57,MATCH(CC2,$E$55:$E$57,0))))</f>
        <v/>
      </c>
      <c r="CD20" s="169">
        <f>IF(CD2="Trough",INDEX($L$55:$L$57,MATCH(CD2,$E$55:$E$57,0)),IF(CD2="Shoulder",INDEX($L$55:$L$57,MATCH(CD2,$E$55:$E$57,0)),INDEX($L$55:$L$57,MATCH(CD2,$E$55:$E$57,0))))</f>
        <v/>
      </c>
      <c r="CE20" s="169">
        <f>IF(CE2="Trough",INDEX($L$55:$L$57,MATCH(CE2,$E$55:$E$57,0)),IF(CE2="Shoulder",INDEX($L$55:$L$57,MATCH(CE2,$E$55:$E$57,0)),INDEX($L$55:$L$57,MATCH(CE2,$E$55:$E$57,0))))</f>
        <v/>
      </c>
      <c r="CF20" s="169">
        <f>IF(CF2="Trough",INDEX($L$55:$L$57,MATCH(CF2,$E$55:$E$57,0)),IF(CF2="Shoulder",INDEX($L$55:$L$57,MATCH(CF2,$E$55:$E$57,0)),INDEX($L$55:$L$57,MATCH(CF2,$E$55:$E$57,0))))</f>
        <v/>
      </c>
      <c r="CG20" s="169">
        <f>IF(CG2="Trough",INDEX($L$55:$L$57,MATCH(CG2,$E$55:$E$57,0)),IF(CG2="Shoulder",INDEX($L$55:$L$57,MATCH(CG2,$E$55:$E$57,0)),INDEX($L$55:$L$57,MATCH(CG2,$E$55:$E$57,0))))</f>
        <v/>
      </c>
      <c r="CH20" s="169">
        <f>IF(CH2="Trough",INDEX($L$55:$L$57,MATCH(CH2,$E$55:$E$57,0)),IF(CH2="Shoulder",INDEX($L$55:$L$57,MATCH(CH2,$E$55:$E$57,0)),INDEX($L$55:$L$57,MATCH(CH2,$E$55:$E$57,0))))</f>
        <v/>
      </c>
      <c r="CI20" s="170">
        <f>IF(CI2="Trough",INDEX($L$55:$L$57,MATCH(CI2,$E$55:$E$57,0)),IF(CI2="Shoulder",INDEX($L$55:$L$57,MATCH(CI2,$E$55:$E$57,0)),INDEX($L$55:$L$57,MATCH(CI2,$E$55:$E$57,0))))</f>
        <v/>
      </c>
      <c r="CJ20" s="169">
        <f>IF(CJ2="Trough",INDEX($M$55:$M$57,MATCH(CJ2,$E$55:$E$57,0)),IF(CJ2="Shoulder",INDEX($M$55:$M$57,MATCH(CJ2,$E$55:$E$57,0)),INDEX($M$55:$M$57,MATCH(CJ2,$E$55:$E$57,0))))</f>
        <v/>
      </c>
      <c r="CK20" s="169">
        <f>IF(CK2="Trough",INDEX($M$55:$M$57,MATCH(CK2,$E$55:$E$57,0)),IF(CK2="Shoulder",INDEX($M$55:$M$57,MATCH(CK2,$E$55:$E$57,0)),INDEX($M$55:$M$57,MATCH(CK2,$E$55:$E$57,0))))</f>
        <v/>
      </c>
      <c r="CL20" s="169">
        <f>IF(CL2="Trough",INDEX($M$55:$M$57,MATCH(CL2,$E$55:$E$57,0)),IF(CL2="Shoulder",INDEX($M$55:$M$57,MATCH(CL2,$E$55:$E$57,0)),INDEX($M$55:$M$57,MATCH(CL2,$E$55:$E$57,0))))</f>
        <v/>
      </c>
      <c r="CM20" s="169">
        <f>IF(CM2="Trough",INDEX($M$55:$M$57,MATCH(CM2,$E$55:$E$57,0)),IF(CM2="Shoulder",INDEX($M$55:$M$57,MATCH(CM2,$E$55:$E$57,0)),INDEX($M$55:$M$57,MATCH(CM2,$E$55:$E$57,0))))</f>
        <v/>
      </c>
      <c r="CN20" s="169">
        <f>IF(CN2="Trough",INDEX($M$55:$M$57,MATCH(CN2,$E$55:$E$57,0)),IF(CN2="Shoulder",INDEX($M$55:$M$57,MATCH(CN2,$E$55:$E$57,0)),INDEX($M$55:$M$57,MATCH(CN2,$E$55:$E$57,0))))</f>
        <v/>
      </c>
      <c r="CO20" s="169">
        <f>IF(CO2="Trough",INDEX($M$55:$M$57,MATCH(CO2,$E$55:$E$57,0)),IF(CO2="Shoulder",INDEX($M$55:$M$57,MATCH(CO2,$E$55:$E$57,0)),INDEX($M$55:$M$57,MATCH(CO2,$E$55:$E$57,0))))</f>
        <v/>
      </c>
      <c r="CP20" s="169">
        <f>IF(CP2="Trough",INDEX($M$55:$M$57,MATCH(CP2,$E$55:$E$57,0)),IF(CP2="Shoulder",INDEX($M$55:$M$57,MATCH(CP2,$E$55:$E$57,0)),INDEX($M$55:$M$57,MATCH(CP2,$E$55:$E$57,0))))</f>
        <v/>
      </c>
      <c r="CQ20" s="169">
        <f>IF(CQ2="Trough",INDEX($M$55:$M$57,MATCH(CQ2,$E$55:$E$57,0)),IF(CQ2="Shoulder",INDEX($M$55:$M$57,MATCH(CQ2,$E$55:$E$57,0)),INDEX($M$55:$M$57,MATCH(CQ2,$E$55:$E$57,0))))</f>
        <v/>
      </c>
      <c r="CR20" s="169">
        <f>IF(CR2="Trough",INDEX($M$55:$M$57,MATCH(CR2,$E$55:$E$57,0)),IF(CR2="Shoulder",INDEX($M$55:$M$57,MATCH(CR2,$E$55:$E$57,0)),INDEX($M$55:$M$57,MATCH(CR2,$E$55:$E$57,0))))</f>
        <v/>
      </c>
      <c r="CS20" s="169">
        <f>IF(CS2="Trough",INDEX($M$55:$M$57,MATCH(CS2,$E$55:$E$57,0)),IF(CS2="Shoulder",INDEX($M$55:$M$57,MATCH(CS2,$E$55:$E$57,0)),INDEX($M$55:$M$57,MATCH(CS2,$E$55:$E$57,0))))</f>
        <v/>
      </c>
      <c r="CT20" s="169">
        <f>IF(CT2="Trough",INDEX($M$55:$M$57,MATCH(CT2,$E$55:$E$57,0)),IF(CT2="Shoulder",INDEX($M$55:$M$57,MATCH(CT2,$E$55:$E$57,0)),INDEX($M$55:$M$57,MATCH(CT2,$E$55:$E$57,0))))</f>
        <v/>
      </c>
      <c r="CU20" s="170">
        <f>IF(CU2="Trough",INDEX($M$55:$M$57,MATCH(CU2,$E$55:$E$57,0)),IF(CU2="Shoulder",INDEX($M$55:$M$57,MATCH(CU2,$E$55:$E$57,0)),INDEX($M$55:$M$57,MATCH(CU2,$E$55:$E$57,0))))</f>
        <v/>
      </c>
      <c r="CV20" s="169">
        <f>IF(CV2="Trough",INDEX($N$55:$N$57,MATCH(CV2,$E$55:$E$57,0)),IF(CV2="Shoulder",INDEX($N$55:$N$57,MATCH(CV2,$E$55:$E$57,0)),INDEX($N$55:$N$57,MATCH(CV2,$E$55:$E$57,0))))</f>
        <v/>
      </c>
      <c r="CW20" s="169">
        <f>IF(CW2="Trough",INDEX($N$55:$N$57,MATCH(CW2,$E$55:$E$57,0)),IF(CW2="Shoulder",INDEX($N$55:$N$57,MATCH(CW2,$E$55:$E$57,0)),INDEX($N$55:$N$57,MATCH(CW2,$E$55:$E$57,0))))</f>
        <v/>
      </c>
      <c r="CX20" s="169">
        <f>IF(CX2="Trough",INDEX($N$55:$N$57,MATCH(CX2,$E$55:$E$57,0)),IF(CX2="Shoulder",INDEX($N$55:$N$57,MATCH(CX2,$E$55:$E$57,0)),INDEX($N$55:$N$57,MATCH(CX2,$E$55:$E$57,0))))</f>
        <v/>
      </c>
      <c r="CY20" s="169">
        <f>IF(CY2="Trough",INDEX($N$55:$N$57,MATCH(CY2,$E$55:$E$57,0)),IF(CY2="Shoulder",INDEX($N$55:$N$57,MATCH(CY2,$E$55:$E$57,0)),INDEX($N$55:$N$57,MATCH(CY2,$E$55:$E$57,0))))</f>
        <v/>
      </c>
      <c r="CZ20" s="169">
        <f>IF(CZ2="Trough",INDEX($N$55:$N$57,MATCH(CZ2,$E$55:$E$57,0)),IF(CZ2="Shoulder",INDEX($N$55:$N$57,MATCH(CZ2,$E$55:$E$57,0)),INDEX($N$55:$N$57,MATCH(CZ2,$E$55:$E$57,0))))</f>
        <v/>
      </c>
      <c r="DA20" s="169">
        <f>IF(DA2="Trough",INDEX($N$55:$N$57,MATCH(DA2,$E$55:$E$57,0)),IF(DA2="Shoulder",INDEX($N$55:$N$57,MATCH(DA2,$E$55:$E$57,0)),INDEX($N$55:$N$57,MATCH(DA2,$E$55:$E$57,0))))</f>
        <v/>
      </c>
      <c r="DB20" s="169">
        <f>IF(DB2="Trough",INDEX($N$55:$N$57,MATCH(DB2,$E$55:$E$57,0)),IF(DB2="Shoulder",INDEX($N$55:$N$57,MATCH(DB2,$E$55:$E$57,0)),INDEX($N$55:$N$57,MATCH(DB2,$E$55:$E$57,0))))</f>
        <v/>
      </c>
      <c r="DC20" s="169">
        <f>IF(DC2="Trough",INDEX($N$55:$N$57,MATCH(DC2,$E$55:$E$57,0)),IF(DC2="Shoulder",INDEX($N$55:$N$57,MATCH(DC2,$E$55:$E$57,0)),INDEX($N$55:$N$57,MATCH(DC2,$E$55:$E$57,0))))</f>
        <v/>
      </c>
      <c r="DD20" s="169">
        <f>IF(DD2="Trough",INDEX($N$55:$N$57,MATCH(DD2,$E$55:$E$57,0)),IF(DD2="Shoulder",INDEX($N$55:$N$57,MATCH(DD2,$E$55:$E$57,0)),INDEX($N$55:$N$57,MATCH(DD2,$E$55:$E$57,0))))</f>
        <v/>
      </c>
      <c r="DE20" s="169">
        <f>IF(DE2="Trough",INDEX($N$55:$N$57,MATCH(DE2,$E$55:$E$57,0)),IF(DE2="Shoulder",INDEX($N$55:$N$57,MATCH(DE2,$E$55:$E$57,0)),INDEX($N$55:$N$57,MATCH(DE2,$E$55:$E$57,0))))</f>
        <v/>
      </c>
      <c r="DF20" s="169">
        <f>IF(DF2="Trough",INDEX($N$55:$N$57,MATCH(DF2,$E$55:$E$57,0)),IF(DF2="Shoulder",INDEX($N$55:$N$57,MATCH(DF2,$E$55:$E$57,0)),INDEX($N$55:$N$57,MATCH(DF2,$E$55:$E$57,0))))</f>
        <v/>
      </c>
      <c r="DG20" s="170">
        <f>IF(DG2="Trough",INDEX($N$55:$N$57,MATCH(DG2,$E$55:$E$57,0)),IF(DG2="Shoulder",INDEX($N$55:$N$57,MATCH(DG2,$E$55:$E$57,0)),INDEX($N$55:$N$57,MATCH(DG2,$E$55:$E$57,0))))</f>
        <v/>
      </c>
    </row>
    <row r="21">
      <c r="A21" s="34" t="n"/>
      <c r="B21" s="34" t="n"/>
      <c r="C21" s="487" t="inlineStr">
        <is>
          <t>Subtrctions</t>
        </is>
      </c>
      <c r="D21" s="15" t="n"/>
      <c r="E21" s="50" t="n"/>
      <c r="F21" s="50">
        <f>+IF(F17&lt;E17,F17-E17, 0)</f>
        <v/>
      </c>
      <c r="G21" s="50">
        <f>+IF(G17&lt;F17,G17-F17, 0)</f>
        <v/>
      </c>
      <c r="H21" s="50">
        <f>+IF(H17&lt;G17,H17-G17, 0)</f>
        <v/>
      </c>
      <c r="I21" s="50">
        <f>+IF(I17&lt;H17,I17-H17, 0)</f>
        <v/>
      </c>
      <c r="J21" s="50">
        <f>+IF(J17&lt;I17,J17-I17, 0)</f>
        <v/>
      </c>
      <c r="K21" s="50">
        <f>+IF(K17&lt;J17,K17-J17, 0)</f>
        <v/>
      </c>
      <c r="L21" s="50">
        <f>+IF(L17&lt;K17,L17-K17, 0)</f>
        <v/>
      </c>
      <c r="M21" s="50">
        <f>+IF(M17&lt;L17,M17-L17, 0)</f>
        <v/>
      </c>
      <c r="N21" s="50">
        <f>+IF(N17&lt;M17,N17-M17, 0)</f>
        <v/>
      </c>
      <c r="O21" s="50">
        <f>+IF(O17&lt;N17,O17-N17, 0)</f>
        <v/>
      </c>
      <c r="P21" s="50">
        <f>+IF(P17&lt;O17,P17-O17, 0)</f>
        <v/>
      </c>
      <c r="Q21" s="50" t="n">
        <v>-4</v>
      </c>
      <c r="R21" s="50" t="n">
        <v>-2</v>
      </c>
      <c r="S21" s="50" t="n">
        <v>-6</v>
      </c>
      <c r="T21" s="50" t="n">
        <v>-4</v>
      </c>
      <c r="U21" s="50" t="n">
        <v>-7</v>
      </c>
      <c r="V21" s="50" t="n">
        <v>-9</v>
      </c>
      <c r="W21" s="50" t="n">
        <v>-1</v>
      </c>
      <c r="X21" s="50" t="n">
        <v>-3</v>
      </c>
      <c r="Y21" s="50" t="n">
        <v>-5</v>
      </c>
      <c r="Z21" s="50" t="n">
        <v>-14</v>
      </c>
      <c r="AA21" s="518" t="n">
        <v>-18</v>
      </c>
      <c r="AB21" s="50" t="n">
        <v>-7</v>
      </c>
      <c r="AC21" s="50" t="n">
        <v>-4</v>
      </c>
      <c r="AD21" s="50" t="n">
        <v>-2</v>
      </c>
      <c r="AE21" s="50" t="n">
        <v>-8</v>
      </c>
      <c r="AF21" s="50" t="n">
        <v>-3</v>
      </c>
      <c r="AG21" s="50" t="n">
        <v>-11</v>
      </c>
      <c r="AH21" s="50" t="n">
        <v>-1</v>
      </c>
      <c r="AI21" s="50" t="n">
        <v>-2</v>
      </c>
      <c r="AJ21" s="50" t="n">
        <v>-6</v>
      </c>
      <c r="AK21" s="50" t="n">
        <v>-3</v>
      </c>
      <c r="AL21" s="50" t="n">
        <v>-10</v>
      </c>
      <c r="AM21" s="518" t="n">
        <v>-26</v>
      </c>
      <c r="AN21" s="50" t="n">
        <v>-11</v>
      </c>
      <c r="AO21" s="50" t="n">
        <v>-7</v>
      </c>
      <c r="AP21" s="50" t="n">
        <v>-8</v>
      </c>
      <c r="AQ21" s="50" t="n">
        <v>-6</v>
      </c>
      <c r="AR21" s="50" t="n">
        <v>-6</v>
      </c>
      <c r="AS21" s="50" t="n">
        <v>-6</v>
      </c>
      <c r="AT21" s="50" t="n">
        <v>-2</v>
      </c>
      <c r="AU21" s="50" t="n">
        <v>-2</v>
      </c>
      <c r="AV21" s="50" t="n">
        <v>-6</v>
      </c>
      <c r="AW21" s="584" t="n">
        <v>-6</v>
      </c>
      <c r="AX21" s="712">
        <f>+ROUNDUP(AW17*AW42, 0)</f>
        <v/>
      </c>
      <c r="AY21" s="735">
        <f>+ROUNDUP(AX17*AX42, 0)</f>
        <v/>
      </c>
      <c r="AZ21" s="169">
        <f>+ROUNDUP(AY17*AY42, 0)</f>
        <v/>
      </c>
      <c r="BA21" s="169">
        <f>+ROUNDUP(AZ17*AZ42, 0)</f>
        <v/>
      </c>
      <c r="BB21" s="169">
        <f>+ROUNDUP(BA17*BA42, 0)</f>
        <v/>
      </c>
      <c r="BC21" s="169">
        <f>+ROUNDUP(BB17*BB42, 0)</f>
        <v/>
      </c>
      <c r="BD21" s="169">
        <f>+ROUNDUP(BC17*BC42, 0)</f>
        <v/>
      </c>
      <c r="BE21" s="169">
        <f>+ROUNDUP(BD17*BD42, 0)</f>
        <v/>
      </c>
      <c r="BF21" s="169">
        <f>+ROUNDUP(BE17*BE42, 0)</f>
        <v/>
      </c>
      <c r="BG21" s="169">
        <f>+ROUNDUP(BF17*BF42, 0)</f>
        <v/>
      </c>
      <c r="BH21" s="169">
        <f>+ROUNDUP(BG17*BG42, 0)</f>
        <v/>
      </c>
      <c r="BI21" s="169">
        <f>+ROUNDUP(BH17*BH42, 0)</f>
        <v/>
      </c>
      <c r="BJ21" s="169">
        <f>+ROUNDUP(BI17*BI42, 0)</f>
        <v/>
      </c>
      <c r="BK21" s="170">
        <f>+ROUNDUP(BJ17*BJ42, 0)</f>
        <v/>
      </c>
      <c r="BL21" s="169">
        <f>+ROUNDUP(BK17*BK42, 0)</f>
        <v/>
      </c>
      <c r="BM21" s="169">
        <f>+ROUNDUP(BL17*BL42, 0)</f>
        <v/>
      </c>
      <c r="BN21" s="169">
        <f>+ROUNDUP(BM17*BM42, 0)</f>
        <v/>
      </c>
      <c r="BO21" s="169">
        <f>+ROUNDUP(BN17*BN42, 0)</f>
        <v/>
      </c>
      <c r="BP21" s="169">
        <f>+ROUNDUP(BO17*BO42, 0)</f>
        <v/>
      </c>
      <c r="BQ21" s="169">
        <f>+ROUNDUP(BP17*BP42, 0)</f>
        <v/>
      </c>
      <c r="BR21" s="169">
        <f>+ROUNDUP(BQ17*BQ42, 0)</f>
        <v/>
      </c>
      <c r="BS21" s="169">
        <f>+ROUNDUP(BR17*BR42, 0)</f>
        <v/>
      </c>
      <c r="BT21" s="169">
        <f>+ROUNDUP(BS17*BS42, 0)</f>
        <v/>
      </c>
      <c r="BU21" s="169">
        <f>+ROUNDUP(BT17*BT42, 0)</f>
        <v/>
      </c>
      <c r="BV21" s="169">
        <f>+ROUNDUP(BU17*BU42, 0)</f>
        <v/>
      </c>
      <c r="BW21" s="170">
        <f>+ROUNDUP(BV17*BV42, 0)</f>
        <v/>
      </c>
      <c r="BX21" s="169">
        <f>+ROUNDUP(BW17*BW42, 0)</f>
        <v/>
      </c>
      <c r="BY21" s="169">
        <f>+ROUNDUP(BX17*BX42, 0)</f>
        <v/>
      </c>
      <c r="BZ21" s="169">
        <f>+ROUNDUP(BY17*BY42, 0)</f>
        <v/>
      </c>
      <c r="CA21" s="169">
        <f>+ROUNDUP(BZ17*BZ42, 0)</f>
        <v/>
      </c>
      <c r="CB21" s="169">
        <f>+ROUNDUP(CA17*CA42, 0)</f>
        <v/>
      </c>
      <c r="CC21" s="169">
        <f>+ROUNDUP(CB17*CB42, 0)</f>
        <v/>
      </c>
      <c r="CD21" s="169">
        <f>+ROUNDUP(CC17*CC42, 0)</f>
        <v/>
      </c>
      <c r="CE21" s="169">
        <f>+ROUNDUP(CD17*CD42, 0)</f>
        <v/>
      </c>
      <c r="CF21" s="169">
        <f>+ROUNDUP(CE17*CE42, 0)</f>
        <v/>
      </c>
      <c r="CG21" s="169">
        <f>+ROUNDUP(CF17*CF42, 0)</f>
        <v/>
      </c>
      <c r="CH21" s="169">
        <f>+ROUNDUP(CG17*CG42, 0)</f>
        <v/>
      </c>
      <c r="CI21" s="170">
        <f>+ROUNDUP(CH17*CH42, 0)</f>
        <v/>
      </c>
      <c r="CJ21" s="169">
        <f>+ROUNDUP(CI17*CI42, 0)</f>
        <v/>
      </c>
      <c r="CK21" s="169">
        <f>+ROUNDUP(CJ17*CJ42, 0)</f>
        <v/>
      </c>
      <c r="CL21" s="169">
        <f>+ROUNDUP(CK17*CK42, 0)</f>
        <v/>
      </c>
      <c r="CM21" s="169">
        <f>+ROUNDUP(CL17*CL42, 0)</f>
        <v/>
      </c>
      <c r="CN21" s="169">
        <f>+ROUNDUP(CM17*CM42, 0)</f>
        <v/>
      </c>
      <c r="CO21" s="169">
        <f>+ROUNDUP(CN17*CN42, 0)</f>
        <v/>
      </c>
      <c r="CP21" s="169">
        <f>+ROUNDUP(CO17*CO42, 0)</f>
        <v/>
      </c>
      <c r="CQ21" s="169">
        <f>+ROUNDUP(CP17*CP42, 0)</f>
        <v/>
      </c>
      <c r="CR21" s="169">
        <f>+ROUNDUP(CQ17*CQ42, 0)</f>
        <v/>
      </c>
      <c r="CS21" s="169">
        <f>+ROUNDUP(CR17*CR42, 0)</f>
        <v/>
      </c>
      <c r="CT21" s="169">
        <f>+ROUNDUP(CS17*CS42, 0)</f>
        <v/>
      </c>
      <c r="CU21" s="170">
        <f>+ROUNDUP(CT17*CT42, 0)</f>
        <v/>
      </c>
      <c r="CV21" s="169">
        <f>+ROUNDUP(CU17*CU42, 0)</f>
        <v/>
      </c>
      <c r="CW21" s="169">
        <f>+ROUNDUP(CV17*CV42, 0)</f>
        <v/>
      </c>
      <c r="CX21" s="169">
        <f>+ROUNDUP(CW17*CW42, 0)</f>
        <v/>
      </c>
      <c r="CY21" s="169">
        <f>+ROUNDUP(CX17*CX42, 0)</f>
        <v/>
      </c>
      <c r="CZ21" s="169">
        <f>+ROUNDUP(CY17*CY42, 0)</f>
        <v/>
      </c>
      <c r="DA21" s="169">
        <f>+ROUNDUP(CZ17*CZ42, 0)</f>
        <v/>
      </c>
      <c r="DB21" s="169">
        <f>+ROUNDUP(DA17*DA42, 0)</f>
        <v/>
      </c>
      <c r="DC21" s="169">
        <f>+ROUNDUP(DB17*DB42, 0)</f>
        <v/>
      </c>
      <c r="DD21" s="169">
        <f>+ROUNDUP(DC17*DC42, 0)</f>
        <v/>
      </c>
      <c r="DE21" s="169">
        <f>+ROUNDUP(DD17*DD42, 0)</f>
        <v/>
      </c>
      <c r="DF21" s="169">
        <f>+ROUNDUP(DE17*DE42, 0)</f>
        <v/>
      </c>
      <c r="DG21" s="170">
        <f>+ROUNDUP(DF17*DF42, 0)</f>
        <v/>
      </c>
    </row>
    <row r="22">
      <c r="A22" s="34" t="n"/>
      <c r="B22" s="34" t="n"/>
      <c r="C22" s="488" t="inlineStr">
        <is>
          <t># of Sessions</t>
        </is>
      </c>
      <c r="D22" s="15" t="n"/>
      <c r="E22" s="50" t="n"/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49" t="n">
        <v>21</v>
      </c>
      <c r="Q22" s="49" t="n">
        <v>22</v>
      </c>
      <c r="R22" s="49" t="n">
        <v>20</v>
      </c>
      <c r="S22" s="49" t="n">
        <v>16</v>
      </c>
      <c r="T22" s="49" t="n">
        <v>25</v>
      </c>
      <c r="U22" s="49" t="n">
        <v>22</v>
      </c>
      <c r="V22" s="49" t="n">
        <v>23</v>
      </c>
      <c r="W22" s="49" t="n">
        <v>70</v>
      </c>
      <c r="X22" s="49" t="n">
        <v>110</v>
      </c>
      <c r="Y22" s="49" t="n">
        <v>114</v>
      </c>
      <c r="Z22" s="49" t="n">
        <v>73</v>
      </c>
      <c r="AA22" s="519" t="n">
        <v>31</v>
      </c>
      <c r="AB22" s="49" t="n">
        <v>34</v>
      </c>
      <c r="AC22" s="49" t="n">
        <v>56</v>
      </c>
      <c r="AD22" s="49" t="n">
        <v>36</v>
      </c>
      <c r="AE22" s="49" t="n">
        <v>49</v>
      </c>
      <c r="AF22" s="49" t="n">
        <v>76</v>
      </c>
      <c r="AG22" s="49" t="n">
        <v>45</v>
      </c>
      <c r="AH22" s="49" t="n">
        <v>118</v>
      </c>
      <c r="AI22" s="49" t="n">
        <v>169</v>
      </c>
      <c r="AJ22" s="49" t="n">
        <v>125</v>
      </c>
      <c r="AK22" s="49" t="n">
        <v>173</v>
      </c>
      <c r="AL22" s="49" t="n">
        <v>90</v>
      </c>
      <c r="AM22" s="519" t="n">
        <v>50</v>
      </c>
      <c r="AN22" s="49" t="n">
        <v>56</v>
      </c>
      <c r="AO22" s="49" t="n">
        <v>66</v>
      </c>
      <c r="AP22" s="49" t="n">
        <v>73</v>
      </c>
      <c r="AQ22" s="49" t="n">
        <v>37</v>
      </c>
      <c r="AR22" s="49" t="n">
        <v>62</v>
      </c>
      <c r="AS22" s="49" t="n">
        <v>51</v>
      </c>
      <c r="AT22" s="49" t="n">
        <v>120</v>
      </c>
      <c r="AU22" s="49" t="n">
        <v>163</v>
      </c>
      <c r="AV22" s="49" t="n">
        <v>240</v>
      </c>
      <c r="AW22" s="583" t="n">
        <v>275</v>
      </c>
      <c r="AX22" s="144">
        <f>+AVERAGE(AU22:AW22)</f>
        <v/>
      </c>
      <c r="AY22" s="733">
        <f>+(AX22/AX26)*AY26</f>
        <v/>
      </c>
      <c r="AZ22" s="145">
        <f>+(AY22/AY26)*AZ26</f>
        <v/>
      </c>
      <c r="BA22" s="145">
        <f>+(AZ22/AZ26)*BA26</f>
        <v/>
      </c>
      <c r="BB22" s="145">
        <f>+(BA22/BA26)*BB26</f>
        <v/>
      </c>
      <c r="BC22" s="145">
        <f>+(BB22/BB26)*BC26</f>
        <v/>
      </c>
      <c r="BD22" s="145">
        <f>+(BC22/BC26)*BD26</f>
        <v/>
      </c>
      <c r="BE22" s="145">
        <f>+(BD22/BD26)*BE26</f>
        <v/>
      </c>
      <c r="BF22" s="145">
        <f>+(BE22/BE26)*BF26</f>
        <v/>
      </c>
      <c r="BG22" s="145">
        <f>+(BF22/BF26)*BG26</f>
        <v/>
      </c>
      <c r="BH22" s="145">
        <f>+(BG22/BG26)*BH26</f>
        <v/>
      </c>
      <c r="BI22" s="145">
        <f>+(BH22/BH26)*BI26</f>
        <v/>
      </c>
      <c r="BJ22" s="145">
        <f>+(BI22/BI26)*BJ26</f>
        <v/>
      </c>
      <c r="BK22" s="146">
        <f>+(BJ22/BJ26)*BK26</f>
        <v/>
      </c>
      <c r="BL22" s="145">
        <f>+(BK22/BK26)*BL26</f>
        <v/>
      </c>
      <c r="BM22" s="145">
        <f>+(BL22/BL26)*BM26</f>
        <v/>
      </c>
      <c r="BN22" s="145">
        <f>+(BM22/BM26)*BN26</f>
        <v/>
      </c>
      <c r="BO22" s="145">
        <f>+(BN22/BN26)*BO26</f>
        <v/>
      </c>
      <c r="BP22" s="145">
        <f>+(BO22/BO26)*BP26</f>
        <v/>
      </c>
      <c r="BQ22" s="145">
        <f>+(BP22/BP26)*BQ26</f>
        <v/>
      </c>
      <c r="BR22" s="145">
        <f>+(BQ22/BQ26)*BR26</f>
        <v/>
      </c>
      <c r="BS22" s="145">
        <f>+(BR22/BR26)*BS26</f>
        <v/>
      </c>
      <c r="BT22" s="145">
        <f>+(BS22/BS26)*BT26</f>
        <v/>
      </c>
      <c r="BU22" s="145">
        <f>+(BT22/BT26)*BU26</f>
        <v/>
      </c>
      <c r="BV22" s="145">
        <f>+(BU22/BU26)*BV26</f>
        <v/>
      </c>
      <c r="BW22" s="146">
        <f>+(BV22/BV26)*BW26</f>
        <v/>
      </c>
      <c r="BX22" s="145">
        <f>+(BW22/BW26)*BX26</f>
        <v/>
      </c>
      <c r="BY22" s="145">
        <f>+(BX22/BX26)*BY26</f>
        <v/>
      </c>
      <c r="BZ22" s="145">
        <f>+(BY22/BY26)*BZ26</f>
        <v/>
      </c>
      <c r="CA22" s="145">
        <f>+(BZ22/BZ26)*CA26</f>
        <v/>
      </c>
      <c r="CB22" s="145">
        <f>+(CA22/CA26)*CB26</f>
        <v/>
      </c>
      <c r="CC22" s="145">
        <f>+(CB22/CB26)*CC26</f>
        <v/>
      </c>
      <c r="CD22" s="145">
        <f>+(CC22/CC26)*CD26</f>
        <v/>
      </c>
      <c r="CE22" s="145">
        <f>+(CD22/CD26)*CE26</f>
        <v/>
      </c>
      <c r="CF22" s="145">
        <f>+(CE22/CE26)*CF26</f>
        <v/>
      </c>
      <c r="CG22" s="145">
        <f>+(CF22/CF26)*CG26</f>
        <v/>
      </c>
      <c r="CH22" s="145">
        <f>+(CG22/CG26)*CH26</f>
        <v/>
      </c>
      <c r="CI22" s="146">
        <f>+(CH22/CH26)*CI26</f>
        <v/>
      </c>
      <c r="CJ22" s="145">
        <f>+(CI22/CI26)*CJ26</f>
        <v/>
      </c>
      <c r="CK22" s="145">
        <f>+(CJ22/CJ26)*CK26</f>
        <v/>
      </c>
      <c r="CL22" s="145">
        <f>+(CK22/CK26)*CL26</f>
        <v/>
      </c>
      <c r="CM22" s="145">
        <f>+(CL22/CL26)*CM26</f>
        <v/>
      </c>
      <c r="CN22" s="145">
        <f>+(CM22/CM26)*CN26</f>
        <v/>
      </c>
      <c r="CO22" s="145">
        <f>+(CN22/CN26)*CO26</f>
        <v/>
      </c>
      <c r="CP22" s="145">
        <f>+(CO22/CO26)*CP26</f>
        <v/>
      </c>
      <c r="CQ22" s="145">
        <f>+(CP22/CP26)*CQ26</f>
        <v/>
      </c>
      <c r="CR22" s="145">
        <f>+(CQ22/CQ26)*CR26</f>
        <v/>
      </c>
      <c r="CS22" s="145">
        <f>+(CR22/CR26)*CS26</f>
        <v/>
      </c>
      <c r="CT22" s="145">
        <f>+(CS22/CS26)*CT26</f>
        <v/>
      </c>
      <c r="CU22" s="146">
        <f>+(CT22/CT26)*CU26</f>
        <v/>
      </c>
      <c r="CV22" s="145">
        <f>+(CU22/CU26)*CV26</f>
        <v/>
      </c>
      <c r="CW22" s="145">
        <f>+(CV22/CV26)*CW26</f>
        <v/>
      </c>
      <c r="CX22" s="145">
        <f>+(CW22/CW26)*CX26</f>
        <v/>
      </c>
      <c r="CY22" s="145">
        <f>+(CX22/CX26)*CY26</f>
        <v/>
      </c>
      <c r="CZ22" s="145">
        <f>+(CY22/CY26)*CZ26</f>
        <v/>
      </c>
      <c r="DA22" s="145">
        <f>+(CZ22/CZ26)*DA26</f>
        <v/>
      </c>
      <c r="DB22" s="145">
        <f>+(DA22/DA26)*DB26</f>
        <v/>
      </c>
      <c r="DC22" s="145">
        <f>+(DB22/DB26)*DC26</f>
        <v/>
      </c>
      <c r="DD22" s="145">
        <f>+(DC22/DC26)*DD26</f>
        <v/>
      </c>
      <c r="DE22" s="145">
        <f>+(DD22/DD26)*DE26</f>
        <v/>
      </c>
      <c r="DF22" s="145">
        <f>+(DE22/DE26)*DF26</f>
        <v/>
      </c>
      <c r="DG22" s="146">
        <f>+(DF22/DF26)*DG26</f>
        <v/>
      </c>
    </row>
    <row r="23">
      <c r="A23" s="34" t="n"/>
      <c r="B23" s="111" t="inlineStr">
        <is>
          <t>Coverage</t>
        </is>
      </c>
      <c r="C23" s="487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520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  <c r="AM23" s="520" t="n"/>
      <c r="AN23" s="15" t="n"/>
      <c r="AO23" s="15" t="n"/>
      <c r="AP23" s="15" t="n"/>
      <c r="AQ23" s="15" t="n"/>
      <c r="AR23" s="15" t="n"/>
      <c r="AS23" s="15" t="n"/>
      <c r="AT23" s="15" t="n"/>
      <c r="AU23" s="15" t="n"/>
      <c r="AV23" s="15" t="n"/>
      <c r="AW23" s="585" t="n"/>
      <c r="AX23" s="24" t="n"/>
      <c r="AY23" s="25" t="n"/>
      <c r="AZ23" s="24" t="n"/>
      <c r="BA23" s="24" t="n"/>
      <c r="BB23" s="24" t="n"/>
      <c r="BC23" s="24" t="n"/>
      <c r="BD23" s="24" t="n"/>
      <c r="BE23" s="24" t="n"/>
      <c r="BF23" s="24" t="n"/>
      <c r="BG23" s="24" t="n"/>
      <c r="BH23" s="24" t="n"/>
      <c r="BI23" s="24" t="n"/>
      <c r="BJ23" s="24" t="n"/>
      <c r="BK23" s="327" t="n"/>
      <c r="BL23" s="24" t="n"/>
      <c r="BM23" s="24" t="n"/>
      <c r="BN23" s="24" t="n"/>
      <c r="BO23" s="24" t="n"/>
      <c r="BP23" s="24" t="n"/>
      <c r="BQ23" s="24" t="n"/>
      <c r="BR23" s="24" t="n"/>
      <c r="BS23" s="24" t="n"/>
      <c r="BT23" s="24" t="n"/>
      <c r="BU23" s="24" t="n"/>
      <c r="BV23" s="24" t="n"/>
      <c r="BW23" s="327" t="n"/>
      <c r="BX23" s="24" t="n"/>
      <c r="BY23" s="24" t="n"/>
      <c r="BZ23" s="24" t="n"/>
      <c r="CA23" s="24" t="n"/>
      <c r="CB23" s="24" t="n"/>
      <c r="CC23" s="24" t="n"/>
      <c r="CD23" s="24" t="n"/>
      <c r="CE23" s="24" t="n"/>
      <c r="CF23" s="24" t="n"/>
      <c r="CG23" s="24" t="n"/>
      <c r="CH23" s="24" t="n"/>
      <c r="CI23" s="327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n"/>
      <c r="CT23" s="24" t="n"/>
      <c r="CU23" s="327" t="n"/>
      <c r="CV23" s="24" t="n"/>
      <c r="CW23" s="24" t="n"/>
      <c r="CX23" s="24" t="n"/>
      <c r="CY23" s="24" t="n"/>
      <c r="CZ23" s="24" t="n"/>
      <c r="DA23" s="24" t="n"/>
      <c r="DB23" s="24" t="n"/>
      <c r="DC23" s="24" t="n"/>
      <c r="DD23" s="24" t="n"/>
      <c r="DE23" s="24" t="n"/>
      <c r="DF23" s="24" t="n"/>
      <c r="DG23" s="25" t="n"/>
    </row>
    <row r="24">
      <c r="A24" s="35" t="n"/>
      <c r="B24" s="112" t="n">
        <v>125</v>
      </c>
      <c r="C24" s="489" t="inlineStr">
        <is>
          <t>Billing Days</t>
        </is>
      </c>
      <c r="D24" s="18" t="n"/>
      <c r="E24" s="18">
        <f>NETWORKDAYS(D4+1,E4,Holidays!$B$3:$B$62)</f>
        <v/>
      </c>
      <c r="F24" s="18">
        <f>NETWORKDAYS(E4+1,F4,Holidays!$B$3:$B$62)</f>
        <v/>
      </c>
      <c r="G24" s="18">
        <f>NETWORKDAYS(F4+1,G4,Holidays!$B$3:$B$62)</f>
        <v/>
      </c>
      <c r="H24" s="18">
        <f>NETWORKDAYS(G4+1,H4,Holidays!$B$3:$B$62)</f>
        <v/>
      </c>
      <c r="I24" s="18">
        <f>NETWORKDAYS(H4+1,I4,Holidays!$B$3:$B$62)</f>
        <v/>
      </c>
      <c r="J24" s="18">
        <f>NETWORKDAYS(I4+1,J4,Holidays!$B$3:$B$62)</f>
        <v/>
      </c>
      <c r="K24" s="18">
        <f>NETWORKDAYS(J4+1,K4,Holidays!$B$3:$B$62)</f>
        <v/>
      </c>
      <c r="L24" s="18">
        <f>NETWORKDAYS(K4+1,L4,Holidays!$B$3:$B$62)</f>
        <v/>
      </c>
      <c r="M24" s="18">
        <f>NETWORKDAYS(L4+1,M4,Holidays!$B$3:$B$62)</f>
        <v/>
      </c>
      <c r="N24" s="18">
        <f>NETWORKDAYS(M4+1,N4,Holidays!$B$3:$B$62)</f>
        <v/>
      </c>
      <c r="O24" s="18">
        <f>NETWORKDAYS(N4+1,O4,Holidays!$B$3:$B$62)</f>
        <v/>
      </c>
      <c r="P24" s="18">
        <f>NETWORKDAYS(O4+1,P4,Holidays!$B$3:$B$62)</f>
        <v/>
      </c>
      <c r="Q24" s="18">
        <f>NETWORKDAYS(P4+1,Q4,Holidays!$B$3:$B$62)</f>
        <v/>
      </c>
      <c r="R24" s="18">
        <f>NETWORKDAYS(Q4+1,R4,Holidays!$B$3:$B$62)</f>
        <v/>
      </c>
      <c r="S24" s="18">
        <f>NETWORKDAYS(R4+1,S4,Holidays!$B$3:$B$62)</f>
        <v/>
      </c>
      <c r="T24" s="18">
        <f>NETWORKDAYS(S4+1,T4,Holidays!$B$3:$B$62)</f>
        <v/>
      </c>
      <c r="U24" s="18">
        <f>NETWORKDAYS(T4+1,U4,Holidays!$B$3:$B$62)</f>
        <v/>
      </c>
      <c r="V24" s="18">
        <f>NETWORKDAYS(U4+1,V4,Holidays!$B$3:$B$62)</f>
        <v/>
      </c>
      <c r="W24" s="18">
        <f>NETWORKDAYS(V4+1,W4,Holidays!$B$3:$B$62)</f>
        <v/>
      </c>
      <c r="X24" s="18">
        <f>NETWORKDAYS(W4+1,X4,Holidays!$B$3:$B$62)</f>
        <v/>
      </c>
      <c r="Y24" s="18">
        <f>NETWORKDAYS(X4+1,Y4,Holidays!$B$3:$B$62)</f>
        <v/>
      </c>
      <c r="Z24" s="18">
        <f>NETWORKDAYS(Y4+1,Z4,Holidays!$B$3:$B$62)</f>
        <v/>
      </c>
      <c r="AA24" s="521">
        <f>NETWORKDAYS(Z4+1,AA4,Holidays!$B$3:$B$62)</f>
        <v/>
      </c>
      <c r="AB24" s="18">
        <f>NETWORKDAYS(AA4+1,AB4,Holidays!$B$3:$B$62)</f>
        <v/>
      </c>
      <c r="AC24" s="18">
        <f>NETWORKDAYS(AB4+1,AC4,Holidays!$B$3:$B$62)</f>
        <v/>
      </c>
      <c r="AD24" s="18">
        <f>NETWORKDAYS(AC4+1,AD4,Holidays!$B$3:$B$62)</f>
        <v/>
      </c>
      <c r="AE24" s="18">
        <f>NETWORKDAYS(AD4+1,AE4,Holidays!$B$3:$B$62)</f>
        <v/>
      </c>
      <c r="AF24" s="18">
        <f>NETWORKDAYS(AE4+1,AF4,Holidays!$B$3:$B$62)</f>
        <v/>
      </c>
      <c r="AG24" s="18">
        <f>NETWORKDAYS(AF4+1,AG4,Holidays!$B$3:$B$62)</f>
        <v/>
      </c>
      <c r="AH24" s="18">
        <f>NETWORKDAYS(AG4+1,AH4,Holidays!$B$3:$B$62)</f>
        <v/>
      </c>
      <c r="AI24" s="18">
        <f>NETWORKDAYS(AH4+1,AI4,Holidays!$B$3:$B$62)</f>
        <v/>
      </c>
      <c r="AJ24" s="18">
        <f>NETWORKDAYS(AI4+1,AJ4,Holidays!$B$3:$B$62)</f>
        <v/>
      </c>
      <c r="AK24" s="18">
        <f>NETWORKDAYS(AJ4+1,AK4,Holidays!$B$3:$B$62)</f>
        <v/>
      </c>
      <c r="AL24" s="18">
        <f>NETWORKDAYS(AK4+1,AL4,Holidays!$B$3:$B$62)</f>
        <v/>
      </c>
      <c r="AM24" s="521">
        <f>NETWORKDAYS(AL4+1,AM4,Holidays!$B$3:$B$62)</f>
        <v/>
      </c>
      <c r="AN24" s="18">
        <f>NETWORKDAYS(AM4+1,AN4,Holidays!$B$3:$B$62)</f>
        <v/>
      </c>
      <c r="AO24" s="18">
        <f>NETWORKDAYS(AN4+1,AO4,Holidays!$B$3:$B$62)</f>
        <v/>
      </c>
      <c r="AP24" s="18">
        <f>NETWORKDAYS(AO4+1,AP4,Holidays!$B$3:$B$62)</f>
        <v/>
      </c>
      <c r="AQ24" s="18">
        <f>NETWORKDAYS(AP4+1,AQ4,Holidays!$B$3:$B$62)</f>
        <v/>
      </c>
      <c r="AR24" s="18">
        <f>NETWORKDAYS(AQ4+1,AR4,Holidays!$B$3:$B$62)</f>
        <v/>
      </c>
      <c r="AS24" s="18">
        <f>NETWORKDAYS(AR4+1,AS4,Holidays!$B$3:$B$62)</f>
        <v/>
      </c>
      <c r="AT24" s="18">
        <f>NETWORKDAYS(AS4+1,AT4,Holidays!$B$3:$B$62)</f>
        <v/>
      </c>
      <c r="AU24" s="18">
        <f>NETWORKDAYS(AT4+1,AU4,Holidays!$B$3:$B$62)</f>
        <v/>
      </c>
      <c r="AV24" s="18">
        <f>NETWORKDAYS(AU4+1,AV4,Holidays!$B$3:$B$62)</f>
        <v/>
      </c>
      <c r="AW24" s="586">
        <f>NETWORKDAYS(AV4+1,AW4,Holidays!$B$3:$B$62)</f>
        <v/>
      </c>
      <c r="AX24" s="19">
        <f>NETWORKDAYS(AW4+1,AX4,Holidays!$B$3:$B$62)</f>
        <v/>
      </c>
      <c r="AY24" s="20">
        <f>NETWORKDAYS(AX4+1,AY4,Holidays!$B$3:$B$62)</f>
        <v/>
      </c>
      <c r="AZ24" s="19">
        <f>NETWORKDAYS(AY4+1,AZ4,Holidays!$B$3:$B$62)</f>
        <v/>
      </c>
      <c r="BA24" s="19">
        <f>NETWORKDAYS(AZ4+1,BA4,Holidays!$B$3:$B$62)</f>
        <v/>
      </c>
      <c r="BB24" s="19">
        <f>NETWORKDAYS(BA4+1,BB4,Holidays!$B$3:$B$62)</f>
        <v/>
      </c>
      <c r="BC24" s="19">
        <f>NETWORKDAYS(BB4+1,BC4,Holidays!$B$3:$B$62)</f>
        <v/>
      </c>
      <c r="BD24" s="19">
        <f>NETWORKDAYS(BC4+1,BD4,Holidays!$B$3:$B$62)</f>
        <v/>
      </c>
      <c r="BE24" s="19">
        <f>NETWORKDAYS(BD4+1,BE4,Holidays!$B$3:$B$62)</f>
        <v/>
      </c>
      <c r="BF24" s="19">
        <f>NETWORKDAYS(BE4+1,BF4,Holidays!$B$3:$B$62)</f>
        <v/>
      </c>
      <c r="BG24" s="19">
        <f>NETWORKDAYS(BF4+1,BG4,Holidays!$B$3:$B$62)</f>
        <v/>
      </c>
      <c r="BH24" s="19">
        <f>NETWORKDAYS(BG4+1,BH4,Holidays!$B$3:$B$62)</f>
        <v/>
      </c>
      <c r="BI24" s="19">
        <f>NETWORKDAYS(BH4+1,BI4,Holidays!$B$3:$B$62)</f>
        <v/>
      </c>
      <c r="BJ24" s="19">
        <f>NETWORKDAYS(BI4+1,BJ4,Holidays!$B$3:$B$62)</f>
        <v/>
      </c>
      <c r="BK24" s="325">
        <f>NETWORKDAYS(BJ4+1,BK4,Holidays!$B$3:$B$62)</f>
        <v/>
      </c>
      <c r="BL24" s="19">
        <f>NETWORKDAYS(BK4+1,BL4,Holidays!$B$3:$B$62)</f>
        <v/>
      </c>
      <c r="BM24" s="19">
        <f>NETWORKDAYS(BL4+1,BM4,Holidays!$B$3:$B$62)</f>
        <v/>
      </c>
      <c r="BN24" s="19">
        <f>NETWORKDAYS(BM4+1,BN4,Holidays!$B$3:$B$62)</f>
        <v/>
      </c>
      <c r="BO24" s="19">
        <f>NETWORKDAYS(BN4+1,BO4,Holidays!$B$3:$B$62)</f>
        <v/>
      </c>
      <c r="BP24" s="19">
        <f>NETWORKDAYS(BO4+1,BP4,Holidays!$B$3:$B$62)</f>
        <v/>
      </c>
      <c r="BQ24" s="19">
        <f>NETWORKDAYS(BP4+1,BQ4,Holidays!$B$3:$B$62)</f>
        <v/>
      </c>
      <c r="BR24" s="19">
        <f>NETWORKDAYS(BQ4+1,BR4,Holidays!$B$3:$B$62)</f>
        <v/>
      </c>
      <c r="BS24" s="19">
        <f>NETWORKDAYS(BR4+1,BS4,Holidays!$B$3:$B$62)</f>
        <v/>
      </c>
      <c r="BT24" s="19">
        <f>NETWORKDAYS(BS4+1,BT4,Holidays!$B$3:$B$62)</f>
        <v/>
      </c>
      <c r="BU24" s="19">
        <f>NETWORKDAYS(BT4+1,BU4,Holidays!$B$3:$B$62)</f>
        <v/>
      </c>
      <c r="BV24" s="19">
        <f>NETWORKDAYS(BU4+1,BV4,Holidays!$B$3:$B$62)</f>
        <v/>
      </c>
      <c r="BW24" s="325">
        <f>NETWORKDAYS(BV4+1,BW4,Holidays!$B$3:$B$62)</f>
        <v/>
      </c>
      <c r="BX24" s="19">
        <f>NETWORKDAYS(BW4+1,BX4,Holidays!$B$3:$B$62)</f>
        <v/>
      </c>
      <c r="BY24" s="19">
        <f>NETWORKDAYS(BX4+1,BY4,Holidays!$B$3:$B$62)</f>
        <v/>
      </c>
      <c r="BZ24" s="19">
        <f>NETWORKDAYS(BY4+1,BZ4,Holidays!$B$3:$B$62)</f>
        <v/>
      </c>
      <c r="CA24" s="19">
        <f>NETWORKDAYS(BZ4+1,CA4,Holidays!$B$3:$B$62)</f>
        <v/>
      </c>
      <c r="CB24" s="19">
        <f>NETWORKDAYS(CA4+1,CB4,Holidays!$B$3:$B$62)</f>
        <v/>
      </c>
      <c r="CC24" s="19">
        <f>NETWORKDAYS(CB4+1,CC4,Holidays!$B$3:$B$62)</f>
        <v/>
      </c>
      <c r="CD24" s="19">
        <f>NETWORKDAYS(CC4+1,CD4,Holidays!$B$3:$B$62)</f>
        <v/>
      </c>
      <c r="CE24" s="19">
        <f>NETWORKDAYS(CD4+1,CE4,Holidays!$B$3:$B$62)</f>
        <v/>
      </c>
      <c r="CF24" s="19">
        <f>NETWORKDAYS(CE4+1,CF4,Holidays!$B$3:$B$62)</f>
        <v/>
      </c>
      <c r="CG24" s="19">
        <f>NETWORKDAYS(CF4+1,CG4,Holidays!$B$3:$B$62)</f>
        <v/>
      </c>
      <c r="CH24" s="19">
        <f>NETWORKDAYS(CG4+1,CH4,Holidays!$B$3:$B$62)</f>
        <v/>
      </c>
      <c r="CI24" s="325">
        <f>NETWORKDAYS(CH4+1,CI4,Holidays!$B$3:$B$62)</f>
        <v/>
      </c>
      <c r="CJ24" s="19">
        <f>NETWORKDAYS(CI4+1,CJ4,Holidays!$B$3:$B$62)</f>
        <v/>
      </c>
      <c r="CK24" s="19">
        <f>NETWORKDAYS(CJ4+1,CK4,Holidays!$B$3:$B$62)</f>
        <v/>
      </c>
      <c r="CL24" s="19">
        <f>NETWORKDAYS(CK4+1,CL4,Holidays!$B$3:$B$62)</f>
        <v/>
      </c>
      <c r="CM24" s="19">
        <f>NETWORKDAYS(CL4+1,CM4,Holidays!$B$3:$B$62)</f>
        <v/>
      </c>
      <c r="CN24" s="19">
        <f>NETWORKDAYS(CM4+1,CN4,Holidays!$B$3:$B$62)</f>
        <v/>
      </c>
      <c r="CO24" s="19">
        <f>NETWORKDAYS(CN4+1,CO4,Holidays!$B$3:$B$62)</f>
        <v/>
      </c>
      <c r="CP24" s="19">
        <f>NETWORKDAYS(CO4+1,CP4,Holidays!$B$3:$B$62)</f>
        <v/>
      </c>
      <c r="CQ24" s="19">
        <f>NETWORKDAYS(CP4+1,CQ4,Holidays!$B$3:$B$62)</f>
        <v/>
      </c>
      <c r="CR24" s="19">
        <f>NETWORKDAYS(CQ4+1,CR4,Holidays!$B$3:$B$62)</f>
        <v/>
      </c>
      <c r="CS24" s="19">
        <f>NETWORKDAYS(CR4+1,CS4,Holidays!$B$3:$B$62)</f>
        <v/>
      </c>
      <c r="CT24" s="19">
        <f>NETWORKDAYS(CS4+1,CT4,Holidays!$B$3:$B$62)</f>
        <v/>
      </c>
      <c r="CU24" s="325">
        <f>NETWORKDAYS(CT4+1,CU4,Holidays!$B$3:$B$62)</f>
        <v/>
      </c>
      <c r="CV24" s="19">
        <f>NETWORKDAYS(CU4+1,CV4,Holidays!$B$3:$B$62)</f>
        <v/>
      </c>
      <c r="CW24" s="19">
        <f>NETWORKDAYS(CV4+1,CW4,Holidays!$B$3:$B$62)</f>
        <v/>
      </c>
      <c r="CX24" s="19">
        <f>NETWORKDAYS(CW4+1,CX4,Holidays!$B$3:$B$62)</f>
        <v/>
      </c>
      <c r="CY24" s="19">
        <f>NETWORKDAYS(CX4+1,CY4,Holidays!$B$3:$B$62)</f>
        <v/>
      </c>
      <c r="CZ24" s="19">
        <f>NETWORKDAYS(CY4+1,CZ4,Holidays!$B$3:$B$62)</f>
        <v/>
      </c>
      <c r="DA24" s="19">
        <f>NETWORKDAYS(CZ4+1,DA4,Holidays!$B$3:$B$62)</f>
        <v/>
      </c>
      <c r="DB24" s="19">
        <f>NETWORKDAYS(DA4+1,DB4,Holidays!$B$3:$B$62)</f>
        <v/>
      </c>
      <c r="DC24" s="19">
        <f>NETWORKDAYS(DB4+1,DC4,Holidays!$B$3:$B$62)</f>
        <v/>
      </c>
      <c r="DD24" s="19">
        <f>NETWORKDAYS(DC4+1,DD4,Holidays!$B$3:$B$62)</f>
        <v/>
      </c>
      <c r="DE24" s="19">
        <f>NETWORKDAYS(DD4+1,DE4,Holidays!$B$3:$B$62)</f>
        <v/>
      </c>
      <c r="DF24" s="19">
        <f>NETWORKDAYS(DE4+1,DF4,Holidays!$B$3:$B$62)</f>
        <v/>
      </c>
      <c r="DG24" s="20">
        <f>NETWORKDAYS(DF4+1,DG4,Holidays!$B$3:$B$62)</f>
        <v/>
      </c>
    </row>
    <row r="25" ht="18" customHeight="1">
      <c r="A25" s="36" t="n"/>
      <c r="B25" s="36" t="n"/>
      <c r="C25" s="489" t="inlineStr">
        <is>
          <t>Hours / Day / Student</t>
        </is>
      </c>
      <c r="D25" s="21" t="n"/>
      <c r="E25" s="21">
        <f>+E26/E24/E17</f>
        <v/>
      </c>
      <c r="F25" s="21">
        <f>+F26/F24/F17</f>
        <v/>
      </c>
      <c r="G25" s="21">
        <f>+G26/G24/G17</f>
        <v/>
      </c>
      <c r="H25" s="21">
        <f>+H26/H24/H17</f>
        <v/>
      </c>
      <c r="I25" s="21">
        <f>+I26/I24/I17</f>
        <v/>
      </c>
      <c r="J25" s="21">
        <f>+J26/J24/J17</f>
        <v/>
      </c>
      <c r="K25" s="21">
        <f>+K26/K24/K17</f>
        <v/>
      </c>
      <c r="L25" s="21">
        <f>+L26/L24/L17</f>
        <v/>
      </c>
      <c r="M25" s="21">
        <f>+M26/M24/M17</f>
        <v/>
      </c>
      <c r="N25" s="21">
        <f>+N26/N24/N17</f>
        <v/>
      </c>
      <c r="O25" s="21">
        <f>+O26/O24/O17</f>
        <v/>
      </c>
      <c r="P25" s="21">
        <f>+P26/P24/P17</f>
        <v/>
      </c>
      <c r="Q25" s="21">
        <f>+Q26/Q24/Q17</f>
        <v/>
      </c>
      <c r="R25" s="21">
        <f>+R26/R24/R17</f>
        <v/>
      </c>
      <c r="S25" s="21">
        <f>+S26/S24/S17</f>
        <v/>
      </c>
      <c r="T25" s="21">
        <f>+T26/T24/T17</f>
        <v/>
      </c>
      <c r="U25" s="21">
        <f>+U26/U24/U17</f>
        <v/>
      </c>
      <c r="V25" s="21">
        <f>+V26/V24/V17</f>
        <v/>
      </c>
      <c r="W25" s="21">
        <f>+W26/W24/W17</f>
        <v/>
      </c>
      <c r="X25" s="21">
        <f>+X26/X24/X17</f>
        <v/>
      </c>
      <c r="Y25" s="21">
        <f>+Y26/Y24/Y17</f>
        <v/>
      </c>
      <c r="Z25" s="21">
        <f>+Z26/Z24/Z17</f>
        <v/>
      </c>
      <c r="AA25" s="522">
        <f>+AA26/AA24/AA17</f>
        <v/>
      </c>
      <c r="AB25" s="21">
        <f>+AB26/AB24/AB17</f>
        <v/>
      </c>
      <c r="AC25" s="21">
        <f>+AC26/AC24/AC17</f>
        <v/>
      </c>
      <c r="AD25" s="21">
        <f>+AD26/AD24/AD17</f>
        <v/>
      </c>
      <c r="AE25" s="21">
        <f>+AE26/AE24/AE17</f>
        <v/>
      </c>
      <c r="AF25" s="21">
        <f>+AF26/AF24/AF17</f>
        <v/>
      </c>
      <c r="AG25" s="21">
        <f>+AG26/AG24/AG17</f>
        <v/>
      </c>
      <c r="AH25" s="21">
        <f>+AH26/AH24/AH17</f>
        <v/>
      </c>
      <c r="AI25" s="21">
        <f>+AI26/AI24/AI17</f>
        <v/>
      </c>
      <c r="AJ25" s="21">
        <f>+AJ26/AJ24/AJ17</f>
        <v/>
      </c>
      <c r="AK25" s="21">
        <f>+AK26/AK24/AK17</f>
        <v/>
      </c>
      <c r="AL25" s="21">
        <f>+AL26/AL24/AL17</f>
        <v/>
      </c>
      <c r="AM25" s="522">
        <f>+AM26/AM24/AM17</f>
        <v/>
      </c>
      <c r="AN25" s="21">
        <f>+AN26/AN24/AN17</f>
        <v/>
      </c>
      <c r="AO25" s="21">
        <f>+AO26/AO24/AO17</f>
        <v/>
      </c>
      <c r="AP25" s="21">
        <f>+AP26/AP24/AP17</f>
        <v/>
      </c>
      <c r="AQ25" s="21">
        <f>+AQ26/AQ24/AQ17</f>
        <v/>
      </c>
      <c r="AR25" s="21">
        <f>+AR26/AR24/AR17</f>
        <v/>
      </c>
      <c r="AS25" s="21">
        <f>+AS26/AS24/AS17</f>
        <v/>
      </c>
      <c r="AT25" s="21">
        <f>+AT26/AT24/AT17</f>
        <v/>
      </c>
      <c r="AU25" s="21">
        <f>+AU26/AU24/AU17</f>
        <v/>
      </c>
      <c r="AV25" s="21">
        <f>+AV26/AV24/AV17</f>
        <v/>
      </c>
      <c r="AW25" s="587">
        <f>+AW26/AW24/AW17</f>
        <v/>
      </c>
      <c r="AX25" s="713">
        <f>+AL25</f>
        <v/>
      </c>
      <c r="AY25" s="23">
        <f>+AM25</f>
        <v/>
      </c>
      <c r="AZ25" s="22">
        <f>+AN25</f>
        <v/>
      </c>
      <c r="BA25" s="22">
        <f>+AO25</f>
        <v/>
      </c>
      <c r="BB25" s="22">
        <f>+AP25</f>
        <v/>
      </c>
      <c r="BC25" s="22">
        <f>+AQ25</f>
        <v/>
      </c>
      <c r="BD25" s="22">
        <f>+AR25</f>
        <v/>
      </c>
      <c r="BE25" s="22">
        <f>+AS25</f>
        <v/>
      </c>
      <c r="BF25" s="22">
        <f>+AT25</f>
        <v/>
      </c>
      <c r="BG25" s="22">
        <f>+AU25</f>
        <v/>
      </c>
      <c r="BH25" s="22">
        <f>+AV25</f>
        <v/>
      </c>
      <c r="BI25" s="22">
        <f>+AW25</f>
        <v/>
      </c>
      <c r="BJ25" s="22">
        <f>+AX25</f>
        <v/>
      </c>
      <c r="BK25" s="326">
        <f>+AY25</f>
        <v/>
      </c>
      <c r="BL25" s="22">
        <f>+AZ25</f>
        <v/>
      </c>
      <c r="BM25" s="22">
        <f>+BA25</f>
        <v/>
      </c>
      <c r="BN25" s="22">
        <f>+BB25</f>
        <v/>
      </c>
      <c r="BO25" s="22">
        <f>+BC25</f>
        <v/>
      </c>
      <c r="BP25" s="22">
        <f>+BD25</f>
        <v/>
      </c>
      <c r="BQ25" s="22">
        <f>+BE25</f>
        <v/>
      </c>
      <c r="BR25" s="22">
        <f>+BF25</f>
        <v/>
      </c>
      <c r="BS25" s="22">
        <f>+BG25</f>
        <v/>
      </c>
      <c r="BT25" s="22">
        <f>+BH25</f>
        <v/>
      </c>
      <c r="BU25" s="22">
        <f>+BI25</f>
        <v/>
      </c>
      <c r="BV25" s="22">
        <f>+BJ25</f>
        <v/>
      </c>
      <c r="BW25" s="326">
        <f>+BK25</f>
        <v/>
      </c>
      <c r="BX25" s="22">
        <f>+BL25</f>
        <v/>
      </c>
      <c r="BY25" s="22">
        <f>+BM25</f>
        <v/>
      </c>
      <c r="BZ25" s="22">
        <f>+BN25</f>
        <v/>
      </c>
      <c r="CA25" s="22">
        <f>+BO25</f>
        <v/>
      </c>
      <c r="CB25" s="22">
        <f>+BP25</f>
        <v/>
      </c>
      <c r="CC25" s="22">
        <f>+BQ25</f>
        <v/>
      </c>
      <c r="CD25" s="22">
        <f>+BR25</f>
        <v/>
      </c>
      <c r="CE25" s="22">
        <f>+BS25</f>
        <v/>
      </c>
      <c r="CF25" s="22">
        <f>+BT25</f>
        <v/>
      </c>
      <c r="CG25" s="22">
        <f>+BU25</f>
        <v/>
      </c>
      <c r="CH25" s="22">
        <f>+BV25</f>
        <v/>
      </c>
      <c r="CI25" s="326">
        <f>+BW25</f>
        <v/>
      </c>
      <c r="CJ25" s="22">
        <f>+BX25</f>
        <v/>
      </c>
      <c r="CK25" s="22">
        <f>+BY25</f>
        <v/>
      </c>
      <c r="CL25" s="22">
        <f>+BZ25</f>
        <v/>
      </c>
      <c r="CM25" s="22">
        <f>+CA25</f>
        <v/>
      </c>
      <c r="CN25" s="22">
        <f>+CB25</f>
        <v/>
      </c>
      <c r="CO25" s="22">
        <f>+CC25</f>
        <v/>
      </c>
      <c r="CP25" s="22">
        <f>+CD25</f>
        <v/>
      </c>
      <c r="CQ25" s="22">
        <f>+CE25</f>
        <v/>
      </c>
      <c r="CR25" s="22">
        <f>+CF25</f>
        <v/>
      </c>
      <c r="CS25" s="22">
        <f>+CG25</f>
        <v/>
      </c>
      <c r="CT25" s="22">
        <f>+CH25</f>
        <v/>
      </c>
      <c r="CU25" s="326">
        <f>+CI25</f>
        <v/>
      </c>
      <c r="CV25" s="22">
        <f>+CJ25</f>
        <v/>
      </c>
      <c r="CW25" s="22">
        <f>+CK25</f>
        <v/>
      </c>
      <c r="CX25" s="22">
        <f>+CL25</f>
        <v/>
      </c>
      <c r="CY25" s="22">
        <f>+CM25</f>
        <v/>
      </c>
      <c r="CZ25" s="22">
        <f>+CN25</f>
        <v/>
      </c>
      <c r="DA25" s="22">
        <f>+CO25</f>
        <v/>
      </c>
      <c r="DB25" s="22">
        <f>+CP25</f>
        <v/>
      </c>
      <c r="DC25" s="22">
        <f>+CQ25</f>
        <v/>
      </c>
      <c r="DD25" s="22">
        <f>+CR25</f>
        <v/>
      </c>
      <c r="DE25" s="22">
        <f>+CS25</f>
        <v/>
      </c>
      <c r="DF25" s="22">
        <f>+CT25</f>
        <v/>
      </c>
      <c r="DG25" s="23">
        <f>+CU25</f>
        <v/>
      </c>
    </row>
    <row r="26" ht="18" customHeight="1">
      <c r="A26" s="36" t="n"/>
      <c r="B26" s="36" t="n"/>
      <c r="C26" s="489" t="inlineStr">
        <is>
          <t>Total Bill Hours</t>
        </is>
      </c>
      <c r="D26" s="15" t="n"/>
      <c r="E26" s="15" t="n">
        <v>1</v>
      </c>
      <c r="F26" s="15" t="n">
        <v>1</v>
      </c>
      <c r="G26" s="15" t="n">
        <v>1</v>
      </c>
      <c r="H26" s="15" t="n">
        <v>1</v>
      </c>
      <c r="I26" s="15" t="n">
        <v>1</v>
      </c>
      <c r="J26" s="15" t="n">
        <v>1</v>
      </c>
      <c r="K26" s="511" t="n">
        <v>7.5</v>
      </c>
      <c r="L26" s="511">
        <f>20.5</f>
        <v/>
      </c>
      <c r="M26" s="511" t="n">
        <v>57.25</v>
      </c>
      <c r="N26" s="511" t="n">
        <v>31</v>
      </c>
      <c r="O26" s="511" t="n">
        <v>15</v>
      </c>
      <c r="P26" s="511">
        <f>+SUM(P28:P32)</f>
        <v/>
      </c>
      <c r="Q26" s="511">
        <f>+SUM(Q28:Q32)</f>
        <v/>
      </c>
      <c r="R26" s="511">
        <f>+SUM(R28:R32)</f>
        <v/>
      </c>
      <c r="S26" s="511">
        <f>+SUM(S28:S32)</f>
        <v/>
      </c>
      <c r="T26" s="511">
        <f>+SUM(T28:T32)</f>
        <v/>
      </c>
      <c r="U26" s="511">
        <f>+SUM(U28:U32)</f>
        <v/>
      </c>
      <c r="V26" s="511">
        <f>+SUM(V28:V32)</f>
        <v/>
      </c>
      <c r="W26" s="511">
        <f>+SUM(W28:W32)</f>
        <v/>
      </c>
      <c r="X26" s="511">
        <f>+SUM(X28:X32)</f>
        <v/>
      </c>
      <c r="Y26" s="511">
        <f>+SUM(Y28:Y32)</f>
        <v/>
      </c>
      <c r="Z26" s="511">
        <f>+SUM(Z28:Z32)</f>
        <v/>
      </c>
      <c r="AA26" s="561">
        <f>+SUM(AA28:AA32)</f>
        <v/>
      </c>
      <c r="AB26" s="511">
        <f>+SUM(AB28:AB32)</f>
        <v/>
      </c>
      <c r="AC26" s="511">
        <f>+SUM(AC28:AC32)</f>
        <v/>
      </c>
      <c r="AD26" s="511">
        <f>+SUM(AD28:AD32)</f>
        <v/>
      </c>
      <c r="AE26" s="511">
        <f>+SUM(AE28:AE32)</f>
        <v/>
      </c>
      <c r="AF26" s="511">
        <f>+SUM(AF28:AF32)</f>
        <v/>
      </c>
      <c r="AG26" s="511">
        <f>+SUM(AG28:AG32)</f>
        <v/>
      </c>
      <c r="AH26" s="511">
        <f>+SUM(AH28:AH32)</f>
        <v/>
      </c>
      <c r="AI26" s="511">
        <f>+SUM(AI28:AI32)</f>
        <v/>
      </c>
      <c r="AJ26" s="511">
        <f>+SUM(AJ28:AJ32)</f>
        <v/>
      </c>
      <c r="AK26" s="511">
        <f>+SUM(AK28:AK32)</f>
        <v/>
      </c>
      <c r="AL26" s="511">
        <f>+SUM(AL28:AL32)</f>
        <v/>
      </c>
      <c r="AM26" s="523">
        <f>+SUM(AM28:AM32)</f>
        <v/>
      </c>
      <c r="AN26" s="563">
        <f>+SUM(AN28:AN32)</f>
        <v/>
      </c>
      <c r="AO26" s="563">
        <f>+SUM(AO28:AO32)</f>
        <v/>
      </c>
      <c r="AP26" s="563">
        <f>+SUM(AP28:AP32)</f>
        <v/>
      </c>
      <c r="AQ26" s="563">
        <f>+SUM(AQ28:AQ32)</f>
        <v/>
      </c>
      <c r="AR26" s="563">
        <f>+SUM(AR28:AR32)</f>
        <v/>
      </c>
      <c r="AS26" s="563">
        <f>+SUM(AS28:AS32)</f>
        <v/>
      </c>
      <c r="AT26" s="563">
        <f>+SUM(AT28:AT32)</f>
        <v/>
      </c>
      <c r="AU26" s="563">
        <f>+SUM(AU28:AU32)</f>
        <v/>
      </c>
      <c r="AV26" s="563">
        <f>+SUM(AV28:AV32)</f>
        <v/>
      </c>
      <c r="AW26" s="588">
        <f>+SUM(AW28:AW32)</f>
        <v/>
      </c>
      <c r="AX26" s="24">
        <f>+(AX17*AX24*AX25)</f>
        <v/>
      </c>
      <c r="AY26" s="25">
        <f>+(AY17*AY24*AY25)</f>
        <v/>
      </c>
      <c r="AZ26" s="24">
        <f>+(AZ17*AZ24*AZ25)</f>
        <v/>
      </c>
      <c r="BA26" s="24">
        <f>+(BA17*BA24*BA25)</f>
        <v/>
      </c>
      <c r="BB26" s="24">
        <f>+(BB17*BB24*BB25)</f>
        <v/>
      </c>
      <c r="BC26" s="24">
        <f>+(BC17*BC24*BC25)</f>
        <v/>
      </c>
      <c r="BD26" s="24">
        <f>+(BD17*BD24*BD25)</f>
        <v/>
      </c>
      <c r="BE26" s="24">
        <f>+(BE17*BE24*BE25)</f>
        <v/>
      </c>
      <c r="BF26" s="24">
        <f>+(BF17*BF24*BF25)</f>
        <v/>
      </c>
      <c r="BG26" s="24">
        <f>+(BG17*BG24*BG25)</f>
        <v/>
      </c>
      <c r="BH26" s="24">
        <f>+(BH17*BH24*BH25)</f>
        <v/>
      </c>
      <c r="BI26" s="24">
        <f>+(BI17*BI24*BI25)</f>
        <v/>
      </c>
      <c r="BJ26" s="24">
        <f>+(BJ17*BJ24*BJ25)</f>
        <v/>
      </c>
      <c r="BK26" s="327">
        <f>+(BK17*BK24*BK25)</f>
        <v/>
      </c>
      <c r="BL26" s="24">
        <f>+(BL17*BL24*BL25)</f>
        <v/>
      </c>
      <c r="BM26" s="24">
        <f>+(BM17*BM24*BM25)</f>
        <v/>
      </c>
      <c r="BN26" s="24">
        <f>+(BN17*BN24*BN25)</f>
        <v/>
      </c>
      <c r="BO26" s="24">
        <f>+(BO17*BO24*BO25)</f>
        <v/>
      </c>
      <c r="BP26" s="24">
        <f>+(BP17*BP24*BP25)</f>
        <v/>
      </c>
      <c r="BQ26" s="24">
        <f>+(BQ17*BQ24*BQ25)</f>
        <v/>
      </c>
      <c r="BR26" s="24">
        <f>+(BR17*BR24*BR25)</f>
        <v/>
      </c>
      <c r="BS26" s="24">
        <f>+(BS17*BS24*BS25)</f>
        <v/>
      </c>
      <c r="BT26" s="24">
        <f>+(BT17*BT24*BT25)</f>
        <v/>
      </c>
      <c r="BU26" s="24">
        <f>+(BU17*BU24*BU25)</f>
        <v/>
      </c>
      <c r="BV26" s="24">
        <f>+(BV17*BV24*BV25)</f>
        <v/>
      </c>
      <c r="BW26" s="327">
        <f>+(BW17*BW24*BW25)</f>
        <v/>
      </c>
      <c r="BX26" s="24">
        <f>+(BX17*BX24*BX25)</f>
        <v/>
      </c>
      <c r="BY26" s="24">
        <f>+(BY17*BY24*BY25)</f>
        <v/>
      </c>
      <c r="BZ26" s="24">
        <f>+(BZ17*BZ24*BZ25)</f>
        <v/>
      </c>
      <c r="CA26" s="24">
        <f>+(CA17*CA24*CA25)</f>
        <v/>
      </c>
      <c r="CB26" s="24">
        <f>+(CB17*CB24*CB25)</f>
        <v/>
      </c>
      <c r="CC26" s="24">
        <f>+(CC17*CC24*CC25)</f>
        <v/>
      </c>
      <c r="CD26" s="24">
        <f>+(CD17*CD24*CD25)</f>
        <v/>
      </c>
      <c r="CE26" s="24">
        <f>+(CE17*CE24*CE25)</f>
        <v/>
      </c>
      <c r="CF26" s="24">
        <f>+(CF17*CF24*CF25)</f>
        <v/>
      </c>
      <c r="CG26" s="24">
        <f>+(CG17*CG24*CG25)</f>
        <v/>
      </c>
      <c r="CH26" s="24">
        <f>+(CH17*CH24*CH25)</f>
        <v/>
      </c>
      <c r="CI26" s="327">
        <f>+(CI17*CI24*CI25)</f>
        <v/>
      </c>
      <c r="CJ26" s="24">
        <f>+(CJ17*CJ24*CJ25)</f>
        <v/>
      </c>
      <c r="CK26" s="24">
        <f>+(CK17*CK24*CK25)</f>
        <v/>
      </c>
      <c r="CL26" s="24">
        <f>+(CL17*CL24*CL25)</f>
        <v/>
      </c>
      <c r="CM26" s="24">
        <f>+(CM17*CM24*CM25)</f>
        <v/>
      </c>
      <c r="CN26" s="24">
        <f>+(CN17*CN24*CN25)</f>
        <v/>
      </c>
      <c r="CO26" s="24">
        <f>+(CO17*CO24*CO25)</f>
        <v/>
      </c>
      <c r="CP26" s="24">
        <f>+(CP17*CP24*CP25)</f>
        <v/>
      </c>
      <c r="CQ26" s="24">
        <f>+(CQ17*CQ24*CQ25)</f>
        <v/>
      </c>
      <c r="CR26" s="24">
        <f>+(CR17*CR24*CR25)</f>
        <v/>
      </c>
      <c r="CS26" s="24">
        <f>+(CS17*CS24*CS25)</f>
        <v/>
      </c>
      <c r="CT26" s="24">
        <f>+(CT17*CT24*CT25)</f>
        <v/>
      </c>
      <c r="CU26" s="327">
        <f>+(CU17*CU24*CU25)</f>
        <v/>
      </c>
      <c r="CV26" s="24">
        <f>+(CV17*CV24*CV25)</f>
        <v/>
      </c>
      <c r="CW26" s="24">
        <f>+(CW17*CW24*CW25)</f>
        <v/>
      </c>
      <c r="CX26" s="24">
        <f>+(CX17*CX24*CX25)</f>
        <v/>
      </c>
      <c r="CY26" s="24">
        <f>+(CY17*CY24*CY25)</f>
        <v/>
      </c>
      <c r="CZ26" s="24">
        <f>+(CZ17*CZ24*CZ25)</f>
        <v/>
      </c>
      <c r="DA26" s="24">
        <f>+(DA17*DA24*DA25)</f>
        <v/>
      </c>
      <c r="DB26" s="24">
        <f>+(DB17*DB24*DB25)</f>
        <v/>
      </c>
      <c r="DC26" s="24">
        <f>+(DC17*DC24*DC25)</f>
        <v/>
      </c>
      <c r="DD26" s="24">
        <f>+(DD17*DD24*DD25)</f>
        <v/>
      </c>
      <c r="DE26" s="24">
        <f>+(DE17*DE24*DE25)</f>
        <v/>
      </c>
      <c r="DF26" s="24">
        <f>+(DF17*DF24*DF25)</f>
        <v/>
      </c>
      <c r="DG26" s="25">
        <f>+(DG17*DG24*DG25)</f>
        <v/>
      </c>
    </row>
    <row r="27" hidden="1" ht="18" customHeight="1">
      <c r="A27" s="36" t="n"/>
      <c r="B27" s="36" t="n"/>
      <c r="C27" s="489" t="inlineStr">
        <is>
          <t>River Hours</t>
        </is>
      </c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>
        <v>3.75</v>
      </c>
      <c r="M27" s="15" t="n">
        <v>14.75</v>
      </c>
      <c r="N27" s="15" t="n">
        <v>13.5</v>
      </c>
      <c r="O27" s="15" t="n">
        <v>14</v>
      </c>
      <c r="P27" s="49" t="n">
        <v>14</v>
      </c>
      <c r="Q27" s="49" t="n">
        <v>14</v>
      </c>
      <c r="R27" s="49" t="n">
        <v>5.5</v>
      </c>
      <c r="S27" s="49" t="n">
        <v>4.5</v>
      </c>
      <c r="T27" s="49" t="n">
        <v>5</v>
      </c>
      <c r="U27" s="49" t="n">
        <v>25.75</v>
      </c>
      <c r="V27" s="49" t="n">
        <v>11.75</v>
      </c>
      <c r="W27" s="49" t="n">
        <v>0</v>
      </c>
      <c r="X27" s="49" t="n">
        <v>0</v>
      </c>
      <c r="Y27" s="49" t="n">
        <v>0</v>
      </c>
      <c r="Z27" s="49" t="n">
        <v>0</v>
      </c>
      <c r="AA27" s="519" t="n">
        <v>0</v>
      </c>
      <c r="AB27" s="317" t="n">
        <v>0</v>
      </c>
      <c r="AC27" s="317" t="n">
        <v>0</v>
      </c>
      <c r="AD27" s="317" t="n">
        <v>0</v>
      </c>
      <c r="AE27" s="317" t="n">
        <v>0</v>
      </c>
      <c r="AF27" s="317" t="n">
        <v>0</v>
      </c>
      <c r="AG27" s="317" t="n">
        <v>0</v>
      </c>
      <c r="AH27" s="317" t="n">
        <v>0</v>
      </c>
      <c r="AI27" s="317" t="n">
        <v>0</v>
      </c>
      <c r="AJ27" s="317" t="n">
        <v>0</v>
      </c>
      <c r="AK27" s="317" t="n">
        <v>0</v>
      </c>
      <c r="AL27" s="317" t="n">
        <v>0</v>
      </c>
      <c r="AM27" s="524" t="n">
        <v>0</v>
      </c>
      <c r="AN27" s="317" t="n">
        <v>0</v>
      </c>
      <c r="AO27" s="317" t="n">
        <v>0</v>
      </c>
      <c r="AP27" s="317" t="n">
        <v>0</v>
      </c>
      <c r="AQ27" s="317" t="n">
        <v>0</v>
      </c>
      <c r="AR27" s="317" t="n">
        <v>0</v>
      </c>
      <c r="AS27" s="317" t="n">
        <v>0</v>
      </c>
      <c r="AT27" s="317" t="n">
        <v>0</v>
      </c>
      <c r="AU27" s="317" t="n">
        <v>0</v>
      </c>
      <c r="AV27" s="317" t="n">
        <v>0</v>
      </c>
      <c r="AW27" s="589" t="n">
        <v>0</v>
      </c>
      <c r="AX27" s="24" t="n">
        <v>0</v>
      </c>
      <c r="AY27" s="25">
        <f>AX27</f>
        <v/>
      </c>
      <c r="AZ27" s="24">
        <f>AY27</f>
        <v/>
      </c>
      <c r="BA27" s="24">
        <f>AZ27</f>
        <v/>
      </c>
      <c r="BB27" s="24">
        <f>BA27</f>
        <v/>
      </c>
      <c r="BC27" s="24">
        <f>BB27</f>
        <v/>
      </c>
      <c r="BD27" s="24">
        <f>BC27</f>
        <v/>
      </c>
      <c r="BE27" s="24">
        <f>BD27</f>
        <v/>
      </c>
      <c r="BF27" s="24">
        <f>BE27</f>
        <v/>
      </c>
      <c r="BG27" s="24">
        <f>BF27</f>
        <v/>
      </c>
      <c r="BH27" s="24">
        <f>BG27</f>
        <v/>
      </c>
      <c r="BI27" s="24">
        <f>BH27</f>
        <v/>
      </c>
      <c r="BJ27" s="24">
        <f>BI27</f>
        <v/>
      </c>
      <c r="BK27" s="327">
        <f>BJ27</f>
        <v/>
      </c>
      <c r="BL27" s="24">
        <f>BK27</f>
        <v/>
      </c>
      <c r="BM27" s="24">
        <f>BL27</f>
        <v/>
      </c>
      <c r="BN27" s="24">
        <f>BM27</f>
        <v/>
      </c>
      <c r="BO27" s="24">
        <f>BN27</f>
        <v/>
      </c>
      <c r="BP27" s="24">
        <f>BO27</f>
        <v/>
      </c>
      <c r="BQ27" s="24">
        <f>BP27</f>
        <v/>
      </c>
      <c r="BR27" s="24">
        <f>BQ27</f>
        <v/>
      </c>
      <c r="BS27" s="24">
        <f>BR27</f>
        <v/>
      </c>
      <c r="BT27" s="24">
        <f>BS27</f>
        <v/>
      </c>
      <c r="BU27" s="24">
        <f>BT27</f>
        <v/>
      </c>
      <c r="BV27" s="24">
        <f>BU27</f>
        <v/>
      </c>
      <c r="BW27" s="327">
        <f>BV27</f>
        <v/>
      </c>
      <c r="BX27" s="24">
        <f>BW27</f>
        <v/>
      </c>
      <c r="BY27" s="24">
        <f>BX27</f>
        <v/>
      </c>
      <c r="BZ27" s="24">
        <f>BY27</f>
        <v/>
      </c>
      <c r="CA27" s="24">
        <f>BZ27</f>
        <v/>
      </c>
      <c r="CB27" s="24">
        <f>CA27</f>
        <v/>
      </c>
      <c r="CC27" s="24">
        <f>CB27</f>
        <v/>
      </c>
      <c r="CD27" s="24">
        <f>CC27</f>
        <v/>
      </c>
      <c r="CE27" s="24">
        <f>CD27</f>
        <v/>
      </c>
      <c r="CF27" s="24">
        <f>CE27</f>
        <v/>
      </c>
      <c r="CG27" s="24">
        <f>CF27</f>
        <v/>
      </c>
      <c r="CH27" s="24">
        <f>CG27</f>
        <v/>
      </c>
      <c r="CI27" s="327">
        <f>CH27</f>
        <v/>
      </c>
      <c r="CJ27" s="24">
        <f>CI27</f>
        <v/>
      </c>
      <c r="CK27" s="24">
        <f>CJ27</f>
        <v/>
      </c>
      <c r="CL27" s="24">
        <f>CK27</f>
        <v/>
      </c>
      <c r="CM27" s="24">
        <f>CL27</f>
        <v/>
      </c>
      <c r="CN27" s="24">
        <f>CM27</f>
        <v/>
      </c>
      <c r="CO27" s="24">
        <f>CN27</f>
        <v/>
      </c>
      <c r="CP27" s="24">
        <f>CO27</f>
        <v/>
      </c>
      <c r="CQ27" s="24">
        <f>CP27</f>
        <v/>
      </c>
      <c r="CR27" s="24">
        <f>CQ27</f>
        <v/>
      </c>
      <c r="CS27" s="24">
        <f>CR27</f>
        <v/>
      </c>
      <c r="CT27" s="24">
        <f>CS27</f>
        <v/>
      </c>
      <c r="CU27" s="327">
        <f>CT27</f>
        <v/>
      </c>
      <c r="CV27" s="24">
        <f>CU27</f>
        <v/>
      </c>
      <c r="CW27" s="24">
        <f>CV27</f>
        <v/>
      </c>
      <c r="CX27" s="24">
        <f>CW27</f>
        <v/>
      </c>
      <c r="CY27" s="24">
        <f>CX27</f>
        <v/>
      </c>
      <c r="CZ27" s="24">
        <f>CY27</f>
        <v/>
      </c>
      <c r="DA27" s="24">
        <f>CZ27</f>
        <v/>
      </c>
      <c r="DB27" s="24">
        <f>DA27</f>
        <v/>
      </c>
      <c r="DC27" s="24">
        <f>DB27</f>
        <v/>
      </c>
      <c r="DD27" s="24">
        <f>DC27</f>
        <v/>
      </c>
      <c r="DE27" s="24">
        <f>DD27</f>
        <v/>
      </c>
      <c r="DF27" s="24">
        <f>DE27</f>
        <v/>
      </c>
      <c r="DG27" s="25">
        <f>DF27</f>
        <v/>
      </c>
    </row>
    <row r="28" ht="18" customHeight="1">
      <c r="A28" s="36" t="n"/>
      <c r="B28" s="36" t="n"/>
      <c r="C28" s="489" t="inlineStr">
        <is>
          <t>Total Tutoring Hours</t>
        </is>
      </c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49" t="n">
        <v>21.5</v>
      </c>
      <c r="Q28" s="49">
        <f>8.25+5</f>
        <v/>
      </c>
      <c r="R28" s="49" t="n">
        <v>18.25</v>
      </c>
      <c r="S28" s="49" t="n">
        <v>16.25</v>
      </c>
      <c r="T28" s="49" t="n">
        <v>37</v>
      </c>
      <c r="U28" s="49" t="n">
        <v>40.75</v>
      </c>
      <c r="V28" s="49" t="n">
        <v>22</v>
      </c>
      <c r="W28" s="49" t="n">
        <v>56.25</v>
      </c>
      <c r="X28" s="49" t="n">
        <v>60</v>
      </c>
      <c r="Y28" s="49" t="n">
        <v>58.5</v>
      </c>
      <c r="Z28" s="49" t="n">
        <v>47.75</v>
      </c>
      <c r="AA28" s="519" t="n">
        <v>21.75</v>
      </c>
      <c r="AB28" s="317" t="n">
        <v>22.25</v>
      </c>
      <c r="AC28" s="317" t="n">
        <v>36</v>
      </c>
      <c r="AD28" s="317" t="n">
        <v>25.75</v>
      </c>
      <c r="AE28" s="317" t="n">
        <v>32</v>
      </c>
      <c r="AF28" s="317" t="n">
        <v>27.5</v>
      </c>
      <c r="AG28" s="317" t="n">
        <v>14</v>
      </c>
      <c r="AH28" s="317" t="n">
        <v>15.5</v>
      </c>
      <c r="AI28" s="317" t="n">
        <v>14</v>
      </c>
      <c r="AJ28" s="317" t="n">
        <v>4.75</v>
      </c>
      <c r="AK28" s="317" t="n">
        <v>2.25</v>
      </c>
      <c r="AL28" s="317" t="n">
        <v>10</v>
      </c>
      <c r="AM28" s="524" t="n">
        <v>8</v>
      </c>
      <c r="AN28" s="317" t="n">
        <v>4.25</v>
      </c>
      <c r="AO28" s="317" t="n">
        <v>13</v>
      </c>
      <c r="AP28" s="317" t="n">
        <v>20.5</v>
      </c>
      <c r="AQ28" s="317" t="n">
        <v>5</v>
      </c>
      <c r="AR28" s="317" t="n">
        <v>3.75</v>
      </c>
      <c r="AS28" s="317" t="n">
        <v>0</v>
      </c>
      <c r="AT28" s="317" t="n">
        <v>2.25</v>
      </c>
      <c r="AU28" s="317" t="n">
        <v>11.25</v>
      </c>
      <c r="AV28" s="317" t="n">
        <v>19.25</v>
      </c>
      <c r="AW28" s="589" t="n">
        <v>24.5</v>
      </c>
      <c r="AX28" s="19">
        <f>+IFERROR(AX$26*(AL28/AL$26), 0)</f>
        <v/>
      </c>
      <c r="AY28" s="25">
        <f>+IFERROR(AY$26*(AM28/AM$26), 0)</f>
        <v/>
      </c>
      <c r="AZ28" s="24">
        <f>+IFERROR(AZ$26*(AN28/AN$26), 0)</f>
        <v/>
      </c>
      <c r="BA28" s="24">
        <f>+IFERROR(BA$26*(AO28/AO$26), 0)</f>
        <v/>
      </c>
      <c r="BB28" s="24">
        <f>+IFERROR(BB$26*(AP28/AP$26), 0)</f>
        <v/>
      </c>
      <c r="BC28" s="24">
        <f>+IFERROR(BC$26*(AQ28/AQ$26), 0)</f>
        <v/>
      </c>
      <c r="BD28" s="24">
        <f>+IFERROR(BD$26*(AR28/AR$26), 0)</f>
        <v/>
      </c>
      <c r="BE28" s="24">
        <f>+IFERROR(BE$26*(AS28/AS$26), 0)</f>
        <v/>
      </c>
      <c r="BF28" s="24">
        <f>+IFERROR(BF$26*(AT28/AT$26), 0)</f>
        <v/>
      </c>
      <c r="BG28" s="24">
        <f>+IFERROR(BG$26*(AU28/AU$26), 0)</f>
        <v/>
      </c>
      <c r="BH28" s="24">
        <f>+IFERROR(BH$26*(AV28/AV$26), 0)</f>
        <v/>
      </c>
      <c r="BI28" s="24">
        <f>+IFERROR(BI$26*(AW28/AW$26), 0)</f>
        <v/>
      </c>
      <c r="BJ28" s="24">
        <f>+IFERROR(BJ$26*(AX28/AX$26), 0)</f>
        <v/>
      </c>
      <c r="BK28" s="327">
        <f>+IFERROR(BK$26*(AY28/AY$26), 0)</f>
        <v/>
      </c>
      <c r="BL28" s="24">
        <f>+IFERROR(BL$26*(AZ28/AZ$26), 0)</f>
        <v/>
      </c>
      <c r="BM28" s="24">
        <f>+IFERROR(BM$26*(BA28/BA$26), 0)</f>
        <v/>
      </c>
      <c r="BN28" s="24">
        <f>+IFERROR(BN$26*(BB28/BB$26), 0)</f>
        <v/>
      </c>
      <c r="BO28" s="24">
        <f>+IFERROR(BO$26*(BC28/BC$26), 0)</f>
        <v/>
      </c>
      <c r="BP28" s="24">
        <f>+IFERROR(BP$26*(BD28/BD$26), 0)</f>
        <v/>
      </c>
      <c r="BQ28" s="24">
        <f>+IFERROR(BQ$26*(BE28/BE$26), 0)</f>
        <v/>
      </c>
      <c r="BR28" s="24">
        <f>+IFERROR(BR$26*(BF28/BF$26), 0)</f>
        <v/>
      </c>
      <c r="BS28" s="24">
        <f>+IFERROR(BS$26*(BG28/BG$26), 0)</f>
        <v/>
      </c>
      <c r="BT28" s="24">
        <f>+IFERROR(BT$26*(BH28/BH$26), 0)</f>
        <v/>
      </c>
      <c r="BU28" s="24">
        <f>+IFERROR(BU$26*(BI28/BI$26), 0)</f>
        <v/>
      </c>
      <c r="BV28" s="24">
        <f>+IFERROR(BV$26*(BJ28/BJ$26), 0)</f>
        <v/>
      </c>
      <c r="BW28" s="327">
        <f>+IFERROR(BW$26*(BK28/BK$26), 0)</f>
        <v/>
      </c>
      <c r="BX28" s="24">
        <f>+IFERROR(BX$26*(BL28/BL$26), 0)</f>
        <v/>
      </c>
      <c r="BY28" s="24">
        <f>+IFERROR(BY$26*(BM28/BM$26), 0)</f>
        <v/>
      </c>
      <c r="BZ28" s="24">
        <f>+IFERROR(BZ$26*(BN28/BN$26), 0)</f>
        <v/>
      </c>
      <c r="CA28" s="24">
        <f>+IFERROR(CA$26*(BO28/BO$26), 0)</f>
        <v/>
      </c>
      <c r="CB28" s="24">
        <f>+IFERROR(CB$26*(BP28/BP$26), 0)</f>
        <v/>
      </c>
      <c r="CC28" s="24">
        <f>+IFERROR(CC$26*(BQ28/BQ$26), 0)</f>
        <v/>
      </c>
      <c r="CD28" s="24">
        <f>+IFERROR(CD$26*(BR28/BR$26), 0)</f>
        <v/>
      </c>
      <c r="CE28" s="24">
        <f>+IFERROR(CE$26*(BS28/BS$26), 0)</f>
        <v/>
      </c>
      <c r="CF28" s="24">
        <f>+IFERROR(CF$26*(BT28/BT$26), 0)</f>
        <v/>
      </c>
      <c r="CG28" s="24">
        <f>+IFERROR(CG$26*(BU28/BU$26), 0)</f>
        <v/>
      </c>
      <c r="CH28" s="24">
        <f>+IFERROR(CH$26*(BV28/BV$26), 0)</f>
        <v/>
      </c>
      <c r="CI28" s="327">
        <f>+IFERROR(CI$26*(BW28/BW$26), 0)</f>
        <v/>
      </c>
      <c r="CJ28" s="24">
        <f>+IFERROR(CJ$26*(BX28/BX$26), 0)</f>
        <v/>
      </c>
      <c r="CK28" s="24">
        <f>+IFERROR(CK$26*(BY28/BY$26), 0)</f>
        <v/>
      </c>
      <c r="CL28" s="24">
        <f>+IFERROR(CL$26*(BZ28/BZ$26), 0)</f>
        <v/>
      </c>
      <c r="CM28" s="24">
        <f>+IFERROR(CM$26*(CA28/CA$26), 0)</f>
        <v/>
      </c>
      <c r="CN28" s="24">
        <f>+IFERROR(CN$26*(CB28/CB$26), 0)</f>
        <v/>
      </c>
      <c r="CO28" s="24">
        <f>+IFERROR(CO$26*(CC28/CC$26), 0)</f>
        <v/>
      </c>
      <c r="CP28" s="24">
        <f>+IFERROR(CP$26*(CD28/CD$26), 0)</f>
        <v/>
      </c>
      <c r="CQ28" s="24">
        <f>+IFERROR(CQ$26*(CE28/CE$26), 0)</f>
        <v/>
      </c>
      <c r="CR28" s="24">
        <f>+IFERROR(CR$26*(CF28/CF$26), 0)</f>
        <v/>
      </c>
      <c r="CS28" s="24">
        <f>+IFERROR(CS$26*(CG28/CG$26), 0)</f>
        <v/>
      </c>
      <c r="CT28" s="24">
        <f>+IFERROR(CT$26*(CH28/CH$26), 0)</f>
        <v/>
      </c>
      <c r="CU28" s="327">
        <f>+IFERROR(CU$26*(CI28/CI$26), 0)</f>
        <v/>
      </c>
      <c r="CV28" s="24">
        <f>+IFERROR(CV$26*(CJ28/CJ$26), 0)</f>
        <v/>
      </c>
      <c r="CW28" s="24">
        <f>+IFERROR(CW$26*(CK28/CK$26), 0)</f>
        <v/>
      </c>
      <c r="CX28" s="24">
        <f>+IFERROR(CX$26*(CL28/CL$26), 0)</f>
        <v/>
      </c>
      <c r="CY28" s="24">
        <f>+IFERROR(CY$26*(CM28/CM$26), 0)</f>
        <v/>
      </c>
      <c r="CZ28" s="24">
        <f>+IFERROR(CZ$26*(CN28/CN$26), 0)</f>
        <v/>
      </c>
      <c r="DA28" s="24">
        <f>+IFERROR(DA$26*(CO28/CO$26), 0)</f>
        <v/>
      </c>
      <c r="DB28" s="24">
        <f>+IFERROR(DB$26*(CP28/CP$26), 0)</f>
        <v/>
      </c>
      <c r="DC28" s="24">
        <f>+IFERROR(DC$26*(CQ28/CQ$26), 0)</f>
        <v/>
      </c>
      <c r="DD28" s="24">
        <f>+IFERROR(DD$26*(CR28/CR$26), 0)</f>
        <v/>
      </c>
      <c r="DE28" s="24">
        <f>+IFERROR(DE$26*(CS28/CS$26), 0)</f>
        <v/>
      </c>
      <c r="DF28" s="24">
        <f>+IFERROR(DF$26*(CT28/CT$26), 0)</f>
        <v/>
      </c>
      <c r="DG28" s="25">
        <f>+IFERROR(DG$26*(CU28/CU$26), 0)</f>
        <v/>
      </c>
    </row>
    <row r="29" ht="18" customHeight="1">
      <c r="A29" s="36" t="n"/>
      <c r="B29" s="36" t="n"/>
      <c r="C29" s="489" t="inlineStr">
        <is>
          <t>Total SAT/ACT Prep Hours</t>
        </is>
      </c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2.5</v>
      </c>
      <c r="W29" s="49" t="n">
        <v>1</v>
      </c>
      <c r="X29" s="49" t="n">
        <v>25.25</v>
      </c>
      <c r="Y29" s="49" t="n">
        <v>22.5</v>
      </c>
      <c r="Z29" s="49" t="n">
        <v>16.5</v>
      </c>
      <c r="AA29" s="519" t="n">
        <v>10</v>
      </c>
      <c r="AB29" s="317" t="n">
        <v>18.5</v>
      </c>
      <c r="AC29" s="317" t="n">
        <v>35.25</v>
      </c>
      <c r="AD29" s="317" t="n">
        <v>24.5</v>
      </c>
      <c r="AE29" s="317" t="n">
        <v>32.25</v>
      </c>
      <c r="AF29" s="317" t="n">
        <v>60.75</v>
      </c>
      <c r="AG29" s="317" t="n">
        <v>24.5</v>
      </c>
      <c r="AH29" s="317" t="n">
        <v>68.25</v>
      </c>
      <c r="AI29" s="317" t="n">
        <v>126.75</v>
      </c>
      <c r="AJ29" s="317" t="n">
        <v>22</v>
      </c>
      <c r="AK29" s="317" t="n">
        <v>30.5</v>
      </c>
      <c r="AL29" s="317" t="n">
        <v>14</v>
      </c>
      <c r="AM29" s="524" t="n">
        <v>25</v>
      </c>
      <c r="AN29" s="317" t="n">
        <v>46.75</v>
      </c>
      <c r="AO29" s="317" t="n">
        <v>63</v>
      </c>
      <c r="AP29" s="317" t="n">
        <v>74.25</v>
      </c>
      <c r="AQ29" s="317" t="n">
        <v>37</v>
      </c>
      <c r="AR29" s="317" t="n">
        <v>66.75</v>
      </c>
      <c r="AS29" s="317" t="n">
        <v>27.5</v>
      </c>
      <c r="AT29" s="317" t="n">
        <v>67.75</v>
      </c>
      <c r="AU29" s="317" t="n">
        <v>78.25</v>
      </c>
      <c r="AV29" s="317" t="n">
        <v>106</v>
      </c>
      <c r="AW29" s="589" t="n">
        <v>57.75</v>
      </c>
      <c r="AX29" s="24">
        <f>+IFERROR(AX$26*(AL29/AL$26), 0)</f>
        <v/>
      </c>
      <c r="AY29" s="25">
        <f>+IFERROR(AY$26*(AM29/AM$26), 0)</f>
        <v/>
      </c>
      <c r="AZ29" s="24">
        <f>+IFERROR(AZ$26*(AN29/AN$26), 0)</f>
        <v/>
      </c>
      <c r="BA29" s="24">
        <f>+IFERROR(BA$26*(AO29/AO$26), 0)</f>
        <v/>
      </c>
      <c r="BB29" s="24">
        <f>+IFERROR(BB$26*(AP29/AP$26), 0)</f>
        <v/>
      </c>
      <c r="BC29" s="24">
        <f>+IFERROR(BC$26*(AQ29/AQ$26), 0)</f>
        <v/>
      </c>
      <c r="BD29" s="24">
        <f>+IFERROR(BD$26*(AR29/AR$26), 0)</f>
        <v/>
      </c>
      <c r="BE29" s="24">
        <f>+IFERROR(BE$26*(AS29/AS$26), 0)</f>
        <v/>
      </c>
      <c r="BF29" s="24">
        <f>+IFERROR(BF$26*(AT29/AT$26), 0)</f>
        <v/>
      </c>
      <c r="BG29" s="24">
        <f>+IFERROR(BG$26*(AU29/AU$26), 0)</f>
        <v/>
      </c>
      <c r="BH29" s="24">
        <f>+IFERROR(BH$26*(AV29/AV$26), 0)</f>
        <v/>
      </c>
      <c r="BI29" s="24">
        <f>+IFERROR(BI$26*(AW29/AW$26), 0)</f>
        <v/>
      </c>
      <c r="BJ29" s="24">
        <f>+IFERROR(BJ$26*(AX29/AX$26), 0)</f>
        <v/>
      </c>
      <c r="BK29" s="327">
        <f>+IFERROR(BK$26*(AY29/AY$26), 0)</f>
        <v/>
      </c>
      <c r="BL29" s="24">
        <f>+IFERROR(BL$26*(AZ29/AZ$26), 0)</f>
        <v/>
      </c>
      <c r="BM29" s="24">
        <f>+IFERROR(BM$26*(BA29/BA$26), 0)</f>
        <v/>
      </c>
      <c r="BN29" s="24">
        <f>+IFERROR(BN$26*(BB29/BB$26), 0)</f>
        <v/>
      </c>
      <c r="BO29" s="24">
        <f>+IFERROR(BO$26*(BC29/BC$26), 0)</f>
        <v/>
      </c>
      <c r="BP29" s="24">
        <f>+IFERROR(BP$26*(BD29/BD$26), 0)</f>
        <v/>
      </c>
      <c r="BQ29" s="24">
        <f>+IFERROR(BQ$26*(BE29/BE$26), 0)</f>
        <v/>
      </c>
      <c r="BR29" s="24">
        <f>+IFERROR(BR$26*(BF29/BF$26), 0)</f>
        <v/>
      </c>
      <c r="BS29" s="24">
        <f>+IFERROR(BS$26*(BG29/BG$26), 0)</f>
        <v/>
      </c>
      <c r="BT29" s="24">
        <f>+IFERROR(BT$26*(BH29/BH$26), 0)</f>
        <v/>
      </c>
      <c r="BU29" s="24">
        <f>+IFERROR(BU$26*(BI29/BI$26), 0)</f>
        <v/>
      </c>
      <c r="BV29" s="24">
        <f>+IFERROR(BV$26*(BJ29/BJ$26), 0)</f>
        <v/>
      </c>
      <c r="BW29" s="327">
        <f>+IFERROR(BW$26*(BK29/BK$26), 0)</f>
        <v/>
      </c>
      <c r="BX29" s="24">
        <f>+IFERROR(BX$26*(BL29/BL$26), 0)</f>
        <v/>
      </c>
      <c r="BY29" s="24">
        <f>+IFERROR(BY$26*(BM29/BM$26), 0)</f>
        <v/>
      </c>
      <c r="BZ29" s="24">
        <f>+IFERROR(BZ$26*(BN29/BN$26), 0)</f>
        <v/>
      </c>
      <c r="CA29" s="24">
        <f>+IFERROR(CA$26*(BO29/BO$26), 0)</f>
        <v/>
      </c>
      <c r="CB29" s="24">
        <f>+IFERROR(CB$26*(BP29/BP$26), 0)</f>
        <v/>
      </c>
      <c r="CC29" s="24">
        <f>+IFERROR(CC$26*(BQ29/BQ$26), 0)</f>
        <v/>
      </c>
      <c r="CD29" s="24">
        <f>+IFERROR(CD$26*(BR29/BR$26), 0)</f>
        <v/>
      </c>
      <c r="CE29" s="24">
        <f>+IFERROR(CE$26*(BS29/BS$26), 0)</f>
        <v/>
      </c>
      <c r="CF29" s="24">
        <f>+IFERROR(CF$26*(BT29/BT$26), 0)</f>
        <v/>
      </c>
      <c r="CG29" s="24">
        <f>+IFERROR(CG$26*(BU29/BU$26), 0)</f>
        <v/>
      </c>
      <c r="CH29" s="24">
        <f>+IFERROR(CH$26*(BV29/BV$26), 0)</f>
        <v/>
      </c>
      <c r="CI29" s="327">
        <f>+IFERROR(CI$26*(BW29/BW$26), 0)</f>
        <v/>
      </c>
      <c r="CJ29" s="24">
        <f>+IFERROR(CJ$26*(BX29/BX$26), 0)</f>
        <v/>
      </c>
      <c r="CK29" s="24">
        <f>+IFERROR(CK$26*(BY29/BY$26), 0)</f>
        <v/>
      </c>
      <c r="CL29" s="24">
        <f>+IFERROR(CL$26*(BZ29/BZ$26), 0)</f>
        <v/>
      </c>
      <c r="CM29" s="24">
        <f>+IFERROR(CM$26*(CA29/CA$26), 0)</f>
        <v/>
      </c>
      <c r="CN29" s="24">
        <f>+IFERROR(CN$26*(CB29/CB$26), 0)</f>
        <v/>
      </c>
      <c r="CO29" s="24">
        <f>+IFERROR(CO$26*(CC29/CC$26), 0)</f>
        <v/>
      </c>
      <c r="CP29" s="24">
        <f>+IFERROR(CP$26*(CD29/CD$26), 0)</f>
        <v/>
      </c>
      <c r="CQ29" s="24">
        <f>+IFERROR(CQ$26*(CE29/CE$26), 0)</f>
        <v/>
      </c>
      <c r="CR29" s="24">
        <f>+IFERROR(CR$26*(CF29/CF$26), 0)</f>
        <v/>
      </c>
      <c r="CS29" s="24">
        <f>+IFERROR(CS$26*(CG29/CG$26), 0)</f>
        <v/>
      </c>
      <c r="CT29" s="24">
        <f>+IFERROR(CT$26*(CH29/CH$26), 0)</f>
        <v/>
      </c>
      <c r="CU29" s="327">
        <f>+IFERROR(CU$26*(CI29/CI$26), 0)</f>
        <v/>
      </c>
      <c r="CV29" s="24">
        <f>+IFERROR(CV$26*(CJ29/CJ$26), 0)</f>
        <v/>
      </c>
      <c r="CW29" s="24">
        <f>+IFERROR(CW$26*(CK29/CK$26), 0)</f>
        <v/>
      </c>
      <c r="CX29" s="24">
        <f>+IFERROR(CX$26*(CL29/CL$26), 0)</f>
        <v/>
      </c>
      <c r="CY29" s="24">
        <f>+IFERROR(CY$26*(CM29/CM$26), 0)</f>
        <v/>
      </c>
      <c r="CZ29" s="24">
        <f>+IFERROR(CZ$26*(CN29/CN$26), 0)</f>
        <v/>
      </c>
      <c r="DA29" s="24">
        <f>+IFERROR(DA$26*(CO29/CO$26), 0)</f>
        <v/>
      </c>
      <c r="DB29" s="24">
        <f>+IFERROR(DB$26*(CP29/CP$26), 0)</f>
        <v/>
      </c>
      <c r="DC29" s="24">
        <f>+IFERROR(DC$26*(CQ29/CQ$26), 0)</f>
        <v/>
      </c>
      <c r="DD29" s="24">
        <f>+IFERROR(DD$26*(CR29/CR$26), 0)</f>
        <v/>
      </c>
      <c r="DE29" s="24">
        <f>+IFERROR(DE$26*(CS29/CS$26), 0)</f>
        <v/>
      </c>
      <c r="DF29" s="24">
        <f>+IFERROR(DF$26*(CT29/CT$26), 0)</f>
        <v/>
      </c>
      <c r="DG29" s="25">
        <f>+IFERROR(DG$26*(CU29/CU$26), 0)</f>
        <v/>
      </c>
    </row>
    <row r="30" ht="18" customHeight="1">
      <c r="A30" s="36" t="n"/>
      <c r="B30" s="36" t="n"/>
      <c r="C30" s="489" t="inlineStr">
        <is>
          <t>Total Resume Review</t>
        </is>
      </c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9" t="n"/>
      <c r="Z30" s="49" t="n"/>
      <c r="AA30" s="519" t="n"/>
      <c r="AB30" s="317" t="n"/>
      <c r="AC30" s="317" t="n"/>
      <c r="AD30" s="317" t="n"/>
      <c r="AE30" s="317" t="n"/>
      <c r="AF30" s="317" t="n"/>
      <c r="AG30" s="317" t="n"/>
      <c r="AH30" s="317" t="n"/>
      <c r="AI30" s="317" t="n">
        <v>12.25</v>
      </c>
      <c r="AJ30" s="317" t="n">
        <v>15.25</v>
      </c>
      <c r="AK30" s="317" t="n">
        <v>21.5</v>
      </c>
      <c r="AL30" s="317" t="n">
        <v>1.75</v>
      </c>
      <c r="AM30" s="524" t="n">
        <v>0</v>
      </c>
      <c r="AN30" s="317" t="n">
        <v>0</v>
      </c>
      <c r="AO30" s="317" t="n">
        <v>3.75</v>
      </c>
      <c r="AP30" s="317" t="n"/>
      <c r="AQ30" s="317" t="n"/>
      <c r="AR30" s="317" t="n">
        <v>2.25</v>
      </c>
      <c r="AS30" s="317" t="n">
        <v>5.5</v>
      </c>
      <c r="AT30" s="317" t="n">
        <v>8.75</v>
      </c>
      <c r="AU30" s="317" t="n">
        <v>12.25</v>
      </c>
      <c r="AV30" s="317" t="n">
        <v>16.75</v>
      </c>
      <c r="AW30" s="589">
        <f>17+1.25</f>
        <v/>
      </c>
      <c r="AX30" s="713">
        <f>+IFERROR(AX$26*(AL30/AL$26), 0)</f>
        <v/>
      </c>
      <c r="AY30" s="25">
        <f>+IFERROR(AY$26*(AM30/AM$26), 0)</f>
        <v/>
      </c>
      <c r="AZ30" s="24">
        <f>+IFERROR(AZ$26*(AN30/AN$26), 0)</f>
        <v/>
      </c>
      <c r="BA30" s="24">
        <f>+IFERROR(BA$26*(AO30/AO$26), 0)</f>
        <v/>
      </c>
      <c r="BB30" s="24">
        <f>+IFERROR(BB$26*(AP30/AP$26), 0)</f>
        <v/>
      </c>
      <c r="BC30" s="24">
        <f>+IFERROR(BC$26*(AQ30/AQ$26), 0)</f>
        <v/>
      </c>
      <c r="BD30" s="24">
        <f>+IFERROR(BD$26*(AR30/AR$26), 0)</f>
        <v/>
      </c>
      <c r="BE30" s="24">
        <f>+IFERROR(BE$26*(AS30/AS$26), 0)</f>
        <v/>
      </c>
      <c r="BF30" s="24">
        <f>+IFERROR(BF$26*(AT30/AT$26), 0)</f>
        <v/>
      </c>
      <c r="BG30" s="24">
        <f>+IFERROR(BG$26*(AU30/AU$26), 0)</f>
        <v/>
      </c>
      <c r="BH30" s="24">
        <f>+IFERROR(BH$26*(AV30/AV$26), 0)</f>
        <v/>
      </c>
      <c r="BI30" s="24">
        <f>+IFERROR(BI$26*(AW30/AW$26), 0)</f>
        <v/>
      </c>
      <c r="BJ30" s="24">
        <f>+IFERROR(BJ$26*(AX30/AX$26), 0)</f>
        <v/>
      </c>
      <c r="BK30" s="327">
        <f>+IFERROR(BK$26*(AY30/AY$26), 0)</f>
        <v/>
      </c>
      <c r="BL30" s="24">
        <f>+IFERROR(BL$26*(AZ30/AZ$26), 0)</f>
        <v/>
      </c>
      <c r="BM30" s="24">
        <f>+IFERROR(BM$26*(BA30/BA$26), 0)</f>
        <v/>
      </c>
      <c r="BN30" s="24">
        <f>+IFERROR(BN$26*(BB30/BB$26), 0)</f>
        <v/>
      </c>
      <c r="BO30" s="24">
        <f>+IFERROR(BO$26*(BC30/BC$26), 0)</f>
        <v/>
      </c>
      <c r="BP30" s="24">
        <f>+IFERROR(BP$26*(BD30/BD$26), 0)</f>
        <v/>
      </c>
      <c r="BQ30" s="24">
        <f>+IFERROR(BQ$26*(BE30/BE$26), 0)</f>
        <v/>
      </c>
      <c r="BR30" s="24">
        <f>+IFERROR(BR$26*(BF30/BF$26), 0)</f>
        <v/>
      </c>
      <c r="BS30" s="24">
        <f>+IFERROR(BS$26*(BG30/BG$26), 0)</f>
        <v/>
      </c>
      <c r="BT30" s="24">
        <f>+IFERROR(BT$26*(BH30/BH$26), 0)</f>
        <v/>
      </c>
      <c r="BU30" s="24">
        <f>+IFERROR(BU$26*(BI30/BI$26), 0)</f>
        <v/>
      </c>
      <c r="BV30" s="24">
        <f>+IFERROR(BV$26*(BJ30/BJ$26), 0)</f>
        <v/>
      </c>
      <c r="BW30" s="327">
        <f>+IFERROR(BW$26*(BK30/BK$26), 0)</f>
        <v/>
      </c>
      <c r="BX30" s="24">
        <f>+IFERROR(BX$26*(BL30/BL$26), 0)</f>
        <v/>
      </c>
      <c r="BY30" s="24">
        <f>+IFERROR(BY$26*(BM30/BM$26), 0)</f>
        <v/>
      </c>
      <c r="BZ30" s="24">
        <f>+IFERROR(BZ$26*(BN30/BN$26), 0)</f>
        <v/>
      </c>
      <c r="CA30" s="24">
        <f>+IFERROR(CA$26*(BO30/BO$26), 0)</f>
        <v/>
      </c>
      <c r="CB30" s="24">
        <f>+IFERROR(CB$26*(BP30/BP$26), 0)</f>
        <v/>
      </c>
      <c r="CC30" s="24">
        <f>+IFERROR(CC$26*(BQ30/BQ$26), 0)</f>
        <v/>
      </c>
      <c r="CD30" s="24">
        <f>+IFERROR(CD$26*(BR30/BR$26), 0)</f>
        <v/>
      </c>
      <c r="CE30" s="24">
        <f>+IFERROR(CE$26*(BS30/BS$26), 0)</f>
        <v/>
      </c>
      <c r="CF30" s="24">
        <f>+IFERROR(CF$26*(BT30/BT$26), 0)</f>
        <v/>
      </c>
      <c r="CG30" s="24">
        <f>+IFERROR(CG$26*(BU30/BU$26), 0)</f>
        <v/>
      </c>
      <c r="CH30" s="24">
        <f>+IFERROR(CH$26*(BV30/BV$26), 0)</f>
        <v/>
      </c>
      <c r="CI30" s="327">
        <f>+IFERROR(CI$26*(BW30/BW$26), 0)</f>
        <v/>
      </c>
      <c r="CJ30" s="24">
        <f>+IFERROR(CJ$26*(BX30/BX$26), 0)</f>
        <v/>
      </c>
      <c r="CK30" s="24">
        <f>+IFERROR(CK$26*(BY30/BY$26), 0)</f>
        <v/>
      </c>
      <c r="CL30" s="24">
        <f>+IFERROR(CL$26*(BZ30/BZ$26), 0)</f>
        <v/>
      </c>
      <c r="CM30" s="24">
        <f>+IFERROR(CM$26*(CA30/CA$26), 0)</f>
        <v/>
      </c>
      <c r="CN30" s="24">
        <f>+IFERROR(CN$26*(CB30/CB$26), 0)</f>
        <v/>
      </c>
      <c r="CO30" s="24">
        <f>+IFERROR(CO$26*(CC30/CC$26), 0)</f>
        <v/>
      </c>
      <c r="CP30" s="24">
        <f>+IFERROR(CP$26*(CD30/CD$26), 0)</f>
        <v/>
      </c>
      <c r="CQ30" s="24">
        <f>+IFERROR(CQ$26*(CE30/CE$26), 0)</f>
        <v/>
      </c>
      <c r="CR30" s="24">
        <f>+IFERROR(CR$26*(CF30/CF$26), 0)</f>
        <v/>
      </c>
      <c r="CS30" s="24">
        <f>+IFERROR(CS$26*(CG30/CG$26), 0)</f>
        <v/>
      </c>
      <c r="CT30" s="24">
        <f>+IFERROR(CT$26*(CH30/CH$26), 0)</f>
        <v/>
      </c>
      <c r="CU30" s="327">
        <f>+IFERROR(CU$26*(CI30/CI$26), 0)</f>
        <v/>
      </c>
      <c r="CV30" s="24">
        <f>+IFERROR(CV$26*(CJ30/CJ$26), 0)</f>
        <v/>
      </c>
      <c r="CW30" s="24">
        <f>+IFERROR(CW$26*(CK30/CK$26), 0)</f>
        <v/>
      </c>
      <c r="CX30" s="24">
        <f>+IFERROR(CX$26*(CL30/CL$26), 0)</f>
        <v/>
      </c>
      <c r="CY30" s="24">
        <f>+IFERROR(CY$26*(CM30/CM$26), 0)</f>
        <v/>
      </c>
      <c r="CZ30" s="24">
        <f>+IFERROR(CZ$26*(CN30/CN$26), 0)</f>
        <v/>
      </c>
      <c r="DA30" s="24">
        <f>+IFERROR(DA$26*(CO30/CO$26), 0)</f>
        <v/>
      </c>
      <c r="DB30" s="24">
        <f>+IFERROR(DB$26*(CP30/CP$26), 0)</f>
        <v/>
      </c>
      <c r="DC30" s="24">
        <f>+IFERROR(DC$26*(CQ30/CQ$26), 0)</f>
        <v/>
      </c>
      <c r="DD30" s="24">
        <f>+IFERROR(DD$26*(CR30/CR$26), 0)</f>
        <v/>
      </c>
      <c r="DE30" s="24">
        <f>+IFERROR(DE$26*(CS30/CS$26), 0)</f>
        <v/>
      </c>
      <c r="DF30" s="24">
        <f>+IFERROR(DF$26*(CT30/CT$26), 0)</f>
        <v/>
      </c>
      <c r="DG30" s="25">
        <f>+IFERROR(DG$26*(CU30/CU$26), 0)</f>
        <v/>
      </c>
    </row>
    <row r="31" ht="18" customHeight="1">
      <c r="A31" s="36" t="n"/>
      <c r="B31" s="36" t="n"/>
      <c r="C31" s="489" t="inlineStr">
        <is>
          <t>Total College Service Hours</t>
        </is>
      </c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49" t="n">
        <v>3</v>
      </c>
      <c r="Q31" s="49" t="n">
        <v>0</v>
      </c>
      <c r="R31" s="49" t="n">
        <v>0</v>
      </c>
      <c r="S31" s="49" t="n">
        <v>1</v>
      </c>
      <c r="T31" s="49" t="n">
        <v>0</v>
      </c>
      <c r="U31" s="49" t="n">
        <v>1.25</v>
      </c>
      <c r="V31" s="49" t="n">
        <v>7.25</v>
      </c>
      <c r="W31" s="49" t="n">
        <v>27</v>
      </c>
      <c r="X31" s="49" t="n">
        <v>45.25</v>
      </c>
      <c r="Y31" s="49" t="n">
        <v>55.25</v>
      </c>
      <c r="Z31" s="49" t="n">
        <v>17.75</v>
      </c>
      <c r="AA31" s="519" t="n">
        <v>0.75</v>
      </c>
      <c r="AB31" s="317" t="n">
        <v>3.25</v>
      </c>
      <c r="AC31" s="317" t="n">
        <v>2.25</v>
      </c>
      <c r="AD31" s="317" t="n">
        <v>4</v>
      </c>
      <c r="AE31" s="317" t="n">
        <v>0.5</v>
      </c>
      <c r="AF31" s="317" t="n">
        <v>1.25</v>
      </c>
      <c r="AG31" s="317" t="n">
        <v>20</v>
      </c>
      <c r="AH31" s="317" t="n">
        <v>52</v>
      </c>
      <c r="AI31" s="317" t="n">
        <v>68.75</v>
      </c>
      <c r="AJ31" s="317" t="n">
        <v>101.25</v>
      </c>
      <c r="AK31" s="317" t="n">
        <v>157.5</v>
      </c>
      <c r="AL31" s="317" t="n">
        <v>93</v>
      </c>
      <c r="AM31" s="524" t="n">
        <v>29.75</v>
      </c>
      <c r="AN31" s="317">
        <f>15+9.25+15.25</f>
        <v/>
      </c>
      <c r="AO31" s="317" t="n">
        <v>19.25</v>
      </c>
      <c r="AP31" s="580" t="n">
        <v>5.75</v>
      </c>
      <c r="AQ31" s="317" t="n">
        <v>4.75</v>
      </c>
      <c r="AR31" s="317" t="n">
        <v>3</v>
      </c>
      <c r="AS31" s="317" t="n">
        <v>30</v>
      </c>
      <c r="AT31" s="317" t="n">
        <v>61</v>
      </c>
      <c r="AU31" s="317" t="n">
        <v>82.75</v>
      </c>
      <c r="AV31" s="317" t="n">
        <v>117.25</v>
      </c>
      <c r="AW31" s="589" t="n">
        <v>207.5</v>
      </c>
      <c r="AX31" s="713">
        <f>+IFERROR(AX$26*(AL31/AL$26), 0)-50</f>
        <v/>
      </c>
      <c r="AY31" s="25">
        <f>+IFERROR(AY$26*(AM31/AM$26), 0)</f>
        <v/>
      </c>
      <c r="AZ31" s="24">
        <f>+IFERROR(AZ$26*(AN31/AN$26), 0)</f>
        <v/>
      </c>
      <c r="BA31" s="24">
        <f>+IFERROR(BA$26*(AO31/AO$26), 0)</f>
        <v/>
      </c>
      <c r="BB31" s="24">
        <f>+IFERROR(BB$26*(AP31/AP$26), 0)</f>
        <v/>
      </c>
      <c r="BC31" s="24">
        <f>+IFERROR(BC$26*(AQ31/AQ$26), 0)</f>
        <v/>
      </c>
      <c r="BD31" s="24">
        <f>+IFERROR(BD$26*(AR31/AR$26), 0)</f>
        <v/>
      </c>
      <c r="BE31" s="24">
        <f>+IFERROR(BE$26*(AS31/AS$26), 0)</f>
        <v/>
      </c>
      <c r="BF31" s="24">
        <f>+IFERROR(BF$26*(AT31/AT$26), 0)</f>
        <v/>
      </c>
      <c r="BG31" s="24">
        <f>+IFERROR(BG$26*(AU31/AU$26), 0)</f>
        <v/>
      </c>
      <c r="BH31" s="24">
        <f>+IFERROR(BH$26*(AV31/AV$26), 0)</f>
        <v/>
      </c>
      <c r="BI31" s="24">
        <f>+IFERROR(BI$26*(AW31/AW$26), 0)</f>
        <v/>
      </c>
      <c r="BJ31" s="24">
        <f>+IFERROR(BJ$26*(AX31/AX$26), 0)</f>
        <v/>
      </c>
      <c r="BK31" s="327">
        <f>+IFERROR(BK$26*(AY31/AY$26), 0)</f>
        <v/>
      </c>
      <c r="BL31" s="24">
        <f>+IFERROR(BL$26*(AZ31/AZ$26), 0)</f>
        <v/>
      </c>
      <c r="BM31" s="24">
        <f>+IFERROR(BM$26*(BA31/BA$26), 0)</f>
        <v/>
      </c>
      <c r="BN31" s="24">
        <f>+IFERROR(BN$26*(BB31/BB$26), 0)</f>
        <v/>
      </c>
      <c r="BO31" s="24">
        <f>+IFERROR(BO$26*(BC31/BC$26), 0)</f>
        <v/>
      </c>
      <c r="BP31" s="24">
        <f>+IFERROR(BP$26*(BD31/BD$26), 0)</f>
        <v/>
      </c>
      <c r="BQ31" s="24">
        <f>+IFERROR(BQ$26*(BE31/BE$26), 0)</f>
        <v/>
      </c>
      <c r="BR31" s="24">
        <f>+IFERROR(BR$26*(BF31/BF$26), 0)</f>
        <v/>
      </c>
      <c r="BS31" s="24">
        <f>+IFERROR(BS$26*(BG31/BG$26), 0)</f>
        <v/>
      </c>
      <c r="BT31" s="24">
        <f>+IFERROR(BT$26*(BH31/BH$26), 0)</f>
        <v/>
      </c>
      <c r="BU31" s="24">
        <f>+IFERROR(BU$26*(BI31/BI$26), 0)</f>
        <v/>
      </c>
      <c r="BV31" s="24">
        <f>+IFERROR(BV$26*(BJ31/BJ$26), 0)</f>
        <v/>
      </c>
      <c r="BW31" s="327">
        <f>+IFERROR(BW$26*(BK31/BK$26), 0)</f>
        <v/>
      </c>
      <c r="BX31" s="24">
        <f>+IFERROR(BX$26*(BL31/BL$26), 0)</f>
        <v/>
      </c>
      <c r="BY31" s="24">
        <f>+IFERROR(BY$26*(BM31/BM$26), 0)</f>
        <v/>
      </c>
      <c r="BZ31" s="24">
        <f>+IFERROR(BZ$26*(BN31/BN$26), 0)</f>
        <v/>
      </c>
      <c r="CA31" s="24">
        <f>+IFERROR(CA$26*(BO31/BO$26), 0)</f>
        <v/>
      </c>
      <c r="CB31" s="24">
        <f>+IFERROR(CB$26*(BP31/BP$26), 0)</f>
        <v/>
      </c>
      <c r="CC31" s="24">
        <f>+IFERROR(CC$26*(BQ31/BQ$26), 0)</f>
        <v/>
      </c>
      <c r="CD31" s="24">
        <f>+IFERROR(CD$26*(BR31/BR$26), 0)</f>
        <v/>
      </c>
      <c r="CE31" s="24">
        <f>+IFERROR(CE$26*(BS31/BS$26), 0)</f>
        <v/>
      </c>
      <c r="CF31" s="24">
        <f>+IFERROR(CF$26*(BT31/BT$26), 0)</f>
        <v/>
      </c>
      <c r="CG31" s="24">
        <f>+IFERROR(CG$26*(BU31/BU$26), 0)</f>
        <v/>
      </c>
      <c r="CH31" s="24">
        <f>+IFERROR(CH$26*(BV31/BV$26), 0)</f>
        <v/>
      </c>
      <c r="CI31" s="327">
        <f>+IFERROR(CI$26*(BW31/BW$26), 0)</f>
        <v/>
      </c>
      <c r="CJ31" s="24">
        <f>+IFERROR(CJ$26*(BX31/BX$26), 0)</f>
        <v/>
      </c>
      <c r="CK31" s="24">
        <f>+IFERROR(CK$26*(BY31/BY$26), 0)</f>
        <v/>
      </c>
      <c r="CL31" s="24">
        <f>+IFERROR(CL$26*(BZ31/BZ$26), 0)</f>
        <v/>
      </c>
      <c r="CM31" s="24">
        <f>+IFERROR(CM$26*(CA31/CA$26), 0)</f>
        <v/>
      </c>
      <c r="CN31" s="24">
        <f>+IFERROR(CN$26*(CB31/CB$26), 0)</f>
        <v/>
      </c>
      <c r="CO31" s="24">
        <f>+IFERROR(CO$26*(CC31/CC$26), 0)</f>
        <v/>
      </c>
      <c r="CP31" s="24">
        <f>+IFERROR(CP$26*(CD31/CD$26), 0)</f>
        <v/>
      </c>
      <c r="CQ31" s="24">
        <f>+IFERROR(CQ$26*(CE31/CE$26), 0)</f>
        <v/>
      </c>
      <c r="CR31" s="24">
        <f>+IFERROR(CR$26*(CF31/CF$26), 0)</f>
        <v/>
      </c>
      <c r="CS31" s="24">
        <f>+IFERROR(CS$26*(CG31/CG$26), 0)</f>
        <v/>
      </c>
      <c r="CT31" s="24">
        <f>+IFERROR(CT$26*(CH31/CH$26), 0)</f>
        <v/>
      </c>
      <c r="CU31" s="327">
        <f>+IFERROR(CU$26*(CI31/CI$26), 0)</f>
        <v/>
      </c>
      <c r="CV31" s="24">
        <f>+IFERROR(CV$26*(CJ31/CJ$26), 0)</f>
        <v/>
      </c>
      <c r="CW31" s="24">
        <f>+IFERROR(CW$26*(CK31/CK$26), 0)</f>
        <v/>
      </c>
      <c r="CX31" s="24">
        <f>+IFERROR(CX$26*(CL31/CL$26), 0)</f>
        <v/>
      </c>
      <c r="CY31" s="24">
        <f>+IFERROR(CY$26*(CM31/CM$26), 0)</f>
        <v/>
      </c>
      <c r="CZ31" s="24">
        <f>+IFERROR(CZ$26*(CN31/CN$26), 0)</f>
        <v/>
      </c>
      <c r="DA31" s="24">
        <f>+IFERROR(DA$26*(CO31/CO$26), 0)</f>
        <v/>
      </c>
      <c r="DB31" s="24">
        <f>+IFERROR(DB$26*(CP31/CP$26), 0)</f>
        <v/>
      </c>
      <c r="DC31" s="24">
        <f>+IFERROR(DC$26*(CQ31/CQ$26), 0)</f>
        <v/>
      </c>
      <c r="DD31" s="24">
        <f>+IFERROR(DD$26*(CR31/CR$26), 0)</f>
        <v/>
      </c>
      <c r="DE31" s="24">
        <f>+IFERROR(DE$26*(CS31/CS$26), 0)</f>
        <v/>
      </c>
      <c r="DF31" s="24">
        <f>+IFERROR(DF$26*(CT31/CT$26), 0)</f>
        <v/>
      </c>
      <c r="DG31" s="25">
        <f>+IFERROR(DG$26*(CU31/CU$26), 0)</f>
        <v/>
      </c>
    </row>
    <row r="32" ht="18" customHeight="1">
      <c r="A32" s="36" t="n"/>
      <c r="B32" s="36" t="n"/>
      <c r="C32" s="489" t="inlineStr">
        <is>
          <t>Total Dance Hours</t>
        </is>
      </c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49" t="n">
        <v>1.83</v>
      </c>
      <c r="Q32" s="49" t="n">
        <v>8</v>
      </c>
      <c r="R32" s="49" t="n">
        <v>2.75</v>
      </c>
      <c r="S32" s="49" t="n">
        <v>1</v>
      </c>
      <c r="T32" s="49" t="n">
        <v>5.25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2</v>
      </c>
      <c r="AA32" s="519" t="n">
        <v>2</v>
      </c>
      <c r="AB32" s="317" t="n">
        <v>1</v>
      </c>
      <c r="AC32" s="317" t="n">
        <v>1</v>
      </c>
      <c r="AD32" s="317" t="n">
        <v>6</v>
      </c>
      <c r="AE32" s="317" t="n">
        <v>5</v>
      </c>
      <c r="AF32" s="317" t="n">
        <v>0</v>
      </c>
      <c r="AG32" s="317" t="n">
        <v>1</v>
      </c>
      <c r="AH32" s="317" t="n">
        <v>0</v>
      </c>
      <c r="AI32" s="317" t="n">
        <v>0</v>
      </c>
      <c r="AJ32" s="317" t="n">
        <v>0</v>
      </c>
      <c r="AK32" s="317" t="n">
        <v>0</v>
      </c>
      <c r="AL32" s="317" t="n">
        <v>0</v>
      </c>
      <c r="AM32" s="524" t="n">
        <v>0</v>
      </c>
      <c r="AN32" s="317" t="n">
        <v>3</v>
      </c>
      <c r="AO32" s="317" t="n">
        <v>2</v>
      </c>
      <c r="AP32" s="317" t="n"/>
      <c r="AQ32" s="317" t="n">
        <v>1</v>
      </c>
      <c r="AR32" s="317" t="n"/>
      <c r="AS32" s="317" t="n"/>
      <c r="AT32" s="317" t="n"/>
      <c r="AU32" s="317" t="n"/>
      <c r="AV32" s="317" t="n"/>
      <c r="AW32" s="589" t="n"/>
      <c r="AX32" s="24">
        <f>+IFERROR(AX$26*(AL32/AL$26), 0)</f>
        <v/>
      </c>
      <c r="AY32" s="25">
        <f>+IFERROR(AY$26*(AM32/AM$26), 0)</f>
        <v/>
      </c>
      <c r="AZ32" s="24">
        <f>+IFERROR(AZ$26*(AN32/AN$26), 0)</f>
        <v/>
      </c>
      <c r="BA32" s="24">
        <f>+IFERROR(BA$26*(AO32/AO$26), 0)</f>
        <v/>
      </c>
      <c r="BB32" s="24">
        <f>+IFERROR(BB$26*(AP32/AP$26), 0)</f>
        <v/>
      </c>
      <c r="BC32" s="24">
        <f>+IFERROR(BC$26*(AQ32/AQ$26), 0)</f>
        <v/>
      </c>
      <c r="BD32" s="24">
        <f>+IFERROR(BD$26*(AR32/AR$26), 0)</f>
        <v/>
      </c>
      <c r="BE32" s="24">
        <f>+IFERROR(BE$26*(AS32/AS$26), 0)</f>
        <v/>
      </c>
      <c r="BF32" s="24">
        <f>+IFERROR(BF$26*(AT32/AT$26), 0)</f>
        <v/>
      </c>
      <c r="BG32" s="24">
        <f>+IFERROR(BG$26*(AU32/AU$26), 0)</f>
        <v/>
      </c>
      <c r="BH32" s="24">
        <f>+IFERROR(BH$26*(AV32/AV$26), 0)</f>
        <v/>
      </c>
      <c r="BI32" s="24">
        <f>+IFERROR(BI$26*(AW32/AW$26), 0)</f>
        <v/>
      </c>
      <c r="BJ32" s="24">
        <f>+IFERROR(BJ$26*(AX32/AX$26), 0)</f>
        <v/>
      </c>
      <c r="BK32" s="327">
        <f>+IFERROR(BK$26*(AY32/AY$26), 0)</f>
        <v/>
      </c>
      <c r="BL32" s="24">
        <f>+IFERROR(BL$26*(AZ32/AZ$26), 0)</f>
        <v/>
      </c>
      <c r="BM32" s="24">
        <f>+IFERROR(BM$26*(BA32/BA$26), 0)</f>
        <v/>
      </c>
      <c r="BN32" s="24">
        <f>+IFERROR(BN$26*(BB32/BB$26), 0)</f>
        <v/>
      </c>
      <c r="BO32" s="24">
        <f>+IFERROR(BO$26*(BC32/BC$26), 0)</f>
        <v/>
      </c>
      <c r="BP32" s="24">
        <f>+IFERROR(BP$26*(BD32/BD$26), 0)</f>
        <v/>
      </c>
      <c r="BQ32" s="24">
        <f>+IFERROR(BQ$26*(BE32/BE$26), 0)</f>
        <v/>
      </c>
      <c r="BR32" s="24">
        <f>+IFERROR(BR$26*(BF32/BF$26), 0)</f>
        <v/>
      </c>
      <c r="BS32" s="24">
        <f>+IFERROR(BS$26*(BG32/BG$26), 0)</f>
        <v/>
      </c>
      <c r="BT32" s="24">
        <f>+IFERROR(BT$26*(BH32/BH$26), 0)</f>
        <v/>
      </c>
      <c r="BU32" s="24">
        <f>+IFERROR(BU$26*(BI32/BI$26), 0)</f>
        <v/>
      </c>
      <c r="BV32" s="24">
        <f>+IFERROR(BV$26*(BJ32/BJ$26), 0)</f>
        <v/>
      </c>
      <c r="BW32" s="327">
        <f>+IFERROR(BW$26*(BK32/BK$26), 0)</f>
        <v/>
      </c>
      <c r="BX32" s="24">
        <f>+IFERROR(BX$26*(BL32/BL$26), 0)</f>
        <v/>
      </c>
      <c r="BY32" s="24">
        <f>+IFERROR(BY$26*(BM32/BM$26), 0)</f>
        <v/>
      </c>
      <c r="BZ32" s="24">
        <f>+IFERROR(BZ$26*(BN32/BN$26), 0)</f>
        <v/>
      </c>
      <c r="CA32" s="24">
        <f>+IFERROR(CA$26*(BO32/BO$26), 0)</f>
        <v/>
      </c>
      <c r="CB32" s="24">
        <f>+IFERROR(CB$26*(BP32/BP$26), 0)</f>
        <v/>
      </c>
      <c r="CC32" s="24">
        <f>+IFERROR(CC$26*(BQ32/BQ$26), 0)</f>
        <v/>
      </c>
      <c r="CD32" s="24">
        <f>+IFERROR(CD$26*(BR32/BR$26), 0)</f>
        <v/>
      </c>
      <c r="CE32" s="24">
        <f>+IFERROR(CE$26*(BS32/BS$26), 0)</f>
        <v/>
      </c>
      <c r="CF32" s="24">
        <f>+IFERROR(CF$26*(BT32/BT$26), 0)</f>
        <v/>
      </c>
      <c r="CG32" s="24">
        <f>+IFERROR(CG$26*(BU32/BU$26), 0)</f>
        <v/>
      </c>
      <c r="CH32" s="24">
        <f>+IFERROR(CH$26*(BV32/BV$26), 0)</f>
        <v/>
      </c>
      <c r="CI32" s="327">
        <f>+IFERROR(CI$26*(BW32/BW$26), 0)</f>
        <v/>
      </c>
      <c r="CJ32" s="24">
        <f>+IFERROR(CJ$26*(BX32/BX$26), 0)</f>
        <v/>
      </c>
      <c r="CK32" s="24">
        <f>+IFERROR(CK$26*(BY32/BY$26), 0)</f>
        <v/>
      </c>
      <c r="CL32" s="24">
        <f>+IFERROR(CL$26*(BZ32/BZ$26), 0)</f>
        <v/>
      </c>
      <c r="CM32" s="24">
        <f>+IFERROR(CM$26*(CA32/CA$26), 0)</f>
        <v/>
      </c>
      <c r="CN32" s="24">
        <f>+IFERROR(CN$26*(CB32/CB$26), 0)</f>
        <v/>
      </c>
      <c r="CO32" s="24">
        <f>+IFERROR(CO$26*(CC32/CC$26), 0)</f>
        <v/>
      </c>
      <c r="CP32" s="24">
        <f>+IFERROR(CP$26*(CD32/CD$26), 0)</f>
        <v/>
      </c>
      <c r="CQ32" s="24">
        <f>+IFERROR(CQ$26*(CE32/CE$26), 0)</f>
        <v/>
      </c>
      <c r="CR32" s="24">
        <f>+IFERROR(CR$26*(CF32/CF$26), 0)</f>
        <v/>
      </c>
      <c r="CS32" s="24">
        <f>+IFERROR(CS$26*(CG32/CG$26), 0)</f>
        <v/>
      </c>
      <c r="CT32" s="24">
        <f>+IFERROR(CT$26*(CH32/CH$26), 0)</f>
        <v/>
      </c>
      <c r="CU32" s="327">
        <f>+IFERROR(CU$26*(CI32/CI$26), 0)</f>
        <v/>
      </c>
      <c r="CV32" s="24">
        <f>+IFERROR(CV$26*(CJ32/CJ$26), 0)</f>
        <v/>
      </c>
      <c r="CW32" s="24">
        <f>+IFERROR(CW$26*(CK32/CK$26), 0)</f>
        <v/>
      </c>
      <c r="CX32" s="24">
        <f>+IFERROR(CX$26*(CL32/CL$26), 0)</f>
        <v/>
      </c>
      <c r="CY32" s="24">
        <f>+IFERROR(CY$26*(CM32/CM$26), 0)</f>
        <v/>
      </c>
      <c r="CZ32" s="24">
        <f>+IFERROR(CZ$26*(CN32/CN$26), 0)</f>
        <v/>
      </c>
      <c r="DA32" s="24">
        <f>+IFERROR(DA$26*(CO32/CO$26), 0)</f>
        <v/>
      </c>
      <c r="DB32" s="24">
        <f>+IFERROR(DB$26*(CP32/CP$26), 0)</f>
        <v/>
      </c>
      <c r="DC32" s="24">
        <f>+IFERROR(DC$26*(CQ32/CQ$26), 0)</f>
        <v/>
      </c>
      <c r="DD32" s="24">
        <f>+IFERROR(DD$26*(CR32/CR$26), 0)</f>
        <v/>
      </c>
      <c r="DE32" s="24">
        <f>+IFERROR(DE$26*(CS32/CS$26), 0)</f>
        <v/>
      </c>
      <c r="DF32" s="24">
        <f>+IFERROR(DF$26*(CT32/CT$26), 0)</f>
        <v/>
      </c>
      <c r="DG32" s="25">
        <f>+IFERROR(DG$26*(CU32/CU$26), 0)</f>
        <v/>
      </c>
    </row>
    <row r="33" ht="18" customHeight="1">
      <c r="A33" s="36" t="n"/>
      <c r="B33" s="36" t="n"/>
      <c r="C33" s="489" t="inlineStr">
        <is>
          <t>Subcontracted Hours</t>
        </is>
      </c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9" t="n"/>
      <c r="Z33" s="49" t="n"/>
      <c r="AA33" s="519" t="n"/>
      <c r="AB33" s="317" t="n"/>
      <c r="AC33" s="317" t="n"/>
      <c r="AD33" s="317" t="n"/>
      <c r="AE33" s="317" t="n"/>
      <c r="AF33" s="317" t="n"/>
      <c r="AG33" s="317" t="n"/>
      <c r="AH33" s="317" t="n"/>
      <c r="AI33" s="317" t="n"/>
      <c r="AJ33" s="317" t="n"/>
      <c r="AK33" s="317" t="n"/>
      <c r="AL33" s="317" t="n"/>
      <c r="AM33" s="524" t="n"/>
      <c r="AN33" s="317" t="n"/>
      <c r="AO33" s="317" t="n"/>
      <c r="AP33" s="317" t="n"/>
      <c r="AQ33" s="317" t="n"/>
      <c r="AR33" s="317" t="n"/>
      <c r="AS33" s="317" t="n"/>
      <c r="AT33" s="317" t="n"/>
      <c r="AU33" s="317" t="n"/>
      <c r="AV33" s="317" t="n"/>
      <c r="AW33" s="589" t="n">
        <v>105</v>
      </c>
      <c r="AX33" s="24">
        <f>+AX30+(SUM(AX28:AX29,AX31)/3)</f>
        <v/>
      </c>
      <c r="AY33" s="25">
        <f>+AY30+(SUM(AY28:AY29,AY31)/3)</f>
        <v/>
      </c>
      <c r="AZ33" s="24">
        <f>+AZ30+(SUM(AZ28:AZ29,AZ31)/3)</f>
        <v/>
      </c>
      <c r="BA33" s="24">
        <f>+BA30+(SUM(BA28:BA29,BA31)/3)</f>
        <v/>
      </c>
      <c r="BB33" s="24">
        <f>+BB30+(SUM(BB28:BB29,BB31)/3)</f>
        <v/>
      </c>
      <c r="BC33" s="24">
        <f>+BC30+(SUM(BC28:BC29,BC31)/3)</f>
        <v/>
      </c>
      <c r="BD33" s="24">
        <f>+BD30+(SUM(BD28:BD29,BD31)/3)</f>
        <v/>
      </c>
      <c r="BE33" s="24">
        <f>+BE30+(SUM(BE28:BE29,BE31)/3)</f>
        <v/>
      </c>
      <c r="BF33" s="24">
        <f>+BF30+(SUM(BF28:BF29,BF31)/3)</f>
        <v/>
      </c>
      <c r="BG33" s="24">
        <f>+BG30+(SUM(BG28:BG29,BG31)/3)</f>
        <v/>
      </c>
      <c r="BH33" s="24">
        <f>+BH30+(SUM(BH28:BH29,BH31)/3)</f>
        <v/>
      </c>
      <c r="BI33" s="24">
        <f>+BI30+(SUM(BI28:BI29,BI31)/3)</f>
        <v/>
      </c>
      <c r="BJ33" s="24">
        <f>+BJ30+(SUM(BJ28:BJ29,BJ31)/3)</f>
        <v/>
      </c>
      <c r="BK33" s="327">
        <f>+BK30+(SUM(BK28:BK29,BK31)/3)</f>
        <v/>
      </c>
      <c r="BL33" s="24">
        <f>+BL30+(SUM(BL28:BL29,BL31)/3)</f>
        <v/>
      </c>
      <c r="BM33" s="24">
        <f>+BM30+(SUM(BM28:BM29,BM31)/3)</f>
        <v/>
      </c>
      <c r="BN33" s="24">
        <f>+BN30+(SUM(BN28:BN29,BN31)/3)</f>
        <v/>
      </c>
      <c r="BO33" s="24">
        <f>+BO30+(SUM(BO28:BO29,BO31)/3)</f>
        <v/>
      </c>
      <c r="BP33" s="24">
        <f>+BP30+(SUM(BP28:BP29,BP31)/3)</f>
        <v/>
      </c>
      <c r="BQ33" s="24">
        <f>+BQ30+(SUM(BQ28:BQ29,BQ31)/3)</f>
        <v/>
      </c>
      <c r="BR33" s="24">
        <f>+BR30+(SUM(BR28:BR29,BR31)/3)</f>
        <v/>
      </c>
      <c r="BS33" s="24">
        <f>+BS30+(SUM(BS28:BS29,BS31)/3)</f>
        <v/>
      </c>
      <c r="BT33" s="24">
        <f>+BT30+(SUM(BT28:BT29,BT31)/3)</f>
        <v/>
      </c>
      <c r="BU33" s="24">
        <f>+BU30+(SUM(BU28:BU29,BU31)/3)</f>
        <v/>
      </c>
      <c r="BV33" s="24">
        <f>+BV30+(SUM(BV28:BV29,BV31)/3)</f>
        <v/>
      </c>
      <c r="BW33" s="327">
        <f>+BW30+(SUM(BW28:BW29,BW31)/3)</f>
        <v/>
      </c>
      <c r="BX33" s="24">
        <f>+BX30+(SUM(BX28:BX29,BX31)/3)</f>
        <v/>
      </c>
      <c r="BY33" s="24">
        <f>+BY30+(SUM(BY28:BY29,BY31)/3)</f>
        <v/>
      </c>
      <c r="BZ33" s="24">
        <f>+BZ30+(SUM(BZ28:BZ29,BZ31)/3)</f>
        <v/>
      </c>
      <c r="CA33" s="24">
        <f>+CA30+(SUM(CA28:CA29,CA31)/3)</f>
        <v/>
      </c>
      <c r="CB33" s="24">
        <f>+CB30+(SUM(CB28:CB29,CB31)/3)</f>
        <v/>
      </c>
      <c r="CC33" s="24">
        <f>+CC30+(SUM(CC28:CC29,CC31)/3)</f>
        <v/>
      </c>
      <c r="CD33" s="24">
        <f>+CD30+(SUM(CD28:CD29,CD31)/3)</f>
        <v/>
      </c>
      <c r="CE33" s="24">
        <f>+CE30+(SUM(CE28:CE29,CE31)/3)</f>
        <v/>
      </c>
      <c r="CF33" s="24">
        <f>+CF30+(SUM(CF28:CF29,CF31)/3)</f>
        <v/>
      </c>
      <c r="CG33" s="24">
        <f>+CG30+(SUM(CG28:CG29,CG31)/3)</f>
        <v/>
      </c>
      <c r="CH33" s="24">
        <f>+CH30+(SUM(CH28:CH29,CH31)/3)</f>
        <v/>
      </c>
      <c r="CI33" s="327">
        <f>+CI30+(SUM(CI28:CI29,CI31)/3)</f>
        <v/>
      </c>
      <c r="CJ33" s="24">
        <f>+CJ30+(SUM(CJ28:CJ29,CJ31)/3)</f>
        <v/>
      </c>
      <c r="CK33" s="24">
        <f>+CK30+(SUM(CK28:CK29,CK31)/3)</f>
        <v/>
      </c>
      <c r="CL33" s="24">
        <f>+CL30+(SUM(CL28:CL29,CL31)/3)</f>
        <v/>
      </c>
      <c r="CM33" s="24">
        <f>+CM30+(SUM(CM28:CM29,CM31)/3)</f>
        <v/>
      </c>
      <c r="CN33" s="24">
        <f>+CN30+(SUM(CN28:CN29,CN31)/3)</f>
        <v/>
      </c>
      <c r="CO33" s="24">
        <f>+CO30+(SUM(CO28:CO29,CO31)/3)</f>
        <v/>
      </c>
      <c r="CP33" s="24">
        <f>+CP30+(SUM(CP28:CP29,CP31)/3)</f>
        <v/>
      </c>
      <c r="CQ33" s="24">
        <f>+CQ30+(SUM(CQ28:CQ29,CQ31)/3)</f>
        <v/>
      </c>
      <c r="CR33" s="24">
        <f>+CR30+(SUM(CR28:CR29,CR31)/3)</f>
        <v/>
      </c>
      <c r="CS33" s="24">
        <f>+CS30+(SUM(CS28:CS29,CS31)/3)</f>
        <v/>
      </c>
      <c r="CT33" s="24">
        <f>+CT30+(SUM(CT28:CT29,CT31)/3)</f>
        <v/>
      </c>
      <c r="CU33" s="327">
        <f>+CU30+(SUM(CU28:CU29,CU31)/3)</f>
        <v/>
      </c>
      <c r="CV33" s="24">
        <f>+CV30+(SUM(CV28:CV29,CV31)/3)</f>
        <v/>
      </c>
      <c r="CW33" s="24">
        <f>+CW30+(SUM(CW28:CW29,CW31)/3)</f>
        <v/>
      </c>
      <c r="CX33" s="24">
        <f>+CX30+(SUM(CX28:CX29,CX31)/3)</f>
        <v/>
      </c>
      <c r="CY33" s="24">
        <f>+CY30+(SUM(CY28:CY29,CY31)/3)</f>
        <v/>
      </c>
      <c r="CZ33" s="24">
        <f>+CZ30+(SUM(CZ28:CZ29,CZ31)/3)</f>
        <v/>
      </c>
      <c r="DA33" s="24">
        <f>+DA30+(SUM(DA28:DA29,DA31)/3)</f>
        <v/>
      </c>
      <c r="DB33" s="24">
        <f>+DB30+(SUM(DB28:DB29,DB31)/3)</f>
        <v/>
      </c>
      <c r="DC33" s="24">
        <f>+DC30+(SUM(DC28:DC29,DC31)/3)</f>
        <v/>
      </c>
      <c r="DD33" s="24">
        <f>+DD30+(SUM(DD28:DD29,DD31)/3)</f>
        <v/>
      </c>
      <c r="DE33" s="24">
        <f>+DE30+(SUM(DE28:DE29,DE31)/3)</f>
        <v/>
      </c>
      <c r="DF33" s="24">
        <f>+DF30+(SUM(DF28:DF29,DF31)/3)</f>
        <v/>
      </c>
      <c r="DG33" s="25">
        <f>+DG30+(SUM(DG28:DG29,DG31)/3)</f>
        <v/>
      </c>
    </row>
    <row r="34" ht="18" customHeight="1">
      <c r="A34" s="36" t="n"/>
      <c r="B34" s="36" t="n"/>
      <c r="C34" s="489" t="inlineStr">
        <is>
          <t>Owner Hours</t>
        </is>
      </c>
      <c r="D34" s="15" t="n"/>
      <c r="E34" s="15" t="n"/>
      <c r="F34" s="15" t="n"/>
      <c r="G34" s="15" t="n"/>
      <c r="H34" s="15" t="n"/>
      <c r="I34" s="15" t="n"/>
      <c r="J34" s="15" t="n"/>
      <c r="K34" s="511" t="n"/>
      <c r="L34" s="511" t="n"/>
      <c r="M34" s="511" t="n"/>
      <c r="N34" s="511" t="n"/>
      <c r="O34" s="511" t="n"/>
      <c r="P34" s="511" t="n"/>
      <c r="Q34" s="511" t="n"/>
      <c r="R34" s="511" t="n"/>
      <c r="S34" s="511" t="n"/>
      <c r="T34" s="511" t="n"/>
      <c r="U34" s="511" t="n"/>
      <c r="V34" s="511" t="n"/>
      <c r="W34" s="511" t="n"/>
      <c r="X34" s="511" t="n"/>
      <c r="Y34" s="511" t="n"/>
      <c r="Z34" s="511" t="n"/>
      <c r="AA34" s="561" t="n"/>
      <c r="AB34" s="511" t="n"/>
      <c r="AC34" s="511" t="n"/>
      <c r="AD34" s="511" t="n"/>
      <c r="AE34" s="511" t="n"/>
      <c r="AF34" s="511" t="n"/>
      <c r="AG34" s="511" t="n"/>
      <c r="AH34" s="511" t="n"/>
      <c r="AI34" s="511" t="n"/>
      <c r="AJ34" s="511" t="n"/>
      <c r="AK34" s="511" t="n"/>
      <c r="AL34" s="511" t="n"/>
      <c r="AM34" s="523" t="n"/>
      <c r="AN34" s="563" t="n"/>
      <c r="AO34" s="563" t="n"/>
      <c r="AP34" s="563" t="n"/>
      <c r="AQ34" s="563" t="n"/>
      <c r="AR34" s="563" t="n"/>
      <c r="AS34" s="563" t="n"/>
      <c r="AT34" s="563" t="n"/>
      <c r="AU34" s="563" t="n"/>
      <c r="AV34" s="563" t="n"/>
      <c r="AW34" s="588">
        <f>+AW26-AW33</f>
        <v/>
      </c>
      <c r="AX34" s="24">
        <f>+AX26-AX33</f>
        <v/>
      </c>
      <c r="AY34" s="25">
        <f>+AY26-AY33</f>
        <v/>
      </c>
      <c r="AZ34" s="24">
        <f>+AZ26-AZ33</f>
        <v/>
      </c>
      <c r="BA34" s="24">
        <f>+BA26-BA33</f>
        <v/>
      </c>
      <c r="BB34" s="24">
        <f>+BB26-BB33</f>
        <v/>
      </c>
      <c r="BC34" s="24">
        <f>+BC26-BC33</f>
        <v/>
      </c>
      <c r="BD34" s="24">
        <f>+BD26-BD33</f>
        <v/>
      </c>
      <c r="BE34" s="24">
        <f>+BE26-BE33</f>
        <v/>
      </c>
      <c r="BF34" s="24">
        <f>+BF26-BF33</f>
        <v/>
      </c>
      <c r="BG34" s="24">
        <f>+BG26-BG33</f>
        <v/>
      </c>
      <c r="BH34" s="24">
        <f>+BH26-BH33</f>
        <v/>
      </c>
      <c r="BI34" s="24">
        <f>+BI26-BI33</f>
        <v/>
      </c>
      <c r="BJ34" s="24">
        <f>+BJ26-BJ33</f>
        <v/>
      </c>
      <c r="BK34" s="327">
        <f>+BK26-BK33</f>
        <v/>
      </c>
      <c r="BL34" s="24">
        <f>+BL26-BL33</f>
        <v/>
      </c>
      <c r="BM34" s="24">
        <f>+BM26-BM33</f>
        <v/>
      </c>
      <c r="BN34" s="24">
        <f>+BN26-BN33</f>
        <v/>
      </c>
      <c r="BO34" s="24">
        <f>+BO26-BO33</f>
        <v/>
      </c>
      <c r="BP34" s="24">
        <f>+BP26-BP33</f>
        <v/>
      </c>
      <c r="BQ34" s="24">
        <f>+BQ26-BQ33</f>
        <v/>
      </c>
      <c r="BR34" s="24">
        <f>+BR26-BR33</f>
        <v/>
      </c>
      <c r="BS34" s="24">
        <f>+BS26-BS33</f>
        <v/>
      </c>
      <c r="BT34" s="24">
        <f>+BT26-BT33</f>
        <v/>
      </c>
      <c r="BU34" s="24">
        <f>+BU26-BU33</f>
        <v/>
      </c>
      <c r="BV34" s="24">
        <f>+BV26-BV33</f>
        <v/>
      </c>
      <c r="BW34" s="327">
        <f>+BW26-BW33</f>
        <v/>
      </c>
      <c r="BX34" s="24">
        <f>+BX26-BX33</f>
        <v/>
      </c>
      <c r="BY34" s="24">
        <f>+BY26-BY33</f>
        <v/>
      </c>
      <c r="BZ34" s="24">
        <f>+BZ26-BZ33</f>
        <v/>
      </c>
      <c r="CA34" s="24">
        <f>+CA26-CA33</f>
        <v/>
      </c>
      <c r="CB34" s="24">
        <f>+CB26-CB33</f>
        <v/>
      </c>
      <c r="CC34" s="24">
        <f>+CC26-CC33</f>
        <v/>
      </c>
      <c r="CD34" s="24">
        <f>+CD26-CD33</f>
        <v/>
      </c>
      <c r="CE34" s="24">
        <f>+CE26-CE33</f>
        <v/>
      </c>
      <c r="CF34" s="24">
        <f>+CF26-CF33</f>
        <v/>
      </c>
      <c r="CG34" s="24">
        <f>+CG26-CG33</f>
        <v/>
      </c>
      <c r="CH34" s="24">
        <f>+CH26-CH33</f>
        <v/>
      </c>
      <c r="CI34" s="327">
        <f>+CI26-CI33</f>
        <v/>
      </c>
      <c r="CJ34" s="24">
        <f>+CJ26-CJ33</f>
        <v/>
      </c>
      <c r="CK34" s="24">
        <f>+CK26-CK33</f>
        <v/>
      </c>
      <c r="CL34" s="24">
        <f>+CL26-CL33</f>
        <v/>
      </c>
      <c r="CM34" s="24">
        <f>+CM26-CM33</f>
        <v/>
      </c>
      <c r="CN34" s="24">
        <f>+CN26-CN33</f>
        <v/>
      </c>
      <c r="CO34" s="24">
        <f>+CO26-CO33</f>
        <v/>
      </c>
      <c r="CP34" s="24">
        <f>+CP26-CP33</f>
        <v/>
      </c>
      <c r="CQ34" s="24">
        <f>+CQ26-CQ33</f>
        <v/>
      </c>
      <c r="CR34" s="24">
        <f>+CR26-CR33</f>
        <v/>
      </c>
      <c r="CS34" s="24">
        <f>+CS26-CS33</f>
        <v/>
      </c>
      <c r="CT34" s="24">
        <f>+CT26-CT33</f>
        <v/>
      </c>
      <c r="CU34" s="327">
        <f>+CU26-CU33</f>
        <v/>
      </c>
      <c r="CV34" s="24">
        <f>+CV26-CV33</f>
        <v/>
      </c>
      <c r="CW34" s="24">
        <f>+CW26-CW33</f>
        <v/>
      </c>
      <c r="CX34" s="24">
        <f>+CX26-CX33</f>
        <v/>
      </c>
      <c r="CY34" s="24">
        <f>+CY26-CY33</f>
        <v/>
      </c>
      <c r="CZ34" s="24">
        <f>+CZ26-CZ33</f>
        <v/>
      </c>
      <c r="DA34" s="24">
        <f>+DA26-DA33</f>
        <v/>
      </c>
      <c r="DB34" s="24">
        <f>+DB26-DB33</f>
        <v/>
      </c>
      <c r="DC34" s="24">
        <f>+DC26-DC33</f>
        <v/>
      </c>
      <c r="DD34" s="24">
        <f>+DD26-DD33</f>
        <v/>
      </c>
      <c r="DE34" s="24">
        <f>+DE26-DE33</f>
        <v/>
      </c>
      <c r="DF34" s="24">
        <f>+DF26-DF33</f>
        <v/>
      </c>
      <c r="DG34" s="25">
        <f>+DG26-DG33</f>
        <v/>
      </c>
    </row>
    <row r="35" ht="18" customFormat="1" customHeight="1" s="3">
      <c r="A35" s="36" t="n"/>
      <c r="B35" s="36" t="n"/>
      <c r="C35" s="489" t="inlineStr">
        <is>
          <t>Realized / Effective Bill Rate</t>
        </is>
      </c>
      <c r="D35" s="834" t="n"/>
      <c r="E35" s="834">
        <f>+E14/(E26+E27)</f>
        <v/>
      </c>
      <c r="F35" s="834">
        <f>+F14/(F26+F27)</f>
        <v/>
      </c>
      <c r="G35" s="834">
        <f>+G14/(G26+G27)</f>
        <v/>
      </c>
      <c r="H35" s="834">
        <f>+H14/(H26+H27)</f>
        <v/>
      </c>
      <c r="I35" s="834">
        <f>+I14/(I26+I27)</f>
        <v/>
      </c>
      <c r="J35" s="834">
        <f>+J14/(J26+J27)</f>
        <v/>
      </c>
      <c r="K35" s="834">
        <f>+K14/(K26+K27)</f>
        <v/>
      </c>
      <c r="L35" s="834">
        <f>+L14/(L26+L27)</f>
        <v/>
      </c>
      <c r="M35" s="834">
        <f>+M14/(M26+M27)</f>
        <v/>
      </c>
      <c r="N35" s="834">
        <f>+N14/(N26+N27)</f>
        <v/>
      </c>
      <c r="O35" s="834">
        <f>+O14/(O26+O27)</f>
        <v/>
      </c>
      <c r="P35" s="834">
        <f>+P14/(P26)</f>
        <v/>
      </c>
      <c r="Q35" s="834">
        <f>+Q14/(Q26)</f>
        <v/>
      </c>
      <c r="R35" s="834">
        <f>+R14/(R26)</f>
        <v/>
      </c>
      <c r="S35" s="834">
        <f>+S14/(S26+SUM(Q27:S27))</f>
        <v/>
      </c>
      <c r="T35" s="834">
        <f>+T14/(T26)</f>
        <v/>
      </c>
      <c r="U35" s="834">
        <f>+U14/(U26)</f>
        <v/>
      </c>
      <c r="V35" s="834">
        <f>+V14/(V26+(SUM($T$27:$V$27)/2))</f>
        <v/>
      </c>
      <c r="W35" s="834">
        <f>+W14/(W26+(SUM($T$27:$V$27)/2))</f>
        <v/>
      </c>
      <c r="X35" s="834">
        <f>+X14/(X26)</f>
        <v/>
      </c>
      <c r="Y35" s="834">
        <f>+Y14/(Y26)</f>
        <v/>
      </c>
      <c r="Z35" s="834">
        <f>+Z14/(Z26)</f>
        <v/>
      </c>
      <c r="AA35" s="835">
        <f>+AA14/(AA26)</f>
        <v/>
      </c>
      <c r="AB35" s="834">
        <f>+AB14/(AB26)</f>
        <v/>
      </c>
      <c r="AC35" s="834">
        <f>+AC14/(AC26)</f>
        <v/>
      </c>
      <c r="AD35" s="834">
        <f>+AD14/(AD26)</f>
        <v/>
      </c>
      <c r="AE35" s="834">
        <f>+AE14/(AE26)</f>
        <v/>
      </c>
      <c r="AF35" s="834">
        <f>+AF14/(AF26)</f>
        <v/>
      </c>
      <c r="AG35" s="834">
        <f>+AG14/(AG26)</f>
        <v/>
      </c>
      <c r="AH35" s="834">
        <f>+AH14/(AH26)</f>
        <v/>
      </c>
      <c r="AI35" s="834">
        <f>+AI14/(AI26)</f>
        <v/>
      </c>
      <c r="AJ35" s="834">
        <f>+AJ14/(AJ26)</f>
        <v/>
      </c>
      <c r="AK35" s="834">
        <f>+AK14/(AK26)</f>
        <v/>
      </c>
      <c r="AL35" s="834">
        <f>+AL14/(AL26)</f>
        <v/>
      </c>
      <c r="AM35" s="835">
        <f>+AM14/(AM26)</f>
        <v/>
      </c>
      <c r="AN35" s="834">
        <f>+AN14/(AN26)</f>
        <v/>
      </c>
      <c r="AO35" s="834">
        <f>+AO14/(AO26)</f>
        <v/>
      </c>
      <c r="AP35" s="834">
        <f>+AP14/(AP26)</f>
        <v/>
      </c>
      <c r="AQ35" s="834">
        <f>+AQ14/(AQ26)</f>
        <v/>
      </c>
      <c r="AR35" s="834">
        <f>+AR14/(AR26)</f>
        <v/>
      </c>
      <c r="AS35" s="834">
        <f>+AS14/(AS26)</f>
        <v/>
      </c>
      <c r="AT35" s="834">
        <f>+AT14/(AT26)</f>
        <v/>
      </c>
      <c r="AU35" s="834">
        <f>+AU14/(AU26)</f>
        <v/>
      </c>
      <c r="AV35" s="834">
        <f>+AV14/(AV26)</f>
        <v/>
      </c>
      <c r="AW35" s="836">
        <f>+AW14/(AW26)</f>
        <v/>
      </c>
      <c r="AX35" s="713">
        <f>+AX14/(AX26)</f>
        <v/>
      </c>
      <c r="AY35" s="837">
        <f>+AY14/(AY26)</f>
        <v/>
      </c>
      <c r="AZ35" s="838">
        <f>+AZ14/(AZ26)</f>
        <v/>
      </c>
      <c r="BA35" s="838">
        <f>+BA14/(BA26)</f>
        <v/>
      </c>
      <c r="BB35" s="838">
        <f>+BB14/(BB26)</f>
        <v/>
      </c>
      <c r="BC35" s="838">
        <f>+BC14/(BC26)</f>
        <v/>
      </c>
      <c r="BD35" s="838">
        <f>+BD14/(BD26)</f>
        <v/>
      </c>
      <c r="BE35" s="838">
        <f>+BE14/(BE26)</f>
        <v/>
      </c>
      <c r="BF35" s="838">
        <f>+BF14/(BF26)</f>
        <v/>
      </c>
      <c r="BG35" s="838">
        <f>+BG14/(BG26)</f>
        <v/>
      </c>
      <c r="BH35" s="838">
        <f>+BH14/(BH26)</f>
        <v/>
      </c>
      <c r="BI35" s="838">
        <f>+BI14/(BI26)</f>
        <v/>
      </c>
      <c r="BJ35" s="838">
        <f>+BJ14/(BJ26)</f>
        <v/>
      </c>
      <c r="BK35" s="839">
        <f>+BK14/(BK26)</f>
        <v/>
      </c>
      <c r="BL35" s="838">
        <f>+BL14/(BL26)</f>
        <v/>
      </c>
      <c r="BM35" s="838">
        <f>+BM14/(BM26)</f>
        <v/>
      </c>
      <c r="BN35" s="838">
        <f>+BN14/(BN26)</f>
        <v/>
      </c>
      <c r="BO35" s="838">
        <f>+BO14/(BO26)</f>
        <v/>
      </c>
      <c r="BP35" s="838">
        <f>+BP14/(BP26)</f>
        <v/>
      </c>
      <c r="BQ35" s="838">
        <f>+BQ14/(BQ26)</f>
        <v/>
      </c>
      <c r="BR35" s="838">
        <f>+BR14/(BR26)</f>
        <v/>
      </c>
      <c r="BS35" s="838">
        <f>+BS14/(BS26)</f>
        <v/>
      </c>
      <c r="BT35" s="838">
        <f>+BT14/(BT26)</f>
        <v/>
      </c>
      <c r="BU35" s="838">
        <f>+BU14/(BU26)</f>
        <v/>
      </c>
      <c r="BV35" s="838">
        <f>+BV14/(BV26)</f>
        <v/>
      </c>
      <c r="BW35" s="839">
        <f>+BW14/(BW26)</f>
        <v/>
      </c>
      <c r="BX35" s="838">
        <f>+BX14/(BX26)</f>
        <v/>
      </c>
      <c r="BY35" s="838">
        <f>+BY14/(BY26)</f>
        <v/>
      </c>
      <c r="BZ35" s="838">
        <f>+BZ14/(BZ26)</f>
        <v/>
      </c>
      <c r="CA35" s="838">
        <f>+CA14/(CA26)</f>
        <v/>
      </c>
      <c r="CB35" s="838">
        <f>+CB14/(CB26)</f>
        <v/>
      </c>
      <c r="CC35" s="838">
        <f>+CC14/(CC26)</f>
        <v/>
      </c>
      <c r="CD35" s="838">
        <f>+CD14/(CD26)</f>
        <v/>
      </c>
      <c r="CE35" s="838">
        <f>+CE14/(CE26)</f>
        <v/>
      </c>
      <c r="CF35" s="838">
        <f>+CF14/(CF26)</f>
        <v/>
      </c>
      <c r="CG35" s="838">
        <f>+CG14/(CG26)</f>
        <v/>
      </c>
      <c r="CH35" s="838">
        <f>+CH14/(CH26)</f>
        <v/>
      </c>
      <c r="CI35" s="839">
        <f>+CI14/(CI26)</f>
        <v/>
      </c>
      <c r="CJ35" s="838">
        <f>+CJ14/(CJ26)</f>
        <v/>
      </c>
      <c r="CK35" s="838">
        <f>+CK14/(CK26)</f>
        <v/>
      </c>
      <c r="CL35" s="838">
        <f>+CL14/(CL26)</f>
        <v/>
      </c>
      <c r="CM35" s="838">
        <f>+CM14/(CM26)</f>
        <v/>
      </c>
      <c r="CN35" s="838">
        <f>+CN14/(CN26)</f>
        <v/>
      </c>
      <c r="CO35" s="838">
        <f>+CO14/(CO26)</f>
        <v/>
      </c>
      <c r="CP35" s="838">
        <f>+CP14/(CP26)</f>
        <v/>
      </c>
      <c r="CQ35" s="838">
        <f>+CQ14/(CQ26)</f>
        <v/>
      </c>
      <c r="CR35" s="838">
        <f>+CR14/(CR26)</f>
        <v/>
      </c>
      <c r="CS35" s="838">
        <f>+CS14/(CS26)</f>
        <v/>
      </c>
      <c r="CT35" s="838">
        <f>+CT14/(CT26)</f>
        <v/>
      </c>
      <c r="CU35" s="839">
        <f>+CU14/(CU26)</f>
        <v/>
      </c>
      <c r="CV35" s="838">
        <f>+CV14/(CV26)</f>
        <v/>
      </c>
      <c r="CW35" s="838">
        <f>+CW14/(CW26)</f>
        <v/>
      </c>
      <c r="CX35" s="838">
        <f>+CX14/(CX26)</f>
        <v/>
      </c>
      <c r="CY35" s="838">
        <f>+CY14/(CY26)</f>
        <v/>
      </c>
      <c r="CZ35" s="838">
        <f>+CZ14/(CZ26)</f>
        <v/>
      </c>
      <c r="DA35" s="838">
        <f>+DA14/(DA26)</f>
        <v/>
      </c>
      <c r="DB35" s="838">
        <f>+DB14/(DB26)</f>
        <v/>
      </c>
      <c r="DC35" s="838">
        <f>+DC14/(DC26)</f>
        <v/>
      </c>
      <c r="DD35" s="838">
        <f>+DD14/(DD26)</f>
        <v/>
      </c>
      <c r="DE35" s="838">
        <f>+DE14/(DE26)</f>
        <v/>
      </c>
      <c r="DF35" s="838">
        <f>+DF14/(DF26)</f>
        <v/>
      </c>
      <c r="DG35" s="837">
        <f>+DG14/(DG26)</f>
        <v/>
      </c>
    </row>
    <row r="36" ht="18" customHeight="1">
      <c r="A36" s="36" t="n"/>
      <c r="B36" s="36" t="n"/>
      <c r="C36" s="489" t="inlineStr">
        <is>
          <t>Tutoring Bill Rate</t>
        </is>
      </c>
      <c r="D36" s="834" t="n"/>
      <c r="E36" s="834" t="n"/>
      <c r="F36" s="834" t="n"/>
      <c r="G36" s="834" t="n"/>
      <c r="H36" s="834" t="n"/>
      <c r="I36" s="834" t="n"/>
      <c r="J36" s="834" t="n"/>
      <c r="K36" s="834" t="n"/>
      <c r="L36" s="834" t="n"/>
      <c r="M36" s="834" t="n"/>
      <c r="N36" s="834" t="n"/>
      <c r="O36" s="834" t="n"/>
      <c r="P36" s="834">
        <f>+(P7-(P32*60))/P28</f>
        <v/>
      </c>
      <c r="Q36" s="834">
        <f>+(Q7-(Q32*60))/Q28</f>
        <v/>
      </c>
      <c r="R36" s="834">
        <f>+(R7-(R32*60))/R28</f>
        <v/>
      </c>
      <c r="S36" s="834">
        <f>+(S7-(S32*60))/S28</f>
        <v/>
      </c>
      <c r="T36" s="834">
        <f>+(T7-(T32*60))/T28</f>
        <v/>
      </c>
      <c r="U36" s="834">
        <f>+(U7-(U32*60))/U28</f>
        <v/>
      </c>
      <c r="V36" s="834">
        <f>+(V7-(V32*60))/V28</f>
        <v/>
      </c>
      <c r="W36" s="834">
        <f>+(W7-(W32*60))/W28</f>
        <v/>
      </c>
      <c r="X36" s="834">
        <f>+(X7-(X32*60))/X28</f>
        <v/>
      </c>
      <c r="Y36" s="834">
        <f>+(Y7-(Y32*60))/Y28</f>
        <v/>
      </c>
      <c r="Z36" s="834">
        <f>+(Z7-(Z32*60))/Z28</f>
        <v/>
      </c>
      <c r="AA36" s="835">
        <f>+(AA7-(AA32*60))/AA28</f>
        <v/>
      </c>
      <c r="AB36" s="834">
        <f>+(AB7-(AB32*60))/AB28</f>
        <v/>
      </c>
      <c r="AC36" s="834">
        <f>+(AC7-(AC32*60))/AC28</f>
        <v/>
      </c>
      <c r="AD36" s="834">
        <f>+(AD7-(AD32*60))/AD28</f>
        <v/>
      </c>
      <c r="AE36" s="834">
        <f>+(AE7-(AE32*60))/AE28</f>
        <v/>
      </c>
      <c r="AF36" s="834">
        <f>+(AF7-(AF32*60))/AF28</f>
        <v/>
      </c>
      <c r="AG36" s="834">
        <f>+(AG7-(AG32*60))/AG28</f>
        <v/>
      </c>
      <c r="AH36" s="840">
        <f>+(AH7-(AH32*60))/AH28</f>
        <v/>
      </c>
      <c r="AI36" s="840">
        <f>+(AI7-(AI32*60))/AI28</f>
        <v/>
      </c>
      <c r="AJ36" s="840">
        <f>+(AJ7-(AJ32*60))/AJ28</f>
        <v/>
      </c>
      <c r="AK36" s="840">
        <f>+(AK7-(AK32*60))/AK28</f>
        <v/>
      </c>
      <c r="AL36" s="840">
        <f>+(AL7-(AL32*60))/AL28</f>
        <v/>
      </c>
      <c r="AM36" s="841">
        <f>+(AM7-(AM32*60))/AM28</f>
        <v/>
      </c>
      <c r="AN36" s="840">
        <f>+IFERROR((AN7-(AN32*60))/AN28, 0)</f>
        <v/>
      </c>
      <c r="AO36" s="840">
        <f>+IFERROR((AO7-(AO32*60))/AO28, 0)</f>
        <v/>
      </c>
      <c r="AP36" s="840">
        <f>+IFERROR((AP7-(AP32*60))/AP28, 0)</f>
        <v/>
      </c>
      <c r="AQ36" s="840">
        <f>+IFERROR((AQ7-(AQ32*60))/AQ28, 0)</f>
        <v/>
      </c>
      <c r="AR36" s="840">
        <f>+IFERROR((AR7-(AR32*60))/AR28, 0)</f>
        <v/>
      </c>
      <c r="AS36" s="840">
        <f>+IFERROR((AS7-(AS32*60))/AS28, 0)</f>
        <v/>
      </c>
      <c r="AT36" s="840">
        <f>+IFERROR((AT7-(AT32*60))/AT28, 0)</f>
        <v/>
      </c>
      <c r="AU36" s="840">
        <f>+IFERROR((AU7-(AU32*60))/AU28, 0)</f>
        <v/>
      </c>
      <c r="AV36" s="840">
        <f>+IFERROR((AV7-(AV32*60))/AV28, 0)</f>
        <v/>
      </c>
      <c r="AW36" s="842">
        <f>+IFERROR((AW7-(AW32*60))/AW28, 0)</f>
        <v/>
      </c>
      <c r="AX36" s="713" t="n">
        <v>75</v>
      </c>
      <c r="AY36" s="837">
        <f>+AX36</f>
        <v/>
      </c>
      <c r="AZ36" s="838">
        <f>+AY36</f>
        <v/>
      </c>
      <c r="BA36" s="838">
        <f>+AZ36</f>
        <v/>
      </c>
      <c r="BB36" s="838">
        <f>+BA36</f>
        <v/>
      </c>
      <c r="BC36" s="838">
        <f>+BB36</f>
        <v/>
      </c>
      <c r="BD36" s="838">
        <f>+BC36</f>
        <v/>
      </c>
      <c r="BE36" s="838">
        <f>+BD36</f>
        <v/>
      </c>
      <c r="BF36" s="838">
        <f>+BE36</f>
        <v/>
      </c>
      <c r="BG36" s="838">
        <f>+BF36</f>
        <v/>
      </c>
      <c r="BH36" s="838">
        <f>+BG36</f>
        <v/>
      </c>
      <c r="BI36" s="838">
        <f>+BH36</f>
        <v/>
      </c>
      <c r="BJ36" s="838">
        <f>+BI36</f>
        <v/>
      </c>
      <c r="BK36" s="839">
        <f>+BJ36</f>
        <v/>
      </c>
      <c r="BL36" s="838">
        <f>+BK36</f>
        <v/>
      </c>
      <c r="BM36" s="838">
        <f>+BL36</f>
        <v/>
      </c>
      <c r="BN36" s="838">
        <f>+BM36</f>
        <v/>
      </c>
      <c r="BO36" s="838">
        <f>+BN36</f>
        <v/>
      </c>
      <c r="BP36" s="838">
        <f>+BO36</f>
        <v/>
      </c>
      <c r="BQ36" s="838">
        <f>+BP36</f>
        <v/>
      </c>
      <c r="BR36" s="838">
        <f>+BQ36</f>
        <v/>
      </c>
      <c r="BS36" s="838">
        <f>+BR36</f>
        <v/>
      </c>
      <c r="BT36" s="838">
        <f>+BS36</f>
        <v/>
      </c>
      <c r="BU36" s="838">
        <f>+BT36</f>
        <v/>
      </c>
      <c r="BV36" s="838">
        <f>+BU36</f>
        <v/>
      </c>
      <c r="BW36" s="839">
        <f>+BV36</f>
        <v/>
      </c>
      <c r="BX36" s="838">
        <f>+BW36</f>
        <v/>
      </c>
      <c r="BY36" s="838">
        <f>+BX36</f>
        <v/>
      </c>
      <c r="BZ36" s="838">
        <f>+BY36</f>
        <v/>
      </c>
      <c r="CA36" s="838">
        <f>+BZ36</f>
        <v/>
      </c>
      <c r="CB36" s="838">
        <f>+CA36</f>
        <v/>
      </c>
      <c r="CC36" s="838">
        <f>+CB36</f>
        <v/>
      </c>
      <c r="CD36" s="838">
        <f>+CC36</f>
        <v/>
      </c>
      <c r="CE36" s="838">
        <f>+CD36</f>
        <v/>
      </c>
      <c r="CF36" s="838">
        <f>+CE36</f>
        <v/>
      </c>
      <c r="CG36" s="838">
        <f>+CF36</f>
        <v/>
      </c>
      <c r="CH36" s="838">
        <f>+CG36</f>
        <v/>
      </c>
      <c r="CI36" s="839">
        <f>+CH36</f>
        <v/>
      </c>
      <c r="CJ36" s="838">
        <f>+CI36</f>
        <v/>
      </c>
      <c r="CK36" s="838">
        <f>+CJ36</f>
        <v/>
      </c>
      <c r="CL36" s="838">
        <f>+CK36</f>
        <v/>
      </c>
      <c r="CM36" s="838">
        <f>+CL36</f>
        <v/>
      </c>
      <c r="CN36" s="838">
        <f>+CM36</f>
        <v/>
      </c>
      <c r="CO36" s="838">
        <f>+CN36</f>
        <v/>
      </c>
      <c r="CP36" s="838">
        <f>+CO36</f>
        <v/>
      </c>
      <c r="CQ36" s="838">
        <f>+CP36</f>
        <v/>
      </c>
      <c r="CR36" s="838">
        <f>+CQ36</f>
        <v/>
      </c>
      <c r="CS36" s="838">
        <f>+CR36</f>
        <v/>
      </c>
      <c r="CT36" s="838">
        <f>+CS36</f>
        <v/>
      </c>
      <c r="CU36" s="839">
        <f>+CT36</f>
        <v/>
      </c>
      <c r="CV36" s="838">
        <f>+CU36</f>
        <v/>
      </c>
      <c r="CW36" s="838">
        <f>+CV36</f>
        <v/>
      </c>
      <c r="CX36" s="838">
        <f>+CW36</f>
        <v/>
      </c>
      <c r="CY36" s="838">
        <f>+CX36</f>
        <v/>
      </c>
      <c r="CZ36" s="838">
        <f>+CY36</f>
        <v/>
      </c>
      <c r="DA36" s="838">
        <f>+CZ36</f>
        <v/>
      </c>
      <c r="DB36" s="838">
        <f>+DA36</f>
        <v/>
      </c>
      <c r="DC36" s="838">
        <f>+DB36</f>
        <v/>
      </c>
      <c r="DD36" s="838">
        <f>+DC36</f>
        <v/>
      </c>
      <c r="DE36" s="838">
        <f>+DD36</f>
        <v/>
      </c>
      <c r="DF36" s="838">
        <f>+DE36</f>
        <v/>
      </c>
      <c r="DG36" s="837">
        <f>+DF36</f>
        <v/>
      </c>
    </row>
    <row r="37" ht="18" customHeight="1">
      <c r="A37" s="36" t="n"/>
      <c r="B37" s="36" t="n"/>
      <c r="C37" s="489" t="inlineStr">
        <is>
          <t>SAT/ACT Bill Rate</t>
        </is>
      </c>
      <c r="D37" s="834" t="n"/>
      <c r="E37" s="834" t="n"/>
      <c r="F37" s="834" t="n"/>
      <c r="G37" s="834" t="n"/>
      <c r="H37" s="834" t="n"/>
      <c r="I37" s="834" t="n"/>
      <c r="J37" s="834" t="n"/>
      <c r="K37" s="834" t="n"/>
      <c r="L37" s="834" t="n"/>
      <c r="M37" s="834" t="n"/>
      <c r="N37" s="834" t="n"/>
      <c r="O37" s="834" t="n"/>
      <c r="P37" s="834">
        <f>+IFERROR(P8/P29, 0)</f>
        <v/>
      </c>
      <c r="Q37" s="834">
        <f>+IFERROR(Q8/Q29, 0)</f>
        <v/>
      </c>
      <c r="R37" s="834">
        <f>+IFERROR(R8/R29, 0)</f>
        <v/>
      </c>
      <c r="S37" s="834">
        <f>+IFERROR(S8/S29, 0)</f>
        <v/>
      </c>
      <c r="T37" s="834">
        <f>+IFERROR(T8/T29, 0)</f>
        <v/>
      </c>
      <c r="U37" s="834">
        <f>+IFERROR(U8/U29, 0)</f>
        <v/>
      </c>
      <c r="V37" s="834">
        <f>+IFERROR(V8/V29, 0)</f>
        <v/>
      </c>
      <c r="W37" s="834">
        <f>+IFERROR(W8/W29, 0)</f>
        <v/>
      </c>
      <c r="X37" s="834">
        <f>+IFERROR(X8/X29, 0)</f>
        <v/>
      </c>
      <c r="Y37" s="834">
        <f>+IFERROR(Y8/Y29, 0)</f>
        <v/>
      </c>
      <c r="Z37" s="834">
        <f>+IFERROR(Z8/Z29, 0)</f>
        <v/>
      </c>
      <c r="AA37" s="835">
        <f>+IFERROR(AA8/AA29, 0)</f>
        <v/>
      </c>
      <c r="AB37" s="834">
        <f>+IFERROR(AB8/AB29, 0)</f>
        <v/>
      </c>
      <c r="AC37" s="834">
        <f>+IFERROR(AC8/AC29, 0)</f>
        <v/>
      </c>
      <c r="AD37" s="834">
        <f>+IFERROR(AD8/AD29, 0)</f>
        <v/>
      </c>
      <c r="AE37" s="834">
        <f>+IFERROR(AE8/AE29, 0)</f>
        <v/>
      </c>
      <c r="AF37" s="834">
        <f>+IFERROR(AF8/AF29, 0)</f>
        <v/>
      </c>
      <c r="AG37" s="840">
        <f>+IFERROR(AG8/AG29, 0)</f>
        <v/>
      </c>
      <c r="AH37" s="843">
        <f>+IFERROR(AH8/AH29, 0)</f>
        <v/>
      </c>
      <c r="AI37" s="843">
        <f>+IFERROR(AI8/AI29, 0)</f>
        <v/>
      </c>
      <c r="AJ37" s="843">
        <f>+IFERROR(AJ8/AJ29, 0)</f>
        <v/>
      </c>
      <c r="AK37" s="843">
        <f>+IFERROR(AK8/AK29, 0)</f>
        <v/>
      </c>
      <c r="AL37" s="843">
        <f>+IFERROR(AL8/AL29, 0)</f>
        <v/>
      </c>
      <c r="AM37" s="844">
        <f>+IFERROR(AM8/AM29, 0)</f>
        <v/>
      </c>
      <c r="AN37" s="843">
        <f>+IFERROR(AN8/AN29, 0)</f>
        <v/>
      </c>
      <c r="AO37" s="843">
        <f>+IFERROR(AO8/AO29, 0)</f>
        <v/>
      </c>
      <c r="AP37" s="843">
        <f>+IFERROR(AP8/AP29, 0)</f>
        <v/>
      </c>
      <c r="AQ37" s="843">
        <f>+IFERROR(AQ8/AQ29, 0)</f>
        <v/>
      </c>
      <c r="AR37" s="843">
        <f>+IFERROR(AR8/AR29, 0)</f>
        <v/>
      </c>
      <c r="AS37" s="843">
        <f>+IFERROR(AS8/AS29, 0)</f>
        <v/>
      </c>
      <c r="AT37" s="843">
        <f>+IFERROR(AT8/AT29, 0)</f>
        <v/>
      </c>
      <c r="AU37" s="843">
        <f>+IFERROR(AU8/AU29, 0)</f>
        <v/>
      </c>
      <c r="AV37" s="843">
        <f>+IFERROR(AV8/AV29, 0)</f>
        <v/>
      </c>
      <c r="AW37" s="845">
        <f>+IFERROR(AW8/AW29, 0)</f>
        <v/>
      </c>
      <c r="AX37" s="713" t="n">
        <v>75</v>
      </c>
      <c r="AY37" s="837">
        <f>+AX37</f>
        <v/>
      </c>
      <c r="AZ37" s="838">
        <f>+AY37</f>
        <v/>
      </c>
      <c r="BA37" s="838">
        <f>+AZ37</f>
        <v/>
      </c>
      <c r="BB37" s="838">
        <f>+BA37</f>
        <v/>
      </c>
      <c r="BC37" s="838">
        <f>+BB37</f>
        <v/>
      </c>
      <c r="BD37" s="838">
        <f>+BC37</f>
        <v/>
      </c>
      <c r="BE37" s="838">
        <f>+BD37</f>
        <v/>
      </c>
      <c r="BF37" s="838">
        <f>+BE37</f>
        <v/>
      </c>
      <c r="BG37" s="838">
        <f>+BF37</f>
        <v/>
      </c>
      <c r="BH37" s="838">
        <f>+BG37</f>
        <v/>
      </c>
      <c r="BI37" s="838">
        <f>+BH37</f>
        <v/>
      </c>
      <c r="BJ37" s="838">
        <f>+BI37</f>
        <v/>
      </c>
      <c r="BK37" s="839">
        <f>+BJ37</f>
        <v/>
      </c>
      <c r="BL37" s="838">
        <f>+BK37</f>
        <v/>
      </c>
      <c r="BM37" s="838">
        <f>+BL37</f>
        <v/>
      </c>
      <c r="BN37" s="838">
        <f>+BM37</f>
        <v/>
      </c>
      <c r="BO37" s="838">
        <f>+BN37</f>
        <v/>
      </c>
      <c r="BP37" s="838">
        <f>+BO37</f>
        <v/>
      </c>
      <c r="BQ37" s="838">
        <f>+BP37</f>
        <v/>
      </c>
      <c r="BR37" s="838">
        <f>+BQ37</f>
        <v/>
      </c>
      <c r="BS37" s="838">
        <f>+BR37</f>
        <v/>
      </c>
      <c r="BT37" s="838">
        <f>+BS37</f>
        <v/>
      </c>
      <c r="BU37" s="838">
        <f>+BT37</f>
        <v/>
      </c>
      <c r="BV37" s="838">
        <f>+BU37</f>
        <v/>
      </c>
      <c r="BW37" s="839">
        <f>+BV37</f>
        <v/>
      </c>
      <c r="BX37" s="838">
        <f>+BW37</f>
        <v/>
      </c>
      <c r="BY37" s="838">
        <f>+BX37</f>
        <v/>
      </c>
      <c r="BZ37" s="838">
        <f>+BY37</f>
        <v/>
      </c>
      <c r="CA37" s="838">
        <f>+BZ37</f>
        <v/>
      </c>
      <c r="CB37" s="838">
        <f>+CA37</f>
        <v/>
      </c>
      <c r="CC37" s="838">
        <f>+CB37</f>
        <v/>
      </c>
      <c r="CD37" s="838">
        <f>+CC37</f>
        <v/>
      </c>
      <c r="CE37" s="838">
        <f>+CD37</f>
        <v/>
      </c>
      <c r="CF37" s="838">
        <f>+CE37</f>
        <v/>
      </c>
      <c r="CG37" s="838">
        <f>+CF37</f>
        <v/>
      </c>
      <c r="CH37" s="838">
        <f>+CG37</f>
        <v/>
      </c>
      <c r="CI37" s="839">
        <f>+CH37</f>
        <v/>
      </c>
      <c r="CJ37" s="838">
        <f>+CI37</f>
        <v/>
      </c>
      <c r="CK37" s="838">
        <f>+CJ37</f>
        <v/>
      </c>
      <c r="CL37" s="838">
        <f>+CK37</f>
        <v/>
      </c>
      <c r="CM37" s="838">
        <f>+CL37</f>
        <v/>
      </c>
      <c r="CN37" s="838">
        <f>+CM37</f>
        <v/>
      </c>
      <c r="CO37" s="838">
        <f>+CN37</f>
        <v/>
      </c>
      <c r="CP37" s="838">
        <f>+CO37</f>
        <v/>
      </c>
      <c r="CQ37" s="838">
        <f>+CP37</f>
        <v/>
      </c>
      <c r="CR37" s="838">
        <f>+CQ37</f>
        <v/>
      </c>
      <c r="CS37" s="838">
        <f>+CR37</f>
        <v/>
      </c>
      <c r="CT37" s="838">
        <f>+CS37</f>
        <v/>
      </c>
      <c r="CU37" s="839">
        <f>+CT37</f>
        <v/>
      </c>
      <c r="CV37" s="838">
        <f>+CU37</f>
        <v/>
      </c>
      <c r="CW37" s="838">
        <f>+CV37</f>
        <v/>
      </c>
      <c r="CX37" s="838">
        <f>+CW37</f>
        <v/>
      </c>
      <c r="CY37" s="838">
        <f>+CX37</f>
        <v/>
      </c>
      <c r="CZ37" s="838">
        <f>+CY37</f>
        <v/>
      </c>
      <c r="DA37" s="838">
        <f>+CZ37</f>
        <v/>
      </c>
      <c r="DB37" s="838">
        <f>+DA37</f>
        <v/>
      </c>
      <c r="DC37" s="838">
        <f>+DB37</f>
        <v/>
      </c>
      <c r="DD37" s="838">
        <f>+DC37</f>
        <v/>
      </c>
      <c r="DE37" s="838">
        <f>+DD37</f>
        <v/>
      </c>
      <c r="DF37" s="838">
        <f>+DE37</f>
        <v/>
      </c>
      <c r="DG37" s="837">
        <f>+DF37</f>
        <v/>
      </c>
    </row>
    <row r="38" ht="18" customHeight="1">
      <c r="A38" s="36" t="n"/>
      <c r="B38" s="36" t="n"/>
      <c r="C38" s="489" t="inlineStr">
        <is>
          <t>Resume Review Bill Rate</t>
        </is>
      </c>
      <c r="D38" s="834" t="n"/>
      <c r="E38" s="834" t="n"/>
      <c r="F38" s="834" t="n"/>
      <c r="G38" s="834" t="n"/>
      <c r="H38" s="834" t="n"/>
      <c r="I38" s="834" t="n"/>
      <c r="J38" s="834" t="n"/>
      <c r="K38" s="834" t="n"/>
      <c r="L38" s="834" t="n"/>
      <c r="M38" s="834" t="n"/>
      <c r="N38" s="834" t="n"/>
      <c r="O38" s="834" t="n"/>
      <c r="P38" s="834">
        <f>+IFERROR(P9/P30, 0)</f>
        <v/>
      </c>
      <c r="Q38" s="834">
        <f>+IFERROR(Q9/Q30, 0)</f>
        <v/>
      </c>
      <c r="R38" s="834">
        <f>+IFERROR(R9/R30, 0)</f>
        <v/>
      </c>
      <c r="S38" s="834">
        <f>+IFERROR(S9/S30, 0)</f>
        <v/>
      </c>
      <c r="T38" s="834">
        <f>+IFERROR(T9/T30, 0)</f>
        <v/>
      </c>
      <c r="U38" s="834">
        <f>+IFERROR(U9/U30, 0)</f>
        <v/>
      </c>
      <c r="V38" s="834">
        <f>+IFERROR(V9/V30, 0)</f>
        <v/>
      </c>
      <c r="W38" s="834">
        <f>+IFERROR(W9/W30, 0)</f>
        <v/>
      </c>
      <c r="X38" s="834">
        <f>+IFERROR(X9/X30, 0)</f>
        <v/>
      </c>
      <c r="Y38" s="834">
        <f>+IFERROR(Y9/Y30, 0)</f>
        <v/>
      </c>
      <c r="Z38" s="834">
        <f>+IFERROR(Z9/Z30, 0)</f>
        <v/>
      </c>
      <c r="AA38" s="835">
        <f>+IFERROR(AA9/AA30, 0)</f>
        <v/>
      </c>
      <c r="AB38" s="834">
        <f>+IFERROR(AB9/AB30, 0)</f>
        <v/>
      </c>
      <c r="AC38" s="834">
        <f>+IFERROR(AC9/AC30, 0)</f>
        <v/>
      </c>
      <c r="AD38" s="834">
        <f>+IFERROR(AD9/AD30, 0)</f>
        <v/>
      </c>
      <c r="AE38" s="834">
        <f>+IFERROR(AE9/AE30, 0)</f>
        <v/>
      </c>
      <c r="AF38" s="834">
        <f>+IFERROR(AF9/AF30, 0)</f>
        <v/>
      </c>
      <c r="AG38" s="834">
        <f>+IFERROR(AG9/AG30, 0)</f>
        <v/>
      </c>
      <c r="AH38" s="834">
        <f>+IFERROR(AH9/AH30, 0)</f>
        <v/>
      </c>
      <c r="AI38" s="834">
        <f>+IFERROR(AI9/AI30, 0)</f>
        <v/>
      </c>
      <c r="AJ38" s="834">
        <f>+IFERROR(AJ9/AJ30, 0)</f>
        <v/>
      </c>
      <c r="AK38" s="834">
        <f>+IFERROR(AK9/AK30, 0)</f>
        <v/>
      </c>
      <c r="AL38" s="834">
        <f>+IFERROR(AL9/AL30, 0)</f>
        <v/>
      </c>
      <c r="AM38" s="835">
        <f>+IFERROR(AM9/AM30, 0)</f>
        <v/>
      </c>
      <c r="AN38" s="834">
        <f>+IFERROR(AN9/AN30, 0)</f>
        <v/>
      </c>
      <c r="AO38" s="834">
        <f>+IFERROR(AO9/AO30, 0)</f>
        <v/>
      </c>
      <c r="AP38" s="834">
        <f>+IFERROR(AP9/AP30, 0)</f>
        <v/>
      </c>
      <c r="AQ38" s="834">
        <f>+IFERROR(AQ9/AQ30, 0)</f>
        <v/>
      </c>
      <c r="AR38" s="834">
        <f>+IFERROR(AR9/AR30, 0)</f>
        <v/>
      </c>
      <c r="AS38" s="834">
        <f>+IFERROR(AS9/AS30, 0)</f>
        <v/>
      </c>
      <c r="AT38" s="834">
        <f>+IFERROR(AT9/AT30, 0)</f>
        <v/>
      </c>
      <c r="AU38" s="834">
        <f>+IFERROR(AU9/AU30, 0)</f>
        <v/>
      </c>
      <c r="AV38" s="834">
        <f>+IFERROR(AV9/AV30, 0)</f>
        <v/>
      </c>
      <c r="AW38" s="836">
        <f>+IFERROR(AW9/AW30, 0)</f>
        <v/>
      </c>
      <c r="AX38" s="713" t="n">
        <v>135</v>
      </c>
      <c r="AY38" s="837">
        <f>+AX38</f>
        <v/>
      </c>
      <c r="AZ38" s="838">
        <f>+AY38</f>
        <v/>
      </c>
      <c r="BA38" s="838">
        <f>+AZ38</f>
        <v/>
      </c>
      <c r="BB38" s="838">
        <f>+BA38</f>
        <v/>
      </c>
      <c r="BC38" s="838">
        <f>+BB38</f>
        <v/>
      </c>
      <c r="BD38" s="838">
        <f>+BC38</f>
        <v/>
      </c>
      <c r="BE38" s="838">
        <f>+BD38</f>
        <v/>
      </c>
      <c r="BF38" s="838">
        <f>+BE38</f>
        <v/>
      </c>
      <c r="BG38" s="838">
        <f>+BF38</f>
        <v/>
      </c>
      <c r="BH38" s="838">
        <f>+BG38</f>
        <v/>
      </c>
      <c r="BI38" s="838">
        <f>+BH38</f>
        <v/>
      </c>
      <c r="BJ38" s="838">
        <f>+BI38</f>
        <v/>
      </c>
      <c r="BK38" s="839">
        <f>+BJ38</f>
        <v/>
      </c>
      <c r="BL38" s="838">
        <f>+BK38</f>
        <v/>
      </c>
      <c r="BM38" s="838">
        <f>+BL38</f>
        <v/>
      </c>
      <c r="BN38" s="838">
        <f>+BM38</f>
        <v/>
      </c>
      <c r="BO38" s="838">
        <f>+BN38</f>
        <v/>
      </c>
      <c r="BP38" s="838">
        <f>+BO38</f>
        <v/>
      </c>
      <c r="BQ38" s="838">
        <f>+BP38</f>
        <v/>
      </c>
      <c r="BR38" s="838">
        <f>+BQ38</f>
        <v/>
      </c>
      <c r="BS38" s="838">
        <f>+BR38</f>
        <v/>
      </c>
      <c r="BT38" s="838">
        <f>+BS38</f>
        <v/>
      </c>
      <c r="BU38" s="838">
        <f>+BT38</f>
        <v/>
      </c>
      <c r="BV38" s="838">
        <f>+BU38</f>
        <v/>
      </c>
      <c r="BW38" s="839">
        <f>+BV38</f>
        <v/>
      </c>
      <c r="BX38" s="838">
        <f>+BW38</f>
        <v/>
      </c>
      <c r="BY38" s="838">
        <f>+BX38</f>
        <v/>
      </c>
      <c r="BZ38" s="838">
        <f>+BY38</f>
        <v/>
      </c>
      <c r="CA38" s="838">
        <f>+BZ38</f>
        <v/>
      </c>
      <c r="CB38" s="838">
        <f>+CA38</f>
        <v/>
      </c>
      <c r="CC38" s="838">
        <f>+CB38</f>
        <v/>
      </c>
      <c r="CD38" s="838">
        <f>+CC38</f>
        <v/>
      </c>
      <c r="CE38" s="838">
        <f>+CD38</f>
        <v/>
      </c>
      <c r="CF38" s="838">
        <f>+CE38</f>
        <v/>
      </c>
      <c r="CG38" s="838">
        <f>+CF38</f>
        <v/>
      </c>
      <c r="CH38" s="838">
        <f>+CG38</f>
        <v/>
      </c>
      <c r="CI38" s="839">
        <f>+CH38</f>
        <v/>
      </c>
      <c r="CJ38" s="838">
        <f>+CI38</f>
        <v/>
      </c>
      <c r="CK38" s="838">
        <f>+CJ38</f>
        <v/>
      </c>
      <c r="CL38" s="838">
        <f>+CK38</f>
        <v/>
      </c>
      <c r="CM38" s="838">
        <f>+CL38</f>
        <v/>
      </c>
      <c r="CN38" s="838">
        <f>+CM38</f>
        <v/>
      </c>
      <c r="CO38" s="838">
        <f>+CN38</f>
        <v/>
      </c>
      <c r="CP38" s="838">
        <f>+CO38</f>
        <v/>
      </c>
      <c r="CQ38" s="838">
        <f>+CP38</f>
        <v/>
      </c>
      <c r="CR38" s="838">
        <f>+CQ38</f>
        <v/>
      </c>
      <c r="CS38" s="838">
        <f>+CR38</f>
        <v/>
      </c>
      <c r="CT38" s="838">
        <f>+CS38</f>
        <v/>
      </c>
      <c r="CU38" s="839">
        <f>+CT38</f>
        <v/>
      </c>
      <c r="CV38" s="838">
        <f>+CU38</f>
        <v/>
      </c>
      <c r="CW38" s="838">
        <f>+CV38</f>
        <v/>
      </c>
      <c r="CX38" s="838">
        <f>+CW38</f>
        <v/>
      </c>
      <c r="CY38" s="838">
        <f>+CX38</f>
        <v/>
      </c>
      <c r="CZ38" s="838">
        <f>+CY38</f>
        <v/>
      </c>
      <c r="DA38" s="838">
        <f>+CZ38</f>
        <v/>
      </c>
      <c r="DB38" s="838">
        <f>+DA38</f>
        <v/>
      </c>
      <c r="DC38" s="838">
        <f>+DB38</f>
        <v/>
      </c>
      <c r="DD38" s="838">
        <f>+DC38</f>
        <v/>
      </c>
      <c r="DE38" s="838">
        <f>+DD38</f>
        <v/>
      </c>
      <c r="DF38" s="838">
        <f>+DE38</f>
        <v/>
      </c>
      <c r="DG38" s="837">
        <f>+DF38</f>
        <v/>
      </c>
    </row>
    <row r="39" ht="18" customHeight="1">
      <c r="A39" s="36" t="n"/>
      <c r="B39" s="36" t="n"/>
      <c r="C39" s="489" t="inlineStr">
        <is>
          <t>College Services Bill Rate</t>
        </is>
      </c>
      <c r="D39" s="834" t="n"/>
      <c r="E39" s="834" t="n"/>
      <c r="F39" s="834" t="n"/>
      <c r="G39" s="834" t="n"/>
      <c r="H39" s="834" t="n"/>
      <c r="I39" s="834" t="n"/>
      <c r="J39" s="834" t="n"/>
      <c r="K39" s="834" t="n"/>
      <c r="L39" s="834" t="n"/>
      <c r="M39" s="834" t="n"/>
      <c r="N39" s="834" t="n"/>
      <c r="O39" s="834" t="n"/>
      <c r="P39" s="834">
        <f>IFERROR(P10/P31, 0)</f>
        <v/>
      </c>
      <c r="Q39" s="834">
        <f>IFERROR(Q10/Q31, 0)</f>
        <v/>
      </c>
      <c r="R39" s="834">
        <f>IFERROR(R10/R31, 0)</f>
        <v/>
      </c>
      <c r="S39" s="834">
        <f>IFERROR(S10/S31, 0)</f>
        <v/>
      </c>
      <c r="T39" s="834">
        <f>IFERROR(T10/T31, 0)</f>
        <v/>
      </c>
      <c r="U39" s="834">
        <f>IFERROR(U10/U31, 0)</f>
        <v/>
      </c>
      <c r="V39" s="834">
        <f>IFERROR(V10/V31, 0)</f>
        <v/>
      </c>
      <c r="W39" s="834">
        <f>IFERROR(W10/W31, 0)</f>
        <v/>
      </c>
      <c r="X39" s="834">
        <f>IFERROR(X10/X31, 0)</f>
        <v/>
      </c>
      <c r="Y39" s="834">
        <f>IFERROR(Y10/Y31, 0)</f>
        <v/>
      </c>
      <c r="Z39" s="834">
        <f>IFERROR(Z10/Z31, 0)</f>
        <v/>
      </c>
      <c r="AA39" s="835">
        <f>IFERROR(AA10/AA31, 0)</f>
        <v/>
      </c>
      <c r="AB39" s="834">
        <f>IFERROR(AB10/AB31, 0)</f>
        <v/>
      </c>
      <c r="AC39" s="834">
        <f>IFERROR(AC10/AC31, 0)</f>
        <v/>
      </c>
      <c r="AD39" s="834">
        <f>IFERROR(AD10/AD31, 0)</f>
        <v/>
      </c>
      <c r="AE39" s="834">
        <f>IFERROR(AE10/AE31, 0)</f>
        <v/>
      </c>
      <c r="AF39" s="834">
        <f>IFERROR(AF10/AF31, 0)</f>
        <v/>
      </c>
      <c r="AG39" s="840">
        <f>IFERROR(AG10/AG31, 0)</f>
        <v/>
      </c>
      <c r="AH39" s="840">
        <f>IFERROR(AH10/AH31, 0)</f>
        <v/>
      </c>
      <c r="AI39" s="840">
        <f>IFERROR(AI10/AI31, 0)</f>
        <v/>
      </c>
      <c r="AJ39" s="840">
        <f>IFERROR(AJ10/AJ31, 0)</f>
        <v/>
      </c>
      <c r="AK39" s="840">
        <f>IFERROR(AK10/AK31, 0)</f>
        <v/>
      </c>
      <c r="AL39" s="840">
        <f>IFERROR(AL10/AL31, 0)</f>
        <v/>
      </c>
      <c r="AM39" s="841">
        <f>IFERROR(AM10/AM31, 0)</f>
        <v/>
      </c>
      <c r="AN39" s="840">
        <f>IFERROR(AN10/AN31, 0)</f>
        <v/>
      </c>
      <c r="AO39" s="840">
        <f>IFERROR(AO10/AO31, 0)</f>
        <v/>
      </c>
      <c r="AP39" s="840">
        <f>IFERROR(AP10/AP31, 0)</f>
        <v/>
      </c>
      <c r="AQ39" s="840">
        <f>IFERROR(AQ10/AQ31, 0)</f>
        <v/>
      </c>
      <c r="AR39" s="840">
        <f>IFERROR(AR10/AR31, 0)</f>
        <v/>
      </c>
      <c r="AS39" s="840">
        <f>IFERROR(AS10/AS31, 0)</f>
        <v/>
      </c>
      <c r="AT39" s="840">
        <f>IFERROR(AT10/AT31, 0)</f>
        <v/>
      </c>
      <c r="AU39" s="840">
        <f>IFERROR(AU10/AU31, 0)</f>
        <v/>
      </c>
      <c r="AV39" s="840">
        <f>IFERROR(AV10/AV31, 0)</f>
        <v/>
      </c>
      <c r="AW39" s="842">
        <f>IFERROR(AW10/AW31, 0)</f>
        <v/>
      </c>
      <c r="AX39" s="713" t="n">
        <v>135</v>
      </c>
      <c r="AY39" s="837">
        <f>+AX39</f>
        <v/>
      </c>
      <c r="AZ39" s="838">
        <f>+AY39</f>
        <v/>
      </c>
      <c r="BA39" s="838">
        <f>+AZ39</f>
        <v/>
      </c>
      <c r="BB39" s="838">
        <f>+BA39</f>
        <v/>
      </c>
      <c r="BC39" s="838">
        <f>+BB39</f>
        <v/>
      </c>
      <c r="BD39" s="838">
        <f>+BC39</f>
        <v/>
      </c>
      <c r="BE39" s="838">
        <f>+BD39</f>
        <v/>
      </c>
      <c r="BF39" s="838">
        <f>+BE39</f>
        <v/>
      </c>
      <c r="BG39" s="838">
        <f>+BF39</f>
        <v/>
      </c>
      <c r="BH39" s="838">
        <f>+BG39</f>
        <v/>
      </c>
      <c r="BI39" s="838">
        <f>+BH39</f>
        <v/>
      </c>
      <c r="BJ39" s="838">
        <f>+BI39</f>
        <v/>
      </c>
      <c r="BK39" s="839">
        <f>+BJ39</f>
        <v/>
      </c>
      <c r="BL39" s="838">
        <f>+BK39</f>
        <v/>
      </c>
      <c r="BM39" s="838">
        <f>+BL39</f>
        <v/>
      </c>
      <c r="BN39" s="838">
        <f>+BM39</f>
        <v/>
      </c>
      <c r="BO39" s="838">
        <f>+BN39</f>
        <v/>
      </c>
      <c r="BP39" s="838">
        <f>+BO39</f>
        <v/>
      </c>
      <c r="BQ39" s="838">
        <f>+BP39</f>
        <v/>
      </c>
      <c r="BR39" s="838">
        <f>+BQ39</f>
        <v/>
      </c>
      <c r="BS39" s="838">
        <f>+BR39</f>
        <v/>
      </c>
      <c r="BT39" s="838">
        <f>+BS39</f>
        <v/>
      </c>
      <c r="BU39" s="838">
        <f>+BT39</f>
        <v/>
      </c>
      <c r="BV39" s="838">
        <f>+BU39</f>
        <v/>
      </c>
      <c r="BW39" s="839">
        <f>+BV39</f>
        <v/>
      </c>
      <c r="BX39" s="838">
        <f>+BW39</f>
        <v/>
      </c>
      <c r="BY39" s="838">
        <f>+BX39</f>
        <v/>
      </c>
      <c r="BZ39" s="838">
        <f>+BY39</f>
        <v/>
      </c>
      <c r="CA39" s="838">
        <f>+BZ39</f>
        <v/>
      </c>
      <c r="CB39" s="838">
        <f>+CA39</f>
        <v/>
      </c>
      <c r="CC39" s="838">
        <f>+CB39</f>
        <v/>
      </c>
      <c r="CD39" s="838">
        <f>+CC39</f>
        <v/>
      </c>
      <c r="CE39" s="838">
        <f>+CD39</f>
        <v/>
      </c>
      <c r="CF39" s="838">
        <f>+CE39</f>
        <v/>
      </c>
      <c r="CG39" s="838">
        <f>+CF39</f>
        <v/>
      </c>
      <c r="CH39" s="838">
        <f>+CG39</f>
        <v/>
      </c>
      <c r="CI39" s="839">
        <f>+CH39</f>
        <v/>
      </c>
      <c r="CJ39" s="838">
        <f>+CI39</f>
        <v/>
      </c>
      <c r="CK39" s="838">
        <f>+CJ39</f>
        <v/>
      </c>
      <c r="CL39" s="838">
        <f>+CK39</f>
        <v/>
      </c>
      <c r="CM39" s="838">
        <f>+CL39</f>
        <v/>
      </c>
      <c r="CN39" s="838">
        <f>+CM39</f>
        <v/>
      </c>
      <c r="CO39" s="838">
        <f>+CN39</f>
        <v/>
      </c>
      <c r="CP39" s="838">
        <f>+CO39</f>
        <v/>
      </c>
      <c r="CQ39" s="838">
        <f>+CP39</f>
        <v/>
      </c>
      <c r="CR39" s="838">
        <f>+CQ39</f>
        <v/>
      </c>
      <c r="CS39" s="838">
        <f>+CR39</f>
        <v/>
      </c>
      <c r="CT39" s="838">
        <f>+CS39</f>
        <v/>
      </c>
      <c r="CU39" s="839">
        <f>+CT39</f>
        <v/>
      </c>
      <c r="CV39" s="838">
        <f>+CU39</f>
        <v/>
      </c>
      <c r="CW39" s="838">
        <f>+CV39</f>
        <v/>
      </c>
      <c r="CX39" s="838">
        <f>+CW39</f>
        <v/>
      </c>
      <c r="CY39" s="838">
        <f>+CX39</f>
        <v/>
      </c>
      <c r="CZ39" s="838">
        <f>+CY39</f>
        <v/>
      </c>
      <c r="DA39" s="838">
        <f>+CZ39</f>
        <v/>
      </c>
      <c r="DB39" s="838">
        <f>+DA39</f>
        <v/>
      </c>
      <c r="DC39" s="838">
        <f>+DB39</f>
        <v/>
      </c>
      <c r="DD39" s="838">
        <f>+DC39</f>
        <v/>
      </c>
      <c r="DE39" s="838">
        <f>+DD39</f>
        <v/>
      </c>
      <c r="DF39" s="838">
        <f>+DE39</f>
        <v/>
      </c>
      <c r="DG39" s="837">
        <f>+DF39</f>
        <v/>
      </c>
    </row>
    <row r="40" ht="18" customHeight="1">
      <c r="A40" s="36" t="n"/>
      <c r="B40" s="36" t="n"/>
      <c r="C40" s="489" t="inlineStr">
        <is>
          <t>Dance Bill Rate</t>
        </is>
      </c>
      <c r="D40" s="834" t="n"/>
      <c r="E40" s="834" t="n"/>
      <c r="F40" s="834" t="n"/>
      <c r="G40" s="834" t="n"/>
      <c r="H40" s="834" t="n"/>
      <c r="I40" s="834" t="n"/>
      <c r="J40" s="834" t="n"/>
      <c r="K40" s="834" t="n"/>
      <c r="L40" s="834" t="n"/>
      <c r="M40" s="834" t="n"/>
      <c r="N40" s="834" t="n"/>
      <c r="O40" s="834" t="n"/>
      <c r="P40" s="834">
        <f>+IFERROR((P32*60)/P32, 0)</f>
        <v/>
      </c>
      <c r="Q40" s="834">
        <f>+IFERROR((Q32*60)/Q32, 0)</f>
        <v/>
      </c>
      <c r="R40" s="834">
        <f>+IFERROR((R32*60)/R32, 0)</f>
        <v/>
      </c>
      <c r="S40" s="834">
        <f>+IFERROR((S32*60)/S32, 0)</f>
        <v/>
      </c>
      <c r="T40" s="834">
        <f>+IFERROR((T32*60)/T32, 0)</f>
        <v/>
      </c>
      <c r="U40" s="834">
        <f>+IFERROR((U32*60)/U32, 0)</f>
        <v/>
      </c>
      <c r="V40" s="834">
        <f>+IFERROR((V32*60)/V32, 0)</f>
        <v/>
      </c>
      <c r="W40" s="834">
        <f>+IFERROR((W32*60)/W32, 0)</f>
        <v/>
      </c>
      <c r="X40" s="834">
        <f>+IFERROR((X32*60)/X32, 0)</f>
        <v/>
      </c>
      <c r="Y40" s="834">
        <f>+IFERROR((Y32*60)/Y32, 0)</f>
        <v/>
      </c>
      <c r="Z40" s="834">
        <f>+IFERROR((Z32*60)/Z32, 0)</f>
        <v/>
      </c>
      <c r="AA40" s="835">
        <f>+IFERROR((AA32*60)/AA32, 0)</f>
        <v/>
      </c>
      <c r="AB40" s="834">
        <f>+IFERROR((AB32*60)/AB32, 0)</f>
        <v/>
      </c>
      <c r="AC40" s="834">
        <f>+IFERROR((AC32*60)/AC32, 0)</f>
        <v/>
      </c>
      <c r="AD40" s="834">
        <f>+IFERROR((AD32*60)/AD32, 0)</f>
        <v/>
      </c>
      <c r="AE40" s="834">
        <f>+IFERROR((AE32*60)/AE32, 0)</f>
        <v/>
      </c>
      <c r="AF40" s="834">
        <f>+IFERROR((AF32*60)/AF32, 0)</f>
        <v/>
      </c>
      <c r="AG40" s="834">
        <f>+IFERROR((AG32*60)/AG32, 0)</f>
        <v/>
      </c>
      <c r="AH40" s="834">
        <f>+IFERROR((AH32*60)/AH32, 0)</f>
        <v/>
      </c>
      <c r="AI40" s="834">
        <f>+IFERROR((AI32*60)/AI32, 0)</f>
        <v/>
      </c>
      <c r="AJ40" s="834">
        <f>+IFERROR((AJ32*60)/AJ32, 0)</f>
        <v/>
      </c>
      <c r="AK40" s="834">
        <f>+IFERROR((AK32*60)/AK32, 0)</f>
        <v/>
      </c>
      <c r="AL40" s="834">
        <f>+IFERROR((AL32*60)/AL32, 0)</f>
        <v/>
      </c>
      <c r="AM40" s="835">
        <f>+IFERROR((AM32*60)/AM32, 0)</f>
        <v/>
      </c>
      <c r="AN40" s="834">
        <f>+IFERROR((AN32*60)/AN32, 0)</f>
        <v/>
      </c>
      <c r="AO40" s="834">
        <f>+IFERROR((AO32*60)/AO32, 0)</f>
        <v/>
      </c>
      <c r="AP40" s="834">
        <f>+IFERROR((AP32*60)/AP32, 0)</f>
        <v/>
      </c>
      <c r="AQ40" s="834">
        <f>+IFERROR((AQ32*60)/AQ32, 0)</f>
        <v/>
      </c>
      <c r="AR40" s="834">
        <f>+IFERROR((AR32*60)/AR32, 0)</f>
        <v/>
      </c>
      <c r="AS40" s="834">
        <f>+IFERROR((AS32*60)/AS32, 0)</f>
        <v/>
      </c>
      <c r="AT40" s="834">
        <f>+IFERROR((AT32*60)/AT32, 0)</f>
        <v/>
      </c>
      <c r="AU40" s="834">
        <f>+IFERROR((AU32*60)/AU32, 0)</f>
        <v/>
      </c>
      <c r="AV40" s="834">
        <f>+IFERROR((AV32*60)/AV32, 0)</f>
        <v/>
      </c>
      <c r="AW40" s="836">
        <f>+IFERROR((AW32*60)/AW32, 0)</f>
        <v/>
      </c>
      <c r="AX40" s="713" t="n">
        <v>60</v>
      </c>
      <c r="AY40" s="837">
        <f>+AX40</f>
        <v/>
      </c>
      <c r="AZ40" s="838">
        <f>+AY40</f>
        <v/>
      </c>
      <c r="BA40" s="838">
        <f>+AZ40</f>
        <v/>
      </c>
      <c r="BB40" s="838">
        <f>+BA40</f>
        <v/>
      </c>
      <c r="BC40" s="838">
        <f>+BB40</f>
        <v/>
      </c>
      <c r="BD40" s="838">
        <f>+BC40</f>
        <v/>
      </c>
      <c r="BE40" s="838">
        <f>+BD40</f>
        <v/>
      </c>
      <c r="BF40" s="838">
        <f>+BE40</f>
        <v/>
      </c>
      <c r="BG40" s="838">
        <f>+BF40</f>
        <v/>
      </c>
      <c r="BH40" s="838">
        <f>+BG40</f>
        <v/>
      </c>
      <c r="BI40" s="838">
        <f>+BH40</f>
        <v/>
      </c>
      <c r="BJ40" s="838">
        <f>+BI40</f>
        <v/>
      </c>
      <c r="BK40" s="839">
        <f>+BJ40</f>
        <v/>
      </c>
      <c r="BL40" s="838">
        <f>+BK40</f>
        <v/>
      </c>
      <c r="BM40" s="838">
        <f>+BL40</f>
        <v/>
      </c>
      <c r="BN40" s="838">
        <f>+BM40</f>
        <v/>
      </c>
      <c r="BO40" s="838">
        <f>+BN40</f>
        <v/>
      </c>
      <c r="BP40" s="838">
        <f>+BO40</f>
        <v/>
      </c>
      <c r="BQ40" s="838">
        <f>+BP40</f>
        <v/>
      </c>
      <c r="BR40" s="838">
        <f>+BQ40</f>
        <v/>
      </c>
      <c r="BS40" s="838">
        <f>+BR40</f>
        <v/>
      </c>
      <c r="BT40" s="838">
        <f>+BS40</f>
        <v/>
      </c>
      <c r="BU40" s="838">
        <f>+BT40</f>
        <v/>
      </c>
      <c r="BV40" s="838">
        <f>+BU40</f>
        <v/>
      </c>
      <c r="BW40" s="839">
        <f>+BV40</f>
        <v/>
      </c>
      <c r="BX40" s="838">
        <f>+BW40</f>
        <v/>
      </c>
      <c r="BY40" s="838">
        <f>+BX40</f>
        <v/>
      </c>
      <c r="BZ40" s="838">
        <f>+BY40</f>
        <v/>
      </c>
      <c r="CA40" s="838">
        <f>+BZ40</f>
        <v/>
      </c>
      <c r="CB40" s="838">
        <f>+CA40</f>
        <v/>
      </c>
      <c r="CC40" s="838">
        <f>+CB40</f>
        <v/>
      </c>
      <c r="CD40" s="838">
        <f>+CC40</f>
        <v/>
      </c>
      <c r="CE40" s="838">
        <f>+CD40</f>
        <v/>
      </c>
      <c r="CF40" s="838">
        <f>+CE40</f>
        <v/>
      </c>
      <c r="CG40" s="838">
        <f>+CF40</f>
        <v/>
      </c>
      <c r="CH40" s="838">
        <f>+CG40</f>
        <v/>
      </c>
      <c r="CI40" s="839">
        <f>+CH40</f>
        <v/>
      </c>
      <c r="CJ40" s="838">
        <f>+CI40</f>
        <v/>
      </c>
      <c r="CK40" s="838">
        <f>+CJ40</f>
        <v/>
      </c>
      <c r="CL40" s="838">
        <f>+CK40</f>
        <v/>
      </c>
      <c r="CM40" s="838">
        <f>+CL40</f>
        <v/>
      </c>
      <c r="CN40" s="838">
        <f>+CM40</f>
        <v/>
      </c>
      <c r="CO40" s="838">
        <f>+CN40</f>
        <v/>
      </c>
      <c r="CP40" s="838">
        <f>+CO40</f>
        <v/>
      </c>
      <c r="CQ40" s="838">
        <f>+CP40</f>
        <v/>
      </c>
      <c r="CR40" s="838">
        <f>+CQ40</f>
        <v/>
      </c>
      <c r="CS40" s="838">
        <f>+CR40</f>
        <v/>
      </c>
      <c r="CT40" s="838">
        <f>+CS40</f>
        <v/>
      </c>
      <c r="CU40" s="839">
        <f>+CT40</f>
        <v/>
      </c>
      <c r="CV40" s="838">
        <f>+CU40</f>
        <v/>
      </c>
      <c r="CW40" s="838">
        <f>+CV40</f>
        <v/>
      </c>
      <c r="CX40" s="838">
        <f>+CW40</f>
        <v/>
      </c>
      <c r="CY40" s="838">
        <f>+CX40</f>
        <v/>
      </c>
      <c r="CZ40" s="838">
        <f>+CY40</f>
        <v/>
      </c>
      <c r="DA40" s="838">
        <f>+CZ40</f>
        <v/>
      </c>
      <c r="DB40" s="838">
        <f>+DA40</f>
        <v/>
      </c>
      <c r="DC40" s="838">
        <f>+DB40</f>
        <v/>
      </c>
      <c r="DD40" s="838">
        <f>+DC40</f>
        <v/>
      </c>
      <c r="DE40" s="838">
        <f>+DD40</f>
        <v/>
      </c>
      <c r="DF40" s="838">
        <f>+DE40</f>
        <v/>
      </c>
      <c r="DG40" s="837">
        <f>+DF40</f>
        <v/>
      </c>
    </row>
    <row r="41" ht="18" customHeight="1">
      <c r="A41" s="36" t="n"/>
      <c r="B41" s="36" t="n"/>
      <c r="C41" s="489" t="n"/>
      <c r="D41" s="834" t="n"/>
      <c r="E41" s="834" t="n"/>
      <c r="F41" s="834" t="n"/>
      <c r="G41" s="834" t="n"/>
      <c r="H41" s="834" t="n"/>
      <c r="I41" s="834" t="n"/>
      <c r="J41" s="834" t="n"/>
      <c r="K41" s="834" t="n"/>
      <c r="L41" s="834" t="n"/>
      <c r="M41" s="834" t="n"/>
      <c r="N41" s="834" t="n"/>
      <c r="O41" s="834" t="n"/>
      <c r="P41" s="834" t="n"/>
      <c r="Q41" s="834" t="n"/>
      <c r="R41" s="834" t="n"/>
      <c r="S41" s="834" t="n"/>
      <c r="T41" s="834" t="n"/>
      <c r="U41" s="834" t="n"/>
      <c r="V41" s="834" t="n"/>
      <c r="W41" s="834" t="n"/>
      <c r="X41" s="834" t="n"/>
      <c r="Y41" s="834" t="n"/>
      <c r="Z41" s="834" t="n"/>
      <c r="AA41" s="835" t="n"/>
      <c r="AB41" s="834" t="n"/>
      <c r="AC41" s="834" t="n"/>
      <c r="AD41" s="834" t="n"/>
      <c r="AE41" s="834" t="n"/>
      <c r="AF41" s="834" t="n"/>
      <c r="AG41" s="834" t="n"/>
      <c r="AH41" s="834" t="n"/>
      <c r="AI41" s="834" t="n"/>
      <c r="AJ41" s="493" t="n"/>
      <c r="AK41" s="493" t="n"/>
      <c r="AL41" s="493" t="n"/>
      <c r="AM41" s="528" t="n"/>
      <c r="AN41" s="493" t="n"/>
      <c r="AO41" s="493" t="n"/>
      <c r="AP41" s="493" t="n"/>
      <c r="AQ41" s="493" t="n"/>
      <c r="AR41" s="493" t="n"/>
      <c r="AS41" s="493" t="n"/>
      <c r="AT41" s="493" t="n"/>
      <c r="AU41" s="493" t="n"/>
      <c r="AV41" s="493" t="n"/>
      <c r="AW41" s="593" t="n"/>
      <c r="AX41" s="838" t="n"/>
      <c r="AY41" s="837" t="n"/>
      <c r="AZ41" s="838" t="n"/>
      <c r="BA41" s="838" t="n"/>
      <c r="BB41" s="838" t="n"/>
      <c r="BC41" s="838" t="n"/>
      <c r="BD41" s="838" t="n"/>
      <c r="BE41" s="838" t="n"/>
      <c r="BF41" s="838" t="n"/>
      <c r="BG41" s="838" t="n"/>
      <c r="BH41" s="838" t="n"/>
      <c r="BI41" s="838" t="n"/>
      <c r="BJ41" s="838" t="n"/>
      <c r="BK41" s="839" t="n"/>
      <c r="BL41" s="838" t="n"/>
      <c r="BM41" s="838" t="n"/>
      <c r="BN41" s="838" t="n"/>
      <c r="BO41" s="838" t="n"/>
      <c r="BP41" s="838" t="n"/>
      <c r="BQ41" s="838" t="n"/>
      <c r="BR41" s="838" t="n"/>
      <c r="BS41" s="838" t="n"/>
      <c r="BT41" s="838" t="n"/>
      <c r="BU41" s="838" t="n"/>
      <c r="BV41" s="838" t="n"/>
      <c r="BW41" s="839" t="n"/>
      <c r="BX41" s="838" t="n"/>
      <c r="BY41" s="838" t="n"/>
      <c r="BZ41" s="838" t="n"/>
      <c r="CA41" s="838" t="n"/>
      <c r="CB41" s="838" t="n"/>
      <c r="CC41" s="838" t="n"/>
      <c r="CD41" s="838" t="n"/>
      <c r="CE41" s="838" t="n"/>
      <c r="CF41" s="838" t="n"/>
      <c r="CG41" s="838" t="n"/>
      <c r="CH41" s="838" t="n"/>
      <c r="CI41" s="839" t="n"/>
      <c r="CJ41" s="838" t="n"/>
      <c r="CK41" s="838" t="n"/>
      <c r="CL41" s="838" t="n"/>
      <c r="CM41" s="838" t="n"/>
      <c r="CN41" s="838" t="n"/>
      <c r="CO41" s="838" t="n"/>
      <c r="CP41" s="838" t="n"/>
      <c r="CQ41" s="838" t="n"/>
      <c r="CR41" s="838" t="n"/>
      <c r="CS41" s="838" t="n"/>
      <c r="CT41" s="838" t="n"/>
      <c r="CU41" s="839" t="n"/>
      <c r="CV41" s="838" t="n"/>
      <c r="CW41" s="838" t="n"/>
      <c r="CX41" s="838" t="n"/>
      <c r="CY41" s="838" t="n"/>
      <c r="CZ41" s="838" t="n"/>
      <c r="DA41" s="838" t="n"/>
      <c r="DB41" s="838" t="n"/>
      <c r="DC41" s="838" t="n"/>
      <c r="DD41" s="838" t="n"/>
      <c r="DE41" s="838" t="n"/>
      <c r="DF41" s="838" t="n"/>
      <c r="DG41" s="837" t="n"/>
    </row>
    <row r="42" ht="18" customHeight="1">
      <c r="A42" s="36" t="n"/>
      <c r="B42" s="36" t="n"/>
      <c r="C42" s="489" t="inlineStr">
        <is>
          <t>T6M Avg Monthly Attrition</t>
        </is>
      </c>
      <c r="D42" s="834" t="n"/>
      <c r="E42" s="834" t="n"/>
      <c r="F42" s="834" t="n"/>
      <c r="G42" s="834" t="n"/>
      <c r="H42" s="834" t="n"/>
      <c r="I42" s="168" t="n"/>
      <c r="J42" s="168" t="n"/>
      <c r="K42" s="168" t="n"/>
      <c r="L42" s="168">
        <f>+AVERAGE(F21:L21)/AVERAGE(F17:L17)</f>
        <v/>
      </c>
      <c r="M42" s="168">
        <f>+AVERAGE(G21:M21)/AVERAGE(G17:M17)</f>
        <v/>
      </c>
      <c r="N42" s="168">
        <f>+AVERAGE(H21:N21)/AVERAGE(H17:N17)</f>
        <v/>
      </c>
      <c r="O42" s="168">
        <f>+AVERAGE(I21:O21)/AVERAGE(I17:O17)</f>
        <v/>
      </c>
      <c r="P42" s="846">
        <f>+AVERAGE(J21:P21)/AVERAGE(J17:P17)</f>
        <v/>
      </c>
      <c r="Q42" s="846">
        <f>+AVERAGE(K21:Q21)/AVERAGE(K17:Q17)</f>
        <v/>
      </c>
      <c r="R42" s="846">
        <f>+AVERAGE(L21:R21)/AVERAGE(L17:R17)</f>
        <v/>
      </c>
      <c r="S42" s="846">
        <f>+AVERAGE(M21:S21)/AVERAGE(M17:S17)</f>
        <v/>
      </c>
      <c r="T42" s="846">
        <f>+AVERAGE(N21:T21)/AVERAGE(N17:T17)</f>
        <v/>
      </c>
      <c r="U42" s="846">
        <f>+AVERAGE(O21:U21)/AVERAGE(O17:U17)</f>
        <v/>
      </c>
      <c r="V42" s="846">
        <f>+AVERAGE(P21:V21)/AVERAGE(P17:V17)</f>
        <v/>
      </c>
      <c r="W42" s="846">
        <f>+AVERAGE(Q21:W21)/AVERAGE(Q17:W17)</f>
        <v/>
      </c>
      <c r="X42" s="846">
        <f>+AVERAGE(R21:X21)/AVERAGE(R17:X17)</f>
        <v/>
      </c>
      <c r="Y42" s="846">
        <f>+AVERAGE(S21:Y21)/AVERAGE(S17:Y17)</f>
        <v/>
      </c>
      <c r="Z42" s="846">
        <f>+AVERAGE(T21:Z21)/AVERAGE(T17:Z17)</f>
        <v/>
      </c>
      <c r="AA42" s="847">
        <f>+AVERAGE(U21:AA21)/AVERAGE(U17:AA17)</f>
        <v/>
      </c>
      <c r="AB42" s="846">
        <f>+AVERAGE(V21:AB21)/AVERAGE(V17:AB17)</f>
        <v/>
      </c>
      <c r="AC42" s="846">
        <f>+AVERAGE(W21:AC21)/AVERAGE(W17:AC17)</f>
        <v/>
      </c>
      <c r="AD42" s="846">
        <f>+AVERAGE(X21:AD21)/AVERAGE(X17:AD17)</f>
        <v/>
      </c>
      <c r="AE42" s="846">
        <f>+AVERAGE(Y21:AE21)/AVERAGE(Y17:AE17)</f>
        <v/>
      </c>
      <c r="AF42" s="846">
        <f>+AVERAGE(Z21:AF21)/AVERAGE(Z17:AF17)</f>
        <v/>
      </c>
      <c r="AG42" s="846">
        <f>+AVERAGE(AA21:AG21)/AVERAGE(AA17:AG17)</f>
        <v/>
      </c>
      <c r="AH42" s="846">
        <f>+AVERAGE(AB21:AH21)/AVERAGE(AB17:AH17)</f>
        <v/>
      </c>
      <c r="AI42" s="846">
        <f>+AVERAGE(AC21:AI21)/AVERAGE(AC17:AI17)</f>
        <v/>
      </c>
      <c r="AJ42" s="846">
        <f>+AVERAGE(AD21:AJ21)/AVERAGE(AD17:AJ17)</f>
        <v/>
      </c>
      <c r="AK42" s="846">
        <f>+AVERAGE(AE21:AK21)/AVERAGE(AE17:AK17)</f>
        <v/>
      </c>
      <c r="AL42" s="846">
        <f>+AVERAGE(AF21:AL21)/AVERAGE(AF17:AL17)</f>
        <v/>
      </c>
      <c r="AM42" s="847">
        <f>+AVERAGE(AG21:AM21)/AVERAGE(AG17:AM17)</f>
        <v/>
      </c>
      <c r="AN42" s="846">
        <f>+AVERAGE(AH21:AN21)/AVERAGE(AH17:AN17)</f>
        <v/>
      </c>
      <c r="AO42" s="846">
        <f>+AVERAGE(AI21:AO21)/AVERAGE(AI17:AO17)</f>
        <v/>
      </c>
      <c r="AP42" s="846">
        <f>+AVERAGE(AJ21:AP21)/AVERAGE(AJ17:AP17)</f>
        <v/>
      </c>
      <c r="AQ42" s="846">
        <f>+AVERAGE(AK21:AQ21)/AVERAGE(AK17:AQ17)</f>
        <v/>
      </c>
      <c r="AR42" s="846">
        <f>+AVERAGE(AL21:AR21)/AVERAGE(AL17:AR17)</f>
        <v/>
      </c>
      <c r="AS42" s="846">
        <f>+AVERAGE(AM21:AS21)/AVERAGE(AM17:AS17)</f>
        <v/>
      </c>
      <c r="AT42" s="846">
        <f>+AVERAGE(AN21:AT21)/AVERAGE(AN17:AT17)</f>
        <v/>
      </c>
      <c r="AU42" s="846">
        <f>+AVERAGE(AO21:AU21)/AVERAGE(AO17:AU17)</f>
        <v/>
      </c>
      <c r="AV42" s="846">
        <f>+AVERAGE(AP21:AV21)/AVERAGE(AP17:AV17)</f>
        <v/>
      </c>
      <c r="AW42" s="848">
        <f>+AVERAGE(AQ21:AW21)/AVERAGE(AQ17:AW17)</f>
        <v/>
      </c>
      <c r="AX42" s="849">
        <f>+AL42</f>
        <v/>
      </c>
      <c r="AY42" s="850">
        <f>+AM42</f>
        <v/>
      </c>
      <c r="AZ42" s="851">
        <f>+AN42+0.05</f>
        <v/>
      </c>
      <c r="BA42" s="851">
        <f>+AO42+0.05</f>
        <v/>
      </c>
      <c r="BB42" s="851">
        <f>+AP42+0.05</f>
        <v/>
      </c>
      <c r="BC42" s="851">
        <f>+AQ42+0.05</f>
        <v/>
      </c>
      <c r="BD42" s="851">
        <f>+AR42+0.05</f>
        <v/>
      </c>
      <c r="BE42" s="851">
        <f>+AS42+0.05</f>
        <v/>
      </c>
      <c r="BF42" s="851">
        <f>+AT42+0.05</f>
        <v/>
      </c>
      <c r="BG42" s="851">
        <f>+AU42+0.05</f>
        <v/>
      </c>
      <c r="BH42" s="851">
        <f>+AV42+0.05</f>
        <v/>
      </c>
      <c r="BI42" s="851">
        <f>+AW42+0.05</f>
        <v/>
      </c>
      <c r="BJ42" s="851">
        <f>+AX42+0.05</f>
        <v/>
      </c>
      <c r="BK42" s="852">
        <f>+AY42+0.05</f>
        <v/>
      </c>
      <c r="BL42" s="849">
        <f>+AZ42</f>
        <v/>
      </c>
      <c r="BM42" s="849">
        <f>+BA42</f>
        <v/>
      </c>
      <c r="BN42" s="849">
        <f>+BB42</f>
        <v/>
      </c>
      <c r="BO42" s="849">
        <f>+BC42</f>
        <v/>
      </c>
      <c r="BP42" s="849">
        <f>+BD42</f>
        <v/>
      </c>
      <c r="BQ42" s="849">
        <f>+BE42</f>
        <v/>
      </c>
      <c r="BR42" s="849">
        <f>+BF42</f>
        <v/>
      </c>
      <c r="BS42" s="849">
        <f>+BG42</f>
        <v/>
      </c>
      <c r="BT42" s="849">
        <f>+BH42</f>
        <v/>
      </c>
      <c r="BU42" s="849">
        <f>+BI42</f>
        <v/>
      </c>
      <c r="BV42" s="849">
        <f>+BJ42</f>
        <v/>
      </c>
      <c r="BW42" s="853">
        <f>+BK42</f>
        <v/>
      </c>
      <c r="BX42" s="849">
        <f>+BL42</f>
        <v/>
      </c>
      <c r="BY42" s="849">
        <f>+BM42</f>
        <v/>
      </c>
      <c r="BZ42" s="849">
        <f>+BN42</f>
        <v/>
      </c>
      <c r="CA42" s="849">
        <f>+BO42</f>
        <v/>
      </c>
      <c r="CB42" s="849">
        <f>+BP42</f>
        <v/>
      </c>
      <c r="CC42" s="849">
        <f>+BQ42</f>
        <v/>
      </c>
      <c r="CD42" s="849">
        <f>+BR42</f>
        <v/>
      </c>
      <c r="CE42" s="849">
        <f>+BS42</f>
        <v/>
      </c>
      <c r="CF42" s="849">
        <f>+BT42</f>
        <v/>
      </c>
      <c r="CG42" s="849">
        <f>+BU42</f>
        <v/>
      </c>
      <c r="CH42" s="849">
        <f>+BV42</f>
        <v/>
      </c>
      <c r="CI42" s="853">
        <f>+BW42</f>
        <v/>
      </c>
      <c r="CJ42" s="849">
        <f>+BX42</f>
        <v/>
      </c>
      <c r="CK42" s="849">
        <f>+BY42</f>
        <v/>
      </c>
      <c r="CL42" s="849">
        <f>+BZ42</f>
        <v/>
      </c>
      <c r="CM42" s="849">
        <f>+CA42</f>
        <v/>
      </c>
      <c r="CN42" s="849">
        <f>+CB42</f>
        <v/>
      </c>
      <c r="CO42" s="849">
        <f>+CC42</f>
        <v/>
      </c>
      <c r="CP42" s="849">
        <f>+CD42</f>
        <v/>
      </c>
      <c r="CQ42" s="849">
        <f>+CE42</f>
        <v/>
      </c>
      <c r="CR42" s="849">
        <f>+CF42</f>
        <v/>
      </c>
      <c r="CS42" s="849">
        <f>+CG42</f>
        <v/>
      </c>
      <c r="CT42" s="849">
        <f>+CH42</f>
        <v/>
      </c>
      <c r="CU42" s="853">
        <f>+CI42</f>
        <v/>
      </c>
      <c r="CV42" s="849">
        <f>+CJ42</f>
        <v/>
      </c>
      <c r="CW42" s="849">
        <f>+CK42</f>
        <v/>
      </c>
      <c r="CX42" s="849">
        <f>+CL42</f>
        <v/>
      </c>
      <c r="CY42" s="849">
        <f>+CM42</f>
        <v/>
      </c>
      <c r="CZ42" s="849">
        <f>+CN42</f>
        <v/>
      </c>
      <c r="DA42" s="849">
        <f>+CO42</f>
        <v/>
      </c>
      <c r="DB42" s="849">
        <f>+CP42</f>
        <v/>
      </c>
      <c r="DC42" s="849">
        <f>+CQ42</f>
        <v/>
      </c>
      <c r="DD42" s="849">
        <f>+CR42</f>
        <v/>
      </c>
      <c r="DE42" s="849">
        <f>+CS42</f>
        <v/>
      </c>
      <c r="DF42" s="849">
        <f>+CT42</f>
        <v/>
      </c>
      <c r="DG42" s="850">
        <f>+CU42</f>
        <v/>
      </c>
    </row>
    <row r="43" ht="18" customHeight="1">
      <c r="A43" s="36" t="n"/>
      <c r="B43" s="36" t="n"/>
      <c r="C43" s="489" t="inlineStr">
        <is>
          <t>Implied Tenure</t>
        </is>
      </c>
      <c r="D43" s="834" t="n"/>
      <c r="E43" s="834" t="n"/>
      <c r="F43" s="834" t="n"/>
      <c r="G43" s="834" t="n"/>
      <c r="H43" s="834" t="n"/>
      <c r="I43" s="173" t="n"/>
      <c r="J43" s="173" t="n"/>
      <c r="K43" s="173" t="n"/>
      <c r="L43" s="173">
        <f>1/-L42</f>
        <v/>
      </c>
      <c r="M43" s="173">
        <f>1/-M42</f>
        <v/>
      </c>
      <c r="N43" s="173">
        <f>1/-N42</f>
        <v/>
      </c>
      <c r="O43" s="173">
        <f>1/-O42</f>
        <v/>
      </c>
      <c r="P43" s="173">
        <f>1/-P42</f>
        <v/>
      </c>
      <c r="Q43" s="173">
        <f>1/-Q42</f>
        <v/>
      </c>
      <c r="R43" s="173">
        <f>1/-R42</f>
        <v/>
      </c>
      <c r="S43" s="173">
        <f>1/-S42</f>
        <v/>
      </c>
      <c r="T43" s="173">
        <f>1/-T42</f>
        <v/>
      </c>
      <c r="U43" s="173">
        <f>1/-U42</f>
        <v/>
      </c>
      <c r="V43" s="173">
        <f>1/-V42</f>
        <v/>
      </c>
      <c r="W43" s="173">
        <f>1/-W42</f>
        <v/>
      </c>
      <c r="X43" s="173">
        <f>1/-X42</f>
        <v/>
      </c>
      <c r="Y43" s="173">
        <f>1/-Y42</f>
        <v/>
      </c>
      <c r="Z43" s="173">
        <f>1/-Z42</f>
        <v/>
      </c>
      <c r="AA43" s="530">
        <f>1/-AA42</f>
        <v/>
      </c>
      <c r="AB43" s="173">
        <f>1/-AB42</f>
        <v/>
      </c>
      <c r="AC43" s="173">
        <f>1/-AC42</f>
        <v/>
      </c>
      <c r="AD43" s="173">
        <f>1/-AD42</f>
        <v/>
      </c>
      <c r="AE43" s="173">
        <f>1/-AE42</f>
        <v/>
      </c>
      <c r="AF43" s="173">
        <f>1/-AF42</f>
        <v/>
      </c>
      <c r="AG43" s="173">
        <f>1/-AG42</f>
        <v/>
      </c>
      <c r="AH43" s="173">
        <f>1/-AH42</f>
        <v/>
      </c>
      <c r="AI43" s="173">
        <f>1/-AI42</f>
        <v/>
      </c>
      <c r="AJ43" s="173">
        <f>1/-AJ42</f>
        <v/>
      </c>
      <c r="AK43" s="173">
        <f>1/-AK42</f>
        <v/>
      </c>
      <c r="AL43" s="173">
        <f>1/-AL42</f>
        <v/>
      </c>
      <c r="AM43" s="530">
        <f>1/-AM42</f>
        <v/>
      </c>
      <c r="AN43" s="173">
        <f>1/-AN42</f>
        <v/>
      </c>
      <c r="AO43" s="173">
        <f>1/-AO42</f>
        <v/>
      </c>
      <c r="AP43" s="173">
        <f>1/-AP42</f>
        <v/>
      </c>
      <c r="AQ43" s="173">
        <f>1/-AQ42</f>
        <v/>
      </c>
      <c r="AR43" s="173">
        <f>1/-AR42</f>
        <v/>
      </c>
      <c r="AS43" s="173">
        <f>1/-AS42</f>
        <v/>
      </c>
      <c r="AT43" s="173">
        <f>1/-AT42</f>
        <v/>
      </c>
      <c r="AU43" s="173">
        <f>1/-AU42</f>
        <v/>
      </c>
      <c r="AV43" s="173">
        <f>1/-AV42</f>
        <v/>
      </c>
      <c r="AW43" s="722">
        <f>1/-AW42</f>
        <v/>
      </c>
      <c r="AX43" s="174">
        <f>1/-AX42</f>
        <v/>
      </c>
      <c r="AY43" s="175">
        <f>1/-AY42</f>
        <v/>
      </c>
      <c r="AZ43" s="174">
        <f>1/-AZ42</f>
        <v/>
      </c>
      <c r="BA43" s="174">
        <f>1/-BA42</f>
        <v/>
      </c>
      <c r="BB43" s="174">
        <f>1/-BB42</f>
        <v/>
      </c>
      <c r="BC43" s="174">
        <f>1/-BC42</f>
        <v/>
      </c>
      <c r="BD43" s="174">
        <f>1/-BD42</f>
        <v/>
      </c>
      <c r="BE43" s="174">
        <f>1/-BE42</f>
        <v/>
      </c>
      <c r="BF43" s="174">
        <f>1/-BF42</f>
        <v/>
      </c>
      <c r="BG43" s="174">
        <f>1/-BG42</f>
        <v/>
      </c>
      <c r="BH43" s="174">
        <f>1/-BH42</f>
        <v/>
      </c>
      <c r="BI43" s="174">
        <f>1/-BI42</f>
        <v/>
      </c>
      <c r="BJ43" s="174">
        <f>1/-BJ42</f>
        <v/>
      </c>
      <c r="BK43" s="330">
        <f>1/-BK42</f>
        <v/>
      </c>
      <c r="BL43" s="174">
        <f>1/-BL42</f>
        <v/>
      </c>
      <c r="BM43" s="174">
        <f>1/-BM42</f>
        <v/>
      </c>
      <c r="BN43" s="174">
        <f>1/-BN42</f>
        <v/>
      </c>
      <c r="BO43" s="174">
        <f>1/-BO42</f>
        <v/>
      </c>
      <c r="BP43" s="174">
        <f>1/-BP42</f>
        <v/>
      </c>
      <c r="BQ43" s="174">
        <f>1/-BQ42</f>
        <v/>
      </c>
      <c r="BR43" s="174">
        <f>1/-BR42</f>
        <v/>
      </c>
      <c r="BS43" s="174">
        <f>1/-BS42</f>
        <v/>
      </c>
      <c r="BT43" s="174">
        <f>1/-BT42</f>
        <v/>
      </c>
      <c r="BU43" s="174">
        <f>1/-BU42</f>
        <v/>
      </c>
      <c r="BV43" s="174">
        <f>1/-BV42</f>
        <v/>
      </c>
      <c r="BW43" s="330">
        <f>1/-BW42</f>
        <v/>
      </c>
      <c r="BX43" s="174">
        <f>1/-BX42</f>
        <v/>
      </c>
      <c r="BY43" s="174">
        <f>1/-BY42</f>
        <v/>
      </c>
      <c r="BZ43" s="174">
        <f>1/-BZ42</f>
        <v/>
      </c>
      <c r="CA43" s="174">
        <f>1/-CA42</f>
        <v/>
      </c>
      <c r="CB43" s="174">
        <f>1/-CB42</f>
        <v/>
      </c>
      <c r="CC43" s="174">
        <f>1/-CC42</f>
        <v/>
      </c>
      <c r="CD43" s="174">
        <f>1/-CD42</f>
        <v/>
      </c>
      <c r="CE43" s="174">
        <f>1/-CE42</f>
        <v/>
      </c>
      <c r="CF43" s="174">
        <f>1/-CF42</f>
        <v/>
      </c>
      <c r="CG43" s="174">
        <f>1/-CG42</f>
        <v/>
      </c>
      <c r="CH43" s="174">
        <f>1/-CH42</f>
        <v/>
      </c>
      <c r="CI43" s="330">
        <f>1/-CI42</f>
        <v/>
      </c>
      <c r="CJ43" s="174">
        <f>1/-CJ42</f>
        <v/>
      </c>
      <c r="CK43" s="174">
        <f>1/-CK42</f>
        <v/>
      </c>
      <c r="CL43" s="174">
        <f>1/-CL42</f>
        <v/>
      </c>
      <c r="CM43" s="174">
        <f>1/-CM42</f>
        <v/>
      </c>
      <c r="CN43" s="174">
        <f>1/-CN42</f>
        <v/>
      </c>
      <c r="CO43" s="174">
        <f>1/-CO42</f>
        <v/>
      </c>
      <c r="CP43" s="174">
        <f>1/-CP42</f>
        <v/>
      </c>
      <c r="CQ43" s="174">
        <f>1/-CQ42</f>
        <v/>
      </c>
      <c r="CR43" s="174">
        <f>1/-CR42</f>
        <v/>
      </c>
      <c r="CS43" s="174">
        <f>1/-CS42</f>
        <v/>
      </c>
      <c r="CT43" s="174">
        <f>1/-CT42</f>
        <v/>
      </c>
      <c r="CU43" s="330">
        <f>1/-CU42</f>
        <v/>
      </c>
      <c r="CV43" s="174">
        <f>1/-CV42</f>
        <v/>
      </c>
      <c r="CW43" s="174">
        <f>1/-CW42</f>
        <v/>
      </c>
      <c r="CX43" s="174">
        <f>1/-CX42</f>
        <v/>
      </c>
      <c r="CY43" s="174">
        <f>1/-CY42</f>
        <v/>
      </c>
      <c r="CZ43" s="174">
        <f>1/-CZ42</f>
        <v/>
      </c>
      <c r="DA43" s="174">
        <f>1/-DA42</f>
        <v/>
      </c>
      <c r="DB43" s="174">
        <f>1/-DB42</f>
        <v/>
      </c>
      <c r="DC43" s="174">
        <f>1/-DC42</f>
        <v/>
      </c>
      <c r="DD43" s="174">
        <f>1/-DD42</f>
        <v/>
      </c>
      <c r="DE43" s="174">
        <f>1/-DE42</f>
        <v/>
      </c>
      <c r="DF43" s="174">
        <f>1/-DF42</f>
        <v/>
      </c>
      <c r="DG43" s="175">
        <f>1/-DG42</f>
        <v/>
      </c>
    </row>
    <row r="44" ht="18" customHeight="1">
      <c r="A44" s="36" t="n"/>
      <c r="B44" s="36" t="n"/>
      <c r="C44" s="489" t="inlineStr">
        <is>
          <t>Average Revenue</t>
        </is>
      </c>
      <c r="D44" s="834" t="n"/>
      <c r="E44" s="834" t="n"/>
      <c r="F44" s="834" t="n"/>
      <c r="G44" s="834" t="n"/>
      <c r="H44" s="834" t="n"/>
      <c r="I44" s="834" t="n"/>
      <c r="J44" s="834" t="n"/>
      <c r="K44" s="834" t="n"/>
      <c r="L44" s="834">
        <f>+L14/AVERAGE(G17:L17)</f>
        <v/>
      </c>
      <c r="M44" s="834">
        <f>+M14/AVERAGE(H17:M17)</f>
        <v/>
      </c>
      <c r="N44" s="834">
        <f>+N14/AVERAGE(I17:N17)</f>
        <v/>
      </c>
      <c r="O44" s="834">
        <f>+O14/AVERAGE(J17:O17)</f>
        <v/>
      </c>
      <c r="P44" s="834">
        <f>+P14/AVERAGE(K17:P17)</f>
        <v/>
      </c>
      <c r="Q44" s="834">
        <f>+Q14/AVERAGE(L17:Q17)</f>
        <v/>
      </c>
      <c r="R44" s="834">
        <f>+R14/AVERAGE(M17:R17)</f>
        <v/>
      </c>
      <c r="S44" s="834">
        <f>+S14/AVERAGE(N17:S17)</f>
        <v/>
      </c>
      <c r="T44" s="834">
        <f>+T14/AVERAGE(O17:T17)</f>
        <v/>
      </c>
      <c r="U44" s="834">
        <f>+U14/AVERAGE(P17:U17)</f>
        <v/>
      </c>
      <c r="V44" s="834">
        <f>+V14/AVERAGE(Q17:V17)</f>
        <v/>
      </c>
      <c r="W44" s="834">
        <f>+W14/AVERAGE(R17:W17)</f>
        <v/>
      </c>
      <c r="X44" s="834">
        <f>+X14/AVERAGE(S17:X17)</f>
        <v/>
      </c>
      <c r="Y44" s="834">
        <f>+Y14/AVERAGE(T17:Y17)</f>
        <v/>
      </c>
      <c r="Z44" s="834">
        <f>+Z14/AVERAGE(U17:Z17)</f>
        <v/>
      </c>
      <c r="AA44" s="835">
        <f>+AA14/AVERAGE(V17:AA17)</f>
        <v/>
      </c>
      <c r="AB44" s="834">
        <f>+AB14/AVERAGE(W17:AB17)</f>
        <v/>
      </c>
      <c r="AC44" s="834">
        <f>+AC14/AVERAGE(X17:AC17)</f>
        <v/>
      </c>
      <c r="AD44" s="834">
        <f>+AD14/AVERAGE(Y17:AD17)</f>
        <v/>
      </c>
      <c r="AE44" s="834">
        <f>+AE14/AVERAGE(Z17:AE17)</f>
        <v/>
      </c>
      <c r="AF44" s="834">
        <f>+AF14/AVERAGE(AA17:AF17)</f>
        <v/>
      </c>
      <c r="AG44" s="834">
        <f>+AG14/AVERAGE(AB17:AG17)</f>
        <v/>
      </c>
      <c r="AH44" s="834">
        <f>+AH14/AVERAGE(AC17:AH17)</f>
        <v/>
      </c>
      <c r="AI44" s="834">
        <f>+AI14/AVERAGE(AD17:AI17)</f>
        <v/>
      </c>
      <c r="AJ44" s="834">
        <f>+AJ14/AVERAGE(AE17:AJ17)</f>
        <v/>
      </c>
      <c r="AK44" s="834">
        <f>+AK14/AVERAGE(AF17:AK17)</f>
        <v/>
      </c>
      <c r="AL44" s="834">
        <f>+AL14/AVERAGE(AG17:AL17)</f>
        <v/>
      </c>
      <c r="AM44" s="835">
        <f>+AM14/AVERAGE(AH17:AM17)</f>
        <v/>
      </c>
      <c r="AN44" s="834">
        <f>+AN14/AVERAGE(AI17:AN17)</f>
        <v/>
      </c>
      <c r="AO44" s="834">
        <f>+AO14/AVERAGE(AJ17:AO17)</f>
        <v/>
      </c>
      <c r="AP44" s="834">
        <f>+AP14/AVERAGE(AK17:AP17)</f>
        <v/>
      </c>
      <c r="AQ44" s="834">
        <f>+AQ14/AVERAGE(AL17:AQ17)</f>
        <v/>
      </c>
      <c r="AR44" s="834">
        <f>+AR14/AVERAGE(AM17:AR17)</f>
        <v/>
      </c>
      <c r="AS44" s="834">
        <f>+AS14/AVERAGE(AN17:AS17)</f>
        <v/>
      </c>
      <c r="AT44" s="834">
        <f>+AT14/AVERAGE(AO17:AT17)</f>
        <v/>
      </c>
      <c r="AU44" s="834">
        <f>+AU14/AVERAGE(AP17:AU17)</f>
        <v/>
      </c>
      <c r="AV44" s="834">
        <f>+AV14/AVERAGE(AQ17:AV17)</f>
        <v/>
      </c>
      <c r="AW44" s="836">
        <f>+AW14/AVERAGE(AR17:AW17)</f>
        <v/>
      </c>
      <c r="AX44" s="838">
        <f>+AX14/AVERAGE(AS17:AX17)</f>
        <v/>
      </c>
      <c r="AY44" s="837">
        <f>+AY14/AVERAGE(AT17:AY17)</f>
        <v/>
      </c>
      <c r="AZ44" s="838">
        <f>+AZ14/AVERAGE(AU17:AZ17)</f>
        <v/>
      </c>
      <c r="BA44" s="838">
        <f>+BA14/AVERAGE(AV17:BA17)</f>
        <v/>
      </c>
      <c r="BB44" s="838">
        <f>+BB14/AVERAGE(AW17:BB17)</f>
        <v/>
      </c>
      <c r="BC44" s="838">
        <f>+BC14/AVERAGE(AX17:BC17)</f>
        <v/>
      </c>
      <c r="BD44" s="838">
        <f>+BD14/AVERAGE(AY17:BD17)</f>
        <v/>
      </c>
      <c r="BE44" s="838">
        <f>+BE14/AVERAGE(AZ17:BE17)</f>
        <v/>
      </c>
      <c r="BF44" s="838">
        <f>+BF14/AVERAGE(BA17:BF17)</f>
        <v/>
      </c>
      <c r="BG44" s="838">
        <f>+BG14/AVERAGE(BB17:BG17)</f>
        <v/>
      </c>
      <c r="BH44" s="838">
        <f>+BH14/AVERAGE(BC17:BH17)</f>
        <v/>
      </c>
      <c r="BI44" s="838">
        <f>+BI14/AVERAGE(BD17:BI17)</f>
        <v/>
      </c>
      <c r="BJ44" s="838">
        <f>+BJ14/AVERAGE(BE17:BJ17)</f>
        <v/>
      </c>
      <c r="BK44" s="839">
        <f>+BK14/AVERAGE(BF17:BK17)</f>
        <v/>
      </c>
      <c r="BL44" s="838">
        <f>+BL14/AVERAGE(BG17:BL17)</f>
        <v/>
      </c>
      <c r="BM44" s="838">
        <f>+BM14/AVERAGE(BH17:BM17)</f>
        <v/>
      </c>
      <c r="BN44" s="838">
        <f>+BN14/AVERAGE(BI17:BN17)</f>
        <v/>
      </c>
      <c r="BO44" s="838">
        <f>+BO14/AVERAGE(BJ17:BO17)</f>
        <v/>
      </c>
      <c r="BP44" s="838">
        <f>+BP14/AVERAGE(BK17:BP17)</f>
        <v/>
      </c>
      <c r="BQ44" s="838">
        <f>+BQ14/AVERAGE(BL17:BQ17)</f>
        <v/>
      </c>
      <c r="BR44" s="838">
        <f>+BR14/AVERAGE(BM17:BR17)</f>
        <v/>
      </c>
      <c r="BS44" s="838">
        <f>+BS14/AVERAGE(BN17:BS17)</f>
        <v/>
      </c>
      <c r="BT44" s="838">
        <f>+BT14/AVERAGE(BO17:BT17)</f>
        <v/>
      </c>
      <c r="BU44" s="838">
        <f>+BU14/AVERAGE(BP17:BU17)</f>
        <v/>
      </c>
      <c r="BV44" s="838">
        <f>+BV14/AVERAGE(BQ17:BV17)</f>
        <v/>
      </c>
      <c r="BW44" s="839">
        <f>+BW14/AVERAGE(BR17:BW17)</f>
        <v/>
      </c>
      <c r="BX44" s="838">
        <f>+BX14/AVERAGE(BS17:BX17)</f>
        <v/>
      </c>
      <c r="BY44" s="838">
        <f>+BY14/AVERAGE(BT17:BY17)</f>
        <v/>
      </c>
      <c r="BZ44" s="838">
        <f>+BZ14/AVERAGE(BU17:BZ17)</f>
        <v/>
      </c>
      <c r="CA44" s="838">
        <f>+CA14/AVERAGE(BV17:CA17)</f>
        <v/>
      </c>
      <c r="CB44" s="838">
        <f>+CB14/AVERAGE(BW17:CB17)</f>
        <v/>
      </c>
      <c r="CC44" s="838">
        <f>+CC14/AVERAGE(BX17:CC17)</f>
        <v/>
      </c>
      <c r="CD44" s="838">
        <f>+CD14/AVERAGE(BY17:CD17)</f>
        <v/>
      </c>
      <c r="CE44" s="838">
        <f>+CE14/AVERAGE(BZ17:CE17)</f>
        <v/>
      </c>
      <c r="CF44" s="838">
        <f>+CF14/AVERAGE(CA17:CF17)</f>
        <v/>
      </c>
      <c r="CG44" s="838">
        <f>+CG14/AVERAGE(CB17:CG17)</f>
        <v/>
      </c>
      <c r="CH44" s="838">
        <f>+CH14/AVERAGE(CC17:CH17)</f>
        <v/>
      </c>
      <c r="CI44" s="839">
        <f>+CI14/AVERAGE(CD17:CI17)</f>
        <v/>
      </c>
      <c r="CJ44" s="838">
        <f>+CJ14/AVERAGE(CE17:CJ17)</f>
        <v/>
      </c>
      <c r="CK44" s="838">
        <f>+CK14/AVERAGE(CF17:CK17)</f>
        <v/>
      </c>
      <c r="CL44" s="838">
        <f>+CL14/AVERAGE(CG17:CL17)</f>
        <v/>
      </c>
      <c r="CM44" s="838">
        <f>+CM14/AVERAGE(CH17:CM17)</f>
        <v/>
      </c>
      <c r="CN44" s="838">
        <f>+CN14/AVERAGE(CI17:CN17)</f>
        <v/>
      </c>
      <c r="CO44" s="838">
        <f>+CO14/AVERAGE(CJ17:CO17)</f>
        <v/>
      </c>
      <c r="CP44" s="838">
        <f>+CP14/AVERAGE(CK17:CP17)</f>
        <v/>
      </c>
      <c r="CQ44" s="838">
        <f>+CQ14/AVERAGE(CL17:CQ17)</f>
        <v/>
      </c>
      <c r="CR44" s="838">
        <f>+CR14/AVERAGE(CM17:CR17)</f>
        <v/>
      </c>
      <c r="CS44" s="838">
        <f>+CS14/AVERAGE(CN17:CS17)</f>
        <v/>
      </c>
      <c r="CT44" s="838">
        <f>+CT14/AVERAGE(CO17:CT17)</f>
        <v/>
      </c>
      <c r="CU44" s="839">
        <f>+CU14/AVERAGE(CP17:CU17)</f>
        <v/>
      </c>
      <c r="CV44" s="838">
        <f>+CV14/AVERAGE(CQ17:CV17)</f>
        <v/>
      </c>
      <c r="CW44" s="838">
        <f>+CW14/AVERAGE(CR17:CW17)</f>
        <v/>
      </c>
      <c r="CX44" s="838">
        <f>+CX14/AVERAGE(CS17:CX17)</f>
        <v/>
      </c>
      <c r="CY44" s="838">
        <f>+CY14/AVERAGE(CT17:CY17)</f>
        <v/>
      </c>
      <c r="CZ44" s="838">
        <f>+CZ14/AVERAGE(CU17:CZ17)</f>
        <v/>
      </c>
      <c r="DA44" s="838">
        <f>+DA14/AVERAGE(CV17:DA17)</f>
        <v/>
      </c>
      <c r="DB44" s="838">
        <f>+DB14/AVERAGE(CW17:DB17)</f>
        <v/>
      </c>
      <c r="DC44" s="838">
        <f>+DC14/AVERAGE(CX17:DC17)</f>
        <v/>
      </c>
      <c r="DD44" s="838">
        <f>+DD14/AVERAGE(CY17:DD17)</f>
        <v/>
      </c>
      <c r="DE44" s="838">
        <f>+DE14/AVERAGE(CZ17:DE17)</f>
        <v/>
      </c>
      <c r="DF44" s="838">
        <f>+DF14/AVERAGE(DA17:DF17)</f>
        <v/>
      </c>
      <c r="DG44" s="837">
        <f>+DG14/AVERAGE(DB17:DG17)</f>
        <v/>
      </c>
    </row>
    <row r="45" ht="18" customHeight="1">
      <c r="A45" s="36" t="n"/>
      <c r="B45" s="36" t="n"/>
      <c r="C45" s="489" t="inlineStr">
        <is>
          <t>Lifetime Revenue</t>
        </is>
      </c>
      <c r="D45" s="834" t="n"/>
      <c r="E45" s="834" t="n"/>
      <c r="F45" s="834" t="n"/>
      <c r="G45" s="834" t="n"/>
      <c r="H45" s="834" t="n"/>
      <c r="I45" s="834" t="n"/>
      <c r="J45" s="834" t="n"/>
      <c r="K45" s="834" t="n"/>
      <c r="L45" s="834">
        <f>+L44*L43</f>
        <v/>
      </c>
      <c r="M45" s="834">
        <f>+M44*M43</f>
        <v/>
      </c>
      <c r="N45" s="834">
        <f>+N44*N43</f>
        <v/>
      </c>
      <c r="O45" s="834">
        <f>+O44*O43</f>
        <v/>
      </c>
      <c r="P45" s="834">
        <f>+P44*P43</f>
        <v/>
      </c>
      <c r="Q45" s="834">
        <f>+Q44*Q43</f>
        <v/>
      </c>
      <c r="R45" s="834">
        <f>+R44*R43</f>
        <v/>
      </c>
      <c r="S45" s="834">
        <f>+S44*S43</f>
        <v/>
      </c>
      <c r="T45" s="834">
        <f>+T44*T43</f>
        <v/>
      </c>
      <c r="U45" s="834">
        <f>+U44*U43</f>
        <v/>
      </c>
      <c r="V45" s="834">
        <f>+V44*V43</f>
        <v/>
      </c>
      <c r="W45" s="834">
        <f>+W44*W43</f>
        <v/>
      </c>
      <c r="X45" s="834">
        <f>+X44*X43</f>
        <v/>
      </c>
      <c r="Y45" s="834">
        <f>+Y44*Y43</f>
        <v/>
      </c>
      <c r="Z45" s="834">
        <f>+Z44*Z43</f>
        <v/>
      </c>
      <c r="AA45" s="835">
        <f>+AA44*AA43</f>
        <v/>
      </c>
      <c r="AB45" s="834">
        <f>+AB44*AB43</f>
        <v/>
      </c>
      <c r="AC45" s="834">
        <f>+AC44*AC43</f>
        <v/>
      </c>
      <c r="AD45" s="834">
        <f>+AD44*AD43</f>
        <v/>
      </c>
      <c r="AE45" s="834">
        <f>+AE44*AE43</f>
        <v/>
      </c>
      <c r="AF45" s="834">
        <f>+AF44*AF43</f>
        <v/>
      </c>
      <c r="AG45" s="834">
        <f>+AG44*AG43</f>
        <v/>
      </c>
      <c r="AH45" s="834">
        <f>+AH44*AH43</f>
        <v/>
      </c>
      <c r="AI45" s="834">
        <f>+AI44*AI43</f>
        <v/>
      </c>
      <c r="AJ45" s="834">
        <f>+AJ44*AJ43</f>
        <v/>
      </c>
      <c r="AK45" s="834">
        <f>+AK44*AK43</f>
        <v/>
      </c>
      <c r="AL45" s="834">
        <f>+AL44*AL43</f>
        <v/>
      </c>
      <c r="AM45" s="835">
        <f>+AM44*AM43</f>
        <v/>
      </c>
      <c r="AN45" s="834">
        <f>+AN44*AN43</f>
        <v/>
      </c>
      <c r="AO45" s="834">
        <f>+AO44*AO43</f>
        <v/>
      </c>
      <c r="AP45" s="834">
        <f>+AP44*AP43</f>
        <v/>
      </c>
      <c r="AQ45" s="834">
        <f>+AQ44*AQ43</f>
        <v/>
      </c>
      <c r="AR45" s="834">
        <f>+AR44*AR43</f>
        <v/>
      </c>
      <c r="AS45" s="834">
        <f>+AS44*AS43</f>
        <v/>
      </c>
      <c r="AT45" s="834">
        <f>+AT44*AT43</f>
        <v/>
      </c>
      <c r="AU45" s="834">
        <f>+AU44*AU43</f>
        <v/>
      </c>
      <c r="AV45" s="834">
        <f>+AV44*AV43</f>
        <v/>
      </c>
      <c r="AW45" s="854">
        <f>+AW44*AW43</f>
        <v/>
      </c>
      <c r="AX45" s="838">
        <f>+AX44*AX43</f>
        <v/>
      </c>
      <c r="AY45" s="837">
        <f>+AY44*AY43</f>
        <v/>
      </c>
      <c r="AZ45" s="838">
        <f>+AZ44*AZ43</f>
        <v/>
      </c>
      <c r="BA45" s="838">
        <f>+BA44*BA43</f>
        <v/>
      </c>
      <c r="BB45" s="838">
        <f>+BB44*BB43</f>
        <v/>
      </c>
      <c r="BC45" s="838">
        <f>+BC44*BC43</f>
        <v/>
      </c>
      <c r="BD45" s="838">
        <f>+BD44*BD43</f>
        <v/>
      </c>
      <c r="BE45" s="838">
        <f>+BE44*BE43</f>
        <v/>
      </c>
      <c r="BF45" s="838">
        <f>+BF44*BF43</f>
        <v/>
      </c>
      <c r="BG45" s="838">
        <f>+BG44*BG43</f>
        <v/>
      </c>
      <c r="BH45" s="838">
        <f>+BH44*BH43</f>
        <v/>
      </c>
      <c r="BI45" s="838">
        <f>+BI44*BI43</f>
        <v/>
      </c>
      <c r="BJ45" s="838">
        <f>+BJ44*BJ43</f>
        <v/>
      </c>
      <c r="BK45" s="839">
        <f>+BK44*BK43</f>
        <v/>
      </c>
      <c r="BL45" s="838">
        <f>+BL44*BL43</f>
        <v/>
      </c>
      <c r="BM45" s="838">
        <f>+BM44*BM43</f>
        <v/>
      </c>
      <c r="BN45" s="838">
        <f>+BN44*BN43</f>
        <v/>
      </c>
      <c r="BO45" s="838">
        <f>+BO44*BO43</f>
        <v/>
      </c>
      <c r="BP45" s="838">
        <f>+BP44*BP43</f>
        <v/>
      </c>
      <c r="BQ45" s="838">
        <f>+BQ44*BQ43</f>
        <v/>
      </c>
      <c r="BR45" s="838">
        <f>+BR44*BR43</f>
        <v/>
      </c>
      <c r="BS45" s="838">
        <f>+BS44*BS43</f>
        <v/>
      </c>
      <c r="BT45" s="838">
        <f>+BT44*BT43</f>
        <v/>
      </c>
      <c r="BU45" s="838">
        <f>+BU44*BU43</f>
        <v/>
      </c>
      <c r="BV45" s="838">
        <f>+BV44*BV43</f>
        <v/>
      </c>
      <c r="BW45" s="839">
        <f>+BW44*BW43</f>
        <v/>
      </c>
      <c r="BX45" s="838">
        <f>+BX44*BX43</f>
        <v/>
      </c>
      <c r="BY45" s="838">
        <f>+BY44*BY43</f>
        <v/>
      </c>
      <c r="BZ45" s="838">
        <f>+BZ44*BZ43</f>
        <v/>
      </c>
      <c r="CA45" s="838">
        <f>+CA44*CA43</f>
        <v/>
      </c>
      <c r="CB45" s="838">
        <f>+CB44*CB43</f>
        <v/>
      </c>
      <c r="CC45" s="838">
        <f>+CC44*CC43</f>
        <v/>
      </c>
      <c r="CD45" s="838">
        <f>+CD44*CD43</f>
        <v/>
      </c>
      <c r="CE45" s="838">
        <f>+CE44*CE43</f>
        <v/>
      </c>
      <c r="CF45" s="838">
        <f>+CF44*CF43</f>
        <v/>
      </c>
      <c r="CG45" s="838">
        <f>+CG44*CG43</f>
        <v/>
      </c>
      <c r="CH45" s="838">
        <f>+CH44*CH43</f>
        <v/>
      </c>
      <c r="CI45" s="839">
        <f>+CI44*CI43</f>
        <v/>
      </c>
      <c r="CJ45" s="838">
        <f>+CJ44*CJ43</f>
        <v/>
      </c>
      <c r="CK45" s="838">
        <f>+CK44*CK43</f>
        <v/>
      </c>
      <c r="CL45" s="838">
        <f>+CL44*CL43</f>
        <v/>
      </c>
      <c r="CM45" s="838">
        <f>+CM44*CM43</f>
        <v/>
      </c>
      <c r="CN45" s="838">
        <f>+CN44*CN43</f>
        <v/>
      </c>
      <c r="CO45" s="838">
        <f>+CO44*CO43</f>
        <v/>
      </c>
      <c r="CP45" s="838">
        <f>+CP44*CP43</f>
        <v/>
      </c>
      <c r="CQ45" s="838">
        <f>+CQ44*CQ43</f>
        <v/>
      </c>
      <c r="CR45" s="838">
        <f>+CR44*CR43</f>
        <v/>
      </c>
      <c r="CS45" s="838">
        <f>+CS44*CS43</f>
        <v/>
      </c>
      <c r="CT45" s="838">
        <f>+CT44*CT43</f>
        <v/>
      </c>
      <c r="CU45" s="839">
        <f>+CU44*CU43</f>
        <v/>
      </c>
      <c r="CV45" s="838">
        <f>+CV44*CV43</f>
        <v/>
      </c>
      <c r="CW45" s="838">
        <f>+CW44*CW43</f>
        <v/>
      </c>
      <c r="CX45" s="838">
        <f>+CX44*CX43</f>
        <v/>
      </c>
      <c r="CY45" s="838">
        <f>+CY44*CY43</f>
        <v/>
      </c>
      <c r="CZ45" s="838">
        <f>+CZ44*CZ43</f>
        <v/>
      </c>
      <c r="DA45" s="838">
        <f>+DA44*DA43</f>
        <v/>
      </c>
      <c r="DB45" s="838">
        <f>+DB44*DB43</f>
        <v/>
      </c>
      <c r="DC45" s="838">
        <f>+DC44*DC43</f>
        <v/>
      </c>
      <c r="DD45" s="838">
        <f>+DD44*DD43</f>
        <v/>
      </c>
      <c r="DE45" s="838">
        <f>+DE44*DE43</f>
        <v/>
      </c>
      <c r="DF45" s="838">
        <f>+DF44*DF43</f>
        <v/>
      </c>
      <c r="DG45" s="837">
        <f>+DG44*DG43</f>
        <v/>
      </c>
    </row>
    <row r="46" ht="18" customFormat="1" customHeight="1" s="281">
      <c r="A46" s="36" t="n"/>
      <c r="B46" s="36" t="n"/>
      <c r="C46" s="489" t="inlineStr">
        <is>
          <t>GM%</t>
        </is>
      </c>
      <c r="D46" s="855" t="n"/>
      <c r="E46" s="855" t="n"/>
      <c r="F46" s="855" t="n"/>
      <c r="G46" s="855" t="n"/>
      <c r="H46" s="855" t="n"/>
      <c r="I46" s="856" t="n"/>
      <c r="J46" s="856" t="n"/>
      <c r="K46" s="856" t="n"/>
      <c r="L46" s="856">
        <f>+L99/L14</f>
        <v/>
      </c>
      <c r="M46" s="856">
        <f>+M99/M14</f>
        <v/>
      </c>
      <c r="N46" s="856">
        <f>+N99/N14</f>
        <v/>
      </c>
      <c r="O46" s="856">
        <f>+O99/O14</f>
        <v/>
      </c>
      <c r="P46" s="857">
        <f>+P99/P14</f>
        <v/>
      </c>
      <c r="Q46" s="857">
        <f>+Q99/Q14</f>
        <v/>
      </c>
      <c r="R46" s="857">
        <f>+R99/R14</f>
        <v/>
      </c>
      <c r="S46" s="857">
        <f>+S99/S14</f>
        <v/>
      </c>
      <c r="T46" s="857">
        <f>+T99/T14</f>
        <v/>
      </c>
      <c r="U46" s="857">
        <f>+U99/U14</f>
        <v/>
      </c>
      <c r="V46" s="857">
        <f>+V99/V14</f>
        <v/>
      </c>
      <c r="W46" s="857">
        <f>+W99/W14</f>
        <v/>
      </c>
      <c r="X46" s="857">
        <f>+X99/X14</f>
        <v/>
      </c>
      <c r="Y46" s="857">
        <f>+Y99/Y14</f>
        <v/>
      </c>
      <c r="Z46" s="857">
        <f>+Z99/Z14</f>
        <v/>
      </c>
      <c r="AA46" s="858">
        <f>+AA99/AA14</f>
        <v/>
      </c>
      <c r="AB46" s="857">
        <f>+AB99/AB14</f>
        <v/>
      </c>
      <c r="AC46" s="857">
        <f>+AC99/AC14</f>
        <v/>
      </c>
      <c r="AD46" s="857">
        <f>+AD99/AD14</f>
        <v/>
      </c>
      <c r="AE46" s="857">
        <f>+AE99/AE14</f>
        <v/>
      </c>
      <c r="AF46" s="857">
        <f>+AF99/AF14</f>
        <v/>
      </c>
      <c r="AG46" s="857">
        <f>+AG99/AG14</f>
        <v/>
      </c>
      <c r="AH46" s="857">
        <f>+AH99/AH14</f>
        <v/>
      </c>
      <c r="AI46" s="857">
        <f>+AI99/AI14</f>
        <v/>
      </c>
      <c r="AJ46" s="857">
        <f>+AJ99/AJ14</f>
        <v/>
      </c>
      <c r="AK46" s="857">
        <f>+AK99/AK14</f>
        <v/>
      </c>
      <c r="AL46" s="857">
        <f>+AL99/AL14</f>
        <v/>
      </c>
      <c r="AM46" s="858">
        <f>+AM99/AM14</f>
        <v/>
      </c>
      <c r="AN46" s="857">
        <f>+AN66/AN14</f>
        <v/>
      </c>
      <c r="AO46" s="857">
        <f>+AO66/AO14</f>
        <v/>
      </c>
      <c r="AP46" s="857">
        <f>+AP66/AP14</f>
        <v/>
      </c>
      <c r="AQ46" s="857">
        <f>+AQ66/AQ14</f>
        <v/>
      </c>
      <c r="AR46" s="857">
        <f>+AR66/AR14</f>
        <v/>
      </c>
      <c r="AS46" s="857">
        <f>+AS66/AS14</f>
        <v/>
      </c>
      <c r="AT46" s="857">
        <f>+AT66/AT14</f>
        <v/>
      </c>
      <c r="AU46" s="857">
        <f>+AU66/AU14</f>
        <v/>
      </c>
      <c r="AV46" s="857">
        <f>+AV66/AV14</f>
        <v/>
      </c>
      <c r="AW46" s="859">
        <f>+AW66/AW14</f>
        <v/>
      </c>
      <c r="AX46" s="860">
        <f>+AX66/AX14</f>
        <v/>
      </c>
      <c r="AY46" s="861">
        <f>+AY66/AY14</f>
        <v/>
      </c>
      <c r="AZ46" s="860">
        <f>+AZ66/AZ14</f>
        <v/>
      </c>
      <c r="BA46" s="860">
        <f>+BA66/BA14</f>
        <v/>
      </c>
      <c r="BB46" s="860">
        <f>+BB66/BB14</f>
        <v/>
      </c>
      <c r="BC46" s="860">
        <f>+BC66/BC14</f>
        <v/>
      </c>
      <c r="BD46" s="860">
        <f>+BD66/BD14</f>
        <v/>
      </c>
      <c r="BE46" s="860">
        <f>+BE66/BE14</f>
        <v/>
      </c>
      <c r="BF46" s="860">
        <f>+BF66/BF14</f>
        <v/>
      </c>
      <c r="BG46" s="860">
        <f>+BG66/BG14</f>
        <v/>
      </c>
      <c r="BH46" s="860">
        <f>+BH66/BH14</f>
        <v/>
      </c>
      <c r="BI46" s="860">
        <f>+BI66/BI14</f>
        <v/>
      </c>
      <c r="BJ46" s="860">
        <f>+BJ66/BJ14</f>
        <v/>
      </c>
      <c r="BK46" s="862">
        <f>+BK66/BK14</f>
        <v/>
      </c>
      <c r="BL46" s="860">
        <f>+BL66/BL14</f>
        <v/>
      </c>
      <c r="BM46" s="860">
        <f>+BM66/BM14</f>
        <v/>
      </c>
      <c r="BN46" s="860">
        <f>+BN66/BN14</f>
        <v/>
      </c>
      <c r="BO46" s="860">
        <f>+BO66/BO14</f>
        <v/>
      </c>
      <c r="BP46" s="860">
        <f>+BP66/BP14</f>
        <v/>
      </c>
      <c r="BQ46" s="860">
        <f>+BQ66/BQ14</f>
        <v/>
      </c>
      <c r="BR46" s="860">
        <f>+BR66/BR14</f>
        <v/>
      </c>
      <c r="BS46" s="860">
        <f>+BS66/BS14</f>
        <v/>
      </c>
      <c r="BT46" s="860">
        <f>+BT66/BT14</f>
        <v/>
      </c>
      <c r="BU46" s="860">
        <f>+BU66/BU14</f>
        <v/>
      </c>
      <c r="BV46" s="860">
        <f>+BV66/BV14</f>
        <v/>
      </c>
      <c r="BW46" s="862">
        <f>+BW66/BW14</f>
        <v/>
      </c>
      <c r="BX46" s="860">
        <f>+BX66/BX14</f>
        <v/>
      </c>
      <c r="BY46" s="860">
        <f>+BY66/BY14</f>
        <v/>
      </c>
      <c r="BZ46" s="860">
        <f>+BZ66/BZ14</f>
        <v/>
      </c>
      <c r="CA46" s="860">
        <f>+CA66/CA14</f>
        <v/>
      </c>
      <c r="CB46" s="860">
        <f>+CB66/CB14</f>
        <v/>
      </c>
      <c r="CC46" s="860">
        <f>+CC66/CC14</f>
        <v/>
      </c>
      <c r="CD46" s="860">
        <f>+CD66/CD14</f>
        <v/>
      </c>
      <c r="CE46" s="860">
        <f>+CE66/CE14</f>
        <v/>
      </c>
      <c r="CF46" s="860">
        <f>+CF66/CF14</f>
        <v/>
      </c>
      <c r="CG46" s="860">
        <f>+CG66/CG14</f>
        <v/>
      </c>
      <c r="CH46" s="860">
        <f>+CH66/CH14</f>
        <v/>
      </c>
      <c r="CI46" s="862">
        <f>+CI66/CI14</f>
        <v/>
      </c>
      <c r="CJ46" s="860">
        <f>+CJ66/CJ14</f>
        <v/>
      </c>
      <c r="CK46" s="860">
        <f>+CK66/CK14</f>
        <v/>
      </c>
      <c r="CL46" s="860">
        <f>+CL66/CL14</f>
        <v/>
      </c>
      <c r="CM46" s="860">
        <f>+CM66/CM14</f>
        <v/>
      </c>
      <c r="CN46" s="860">
        <f>+CN66/CN14</f>
        <v/>
      </c>
      <c r="CO46" s="860">
        <f>+CO66/CO14</f>
        <v/>
      </c>
      <c r="CP46" s="860">
        <f>+CP66/CP14</f>
        <v/>
      </c>
      <c r="CQ46" s="860">
        <f>+CQ66/CQ14</f>
        <v/>
      </c>
      <c r="CR46" s="860">
        <f>+CR66/CR14</f>
        <v/>
      </c>
      <c r="CS46" s="860">
        <f>+CS66/CS14</f>
        <v/>
      </c>
      <c r="CT46" s="860">
        <f>+CT66/CT14</f>
        <v/>
      </c>
      <c r="CU46" s="862">
        <f>+CU66/CU14</f>
        <v/>
      </c>
      <c r="CV46" s="860">
        <f>+CV66/CV14</f>
        <v/>
      </c>
      <c r="CW46" s="860">
        <f>+CW66/CW14</f>
        <v/>
      </c>
      <c r="CX46" s="860">
        <f>+CX66/CX14</f>
        <v/>
      </c>
      <c r="CY46" s="860">
        <f>+CY66/CY14</f>
        <v/>
      </c>
      <c r="CZ46" s="860">
        <f>+CZ66/CZ14</f>
        <v/>
      </c>
      <c r="DA46" s="860">
        <f>+DA66/DA14</f>
        <v/>
      </c>
      <c r="DB46" s="860">
        <f>+DB66/DB14</f>
        <v/>
      </c>
      <c r="DC46" s="860">
        <f>+DC66/DC14</f>
        <v/>
      </c>
      <c r="DD46" s="860">
        <f>+DD66/DD14</f>
        <v/>
      </c>
      <c r="DE46" s="860">
        <f>+DE66/DE14</f>
        <v/>
      </c>
      <c r="DF46" s="860">
        <f>+DF66/DF14</f>
        <v/>
      </c>
      <c r="DG46" s="861">
        <f>+DG66/DG14</f>
        <v/>
      </c>
    </row>
    <row r="47" ht="18" customHeight="1">
      <c r="A47" s="36" t="n"/>
      <c r="B47" s="36" t="n"/>
      <c r="C47" s="489" t="inlineStr">
        <is>
          <t>T3M LTV</t>
        </is>
      </c>
      <c r="D47" s="834" t="n"/>
      <c r="E47" s="834" t="n"/>
      <c r="F47" s="834" t="n"/>
      <c r="G47" s="834" t="n"/>
      <c r="H47" s="834" t="n"/>
      <c r="I47" s="834" t="n"/>
      <c r="J47" s="834" t="n"/>
      <c r="K47" s="834" t="n"/>
      <c r="L47" s="834">
        <f>+AVERAGE(L46*L45,K46*K45, J46*J45)</f>
        <v/>
      </c>
      <c r="M47" s="834">
        <f>+AVERAGE(M46*M45,L46*L45, K46*K45)</f>
        <v/>
      </c>
      <c r="N47" s="834">
        <f>+AVERAGE(N46*N45,M46*M45, L46*L45)</f>
        <v/>
      </c>
      <c r="O47" s="834">
        <f>+AVERAGE(O46*O45,N46*N45, M46*M45)</f>
        <v/>
      </c>
      <c r="P47" s="834">
        <f>+AVERAGE(P46*P45,O46*O45, N46*N45)</f>
        <v/>
      </c>
      <c r="Q47" s="834">
        <f>+AVERAGE(Q46*Q45,P46*P45, O46*O45)</f>
        <v/>
      </c>
      <c r="R47" s="834">
        <f>+AVERAGE(R46*R45,Q46*Q45, P46*P45)</f>
        <v/>
      </c>
      <c r="S47" s="834">
        <f>+AVERAGE(S46*S45,R46*R45, Q46*Q45)</f>
        <v/>
      </c>
      <c r="T47" s="834">
        <f>+AVERAGE(T46*T45,S46*S45, R46*R45)</f>
        <v/>
      </c>
      <c r="U47" s="834">
        <f>+AVERAGE(U46*U45,T46*T45, S46*S45)</f>
        <v/>
      </c>
      <c r="V47" s="834">
        <f>+AVERAGE(V46*V45,U46*U45, T46*T45)</f>
        <v/>
      </c>
      <c r="W47" s="834">
        <f>+AVERAGE(W46*W45,V46*V45, U46*U45)</f>
        <v/>
      </c>
      <c r="X47" s="834">
        <f>+AVERAGE(X46*X45,W46*W45, V46*V45)</f>
        <v/>
      </c>
      <c r="Y47" s="834">
        <f>+AVERAGE(Y46*Y45,X46*X45, W46*W45)</f>
        <v/>
      </c>
      <c r="Z47" s="834">
        <f>+AVERAGE(Z46*Z45,Y46*Y45, X46*X45)</f>
        <v/>
      </c>
      <c r="AA47" s="835">
        <f>+AVERAGE(AA46*AA45,Z46*Z45, Y46*Y45)</f>
        <v/>
      </c>
      <c r="AB47" s="834">
        <f>+AVERAGE(AB46*AB45,AA46*AA45, Z46*Z45)</f>
        <v/>
      </c>
      <c r="AC47" s="834">
        <f>+AVERAGE(AC46*AC45,AB46*AB45, AA46*AA45)</f>
        <v/>
      </c>
      <c r="AD47" s="834">
        <f>+AVERAGE(AD46*AD45,AC46*AC45, AB46*AB45)</f>
        <v/>
      </c>
      <c r="AE47" s="834">
        <f>+AVERAGE(AE46*AE45,AD46*AD45, AC46*AC45)</f>
        <v/>
      </c>
      <c r="AF47" s="834">
        <f>+AVERAGE(AF46*AF45,AE46*AE45, AD46*AD45)</f>
        <v/>
      </c>
      <c r="AG47" s="834">
        <f>+AVERAGE(AG46*AG45,AF46*AF45, AE46*AE45)</f>
        <v/>
      </c>
      <c r="AH47" s="834">
        <f>+AVERAGE(AH46*AH45,AG46*AG45, AF46*AF45)</f>
        <v/>
      </c>
      <c r="AI47" s="834">
        <f>+AVERAGE(AI46*AI45,AH46*AH45, AG46*AG45)</f>
        <v/>
      </c>
      <c r="AJ47" s="834">
        <f>+AVERAGE(AJ46*AJ45,AI46*AI45, AH46*AH45)</f>
        <v/>
      </c>
      <c r="AK47" s="834">
        <f>+AVERAGE(AK46*AK45,AJ46*AJ45, AI46*AI45)</f>
        <v/>
      </c>
      <c r="AL47" s="834">
        <f>+AVERAGE(AL46*AL45,AK46*AK45, AJ46*AJ45)</f>
        <v/>
      </c>
      <c r="AM47" s="835">
        <f>+AVERAGE(AM46*AM45,AL46*AL45, AK46*AK45)</f>
        <v/>
      </c>
      <c r="AN47" s="834">
        <f>+AVERAGE(AN46*AN45,AM46*AM45, AL46*AL45)</f>
        <v/>
      </c>
      <c r="AO47" s="834">
        <f>+AVERAGE(AO46*AO45,AN46*AN45, AM46*AM45)</f>
        <v/>
      </c>
      <c r="AP47" s="834">
        <f>+AVERAGE(AP46*AP45,AO46*AO45, AN46*AN45)</f>
        <v/>
      </c>
      <c r="AQ47" s="834">
        <f>+AVERAGE(AQ46*AQ45,AP46*AP45, AO46*AO45)</f>
        <v/>
      </c>
      <c r="AR47" s="834">
        <f>+AVERAGE(AR46*AR45,AQ46*AQ45, AP46*AP45)</f>
        <v/>
      </c>
      <c r="AS47" s="834">
        <f>+AVERAGE(AS46*AS45,AR46*AR45, AQ46*AQ45)</f>
        <v/>
      </c>
      <c r="AT47" s="834">
        <f>+AVERAGE(AT46*AT45,AS46*AS45, AR46*AR45)</f>
        <v/>
      </c>
      <c r="AU47" s="834">
        <f>+AVERAGE(AU46*AU45,AT46*AT45, AS46*AS45)</f>
        <v/>
      </c>
      <c r="AV47" s="834">
        <f>+AVERAGE(AV46*AV45,AU46*AU45, AT46*AT45)</f>
        <v/>
      </c>
      <c r="AW47" s="836">
        <f>+AVERAGE(AW46*AW45,AV46*AV45, AU46*AU45)</f>
        <v/>
      </c>
      <c r="AX47" s="838">
        <f>+AVERAGE(AX46*AX45,AW46*AW45, AV46*AV45)</f>
        <v/>
      </c>
      <c r="AY47" s="837">
        <f>+AVERAGE(AY46*AY45,AX46*AX45, AW46*AW45)</f>
        <v/>
      </c>
      <c r="AZ47" s="838">
        <f>+AVERAGE(AZ46*AZ45,AY46*AY45, AX46*AX45)</f>
        <v/>
      </c>
      <c r="BA47" s="838">
        <f>+AVERAGE(BA46*BA45,AZ46*AZ45, AY46*AY45)</f>
        <v/>
      </c>
      <c r="BB47" s="838">
        <f>+AVERAGE(BB46*BB45,BA46*BA45, AZ46*AZ45)</f>
        <v/>
      </c>
      <c r="BC47" s="838">
        <f>+AVERAGE(BC46*BC45,BB46*BB45, BA46*BA45)</f>
        <v/>
      </c>
      <c r="BD47" s="838">
        <f>+AVERAGE(BD46*BD45,BC46*BC45, BB46*BB45)</f>
        <v/>
      </c>
      <c r="BE47" s="838">
        <f>+AVERAGE(BE46*BE45,BD46*BD45, BC46*BC45)</f>
        <v/>
      </c>
      <c r="BF47" s="838">
        <f>+AVERAGE(BF46*BF45,BE46*BE45, BD46*BD45)</f>
        <v/>
      </c>
      <c r="BG47" s="838">
        <f>+AVERAGE(BG46*BG45,BF46*BF45, BE46*BE45)</f>
        <v/>
      </c>
      <c r="BH47" s="838">
        <f>+AVERAGE(BH46*BH45,BG46*BG45, BF46*BF45)</f>
        <v/>
      </c>
      <c r="BI47" s="838">
        <f>+AVERAGE(BI46*BI45,BH46*BH45, BG46*BG45)</f>
        <v/>
      </c>
      <c r="BJ47" s="838">
        <f>+AVERAGE(BJ46*BJ45,BI46*BI45, BH46*BH45)</f>
        <v/>
      </c>
      <c r="BK47" s="839">
        <f>+AVERAGE(BK46*BK45,BJ46*BJ45, BI46*BI45)</f>
        <v/>
      </c>
      <c r="BL47" s="838">
        <f>+AVERAGE(BL46*BL45,BK46*BK45, BJ46*BJ45)</f>
        <v/>
      </c>
      <c r="BM47" s="838">
        <f>+AVERAGE(BM46*BM45,BL46*BL45, BK46*BK45)</f>
        <v/>
      </c>
      <c r="BN47" s="838">
        <f>+AVERAGE(BN46*BN45,BM46*BM45, BL46*BL45)</f>
        <v/>
      </c>
      <c r="BO47" s="838">
        <f>+AVERAGE(BO46*BO45,BN46*BN45, BM46*BM45)</f>
        <v/>
      </c>
      <c r="BP47" s="838">
        <f>+AVERAGE(BP46*BP45,BO46*BO45, BN46*BN45)</f>
        <v/>
      </c>
      <c r="BQ47" s="838">
        <f>+AVERAGE(BQ46*BQ45,BP46*BP45, BO46*BO45)</f>
        <v/>
      </c>
      <c r="BR47" s="838">
        <f>+AVERAGE(BR46*BR45,BQ46*BQ45, BP46*BP45)</f>
        <v/>
      </c>
      <c r="BS47" s="838">
        <f>+AVERAGE(BS46*BS45,BR46*BR45, BQ46*BQ45)</f>
        <v/>
      </c>
      <c r="BT47" s="838">
        <f>+AVERAGE(BT46*BT45,BS46*BS45, BR46*BR45)</f>
        <v/>
      </c>
      <c r="BU47" s="838">
        <f>+AVERAGE(BU46*BU45,BT46*BT45, BS46*BS45)</f>
        <v/>
      </c>
      <c r="BV47" s="838">
        <f>+AVERAGE(BV46*BV45,BU46*BU45, BT46*BT45)</f>
        <v/>
      </c>
      <c r="BW47" s="839">
        <f>+AVERAGE(BW46*BW45,BV46*BV45, BU46*BU45)</f>
        <v/>
      </c>
      <c r="BX47" s="838">
        <f>+AVERAGE(BX46*BX45,BW46*BW45, BV46*BV45)</f>
        <v/>
      </c>
      <c r="BY47" s="838">
        <f>+AVERAGE(BY46*BY45,BX46*BX45, BW46*BW45)</f>
        <v/>
      </c>
      <c r="BZ47" s="838">
        <f>+AVERAGE(BZ46*BZ45,BY46*BY45, BX46*BX45)</f>
        <v/>
      </c>
      <c r="CA47" s="838">
        <f>+AVERAGE(CA46*CA45,BZ46*BZ45, BY46*BY45)</f>
        <v/>
      </c>
      <c r="CB47" s="838">
        <f>+AVERAGE(CB46*CB45,CA46*CA45, BZ46*BZ45)</f>
        <v/>
      </c>
      <c r="CC47" s="838">
        <f>+AVERAGE(CC46*CC45,CB46*CB45, CA46*CA45)</f>
        <v/>
      </c>
      <c r="CD47" s="838">
        <f>+AVERAGE(CD46*CD45,CC46*CC45, CB46*CB45)</f>
        <v/>
      </c>
      <c r="CE47" s="838">
        <f>+AVERAGE(CE46*CE45,CD46*CD45, CC46*CC45)</f>
        <v/>
      </c>
      <c r="CF47" s="838">
        <f>+AVERAGE(CF46*CF45,CE46*CE45, CD46*CD45)</f>
        <v/>
      </c>
      <c r="CG47" s="838">
        <f>+AVERAGE(CG46*CG45,CF46*CF45, CE46*CE45)</f>
        <v/>
      </c>
      <c r="CH47" s="838">
        <f>+AVERAGE(CH46*CH45,CG46*CG45, CF46*CF45)</f>
        <v/>
      </c>
      <c r="CI47" s="839">
        <f>+AVERAGE(CI46*CI45,CH46*CH45, CG46*CG45)</f>
        <v/>
      </c>
      <c r="CJ47" s="838">
        <f>+AVERAGE(CJ46*CJ45,CI46*CI45, CH46*CH45)</f>
        <v/>
      </c>
      <c r="CK47" s="838">
        <f>+AVERAGE(CK46*CK45,CJ46*CJ45, CI46*CI45)</f>
        <v/>
      </c>
      <c r="CL47" s="838">
        <f>+AVERAGE(CL46*CL45,CK46*CK45, CJ46*CJ45)</f>
        <v/>
      </c>
      <c r="CM47" s="838">
        <f>+AVERAGE(CM46*CM45,CL46*CL45, CK46*CK45)</f>
        <v/>
      </c>
      <c r="CN47" s="838">
        <f>+AVERAGE(CN46*CN45,CM46*CM45, CL46*CL45)</f>
        <v/>
      </c>
      <c r="CO47" s="838">
        <f>+AVERAGE(CO46*CO45,CN46*CN45, CM46*CM45)</f>
        <v/>
      </c>
      <c r="CP47" s="838">
        <f>+AVERAGE(CP46*CP45,CO46*CO45, CN46*CN45)</f>
        <v/>
      </c>
      <c r="CQ47" s="838">
        <f>+AVERAGE(CQ46*CQ45,CP46*CP45, CO46*CO45)</f>
        <v/>
      </c>
      <c r="CR47" s="838">
        <f>+AVERAGE(CR46*CR45,CQ46*CQ45, CP46*CP45)</f>
        <v/>
      </c>
      <c r="CS47" s="838">
        <f>+AVERAGE(CS46*CS45,CR46*CR45, CQ46*CQ45)</f>
        <v/>
      </c>
      <c r="CT47" s="838">
        <f>+AVERAGE(CT46*CT45,CS46*CS45, CR46*CR45)</f>
        <v/>
      </c>
      <c r="CU47" s="839">
        <f>+AVERAGE(CU46*CU45,CT46*CT45, CS46*CS45)</f>
        <v/>
      </c>
      <c r="CV47" s="838">
        <f>+AVERAGE(CV46*CV45,CU46*CU45, CT46*CT45)</f>
        <v/>
      </c>
      <c r="CW47" s="838">
        <f>+AVERAGE(CW46*CW45,CV46*CV45, CU46*CU45)</f>
        <v/>
      </c>
      <c r="CX47" s="838">
        <f>+AVERAGE(CX46*CX45,CW46*CW45, CV46*CV45)</f>
        <v/>
      </c>
      <c r="CY47" s="838">
        <f>+AVERAGE(CY46*CY45,CX46*CX45, CW46*CW45)</f>
        <v/>
      </c>
      <c r="CZ47" s="838">
        <f>+AVERAGE(CZ46*CZ45,CY46*CY45, CX46*CX45)</f>
        <v/>
      </c>
      <c r="DA47" s="838">
        <f>+AVERAGE(DA46*DA45,CZ46*CZ45, CY46*CY45)</f>
        <v/>
      </c>
      <c r="DB47" s="838">
        <f>+AVERAGE(DB46*DB45,DA46*DA45, CZ46*CZ45)</f>
        <v/>
      </c>
      <c r="DC47" s="838">
        <f>+AVERAGE(DC46*DC45,DB46*DB45, DA46*DA45)</f>
        <v/>
      </c>
      <c r="DD47" s="838">
        <f>+AVERAGE(DD46*DD45,DC46*DC45, DB46*DB45)</f>
        <v/>
      </c>
      <c r="DE47" s="838">
        <f>+AVERAGE(DE46*DE45,DD46*DD45, DC46*DC45)</f>
        <v/>
      </c>
      <c r="DF47" s="838">
        <f>+AVERAGE(DF46*DF45,DE46*DE45, DD46*DD45)</f>
        <v/>
      </c>
      <c r="DG47" s="837">
        <f>+AVERAGE(DG46*DG45,DF46*DF45, DE46*DE45)</f>
        <v/>
      </c>
    </row>
    <row r="48" ht="18" customHeight="1">
      <c r="A48" s="36" t="n"/>
      <c r="B48" s="36" t="n"/>
      <c r="C48" s="489" t="inlineStr">
        <is>
          <t>T3M CAC</t>
        </is>
      </c>
      <c r="D48" s="834" t="n"/>
      <c r="E48" s="834" t="n"/>
      <c r="F48" s="834" t="n"/>
      <c r="G48" s="834" t="n"/>
      <c r="H48" s="834" t="n"/>
      <c r="I48" s="834" t="n"/>
      <c r="J48" s="834" t="n"/>
      <c r="K48" s="834" t="n"/>
      <c r="L48" s="863">
        <f>+AVERAGE(J102:L102)</f>
        <v/>
      </c>
      <c r="M48" s="834">
        <f>+AVERAGE(K102:M102)</f>
        <v/>
      </c>
      <c r="N48" s="834">
        <f>+AVERAGE(L102:N102)</f>
        <v/>
      </c>
      <c r="O48" s="834">
        <f>+AVERAGE(M102:O102)</f>
        <v/>
      </c>
      <c r="P48" s="834">
        <f>+AVERAGE(N102:P102)</f>
        <v/>
      </c>
      <c r="Q48" s="834">
        <f>+AVERAGE(O102:Q102)</f>
        <v/>
      </c>
      <c r="R48" s="834">
        <f>+AVERAGE(P102:R102)</f>
        <v/>
      </c>
      <c r="S48" s="834">
        <f>+AVERAGE(Q102:S102)</f>
        <v/>
      </c>
      <c r="T48" s="834">
        <f>+AVERAGE(R102:T102)</f>
        <v/>
      </c>
      <c r="U48" s="834">
        <f>+AVERAGE(S102:U102)</f>
        <v/>
      </c>
      <c r="V48" s="834">
        <f>+AVERAGE(T102:V102)</f>
        <v/>
      </c>
      <c r="W48" s="834">
        <f>+AVERAGE(U102:W102)</f>
        <v/>
      </c>
      <c r="X48" s="834">
        <f>+AVERAGE(V102:X102)</f>
        <v/>
      </c>
      <c r="Y48" s="834">
        <f>+AVERAGE(W102:Y102)</f>
        <v/>
      </c>
      <c r="Z48" s="834">
        <f>+AVERAGE(X102:Z102)</f>
        <v/>
      </c>
      <c r="AA48" s="835">
        <f>+AVERAGE(Y102:AA102)</f>
        <v/>
      </c>
      <c r="AB48" s="834">
        <f>+AVERAGE(Z102:AB102)</f>
        <v/>
      </c>
      <c r="AC48" s="834">
        <f>+AVERAGE(AA102:AC102)</f>
        <v/>
      </c>
      <c r="AD48" s="834">
        <f>+AVERAGE(AB102:AD102)</f>
        <v/>
      </c>
      <c r="AE48" s="834">
        <f>+AVERAGE(AC102:AE102)</f>
        <v/>
      </c>
      <c r="AF48" s="834">
        <f>+AVERAGE(AD102:AF102)</f>
        <v/>
      </c>
      <c r="AG48" s="834">
        <f>+AVERAGE(AE102:AG102)</f>
        <v/>
      </c>
      <c r="AH48" s="834">
        <f>+AVERAGE(AF102:AH102)</f>
        <v/>
      </c>
      <c r="AI48" s="834">
        <f>+AVERAGE(AG102:AI102)</f>
        <v/>
      </c>
      <c r="AJ48" s="834">
        <f>+AVERAGE(AH102:AJ102)</f>
        <v/>
      </c>
      <c r="AK48" s="834">
        <f>+AVERAGE(AI102:AK102)</f>
        <v/>
      </c>
      <c r="AL48" s="834">
        <f>+AVERAGE(AJ102:AL102)</f>
        <v/>
      </c>
      <c r="AM48" s="835">
        <f>+AVERAGE(AK102:AM102)</f>
        <v/>
      </c>
      <c r="AN48" s="834">
        <f>+AVERAGE(AL102:AN102)</f>
        <v/>
      </c>
      <c r="AO48" s="834">
        <f>+AVERAGE(AM102:AO102)</f>
        <v/>
      </c>
      <c r="AP48" s="834">
        <f>+AVERAGE(AN102:AP102)</f>
        <v/>
      </c>
      <c r="AQ48" s="834">
        <f>+AVERAGE(AO102:AQ102)</f>
        <v/>
      </c>
      <c r="AR48" s="834">
        <f>+AVERAGE(AP102:AR102)</f>
        <v/>
      </c>
      <c r="AS48" s="834">
        <f>+AVERAGE(AQ102:AS102)</f>
        <v/>
      </c>
      <c r="AT48" s="834">
        <f>+AVERAGE(AR102:AT102)</f>
        <v/>
      </c>
      <c r="AU48" s="834">
        <f>+AVERAGE(AS102:AU102)</f>
        <v/>
      </c>
      <c r="AV48" s="834">
        <f>+AVERAGE(AT102:AV102)</f>
        <v/>
      </c>
      <c r="AW48" s="836">
        <f>+AVERAGE(AU102:AW102)</f>
        <v/>
      </c>
      <c r="AX48" s="838">
        <f>+AVERAGE(AV102:AX102)</f>
        <v/>
      </c>
      <c r="AY48" s="837">
        <f>+AVERAGE(AW102:AY102)</f>
        <v/>
      </c>
      <c r="AZ48" s="838">
        <f>+AVERAGE(AX102:AZ102)</f>
        <v/>
      </c>
      <c r="BA48" s="838">
        <f>+AVERAGE(AY102:BA102)</f>
        <v/>
      </c>
      <c r="BB48" s="838">
        <f>+AVERAGE(AZ102:BB102)</f>
        <v/>
      </c>
      <c r="BC48" s="838">
        <f>+AVERAGE(BA102:BC102)</f>
        <v/>
      </c>
      <c r="BD48" s="838">
        <f>+AVERAGE(BB102:BD102)</f>
        <v/>
      </c>
      <c r="BE48" s="838">
        <f>+AVERAGE(BC102:BE102)</f>
        <v/>
      </c>
      <c r="BF48" s="838">
        <f>+AVERAGE(BD102:BF102)</f>
        <v/>
      </c>
      <c r="BG48" s="838">
        <f>+AVERAGE(BE102:BG102)</f>
        <v/>
      </c>
      <c r="BH48" s="838">
        <f>+AVERAGE(BF102:BH102)</f>
        <v/>
      </c>
      <c r="BI48" s="838">
        <f>+AVERAGE(BG102:BI102)</f>
        <v/>
      </c>
      <c r="BJ48" s="838">
        <f>+AVERAGE(BH102:BJ102)</f>
        <v/>
      </c>
      <c r="BK48" s="839">
        <f>+AVERAGE(BI102:BK102)</f>
        <v/>
      </c>
      <c r="BL48" s="838">
        <f>+AVERAGE(BJ102:BL102)</f>
        <v/>
      </c>
      <c r="BM48" s="838">
        <f>+AVERAGE(BK102:BM102)</f>
        <v/>
      </c>
      <c r="BN48" s="838">
        <f>+AVERAGE(BL102:BN102)</f>
        <v/>
      </c>
      <c r="BO48" s="838">
        <f>+AVERAGE(BM102:BO102)</f>
        <v/>
      </c>
      <c r="BP48" s="838">
        <f>+AVERAGE(BN102:BP102)</f>
        <v/>
      </c>
      <c r="BQ48" s="838">
        <f>+AVERAGE(BO102:BQ102)</f>
        <v/>
      </c>
      <c r="BR48" s="838">
        <f>+AVERAGE(BP102:BR102)</f>
        <v/>
      </c>
      <c r="BS48" s="838">
        <f>+AVERAGE(BQ102:BS102)</f>
        <v/>
      </c>
      <c r="BT48" s="838">
        <f>+AVERAGE(BR102:BT102)</f>
        <v/>
      </c>
      <c r="BU48" s="838">
        <f>+AVERAGE(BS102:BU102)</f>
        <v/>
      </c>
      <c r="BV48" s="838">
        <f>+AVERAGE(BT102:BV102)</f>
        <v/>
      </c>
      <c r="BW48" s="839">
        <f>+AVERAGE(BU102:BW102)</f>
        <v/>
      </c>
      <c r="BX48" s="838">
        <f>+AVERAGE(BV102:BX102)</f>
        <v/>
      </c>
      <c r="BY48" s="838">
        <f>+AVERAGE(BW102:BY102)</f>
        <v/>
      </c>
      <c r="BZ48" s="838">
        <f>+AVERAGE(BX102:BZ102)</f>
        <v/>
      </c>
      <c r="CA48" s="838">
        <f>+AVERAGE(BY102:CA102)</f>
        <v/>
      </c>
      <c r="CB48" s="838">
        <f>+AVERAGE(BZ102:CB102)</f>
        <v/>
      </c>
      <c r="CC48" s="838">
        <f>+AVERAGE(CA102:CC102)</f>
        <v/>
      </c>
      <c r="CD48" s="838">
        <f>+AVERAGE(CB102:CD102)</f>
        <v/>
      </c>
      <c r="CE48" s="838">
        <f>+AVERAGE(CC102:CE102)</f>
        <v/>
      </c>
      <c r="CF48" s="838">
        <f>+AVERAGE(CD102:CF102)</f>
        <v/>
      </c>
      <c r="CG48" s="838">
        <f>+AVERAGE(CE102:CG102)</f>
        <v/>
      </c>
      <c r="CH48" s="838">
        <f>+AVERAGE(CF102:CH102)</f>
        <v/>
      </c>
      <c r="CI48" s="839">
        <f>+AVERAGE(CG102:CI102)</f>
        <v/>
      </c>
      <c r="CJ48" s="838">
        <f>+AVERAGE(CH102:CJ102)</f>
        <v/>
      </c>
      <c r="CK48" s="838">
        <f>+AVERAGE(CI102:CK102)</f>
        <v/>
      </c>
      <c r="CL48" s="838">
        <f>+AVERAGE(CJ102:CL102)</f>
        <v/>
      </c>
      <c r="CM48" s="838">
        <f>+AVERAGE(CK102:CM102)</f>
        <v/>
      </c>
      <c r="CN48" s="838">
        <f>+AVERAGE(CL102:CN102)</f>
        <v/>
      </c>
      <c r="CO48" s="838">
        <f>+AVERAGE(CM102:CO102)</f>
        <v/>
      </c>
      <c r="CP48" s="838">
        <f>+AVERAGE(CN102:CP102)</f>
        <v/>
      </c>
      <c r="CQ48" s="838">
        <f>+AVERAGE(CO102:CQ102)</f>
        <v/>
      </c>
      <c r="CR48" s="838">
        <f>+AVERAGE(CP102:CR102)</f>
        <v/>
      </c>
      <c r="CS48" s="838">
        <f>+AVERAGE(CQ102:CS102)</f>
        <v/>
      </c>
      <c r="CT48" s="838">
        <f>+AVERAGE(CR102:CT102)</f>
        <v/>
      </c>
      <c r="CU48" s="839">
        <f>+AVERAGE(CS102:CU102)</f>
        <v/>
      </c>
      <c r="CV48" s="838">
        <f>+AVERAGE(CT102:CV102)</f>
        <v/>
      </c>
      <c r="CW48" s="838">
        <f>+AVERAGE(CU102:CW102)</f>
        <v/>
      </c>
      <c r="CX48" s="838">
        <f>+AVERAGE(CV102:CX102)</f>
        <v/>
      </c>
      <c r="CY48" s="838">
        <f>+AVERAGE(CW102:CY102)</f>
        <v/>
      </c>
      <c r="CZ48" s="838">
        <f>+AVERAGE(CX102:CZ102)</f>
        <v/>
      </c>
      <c r="DA48" s="838">
        <f>+AVERAGE(CY102:DA102)</f>
        <v/>
      </c>
      <c r="DB48" s="838">
        <f>+AVERAGE(CZ102:DB102)</f>
        <v/>
      </c>
      <c r="DC48" s="838">
        <f>+AVERAGE(DA102:DC102)</f>
        <v/>
      </c>
      <c r="DD48" s="838">
        <f>+AVERAGE(DB102:DD102)</f>
        <v/>
      </c>
      <c r="DE48" s="838">
        <f>+AVERAGE(DC102:DE102)</f>
        <v/>
      </c>
      <c r="DF48" s="838">
        <f>+AVERAGE(DD102:DF102)</f>
        <v/>
      </c>
      <c r="DG48" s="837">
        <f>+AVERAGE(DE102:DG102)</f>
        <v/>
      </c>
    </row>
    <row r="49" ht="18" customHeight="1">
      <c r="A49" s="36" t="n"/>
      <c r="B49" s="36" t="n"/>
      <c r="C49" s="489" t="inlineStr">
        <is>
          <t>LTV/CAC</t>
        </is>
      </c>
      <c r="D49" s="834" t="n"/>
      <c r="E49" s="834" t="n"/>
      <c r="F49" s="834" t="n"/>
      <c r="G49" s="834" t="n"/>
      <c r="H49" s="834" t="n"/>
      <c r="I49" s="834" t="n"/>
      <c r="J49" s="834" t="n"/>
      <c r="K49" s="864" t="n"/>
      <c r="L49" s="864">
        <f>+L47/L48</f>
        <v/>
      </c>
      <c r="M49" s="864">
        <f>+M47/M48</f>
        <v/>
      </c>
      <c r="N49" s="864">
        <f>+N47/N48</f>
        <v/>
      </c>
      <c r="O49" s="864">
        <f>+O47/O48</f>
        <v/>
      </c>
      <c r="P49" s="864">
        <f>+P47/P48</f>
        <v/>
      </c>
      <c r="Q49" s="864">
        <f>+Q47/Q48</f>
        <v/>
      </c>
      <c r="R49" s="864">
        <f>+R47/R48</f>
        <v/>
      </c>
      <c r="S49" s="864">
        <f>+S47/S48</f>
        <v/>
      </c>
      <c r="T49" s="864">
        <f>+T47/T48</f>
        <v/>
      </c>
      <c r="U49" s="865">
        <f>+U47/U48</f>
        <v/>
      </c>
      <c r="V49" s="865">
        <f>+V47/V48</f>
        <v/>
      </c>
      <c r="W49" s="865">
        <f>+W47/W48</f>
        <v/>
      </c>
      <c r="X49" s="865">
        <f>+X47/X48</f>
        <v/>
      </c>
      <c r="Y49" s="865">
        <f>+Y47/Y48</f>
        <v/>
      </c>
      <c r="Z49" s="865">
        <f>+Z47/Z48</f>
        <v/>
      </c>
      <c r="AA49" s="866">
        <f>+AA47/AA48</f>
        <v/>
      </c>
      <c r="AB49" s="865">
        <f>+AB47/AB48</f>
        <v/>
      </c>
      <c r="AC49" s="865">
        <f>+AC47/AC48</f>
        <v/>
      </c>
      <c r="AD49" s="865">
        <f>+AD47/AD48</f>
        <v/>
      </c>
      <c r="AE49" s="865">
        <f>+AE47/AE48</f>
        <v/>
      </c>
      <c r="AF49" s="865">
        <f>+AF47/AF48</f>
        <v/>
      </c>
      <c r="AG49" s="865">
        <f>+AG47/AG48</f>
        <v/>
      </c>
      <c r="AH49" s="865">
        <f>+AH47/AH48</f>
        <v/>
      </c>
      <c r="AI49" s="865">
        <f>+AI47/AI48</f>
        <v/>
      </c>
      <c r="AJ49" s="865">
        <f>+AJ47/AJ48</f>
        <v/>
      </c>
      <c r="AK49" s="865">
        <f>+AK47/AK48</f>
        <v/>
      </c>
      <c r="AL49" s="865">
        <f>+AL47/AL48</f>
        <v/>
      </c>
      <c r="AM49" s="866">
        <f>+AM47/AM48</f>
        <v/>
      </c>
      <c r="AN49" s="865">
        <f>+AN47/AN48</f>
        <v/>
      </c>
      <c r="AO49" s="865">
        <f>+AO47/AO48</f>
        <v/>
      </c>
      <c r="AP49" s="865">
        <f>+AP47/AP48</f>
        <v/>
      </c>
      <c r="AQ49" s="865">
        <f>+AQ47/AQ48</f>
        <v/>
      </c>
      <c r="AR49" s="865">
        <f>+AR47/AR48</f>
        <v/>
      </c>
      <c r="AS49" s="865">
        <f>+AS47/AS48</f>
        <v/>
      </c>
      <c r="AT49" s="865">
        <f>+AT47/AT48</f>
        <v/>
      </c>
      <c r="AU49" s="865">
        <f>+AU47/AU48</f>
        <v/>
      </c>
      <c r="AV49" s="865">
        <f>+AV47/AV48</f>
        <v/>
      </c>
      <c r="AW49" s="867">
        <f>+AW47/AW48</f>
        <v/>
      </c>
      <c r="AX49" s="868">
        <f>+AX47/AX48</f>
        <v/>
      </c>
      <c r="AY49" s="869">
        <f>+AY47/AY48</f>
        <v/>
      </c>
      <c r="AZ49" s="868">
        <f>+AZ47/AZ48</f>
        <v/>
      </c>
      <c r="BA49" s="868">
        <f>+BA47/BA48</f>
        <v/>
      </c>
      <c r="BB49" s="868">
        <f>+BB47/BB48</f>
        <v/>
      </c>
      <c r="BC49" s="868">
        <f>+BC47/BC48</f>
        <v/>
      </c>
      <c r="BD49" s="868">
        <f>+BD47/BD48</f>
        <v/>
      </c>
      <c r="BE49" s="868">
        <f>+BE47/BE48</f>
        <v/>
      </c>
      <c r="BF49" s="868">
        <f>+BF47/BF48</f>
        <v/>
      </c>
      <c r="BG49" s="868">
        <f>+BG47/BG48</f>
        <v/>
      </c>
      <c r="BH49" s="868">
        <f>+BH47/BH48</f>
        <v/>
      </c>
      <c r="BI49" s="868">
        <f>+BI47/BI48</f>
        <v/>
      </c>
      <c r="BJ49" s="868">
        <f>+BJ47/BJ48</f>
        <v/>
      </c>
      <c r="BK49" s="870">
        <f>+BK47/BK48</f>
        <v/>
      </c>
      <c r="BL49" s="868">
        <f>+BL47/BL48</f>
        <v/>
      </c>
      <c r="BM49" s="868">
        <f>+BM47/BM48</f>
        <v/>
      </c>
      <c r="BN49" s="868">
        <f>+BN47/BN48</f>
        <v/>
      </c>
      <c r="BO49" s="868">
        <f>+BO47/BO48</f>
        <v/>
      </c>
      <c r="BP49" s="868">
        <f>+BP47/BP48</f>
        <v/>
      </c>
      <c r="BQ49" s="868">
        <f>+BQ47/BQ48</f>
        <v/>
      </c>
      <c r="BR49" s="868">
        <f>+BR47/BR48</f>
        <v/>
      </c>
      <c r="BS49" s="868">
        <f>+BS47/BS48</f>
        <v/>
      </c>
      <c r="BT49" s="868">
        <f>+BT47/BT48</f>
        <v/>
      </c>
      <c r="BU49" s="868">
        <f>+BU47/BU48</f>
        <v/>
      </c>
      <c r="BV49" s="868">
        <f>+BV47/BV48</f>
        <v/>
      </c>
      <c r="BW49" s="870">
        <f>+BW47/BW48</f>
        <v/>
      </c>
      <c r="BX49" s="868">
        <f>+BX47/BX48</f>
        <v/>
      </c>
      <c r="BY49" s="868">
        <f>+BY47/BY48</f>
        <v/>
      </c>
      <c r="BZ49" s="868">
        <f>+BZ47/BZ48</f>
        <v/>
      </c>
      <c r="CA49" s="868">
        <f>+CA47/CA48</f>
        <v/>
      </c>
      <c r="CB49" s="868">
        <f>+CB47/CB48</f>
        <v/>
      </c>
      <c r="CC49" s="868">
        <f>+CC47/CC48</f>
        <v/>
      </c>
      <c r="CD49" s="868">
        <f>+CD47/CD48</f>
        <v/>
      </c>
      <c r="CE49" s="868">
        <f>+CE47/CE48</f>
        <v/>
      </c>
      <c r="CF49" s="868">
        <f>+CF47/CF48</f>
        <v/>
      </c>
      <c r="CG49" s="868">
        <f>+CG47/CG48</f>
        <v/>
      </c>
      <c r="CH49" s="868">
        <f>+CH47/CH48</f>
        <v/>
      </c>
      <c r="CI49" s="870">
        <f>+CI47/CI48</f>
        <v/>
      </c>
      <c r="CJ49" s="868">
        <f>+CJ47/CJ48</f>
        <v/>
      </c>
      <c r="CK49" s="868">
        <f>+CK47/CK48</f>
        <v/>
      </c>
      <c r="CL49" s="868">
        <f>+CL47/CL48</f>
        <v/>
      </c>
      <c r="CM49" s="868">
        <f>+CM47/CM48</f>
        <v/>
      </c>
      <c r="CN49" s="868">
        <f>+CN47/CN48</f>
        <v/>
      </c>
      <c r="CO49" s="868">
        <f>+CO47/CO48</f>
        <v/>
      </c>
      <c r="CP49" s="868">
        <f>+CP47/CP48</f>
        <v/>
      </c>
      <c r="CQ49" s="868">
        <f>+CQ47/CQ48</f>
        <v/>
      </c>
      <c r="CR49" s="868">
        <f>+CR47/CR48</f>
        <v/>
      </c>
      <c r="CS49" s="868">
        <f>+CS47/CS48</f>
        <v/>
      </c>
      <c r="CT49" s="868">
        <f>+CT47/CT48</f>
        <v/>
      </c>
      <c r="CU49" s="870">
        <f>+CU47/CU48</f>
        <v/>
      </c>
      <c r="CV49" s="868">
        <f>+CV47/CV48</f>
        <v/>
      </c>
      <c r="CW49" s="868">
        <f>+CW47/CW48</f>
        <v/>
      </c>
      <c r="CX49" s="868">
        <f>+CX47/CX48</f>
        <v/>
      </c>
      <c r="CY49" s="868">
        <f>+CY47/CY48</f>
        <v/>
      </c>
      <c r="CZ49" s="868">
        <f>+CZ47/CZ48</f>
        <v/>
      </c>
      <c r="DA49" s="868">
        <f>+DA47/DA48</f>
        <v/>
      </c>
      <c r="DB49" s="868">
        <f>+DB47/DB48</f>
        <v/>
      </c>
      <c r="DC49" s="868">
        <f>+DC47/DC48</f>
        <v/>
      </c>
      <c r="DD49" s="868">
        <f>+DD47/DD48</f>
        <v/>
      </c>
      <c r="DE49" s="868">
        <f>+DE47/DE48</f>
        <v/>
      </c>
      <c r="DF49" s="868">
        <f>+DF47/DF48</f>
        <v/>
      </c>
      <c r="DG49" s="869">
        <f>+DG47/DG48</f>
        <v/>
      </c>
    </row>
    <row r="50" ht="15" customHeight="1" thickBot="1">
      <c r="A50" s="35" t="n"/>
      <c r="B50" s="35" t="n"/>
      <c r="C50" s="489" t="inlineStr">
        <is>
          <t>Payback</t>
        </is>
      </c>
      <c r="D50" s="834" t="n"/>
      <c r="E50" s="834" t="n"/>
      <c r="F50" s="834" t="n"/>
      <c r="G50" s="834" t="n"/>
      <c r="H50" s="834" t="n"/>
      <c r="I50" s="834" t="n"/>
      <c r="J50" s="834" t="n"/>
      <c r="K50" s="871" t="n"/>
      <c r="L50" s="871">
        <f>+L48/(L44*L46)</f>
        <v/>
      </c>
      <c r="M50" s="871">
        <f>+M48/(M44*M46)</f>
        <v/>
      </c>
      <c r="N50" s="871">
        <f>+N48/(N44*N46)</f>
        <v/>
      </c>
      <c r="O50" s="871">
        <f>+O48/(O44*O46)</f>
        <v/>
      </c>
      <c r="P50" s="871">
        <f>+P48/(P44*P46)</f>
        <v/>
      </c>
      <c r="Q50" s="871">
        <f>+Q48/(Q44*Q46)</f>
        <v/>
      </c>
      <c r="R50" s="871">
        <f>+R48/(R44*R46)</f>
        <v/>
      </c>
      <c r="S50" s="871">
        <f>+S48/(S44*S46)</f>
        <v/>
      </c>
      <c r="T50" s="871">
        <f>+T48/(T44*T46)</f>
        <v/>
      </c>
      <c r="U50" s="871">
        <f>+U48/(U44*U46)</f>
        <v/>
      </c>
      <c r="V50" s="871">
        <f>+V48/(V44*V46)</f>
        <v/>
      </c>
      <c r="W50" s="871">
        <f>+W48/(W44*W46)</f>
        <v/>
      </c>
      <c r="X50" s="871">
        <f>+X48/(X44*X46)</f>
        <v/>
      </c>
      <c r="Y50" s="871">
        <f>+Y48/(Y44*Y46)</f>
        <v/>
      </c>
      <c r="Z50" s="871">
        <f>+Z48/(Z44*Z46)</f>
        <v/>
      </c>
      <c r="AA50" s="872">
        <f>+AA48/(AA44*AA46)</f>
        <v/>
      </c>
      <c r="AB50" s="871">
        <f>+AB48/(AB44*AB46)</f>
        <v/>
      </c>
      <c r="AC50" s="871">
        <f>+AC48/(AC44*AC46)</f>
        <v/>
      </c>
      <c r="AD50" s="871">
        <f>+AD48/(AD44*AD46)</f>
        <v/>
      </c>
      <c r="AE50" s="871">
        <f>+AE48/(AE44*AE46)</f>
        <v/>
      </c>
      <c r="AF50" s="871">
        <f>+AF48/(AF44*AF46)</f>
        <v/>
      </c>
      <c r="AG50" s="871">
        <f>+AG48/(AG44*AG46)</f>
        <v/>
      </c>
      <c r="AH50" s="871">
        <f>+AH48/(AH44*AH46)</f>
        <v/>
      </c>
      <c r="AI50" s="871">
        <f>+AI48/(AI44*AI46)</f>
        <v/>
      </c>
      <c r="AJ50" s="871">
        <f>+AJ48/(AJ44*AJ46)</f>
        <v/>
      </c>
      <c r="AK50" s="871">
        <f>+AK48/(AK44*AK46)</f>
        <v/>
      </c>
      <c r="AL50" s="871">
        <f>+AL48/(AL44*AL46)</f>
        <v/>
      </c>
      <c r="AM50" s="872">
        <f>+AM48/(AM44*AM46)</f>
        <v/>
      </c>
      <c r="AN50" s="871">
        <f>+AN48/(AN44*AN46)</f>
        <v/>
      </c>
      <c r="AO50" s="871">
        <f>+AO48/(AO44*AO46)</f>
        <v/>
      </c>
      <c r="AP50" s="871">
        <f>+AP48/(AP44*AP46)</f>
        <v/>
      </c>
      <c r="AQ50" s="871">
        <f>+AQ48/(AQ44*AQ46)</f>
        <v/>
      </c>
      <c r="AR50" s="871">
        <f>+AR48/(AR44*AR46)</f>
        <v/>
      </c>
      <c r="AS50" s="871">
        <f>+AS48/(AS44*AS46)</f>
        <v/>
      </c>
      <c r="AT50" s="871">
        <f>+AT48/(AT44*AT46)</f>
        <v/>
      </c>
      <c r="AU50" s="871">
        <f>+AU48/(AU44*AU46)</f>
        <v/>
      </c>
      <c r="AV50" s="871">
        <f>+AV48/(AV44*AV46)</f>
        <v/>
      </c>
      <c r="AW50" s="873">
        <f>+AW48/(AW44*AW46)</f>
        <v/>
      </c>
      <c r="AX50" s="874">
        <f>+AX48/(AX44*AX46)</f>
        <v/>
      </c>
      <c r="AY50" s="875">
        <f>+AY48/(AY44*AY46)</f>
        <v/>
      </c>
      <c r="AZ50" s="874">
        <f>+AZ48/(AZ44*AZ46)</f>
        <v/>
      </c>
      <c r="BA50" s="874">
        <f>+BA48/(BA44*BA46)</f>
        <v/>
      </c>
      <c r="BB50" s="874">
        <f>+BB48/(BB44*BB46)</f>
        <v/>
      </c>
      <c r="BC50" s="874">
        <f>+BC48/(BC44*BC46)</f>
        <v/>
      </c>
      <c r="BD50" s="874">
        <f>+BD48/(BD44*BD46)</f>
        <v/>
      </c>
      <c r="BE50" s="874">
        <f>+BE48/(BE44*BE46)</f>
        <v/>
      </c>
      <c r="BF50" s="874">
        <f>+BF48/(BF44*BF46)</f>
        <v/>
      </c>
      <c r="BG50" s="874">
        <f>+BG48/(BG44*BG46)</f>
        <v/>
      </c>
      <c r="BH50" s="874">
        <f>+BH48/(BH44*BH46)</f>
        <v/>
      </c>
      <c r="BI50" s="874">
        <f>+BI48/(BI44*BI46)</f>
        <v/>
      </c>
      <c r="BJ50" s="874">
        <f>+BJ48/(BJ44*BJ46)</f>
        <v/>
      </c>
      <c r="BK50" s="876">
        <f>+BK48/(BK44*BK46)</f>
        <v/>
      </c>
      <c r="BL50" s="874">
        <f>+BL48/(BL44*BL46)</f>
        <v/>
      </c>
      <c r="BM50" s="874">
        <f>+BM48/(BM44*BM46)</f>
        <v/>
      </c>
      <c r="BN50" s="874">
        <f>+BN48/(BN44*BN46)</f>
        <v/>
      </c>
      <c r="BO50" s="874">
        <f>+BO48/(BO44*BO46)</f>
        <v/>
      </c>
      <c r="BP50" s="874">
        <f>+BP48/(BP44*BP46)</f>
        <v/>
      </c>
      <c r="BQ50" s="874">
        <f>+BQ48/(BQ44*BQ46)</f>
        <v/>
      </c>
      <c r="BR50" s="874">
        <f>+BR48/(BR44*BR46)</f>
        <v/>
      </c>
      <c r="BS50" s="874">
        <f>+BS48/(BS44*BS46)</f>
        <v/>
      </c>
      <c r="BT50" s="874">
        <f>+BT48/(BT44*BT46)</f>
        <v/>
      </c>
      <c r="BU50" s="874">
        <f>+BU48/(BU44*BU46)</f>
        <v/>
      </c>
      <c r="BV50" s="874">
        <f>+BV48/(BV44*BV46)</f>
        <v/>
      </c>
      <c r="BW50" s="876">
        <f>+BW48/(BW44*BW46)</f>
        <v/>
      </c>
      <c r="BX50" s="874">
        <f>+BX48/(BX44*BX46)</f>
        <v/>
      </c>
      <c r="BY50" s="874">
        <f>+BY48/(BY44*BY46)</f>
        <v/>
      </c>
      <c r="BZ50" s="874">
        <f>+BZ48/(BZ44*BZ46)</f>
        <v/>
      </c>
      <c r="CA50" s="874">
        <f>+CA48/(CA44*CA46)</f>
        <v/>
      </c>
      <c r="CB50" s="874">
        <f>+CB48/(CB44*CB46)</f>
        <v/>
      </c>
      <c r="CC50" s="874">
        <f>+CC48/(CC44*CC46)</f>
        <v/>
      </c>
      <c r="CD50" s="874">
        <f>+CD48/(CD44*CD46)</f>
        <v/>
      </c>
      <c r="CE50" s="874">
        <f>+CE48/(CE44*CE46)</f>
        <v/>
      </c>
      <c r="CF50" s="874">
        <f>+CF48/(CF44*CF46)</f>
        <v/>
      </c>
      <c r="CG50" s="874">
        <f>+CG48/(CG44*CG46)</f>
        <v/>
      </c>
      <c r="CH50" s="874">
        <f>+CH48/(CH44*CH46)</f>
        <v/>
      </c>
      <c r="CI50" s="876">
        <f>+CI48/(CI44*CI46)</f>
        <v/>
      </c>
      <c r="CJ50" s="874">
        <f>+CJ48/(CJ44*CJ46)</f>
        <v/>
      </c>
      <c r="CK50" s="874">
        <f>+CK48/(CK44*CK46)</f>
        <v/>
      </c>
      <c r="CL50" s="874">
        <f>+CL48/(CL44*CL46)</f>
        <v/>
      </c>
      <c r="CM50" s="874">
        <f>+CM48/(CM44*CM46)</f>
        <v/>
      </c>
      <c r="CN50" s="874">
        <f>+CN48/(CN44*CN46)</f>
        <v/>
      </c>
      <c r="CO50" s="874">
        <f>+CO48/(CO44*CO46)</f>
        <v/>
      </c>
      <c r="CP50" s="874">
        <f>+CP48/(CP44*CP46)</f>
        <v/>
      </c>
      <c r="CQ50" s="874">
        <f>+CQ48/(CQ44*CQ46)</f>
        <v/>
      </c>
      <c r="CR50" s="874">
        <f>+CR48/(CR44*CR46)</f>
        <v/>
      </c>
      <c r="CS50" s="874">
        <f>+CS48/(CS44*CS46)</f>
        <v/>
      </c>
      <c r="CT50" s="874">
        <f>+CT48/(CT44*CT46)</f>
        <v/>
      </c>
      <c r="CU50" s="876">
        <f>+CU48/(CU44*CU46)</f>
        <v/>
      </c>
      <c r="CV50" s="874">
        <f>+CV48/(CV44*CV46)</f>
        <v/>
      </c>
      <c r="CW50" s="874">
        <f>+CW48/(CW44*CW46)</f>
        <v/>
      </c>
      <c r="CX50" s="874">
        <f>+CX48/(CX44*CX46)</f>
        <v/>
      </c>
      <c r="CY50" s="874">
        <f>+CY48/(CY44*CY46)</f>
        <v/>
      </c>
      <c r="CZ50" s="874">
        <f>+CZ48/(CZ44*CZ46)</f>
        <v/>
      </c>
      <c r="DA50" s="874">
        <f>+DA48/(DA44*DA46)</f>
        <v/>
      </c>
      <c r="DB50" s="874">
        <f>+DB48/(DB44*DB46)</f>
        <v/>
      </c>
      <c r="DC50" s="874">
        <f>+DC48/(DC44*DC46)</f>
        <v/>
      </c>
      <c r="DD50" s="874">
        <f>+DD48/(DD44*DD46)</f>
        <v/>
      </c>
      <c r="DE50" s="874">
        <f>+DE48/(DE44*DE46)</f>
        <v/>
      </c>
      <c r="DF50" s="874">
        <f>+DF48/(DF44*DF46)</f>
        <v/>
      </c>
      <c r="DG50" s="875">
        <f>+DG48/(DG44*DG46)</f>
        <v/>
      </c>
    </row>
    <row r="51" ht="15" customFormat="1" customHeight="1" s="3" thickBot="1">
      <c r="A51" s="141" t="n"/>
      <c r="B51" s="141" t="n"/>
      <c r="C51" s="727" t="inlineStr">
        <is>
          <t>Utilization %</t>
        </is>
      </c>
      <c r="D51" s="728" t="n"/>
      <c r="E51" s="877">
        <f>+E25/8</f>
        <v/>
      </c>
      <c r="F51" s="877">
        <f>+F25/8</f>
        <v/>
      </c>
      <c r="G51" s="877">
        <f>+G25/8</f>
        <v/>
      </c>
      <c r="H51" s="877">
        <f>+H25/8</f>
        <v/>
      </c>
      <c r="I51" s="877">
        <f>+I25/8</f>
        <v/>
      </c>
      <c r="J51" s="877">
        <f>+J25/8</f>
        <v/>
      </c>
      <c r="K51" s="877">
        <f>+K25/8</f>
        <v/>
      </c>
      <c r="L51" s="877">
        <f>+L25/8</f>
        <v/>
      </c>
      <c r="M51" s="877">
        <f>+M25/8</f>
        <v/>
      </c>
      <c r="N51" s="877">
        <f>+N25/8</f>
        <v/>
      </c>
      <c r="O51" s="877">
        <f>+O25/8</f>
        <v/>
      </c>
      <c r="P51" s="877">
        <f>+P25/8</f>
        <v/>
      </c>
      <c r="Q51" s="877">
        <f>+Q25/8</f>
        <v/>
      </c>
      <c r="R51" s="877">
        <f>+R25/8</f>
        <v/>
      </c>
      <c r="S51" s="877">
        <f>+S25/8</f>
        <v/>
      </c>
      <c r="T51" s="877">
        <f>+T25/8</f>
        <v/>
      </c>
      <c r="U51" s="877">
        <f>+U25/8</f>
        <v/>
      </c>
      <c r="V51" s="877">
        <f>+V25/8</f>
        <v/>
      </c>
      <c r="W51" s="877">
        <f>+W25/8</f>
        <v/>
      </c>
      <c r="X51" s="877">
        <f>+X25/8</f>
        <v/>
      </c>
      <c r="Y51" s="877">
        <f>+Y25/8</f>
        <v/>
      </c>
      <c r="Z51" s="877">
        <f>+Z25/8</f>
        <v/>
      </c>
      <c r="AA51" s="878">
        <f>+AA25/8</f>
        <v/>
      </c>
      <c r="AB51" s="877">
        <f>+AB25/8</f>
        <v/>
      </c>
      <c r="AC51" s="877">
        <f>+AC25/8</f>
        <v/>
      </c>
      <c r="AD51" s="877">
        <f>+AD25/8</f>
        <v/>
      </c>
      <c r="AE51" s="877">
        <f>+AE25/8</f>
        <v/>
      </c>
      <c r="AF51" s="877">
        <f>+AF25/8</f>
        <v/>
      </c>
      <c r="AG51" s="877">
        <f>+AG25/8</f>
        <v/>
      </c>
      <c r="AH51" s="877">
        <f>+AH25/8</f>
        <v/>
      </c>
      <c r="AI51" s="877">
        <f>+AI25/8</f>
        <v/>
      </c>
      <c r="AJ51" s="877">
        <f>+AJ25/8</f>
        <v/>
      </c>
      <c r="AK51" s="877">
        <f>+AK25/8</f>
        <v/>
      </c>
      <c r="AL51" s="877">
        <f>+AL25/8</f>
        <v/>
      </c>
      <c r="AM51" s="878">
        <f>+AM25/8</f>
        <v/>
      </c>
      <c r="AN51" s="877">
        <f>+AN25/8</f>
        <v/>
      </c>
      <c r="AO51" s="877">
        <f>+AO25/8</f>
        <v/>
      </c>
      <c r="AP51" s="877">
        <f>+AP25/8</f>
        <v/>
      </c>
      <c r="AQ51" s="877">
        <f>+AQ25/8</f>
        <v/>
      </c>
      <c r="AR51" s="877">
        <f>+AR25/8</f>
        <v/>
      </c>
      <c r="AS51" s="877">
        <f>+AS25/8</f>
        <v/>
      </c>
      <c r="AT51" s="877">
        <f>+AT25/8</f>
        <v/>
      </c>
      <c r="AU51" s="877">
        <f>+AU25/8</f>
        <v/>
      </c>
      <c r="AV51" s="877">
        <f>+AV25/8</f>
        <v/>
      </c>
      <c r="AW51" s="879">
        <f>+AW25/8</f>
        <v/>
      </c>
      <c r="AX51" s="877">
        <f>+AX25/8</f>
        <v/>
      </c>
      <c r="AY51" s="878">
        <f>+AY25/8</f>
        <v/>
      </c>
      <c r="AZ51" s="877">
        <f>+AZ25/8</f>
        <v/>
      </c>
      <c r="BA51" s="877">
        <f>+BA25/8</f>
        <v/>
      </c>
      <c r="BB51" s="877">
        <f>+BB25/8</f>
        <v/>
      </c>
      <c r="BC51" s="877">
        <f>+BC25/8</f>
        <v/>
      </c>
      <c r="BD51" s="877">
        <f>+BD25/8</f>
        <v/>
      </c>
      <c r="BE51" s="877">
        <f>+BE25/8</f>
        <v/>
      </c>
      <c r="BF51" s="877">
        <f>+BF25/8</f>
        <v/>
      </c>
      <c r="BG51" s="877">
        <f>+BG25/8</f>
        <v/>
      </c>
      <c r="BH51" s="877">
        <f>+BH25/8</f>
        <v/>
      </c>
      <c r="BI51" s="877">
        <f>+BI25/8</f>
        <v/>
      </c>
      <c r="BJ51" s="877">
        <f>+BJ25/8</f>
        <v/>
      </c>
      <c r="BK51" s="879">
        <f>+BK25/8</f>
        <v/>
      </c>
      <c r="BL51" s="877">
        <f>+BL25/8</f>
        <v/>
      </c>
      <c r="BM51" s="877">
        <f>+BM25/8</f>
        <v/>
      </c>
      <c r="BN51" s="877">
        <f>+BN25/8</f>
        <v/>
      </c>
      <c r="BO51" s="877">
        <f>+BO25/8</f>
        <v/>
      </c>
      <c r="BP51" s="877">
        <f>+BP25/8</f>
        <v/>
      </c>
      <c r="BQ51" s="877">
        <f>+BQ25/8</f>
        <v/>
      </c>
      <c r="BR51" s="877">
        <f>+BR25/8</f>
        <v/>
      </c>
      <c r="BS51" s="877">
        <f>+BS25/8</f>
        <v/>
      </c>
      <c r="BT51" s="877">
        <f>+BT25/8</f>
        <v/>
      </c>
      <c r="BU51" s="877">
        <f>+BU25/8</f>
        <v/>
      </c>
      <c r="BV51" s="877">
        <f>+BV25/8</f>
        <v/>
      </c>
      <c r="BW51" s="879">
        <f>+BW25/8</f>
        <v/>
      </c>
      <c r="BX51" s="877">
        <f>+BX25/8</f>
        <v/>
      </c>
      <c r="BY51" s="877">
        <f>+BY25/8</f>
        <v/>
      </c>
      <c r="BZ51" s="877">
        <f>+BZ25/8</f>
        <v/>
      </c>
      <c r="CA51" s="877">
        <f>+CA25/8</f>
        <v/>
      </c>
      <c r="CB51" s="877">
        <f>+CB25/8</f>
        <v/>
      </c>
      <c r="CC51" s="877">
        <f>+CC25/8</f>
        <v/>
      </c>
      <c r="CD51" s="877">
        <f>+CD25/8</f>
        <v/>
      </c>
      <c r="CE51" s="877">
        <f>+CE25/8</f>
        <v/>
      </c>
      <c r="CF51" s="877">
        <f>+CF25/8</f>
        <v/>
      </c>
      <c r="CG51" s="877">
        <f>+CG25/8</f>
        <v/>
      </c>
      <c r="CH51" s="877">
        <f>+CH25/8</f>
        <v/>
      </c>
      <c r="CI51" s="879">
        <f>+CI25/8</f>
        <v/>
      </c>
      <c r="CJ51" s="877">
        <f>+CJ25/8</f>
        <v/>
      </c>
      <c r="CK51" s="877">
        <f>+CK25/8</f>
        <v/>
      </c>
      <c r="CL51" s="877">
        <f>+CL25/8</f>
        <v/>
      </c>
      <c r="CM51" s="877">
        <f>+CM25/8</f>
        <v/>
      </c>
      <c r="CN51" s="877">
        <f>+CN25/8</f>
        <v/>
      </c>
      <c r="CO51" s="877">
        <f>+CO25/8</f>
        <v/>
      </c>
      <c r="CP51" s="877">
        <f>+CP25/8</f>
        <v/>
      </c>
      <c r="CQ51" s="877">
        <f>+CQ25/8</f>
        <v/>
      </c>
      <c r="CR51" s="877">
        <f>+CR25/8</f>
        <v/>
      </c>
      <c r="CS51" s="877">
        <f>+CS25/8</f>
        <v/>
      </c>
      <c r="CT51" s="877">
        <f>+CT25/8</f>
        <v/>
      </c>
      <c r="CU51" s="879">
        <f>+CU25/8</f>
        <v/>
      </c>
      <c r="CV51" s="877">
        <f>+CV25/8</f>
        <v/>
      </c>
      <c r="CW51" s="877">
        <f>+CW25/8</f>
        <v/>
      </c>
      <c r="CX51" s="877">
        <f>+CX25/8</f>
        <v/>
      </c>
      <c r="CY51" s="877">
        <f>+CY25/8</f>
        <v/>
      </c>
      <c r="CZ51" s="877">
        <f>+CZ25/8</f>
        <v/>
      </c>
      <c r="DA51" s="877">
        <f>+DA25/8</f>
        <v/>
      </c>
      <c r="DB51" s="877">
        <f>+DB25/8</f>
        <v/>
      </c>
      <c r="DC51" s="877">
        <f>+DC25/8</f>
        <v/>
      </c>
      <c r="DD51" s="877">
        <f>+DD25/8</f>
        <v/>
      </c>
      <c r="DE51" s="877">
        <f>+DE25/8</f>
        <v/>
      </c>
      <c r="DF51" s="877">
        <f>+DF25/8</f>
        <v/>
      </c>
      <c r="DG51" s="878">
        <f>+DG25/8</f>
        <v/>
      </c>
    </row>
    <row r="52">
      <c r="B52" s="1" t="n"/>
      <c r="C52" s="1" t="n"/>
      <c r="D52" s="831" t="n"/>
      <c r="E52" s="831" t="n"/>
      <c r="F52" s="831" t="n"/>
      <c r="G52" s="831" t="n"/>
      <c r="H52" s="831" t="n"/>
      <c r="I52" s="831" t="n"/>
      <c r="J52" s="831" t="n"/>
      <c r="K52" s="831" t="n"/>
      <c r="L52" s="831" t="n"/>
      <c r="M52" s="831" t="n"/>
      <c r="N52" s="831" t="n"/>
      <c r="O52" s="831" t="n"/>
      <c r="P52" s="831" t="n"/>
      <c r="Q52" s="831" t="n"/>
      <c r="R52" s="831" t="n"/>
      <c r="S52" s="831" t="n"/>
      <c r="T52" s="831" t="n"/>
      <c r="U52" s="831" t="n"/>
      <c r="V52" s="831" t="n"/>
      <c r="W52" s="831" t="n"/>
      <c r="X52" s="831" t="n"/>
      <c r="Y52" s="831" t="n"/>
      <c r="Z52" s="831" t="n"/>
      <c r="AA52" s="831" t="n"/>
      <c r="AB52" s="831" t="n"/>
      <c r="AC52" s="831" t="n"/>
      <c r="AD52" s="831" t="n"/>
      <c r="AE52" s="831" t="n"/>
      <c r="AF52" s="831" t="n"/>
      <c r="AG52" s="831" t="n"/>
      <c r="AH52" s="831" t="n"/>
      <c r="AI52" s="831" t="n"/>
      <c r="AJ52" s="831" t="n"/>
      <c r="AK52" s="831" t="n"/>
      <c r="AL52" s="831" t="n"/>
      <c r="AM52" s="832" t="n"/>
      <c r="AN52" s="831" t="n"/>
      <c r="AO52" s="831" t="n"/>
      <c r="AP52" s="831" t="n"/>
      <c r="AQ52" s="831" t="n"/>
      <c r="AR52" s="831" t="n"/>
      <c r="AS52" s="831" t="n"/>
      <c r="AT52" s="831" t="n"/>
      <c r="AU52" s="831" t="n"/>
      <c r="AV52" s="831" t="n"/>
      <c r="AW52" s="833" t="n"/>
      <c r="AX52" s="831" t="n"/>
      <c r="AY52" s="833" t="n"/>
      <c r="AZ52" s="831" t="n"/>
      <c r="BA52" s="831" t="n"/>
      <c r="BB52" s="831" t="n"/>
      <c r="BC52" s="831" t="n"/>
      <c r="BD52" s="831" t="n"/>
      <c r="BE52" s="831" t="n"/>
      <c r="BF52" s="831" t="n"/>
      <c r="BG52" s="831" t="n"/>
      <c r="BH52" s="831" t="n"/>
      <c r="BI52" s="831" t="n"/>
      <c r="BJ52" s="831" t="n"/>
      <c r="BK52" s="833" t="n"/>
      <c r="BL52" s="831" t="n"/>
      <c r="BM52" s="831" t="n"/>
      <c r="BN52" s="831" t="n"/>
      <c r="BO52" s="831" t="n"/>
      <c r="BP52" s="831" t="n"/>
      <c r="BQ52" s="831" t="n"/>
      <c r="BR52" s="831" t="n"/>
      <c r="BS52" s="831" t="n"/>
      <c r="BT52" s="831" t="n"/>
      <c r="BU52" s="831" t="n"/>
      <c r="BV52" s="831" t="n"/>
      <c r="BW52" s="833" t="n"/>
      <c r="BX52" s="831" t="n"/>
      <c r="BY52" s="831" t="n"/>
      <c r="BZ52" s="831" t="n"/>
      <c r="CA52" s="831" t="n"/>
      <c r="CB52" s="831" t="n"/>
      <c r="CC52" s="831" t="n"/>
      <c r="CD52" s="831" t="n"/>
      <c r="CE52" s="831" t="n"/>
      <c r="CF52" s="831" t="n"/>
      <c r="CG52" s="831" t="n"/>
      <c r="CH52" s="831" t="n"/>
      <c r="CI52" s="833" t="n"/>
      <c r="CJ52" s="831" t="n"/>
      <c r="CK52" s="831" t="n"/>
      <c r="CL52" s="831" t="n"/>
      <c r="CM52" s="831" t="n"/>
      <c r="CN52" s="831" t="n"/>
      <c r="CO52" s="831" t="n"/>
      <c r="CP52" s="831" t="n"/>
      <c r="CQ52" s="831" t="n"/>
      <c r="CR52" s="831" t="n"/>
      <c r="CS52" s="831" t="n"/>
      <c r="CT52" s="831" t="n"/>
      <c r="CU52" s="833" t="n"/>
      <c r="CV52" s="831" t="n"/>
      <c r="CW52" s="831" t="n"/>
      <c r="CX52" s="831" t="n"/>
      <c r="CY52" s="831" t="n"/>
      <c r="CZ52" s="831" t="n"/>
      <c r="DA52" s="831" t="n"/>
      <c r="DB52" s="831" t="n"/>
      <c r="DC52" s="831" t="n"/>
      <c r="DD52" s="831" t="n"/>
      <c r="DE52" s="831" t="n"/>
      <c r="DF52" s="831" t="n"/>
      <c r="DG52" s="831" t="n"/>
    </row>
    <row r="53">
      <c r="B53" s="1" t="n"/>
      <c r="C53" s="1" t="n"/>
      <c r="D53" s="831" t="n"/>
      <c r="F53" t="n">
        <v>2022</v>
      </c>
      <c r="G53" t="n">
        <v>2023</v>
      </c>
      <c r="H53" t="n">
        <v>2024</v>
      </c>
      <c r="I53" t="n">
        <v>2025</v>
      </c>
      <c r="J53" t="n">
        <v>2026</v>
      </c>
      <c r="K53" t="n">
        <v>2027</v>
      </c>
      <c r="L53" t="n">
        <v>2028</v>
      </c>
      <c r="M53" t="n">
        <v>2029</v>
      </c>
      <c r="N53" t="n">
        <v>2030</v>
      </c>
      <c r="O53" s="831" t="n"/>
      <c r="Q53" t="n">
        <v>2022</v>
      </c>
      <c r="R53" t="n">
        <v>2023</v>
      </c>
      <c r="S53" t="n">
        <v>2024</v>
      </c>
      <c r="T53" t="n">
        <v>2025</v>
      </c>
      <c r="U53" t="n">
        <v>2026</v>
      </c>
      <c r="V53" t="n">
        <v>2027</v>
      </c>
      <c r="W53" t="n">
        <v>2028</v>
      </c>
      <c r="X53" t="n">
        <v>2028</v>
      </c>
      <c r="Y53" t="n">
        <v>2028</v>
      </c>
      <c r="Z53" t="n">
        <v>2029</v>
      </c>
      <c r="AA53" t="n">
        <v>2029</v>
      </c>
      <c r="AB53" s="831" t="n"/>
      <c r="AC53" s="831" t="n"/>
      <c r="AD53" s="831" t="n"/>
      <c r="AE53" s="831" t="n"/>
      <c r="AF53" s="831" t="n"/>
      <c r="AG53" s="831" t="n"/>
      <c r="AH53" s="831" t="n"/>
      <c r="AI53" s="831" t="n"/>
      <c r="AJ53" s="831" t="n"/>
      <c r="AK53" s="831" t="n"/>
      <c r="AL53" s="831" t="n"/>
      <c r="AM53" s="832" t="n"/>
      <c r="AN53" s="831" t="n"/>
      <c r="AO53" s="831" t="n"/>
      <c r="AP53" s="831" t="n"/>
      <c r="AQ53" s="831" t="n"/>
      <c r="AR53" s="831" t="n"/>
      <c r="AS53" s="831" t="n"/>
      <c r="AT53" s="831" t="n"/>
      <c r="AU53" s="831" t="n"/>
      <c r="AV53" s="831" t="n"/>
      <c r="AW53" s="833" t="n"/>
      <c r="AX53" s="831" t="n"/>
      <c r="AY53" s="833" t="n"/>
      <c r="AZ53" s="831" t="n"/>
      <c r="BA53" s="831" t="n"/>
      <c r="BB53" s="831" t="n"/>
      <c r="BC53" s="831" t="n"/>
      <c r="BD53" s="831" t="n"/>
      <c r="BE53" s="831" t="n"/>
      <c r="BF53" s="831" t="n"/>
      <c r="BG53" s="831" t="n"/>
      <c r="BH53" s="831" t="n"/>
      <c r="BI53" s="831" t="n"/>
      <c r="BJ53" s="831" t="n"/>
      <c r="BK53" s="833" t="n"/>
      <c r="BL53" s="831" t="n"/>
      <c r="BM53" s="831" t="n"/>
      <c r="BN53" s="831" t="n"/>
      <c r="BO53" s="831" t="n"/>
      <c r="BP53" s="831" t="n"/>
      <c r="BQ53" s="831" t="n"/>
      <c r="BR53" s="831" t="n"/>
      <c r="BS53" s="831" t="n"/>
      <c r="BT53" s="831" t="n"/>
      <c r="BU53" s="831" t="n"/>
      <c r="BV53" s="831" t="n"/>
      <c r="BW53" s="833" t="n"/>
      <c r="BX53" s="831" t="n"/>
      <c r="BY53" s="831" t="n"/>
      <c r="BZ53" s="831" t="n"/>
      <c r="CA53" s="831" t="n"/>
      <c r="CB53" s="831" t="n"/>
      <c r="CC53" s="831" t="n"/>
      <c r="CD53" s="831" t="n"/>
      <c r="CE53" s="831" t="n"/>
      <c r="CF53" s="831" t="n"/>
      <c r="CG53" s="831" t="n"/>
      <c r="CH53" s="831" t="n"/>
      <c r="CI53" s="833" t="n"/>
      <c r="CJ53" s="831" t="n"/>
      <c r="CK53" s="831" t="n"/>
      <c r="CL53" s="831" t="n"/>
      <c r="CM53" s="831" t="n"/>
      <c r="CN53" s="831" t="n"/>
      <c r="CO53" s="831" t="n"/>
      <c r="CP53" s="831" t="n"/>
      <c r="CQ53" s="831" t="n"/>
      <c r="CR53" s="831" t="n"/>
      <c r="CS53" s="831" t="n"/>
      <c r="CT53" s="831" t="n"/>
      <c r="CU53" s="833" t="n"/>
      <c r="CV53" s="831" t="n"/>
      <c r="CW53" s="831" t="n"/>
      <c r="CX53" s="831" t="n"/>
      <c r="CY53" s="831" t="n"/>
      <c r="CZ53" s="831" t="n"/>
      <c r="DA53" s="831" t="n"/>
      <c r="DB53" s="831" t="n"/>
      <c r="DC53" s="831" t="n"/>
      <c r="DD53" s="831" t="n"/>
      <c r="DE53" s="831" t="n"/>
      <c r="DF53" s="831" t="n"/>
      <c r="DG53" s="831" t="n"/>
    </row>
    <row r="54">
      <c r="B54" s="1" t="n"/>
      <c r="C54" s="1" t="n"/>
      <c r="D54" s="831" t="n"/>
      <c r="E54" t="inlineStr">
        <is>
          <t>Average</t>
        </is>
      </c>
      <c r="F54">
        <f>ROUNDUP(AVERAGE(F55:F57), 0)</f>
        <v/>
      </c>
      <c r="G54">
        <f>ROUNDUP(AVERAGE(G55:G57), 0)</f>
        <v/>
      </c>
      <c r="H54">
        <f>ROUNDUP(AVERAGE(H55:H57), 0)</f>
        <v/>
      </c>
      <c r="I54">
        <f>ROUNDUP(AVERAGE(I55:I57), 0)</f>
        <v/>
      </c>
      <c r="J54">
        <f>ROUNDUP(AVERAGE(J55:J57), 0)</f>
        <v/>
      </c>
      <c r="K54">
        <f>ROUNDUP(AVERAGE(K55:K57), 0)</f>
        <v/>
      </c>
      <c r="L54">
        <f>ROUNDUP(AVERAGE(L55:L57), 0)</f>
        <v/>
      </c>
      <c r="M54">
        <f>ROUNDUP(AVERAGE(M55:M57), 0)</f>
        <v/>
      </c>
      <c r="N54">
        <f>ROUNDUP(AVERAGE(N55:N57), 0)</f>
        <v/>
      </c>
      <c r="O54" s="831" t="n"/>
      <c r="P54" t="inlineStr">
        <is>
          <t>Average</t>
        </is>
      </c>
      <c r="Q54">
        <f>ROUNDUP(AVERAGE(Q55:Q57), 0)</f>
        <v/>
      </c>
      <c r="R54">
        <f>ROUNDUP(AVERAGE(R55:R57), 0)</f>
        <v/>
      </c>
      <c r="S54">
        <f>ROUNDUP(AVERAGE(S55:S57), 0)</f>
        <v/>
      </c>
      <c r="T54">
        <f>ROUNDUP(AVERAGE(T55:T57), 0)</f>
        <v/>
      </c>
      <c r="U54">
        <f>ROUNDUP(AVERAGE(U55:U57), 0)</f>
        <v/>
      </c>
      <c r="V54">
        <f>ROUNDUP(AVERAGE(V55:V57), 0)</f>
        <v/>
      </c>
      <c r="W54">
        <f>ROUNDUP(AVERAGE(W55:W57), 0)</f>
        <v/>
      </c>
      <c r="X54">
        <f>ROUNDUP(AVERAGE(X55:X57), 0)</f>
        <v/>
      </c>
      <c r="Y54">
        <f>ROUNDUP(AVERAGE(Y55:Y57), 0)</f>
        <v/>
      </c>
      <c r="Z54">
        <f>ROUNDUP(AVERAGE(Z55:Z57), 0)</f>
        <v/>
      </c>
      <c r="AA54">
        <f>ROUNDUP(AVERAGE(AA55:AA57), 0)</f>
        <v/>
      </c>
      <c r="AB54" s="831" t="n"/>
      <c r="AC54" s="831" t="n"/>
      <c r="AD54" s="831" t="n"/>
      <c r="AE54" s="831" t="n"/>
      <c r="AF54" s="831" t="n"/>
      <c r="AG54" s="831" t="n"/>
      <c r="AH54" s="831" t="n"/>
      <c r="AI54" s="831" t="n"/>
      <c r="AJ54" s="831" t="n"/>
      <c r="AK54" s="831" t="n"/>
      <c r="AL54" s="831" t="n"/>
      <c r="AM54" s="832" t="n"/>
      <c r="AN54" s="831" t="n"/>
      <c r="AO54" s="831" t="n"/>
      <c r="AP54" s="831" t="n"/>
      <c r="AQ54" s="831" t="n"/>
      <c r="AR54" s="831" t="n"/>
      <c r="AS54" s="831" t="n"/>
      <c r="AT54" s="831" t="n"/>
      <c r="AU54" s="831" t="n"/>
      <c r="AV54" s="831" t="n"/>
      <c r="AW54" s="833" t="n"/>
      <c r="AX54" s="831" t="n"/>
      <c r="AY54" s="833" t="n"/>
      <c r="AZ54" s="831" t="n"/>
      <c r="BA54" s="831" t="n"/>
      <c r="BB54" s="831" t="n"/>
      <c r="BC54" s="831" t="n"/>
      <c r="BD54" s="831" t="n"/>
      <c r="BE54" s="831" t="n"/>
      <c r="BF54" s="831" t="n"/>
      <c r="BG54" s="831" t="n"/>
      <c r="BH54" s="831" t="n"/>
      <c r="BI54" s="831" t="n"/>
      <c r="BJ54" s="831" t="n"/>
      <c r="BK54" s="833" t="n"/>
      <c r="BL54" s="831" t="n"/>
      <c r="BM54" s="831" t="n"/>
      <c r="BN54" s="831" t="n"/>
      <c r="BO54" s="831" t="n"/>
      <c r="BP54" s="831" t="n"/>
      <c r="BQ54" s="831" t="n"/>
      <c r="BR54" s="831" t="n"/>
      <c r="BS54" s="831" t="n"/>
      <c r="BT54" s="831" t="n"/>
      <c r="BU54" s="831" t="n"/>
      <c r="BV54" s="831" t="n"/>
      <c r="BW54" s="833" t="n"/>
      <c r="BX54" s="831" t="n"/>
      <c r="BY54" s="831" t="n"/>
      <c r="BZ54" s="831" t="n"/>
      <c r="CA54" s="831" t="n"/>
      <c r="CB54" s="831" t="n"/>
      <c r="CC54" s="831" t="n"/>
      <c r="CD54" s="831" t="n"/>
      <c r="CE54" s="831" t="n"/>
      <c r="CF54" s="831" t="n"/>
      <c r="CG54" s="831" t="n"/>
      <c r="CH54" s="831" t="n"/>
      <c r="CI54" s="833" t="n"/>
      <c r="CJ54" s="831" t="n"/>
      <c r="CK54" s="831" t="n"/>
      <c r="CL54" s="831" t="n"/>
      <c r="CM54" s="831" t="n"/>
      <c r="CN54" s="831" t="n"/>
      <c r="CO54" s="831" t="n"/>
      <c r="CP54" s="831" t="n"/>
      <c r="CQ54" s="831" t="n"/>
      <c r="CR54" s="831" t="n"/>
      <c r="CS54" s="831" t="n"/>
      <c r="CT54" s="831" t="n"/>
      <c r="CU54" s="833" t="n"/>
      <c r="CV54" s="831" t="n"/>
      <c r="CW54" s="831" t="n"/>
      <c r="CX54" s="831" t="n"/>
      <c r="CY54" s="831" t="n"/>
      <c r="CZ54" s="831" t="n"/>
      <c r="DA54" s="831" t="n"/>
      <c r="DB54" s="831" t="n"/>
      <c r="DC54" s="831" t="n"/>
      <c r="DD54" s="831" t="n"/>
      <c r="DE54" s="831" t="n"/>
      <c r="DF54" s="831" t="n"/>
      <c r="DG54" s="831" t="n"/>
    </row>
    <row r="55">
      <c r="B55" s="1" t="n"/>
      <c r="C55" s="1" t="n"/>
      <c r="D55" s="831" t="n"/>
      <c r="E55" t="inlineStr">
        <is>
          <t>Peak</t>
        </is>
      </c>
      <c r="F55" s="199" t="n">
        <v>3</v>
      </c>
      <c r="G55" s="199" t="n">
        <v>3</v>
      </c>
      <c r="H55" s="199" t="n">
        <v>10</v>
      </c>
      <c r="I55" s="322">
        <f>+H55*1.4</f>
        <v/>
      </c>
      <c r="J55" s="322">
        <f>+I55*1.2</f>
        <v/>
      </c>
      <c r="K55" s="322">
        <f>+J55*1.4</f>
        <v/>
      </c>
      <c r="L55" s="322">
        <f>+K55*1.4</f>
        <v/>
      </c>
      <c r="M55" s="322">
        <f>+L55*1.4</f>
        <v/>
      </c>
      <c r="N55" s="322">
        <f>+M55*1.4</f>
        <v/>
      </c>
      <c r="O55" s="831" t="n"/>
      <c r="P55" t="inlineStr">
        <is>
          <t>Peak</t>
        </is>
      </c>
      <c r="Q55" s="880">
        <f>AVERAGEIFS($E$25:$DG$25, $H$2:$DJ$2,$E$55, $H$1:$DJ$1, Q53)</f>
        <v/>
      </c>
      <c r="R55" s="880">
        <f>AVERAGEIFS($E$25:$DG$25, $H$2:$DJ$2,$E$55, $H$1:$DJ$1, R53)</f>
        <v/>
      </c>
      <c r="S55" s="880">
        <f>AVERAGEIFS($E$25:$DG$25, $H$2:$DJ$2,$E$55, $H$1:$DJ$1, S53)</f>
        <v/>
      </c>
      <c r="T55" s="880">
        <f>AVERAGEIFS($E$25:$DG$25, $H$2:$DJ$2,$E$55, $H$1:$DJ$1, T53)</f>
        <v/>
      </c>
      <c r="U55" s="880">
        <f>AVERAGEIFS($E$25:$DG$25, $H$2:$DJ$2,$E$55, $H$1:$DJ$1, U53)</f>
        <v/>
      </c>
      <c r="V55" s="880">
        <f>AVERAGEIFS($E$25:$DG$25, $H$2:$DJ$2,$E$55, $H$1:$DJ$1, V53)</f>
        <v/>
      </c>
      <c r="W55" s="880">
        <f>AVERAGEIFS($E$25:$DG$25, $H$2:$DJ$2,$E$55, $H$1:$DJ$1, W53)</f>
        <v/>
      </c>
      <c r="X55" s="880">
        <f>AVERAGEIFS($E$25:$DG$25, $H$2:$DJ$2,$E$55, $H$1:$DJ$1, X53)</f>
        <v/>
      </c>
      <c r="Y55" s="880">
        <f>AVERAGEIFS($E$25:$DG$25, $H$2:$DJ$2,$E$55, $H$1:$DJ$1, Y53)</f>
        <v/>
      </c>
      <c r="Z55" s="880">
        <f>AVERAGEIFS($E$25:$DG$25, $H$2:$DJ$2,$E$55, $H$1:$DJ$1, Z53)</f>
        <v/>
      </c>
      <c r="AA55" s="880">
        <f>AVERAGEIFS($E$25:$DG$25, $H$2:$DJ$2,$E$55, $H$1:$DJ$1, AA53)</f>
        <v/>
      </c>
      <c r="AB55" s="831" t="n"/>
      <c r="AC55" s="831" t="n"/>
      <c r="AD55" s="831" t="n"/>
      <c r="AE55" s="831" t="n"/>
      <c r="AF55" s="831" t="n"/>
      <c r="AG55" s="831" t="n"/>
      <c r="AH55" s="831" t="n"/>
      <c r="AI55" s="831" t="n"/>
      <c r="AJ55" s="831" t="n"/>
      <c r="AK55" s="831" t="n"/>
      <c r="AL55" s="831" t="n"/>
      <c r="AM55" s="832" t="n"/>
      <c r="AN55" s="831" t="n"/>
      <c r="AO55" s="831" t="n"/>
      <c r="AP55" s="831" t="n"/>
      <c r="AQ55" s="831" t="n"/>
      <c r="AR55" s="831" t="n"/>
      <c r="AS55" s="831" t="n"/>
      <c r="AT55" s="831" t="n"/>
      <c r="AU55" s="831" t="n"/>
      <c r="AV55" s="831" t="n"/>
      <c r="AW55" s="833" t="n"/>
      <c r="AX55" s="831" t="n"/>
      <c r="AY55" s="833" t="n"/>
      <c r="AZ55" s="831" t="n"/>
      <c r="BA55" s="831" t="n"/>
      <c r="BB55" s="831" t="n"/>
      <c r="BC55" s="831" t="n"/>
      <c r="BD55" s="831" t="n"/>
      <c r="BE55" s="831" t="n"/>
      <c r="BF55" s="831" t="n"/>
      <c r="BG55" s="831" t="n"/>
      <c r="BH55" s="831" t="n"/>
      <c r="BI55" s="831" t="n"/>
      <c r="BJ55" s="831" t="n"/>
      <c r="BK55" s="833" t="n"/>
      <c r="BL55" s="831" t="n"/>
      <c r="BM55" s="831" t="n"/>
      <c r="BN55" s="831" t="n"/>
      <c r="BO55" s="831" t="n"/>
      <c r="BP55" s="831" t="n"/>
      <c r="BQ55" s="831" t="n"/>
      <c r="BR55" s="831" t="n"/>
      <c r="BS55" s="831" t="n"/>
      <c r="BT55" s="831" t="n"/>
      <c r="BU55" s="831" t="n"/>
      <c r="BV55" s="831" t="n"/>
      <c r="BW55" s="833" t="n"/>
      <c r="BX55" s="831" t="n"/>
      <c r="BY55" s="831" t="n"/>
      <c r="BZ55" s="831" t="n"/>
      <c r="CA55" s="831" t="n"/>
      <c r="CB55" s="831" t="n"/>
      <c r="CC55" s="831" t="n"/>
      <c r="CD55" s="831" t="n"/>
      <c r="CE55" s="831" t="n"/>
      <c r="CF55" s="831" t="n"/>
      <c r="CG55" s="831" t="n"/>
      <c r="CH55" s="831" t="n"/>
      <c r="CI55" s="833" t="n"/>
      <c r="CJ55" s="831" t="n"/>
      <c r="CK55" s="831" t="n"/>
      <c r="CL55" s="831" t="n"/>
      <c r="CM55" s="831" t="n"/>
      <c r="CN55" s="831" t="n"/>
      <c r="CO55" s="831" t="n"/>
      <c r="CP55" s="831" t="n"/>
      <c r="CQ55" s="831" t="n"/>
      <c r="CR55" s="831" t="n"/>
      <c r="CS55" s="831" t="n"/>
      <c r="CT55" s="831" t="n"/>
      <c r="CU55" s="833" t="n"/>
      <c r="CV55" s="831" t="n"/>
      <c r="CW55" s="831" t="n"/>
      <c r="CX55" s="831" t="n"/>
      <c r="CY55" s="831" t="n"/>
      <c r="CZ55" s="831" t="n"/>
      <c r="DA55" s="831" t="n"/>
      <c r="DB55" s="831" t="n"/>
      <c r="DC55" s="831" t="n"/>
      <c r="DD55" s="831" t="n"/>
      <c r="DE55" s="831" t="n"/>
      <c r="DF55" s="831" t="n"/>
      <c r="DG55" s="831" t="n"/>
    </row>
    <row r="56">
      <c r="B56" s="1" t="n"/>
      <c r="C56" s="1" t="n"/>
      <c r="D56" s="831" t="n"/>
      <c r="E56" t="inlineStr">
        <is>
          <t>Shoulder</t>
        </is>
      </c>
      <c r="F56" s="199" t="n">
        <v>5</v>
      </c>
      <c r="G56" s="199">
        <f>+F56+1</f>
        <v/>
      </c>
      <c r="H56" s="199" t="n">
        <v>7</v>
      </c>
      <c r="I56" s="322">
        <f>+H56*1.4</f>
        <v/>
      </c>
      <c r="J56" s="322">
        <f>+I56*1.2</f>
        <v/>
      </c>
      <c r="K56" s="322">
        <f>+J56*1.4</f>
        <v/>
      </c>
      <c r="L56" s="322">
        <f>+K56*1.4</f>
        <v/>
      </c>
      <c r="M56" s="322">
        <f>+L56*1.4</f>
        <v/>
      </c>
      <c r="N56" s="322">
        <f>+M56*1.4</f>
        <v/>
      </c>
      <c r="O56" s="831" t="n"/>
      <c r="P56" t="inlineStr">
        <is>
          <t>Shoulder</t>
        </is>
      </c>
      <c r="Q56" s="880">
        <f>+AVERAGEIFS($E$25:$DG$25, $H$2:$DJ$2,$E$56, $H$1:$DJ$1, Q53)</f>
        <v/>
      </c>
      <c r="R56" s="880">
        <f>+AVERAGEIFS($E$25:$DG$25, $H$2:$DJ$2,$E$56, $H$1:$DJ$1, R53)</f>
        <v/>
      </c>
      <c r="S56" s="880">
        <f>+AVERAGEIFS($E$25:$DG$25, $H$2:$DJ$2,$E$56, $H$1:$DJ$1, S53)</f>
        <v/>
      </c>
      <c r="T56" s="880">
        <f>+AVERAGEIFS($E$25:$DG$25, $H$2:$DJ$2,$E$56, $H$1:$DJ$1, T53)</f>
        <v/>
      </c>
      <c r="U56" s="880">
        <f>+AVERAGEIFS($E$25:$DG$25, $H$2:$DJ$2,$E$56, $H$1:$DJ$1, U53)</f>
        <v/>
      </c>
      <c r="V56" s="880">
        <f>+AVERAGEIFS($E$25:$DG$25, $H$2:$DJ$2,$E$56, $H$1:$DJ$1, V53)</f>
        <v/>
      </c>
      <c r="W56" s="880">
        <f>+AVERAGEIFS($E$25:$DG$25, $H$2:$DJ$2,$E$56, $H$1:$DJ$1, W53)</f>
        <v/>
      </c>
      <c r="X56" s="880">
        <f>+AVERAGEIFS($E$25:$DG$25, $H$2:$DJ$2,$E$56, $H$1:$DJ$1, X53)</f>
        <v/>
      </c>
      <c r="Y56" s="880">
        <f>+AVERAGEIFS($E$25:$DG$25, $H$2:$DJ$2,$E$56, $H$1:$DJ$1, Y53)</f>
        <v/>
      </c>
      <c r="Z56" s="880">
        <f>+AVERAGEIFS($E$25:$DG$25, $H$2:$DJ$2,$E$56, $H$1:$DJ$1, Z53)</f>
        <v/>
      </c>
      <c r="AA56" s="880">
        <f>+AVERAGEIFS($E$25:$DG$25, $H$2:$DJ$2,$E$56, $H$1:$DJ$1, AA53)</f>
        <v/>
      </c>
      <c r="AB56" s="831" t="n"/>
      <c r="AC56" s="831" t="n"/>
      <c r="AD56" s="831" t="n"/>
      <c r="AE56" s="831" t="n"/>
      <c r="AF56" s="831" t="n"/>
      <c r="AG56" s="831" t="n"/>
      <c r="AH56" s="831" t="n"/>
      <c r="AI56" s="831" t="n"/>
      <c r="AJ56" s="831" t="n"/>
      <c r="AK56" s="831" t="n"/>
      <c r="AL56" s="831" t="n"/>
      <c r="AM56" s="832" t="n"/>
      <c r="AN56" s="831" t="n"/>
      <c r="AO56" s="831" t="n"/>
      <c r="AP56" s="831" t="n"/>
      <c r="AQ56" s="831" t="n"/>
      <c r="AR56" s="831" t="n"/>
      <c r="AS56" s="831" t="n"/>
      <c r="AT56" s="831" t="n"/>
      <c r="AU56" s="831" t="n"/>
      <c r="AV56" s="831" t="n"/>
      <c r="AW56" s="833" t="n"/>
      <c r="AX56" s="831" t="n"/>
      <c r="AY56" s="833" t="n"/>
      <c r="AZ56" s="831" t="n"/>
      <c r="BA56" s="831" t="n"/>
      <c r="BB56" s="831" t="n"/>
      <c r="BC56" s="831" t="n"/>
      <c r="BD56" s="831" t="n"/>
      <c r="BE56" s="831" t="n"/>
      <c r="BF56" s="831" t="n"/>
      <c r="BG56" s="831" t="n"/>
      <c r="BH56" s="831" t="n"/>
      <c r="BI56" s="831" t="n"/>
      <c r="BJ56" s="831" t="n"/>
      <c r="BK56" s="833" t="n"/>
      <c r="BL56" s="831" t="n"/>
      <c r="BM56" s="831" t="n"/>
      <c r="BN56" s="831" t="n"/>
      <c r="BO56" s="831" t="n"/>
      <c r="BP56" s="831" t="n"/>
      <c r="BQ56" s="831" t="n"/>
      <c r="BR56" s="831" t="n"/>
      <c r="BS56" s="831" t="n"/>
      <c r="BT56" s="831" t="n"/>
      <c r="BU56" s="831" t="n"/>
      <c r="BV56" s="831" t="n"/>
      <c r="BW56" s="833" t="n"/>
      <c r="BX56" s="831" t="n"/>
      <c r="BY56" s="831" t="n"/>
      <c r="BZ56" s="831" t="n"/>
      <c r="CA56" s="831" t="n"/>
      <c r="CB56" s="831" t="n"/>
      <c r="CC56" s="831" t="n"/>
      <c r="CD56" s="831" t="n"/>
      <c r="CE56" s="831" t="n"/>
      <c r="CF56" s="831" t="n"/>
      <c r="CG56" s="831" t="n"/>
      <c r="CH56" s="831" t="n"/>
      <c r="CI56" s="833" t="n"/>
      <c r="CJ56" s="831" t="n"/>
      <c r="CK56" s="831" t="n"/>
      <c r="CL56" s="831" t="n"/>
      <c r="CM56" s="831" t="n"/>
      <c r="CN56" s="831" t="n"/>
      <c r="CO56" s="831" t="n"/>
      <c r="CP56" s="831" t="n"/>
      <c r="CQ56" s="831" t="n"/>
      <c r="CR56" s="831" t="n"/>
      <c r="CS56" s="831" t="n"/>
      <c r="CT56" s="831" t="n"/>
      <c r="CU56" s="833" t="n"/>
      <c r="CV56" s="831" t="n"/>
      <c r="CW56" s="831" t="n"/>
      <c r="CX56" s="831" t="n"/>
      <c r="CY56" s="831" t="n"/>
      <c r="CZ56" s="831" t="n"/>
      <c r="DA56" s="831" t="n"/>
      <c r="DB56" s="831" t="n"/>
      <c r="DC56" s="831" t="n"/>
      <c r="DD56" s="831" t="n"/>
      <c r="DE56" s="831" t="n"/>
      <c r="DF56" s="831" t="n"/>
      <c r="DG56" s="831" t="n"/>
    </row>
    <row r="57">
      <c r="B57" s="1" t="n"/>
      <c r="C57" s="1" t="n"/>
      <c r="D57" s="831" t="n"/>
      <c r="E57" t="inlineStr">
        <is>
          <t>Trough</t>
        </is>
      </c>
      <c r="F57" s="199" t="n">
        <v>1</v>
      </c>
      <c r="G57" s="199" t="n">
        <v>1</v>
      </c>
      <c r="H57" s="199" t="n">
        <v>4</v>
      </c>
      <c r="I57" s="322">
        <f>+H57*1.4</f>
        <v/>
      </c>
      <c r="J57" s="322">
        <f>+I57*1.2</f>
        <v/>
      </c>
      <c r="K57" s="322">
        <f>+J57*1.4</f>
        <v/>
      </c>
      <c r="L57" s="322">
        <f>+K57*1.4</f>
        <v/>
      </c>
      <c r="M57" s="322">
        <f>+L57*1.4</f>
        <v/>
      </c>
      <c r="N57" s="322">
        <f>+M57*1.4</f>
        <v/>
      </c>
      <c r="O57" s="831" t="n"/>
      <c r="P57" t="inlineStr">
        <is>
          <t>Trough</t>
        </is>
      </c>
      <c r="Q57" s="880">
        <f>AVERAGEIFS($E$25:$DG$25, $H$2:$DJ$2,$E$57, $H$1:$DJ$1, Q53)</f>
        <v/>
      </c>
      <c r="R57" s="880">
        <f>AVERAGEIFS($E$25:$DG$25, $H$2:$DJ$2,$E$57, $H$1:$DJ$1, R53)</f>
        <v/>
      </c>
      <c r="S57" s="880">
        <f>AVERAGEIFS($E$25:$DG$25, $H$2:$DJ$2,$E$57, $H$1:$DJ$1, S53)</f>
        <v/>
      </c>
      <c r="T57" s="880">
        <f>AVERAGEIFS($E$25:$DG$25, $H$2:$DJ$2,$E$57, $H$1:$DJ$1, T53)</f>
        <v/>
      </c>
      <c r="U57" s="880">
        <f>AVERAGEIFS($E$25:$DG$25, $H$2:$DJ$2,$E$57, $H$1:$DJ$1, U53)</f>
        <v/>
      </c>
      <c r="V57" s="880">
        <f>AVERAGEIFS($E$25:$DG$25, $H$2:$DJ$2,$E$57, $H$1:$DJ$1, V53)</f>
        <v/>
      </c>
      <c r="W57" s="880">
        <f>AVERAGEIFS($E$25:$DG$25, $H$2:$DJ$2,$E$57, $H$1:$DJ$1, W53)</f>
        <v/>
      </c>
      <c r="X57" s="880">
        <f>AVERAGEIFS($E$25:$DG$25, $H$2:$DJ$2,$E$57, $H$1:$DJ$1, X53)</f>
        <v/>
      </c>
      <c r="Y57" s="880">
        <f>AVERAGEIFS($E$25:$DG$25, $H$2:$DJ$2,$E$57, $H$1:$DJ$1, Y53)</f>
        <v/>
      </c>
      <c r="Z57" s="880">
        <f>AVERAGEIFS($E$25:$DG$25, $H$2:$DJ$2,$E$57, $H$1:$DJ$1, Z53)</f>
        <v/>
      </c>
      <c r="AA57" s="880">
        <f>AVERAGEIFS($E$25:$DG$25, $H$2:$DJ$2,$E$57, $H$1:$DJ$1, AA53)</f>
        <v/>
      </c>
      <c r="AB57" s="831" t="n"/>
      <c r="AC57" s="831" t="n"/>
      <c r="AD57" s="831" t="n"/>
      <c r="AE57" s="831" t="n"/>
      <c r="AF57" s="831" t="n"/>
      <c r="AG57" s="831" t="n"/>
      <c r="AH57" s="831" t="n"/>
      <c r="AI57" s="831" t="n"/>
      <c r="AJ57" s="831" t="n"/>
      <c r="AK57" s="831" t="n"/>
      <c r="AL57" s="831" t="n"/>
      <c r="AM57" s="832" t="n"/>
      <c r="AN57" s="831" t="n"/>
      <c r="AO57" s="831" t="n"/>
      <c r="AP57" s="831" t="n"/>
      <c r="AQ57" s="831" t="n"/>
      <c r="AR57" s="831" t="n"/>
      <c r="AS57" s="831" t="n"/>
      <c r="AT57" s="831" t="n"/>
      <c r="AU57" s="831" t="n"/>
      <c r="AV57" s="831" t="n"/>
      <c r="AW57" s="833" t="n"/>
      <c r="AX57" s="831" t="n"/>
      <c r="AY57" s="833" t="n"/>
      <c r="AZ57" s="831" t="n"/>
      <c r="BA57" s="831" t="n"/>
      <c r="BB57" s="831" t="n"/>
      <c r="BC57" s="831" t="n"/>
      <c r="BD57" s="831" t="n"/>
      <c r="BE57" s="831" t="n"/>
      <c r="BF57" s="831" t="n"/>
      <c r="BG57" s="831" t="n"/>
      <c r="BH57" s="831" t="n"/>
      <c r="BI57" s="831" t="n"/>
      <c r="BJ57" s="831" t="n"/>
      <c r="BK57" s="833" t="n"/>
      <c r="BL57" s="831" t="n"/>
      <c r="BM57" s="831" t="n"/>
      <c r="BN57" s="831" t="n"/>
      <c r="BO57" s="831" t="n"/>
      <c r="BP57" s="831" t="n"/>
      <c r="BQ57" s="831" t="n"/>
      <c r="BR57" s="831" t="n"/>
      <c r="BS57" s="831" t="n"/>
      <c r="BT57" s="831" t="n"/>
      <c r="BU57" s="831" t="n"/>
      <c r="BV57" s="831" t="n"/>
      <c r="BW57" s="833" t="n"/>
      <c r="BX57" s="831" t="n"/>
      <c r="BY57" s="831" t="n"/>
      <c r="BZ57" s="831" t="n"/>
      <c r="CA57" s="831" t="n"/>
      <c r="CB57" s="831" t="n"/>
      <c r="CC57" s="831" t="n"/>
      <c r="CD57" s="831" t="n"/>
      <c r="CE57" s="831" t="n"/>
      <c r="CF57" s="831" t="n"/>
      <c r="CG57" s="831" t="n"/>
      <c r="CH57" s="831" t="n"/>
      <c r="CI57" s="833" t="n"/>
      <c r="CJ57" s="831" t="n"/>
      <c r="CK57" s="831" t="n"/>
      <c r="CL57" s="831" t="n"/>
      <c r="CM57" s="831" t="n"/>
      <c r="CN57" s="831" t="n"/>
      <c r="CO57" s="831" t="n"/>
      <c r="CP57" s="831" t="n"/>
      <c r="CQ57" s="831" t="n"/>
      <c r="CR57" s="831" t="n"/>
      <c r="CS57" s="831" t="n"/>
      <c r="CT57" s="831" t="n"/>
      <c r="CU57" s="833" t="n"/>
      <c r="CV57" s="831" t="n"/>
      <c r="CW57" s="831" t="n"/>
      <c r="CX57" s="831" t="n"/>
      <c r="CY57" s="831" t="n"/>
      <c r="CZ57" s="831" t="n"/>
      <c r="DA57" s="831" t="n"/>
      <c r="DB57" s="831" t="n"/>
      <c r="DC57" s="831" t="n"/>
      <c r="DD57" s="831" t="n"/>
      <c r="DE57" s="831" t="n"/>
      <c r="DF57" s="831" t="n"/>
      <c r="DG57" s="831" t="n"/>
    </row>
    <row r="58">
      <c r="B58" s="1" t="n"/>
      <c r="C58" s="1" t="n"/>
      <c r="D58" s="831" t="n"/>
      <c r="E58" t="inlineStr">
        <is>
          <t>Trough</t>
        </is>
      </c>
      <c r="F58" s="881">
        <f>F57/F54-1</f>
        <v/>
      </c>
      <c r="G58" s="881">
        <f>G57/G54-1</f>
        <v/>
      </c>
      <c r="H58" s="881">
        <f>H57/H54-1</f>
        <v/>
      </c>
      <c r="I58" s="881">
        <f>I57/I54-1</f>
        <v/>
      </c>
      <c r="J58" s="881">
        <f>J57/J54-1</f>
        <v/>
      </c>
      <c r="K58" s="881">
        <f>K57/K54-1</f>
        <v/>
      </c>
      <c r="L58" s="881">
        <f>L57/L54-1</f>
        <v/>
      </c>
      <c r="M58" s="881">
        <f>M57/M54-1</f>
        <v/>
      </c>
      <c r="N58" s="881">
        <f>N57/N54-1</f>
        <v/>
      </c>
      <c r="O58" s="831" t="n"/>
      <c r="P58" t="inlineStr">
        <is>
          <t>Trough</t>
        </is>
      </c>
      <c r="Q58" s="200">
        <f>Q57/Q54-1</f>
        <v/>
      </c>
      <c r="R58" s="200">
        <f>R57/R54-1</f>
        <v/>
      </c>
      <c r="S58" s="200">
        <f>S57/S54-1</f>
        <v/>
      </c>
      <c r="T58" s="200">
        <f>T57/T54-1</f>
        <v/>
      </c>
      <c r="U58" s="200">
        <f>U57/U54-1</f>
        <v/>
      </c>
      <c r="V58" s="200">
        <f>V57/V54-1</f>
        <v/>
      </c>
      <c r="W58" s="200">
        <f>W57/W54-1</f>
        <v/>
      </c>
      <c r="X58" s="200">
        <f>X57/X54-1</f>
        <v/>
      </c>
      <c r="Y58" s="200">
        <f>Y57/Y54-1</f>
        <v/>
      </c>
      <c r="Z58" s="200">
        <f>Z57/Z54-1</f>
        <v/>
      </c>
      <c r="AA58" s="200">
        <f>AA57/AA54-1</f>
        <v/>
      </c>
      <c r="AB58" s="831" t="n"/>
      <c r="AC58" s="831" t="n"/>
      <c r="AD58" s="831" t="n"/>
      <c r="AE58" s="831" t="n"/>
      <c r="AF58" s="831" t="n"/>
      <c r="AG58" s="831" t="n"/>
      <c r="AH58" s="831" t="n"/>
      <c r="AI58" s="831" t="n"/>
      <c r="AJ58" s="831" t="n"/>
      <c r="AK58" s="831" t="n"/>
      <c r="AL58" s="831" t="n"/>
      <c r="AM58" s="832" t="n"/>
      <c r="AN58" s="831" t="n"/>
      <c r="AO58" s="831" t="n"/>
      <c r="AP58" s="831" t="n"/>
      <c r="AQ58" s="831" t="n"/>
      <c r="AR58" s="831" t="n"/>
      <c r="AS58" s="831" t="n"/>
      <c r="AT58" s="831" t="n"/>
      <c r="AU58" s="831" t="n"/>
      <c r="AV58" s="831" t="n"/>
      <c r="AW58" s="833" t="n"/>
      <c r="AX58" s="831" t="n"/>
      <c r="AY58" s="833" t="n"/>
      <c r="AZ58" s="831" t="n"/>
      <c r="BA58" s="831" t="n"/>
      <c r="BB58" s="831" t="n"/>
      <c r="BC58" s="831" t="n"/>
      <c r="BD58" s="831" t="n"/>
      <c r="BE58" s="831" t="n"/>
      <c r="BF58" s="831" t="n"/>
      <c r="BG58" s="831" t="n"/>
      <c r="BH58" s="831" t="n"/>
      <c r="BI58" s="831" t="n"/>
      <c r="BJ58" s="831" t="n"/>
      <c r="BK58" s="833" t="n"/>
      <c r="BL58" s="831" t="n"/>
      <c r="BM58" s="831" t="n"/>
      <c r="BN58" s="831" t="n"/>
      <c r="BO58" s="831" t="n"/>
      <c r="BP58" s="831" t="n"/>
      <c r="BQ58" s="831" t="n"/>
      <c r="BR58" s="831" t="n"/>
      <c r="BS58" s="831" t="n"/>
      <c r="BT58" s="831" t="n"/>
      <c r="BU58" s="831" t="n"/>
      <c r="BV58" s="831" t="n"/>
      <c r="BW58" s="833" t="n"/>
      <c r="BX58" s="831" t="n"/>
      <c r="BY58" s="831" t="n"/>
      <c r="BZ58" s="831" t="n"/>
      <c r="CA58" s="831" t="n"/>
      <c r="CB58" s="831" t="n"/>
      <c r="CC58" s="831" t="n"/>
      <c r="CD58" s="831" t="n"/>
      <c r="CE58" s="831" t="n"/>
      <c r="CF58" s="831" t="n"/>
      <c r="CG58" s="831" t="n"/>
      <c r="CH58" s="831" t="n"/>
      <c r="CI58" s="833" t="n"/>
      <c r="CJ58" s="831" t="n"/>
      <c r="CK58" s="831" t="n"/>
      <c r="CL58" s="831" t="n"/>
      <c r="CM58" s="831" t="n"/>
      <c r="CN58" s="831" t="n"/>
      <c r="CO58" s="831" t="n"/>
      <c r="CP58" s="831" t="n"/>
      <c r="CQ58" s="831" t="n"/>
      <c r="CR58" s="831" t="n"/>
      <c r="CS58" s="831" t="n"/>
      <c r="CT58" s="831" t="n"/>
      <c r="CU58" s="833" t="n"/>
      <c r="CV58" s="831" t="n"/>
      <c r="CW58" s="831" t="n"/>
      <c r="CX58" s="831" t="n"/>
      <c r="CY58" s="831" t="n"/>
      <c r="CZ58" s="831" t="n"/>
      <c r="DA58" s="831" t="n"/>
      <c r="DB58" s="831" t="n"/>
      <c r="DC58" s="831" t="n"/>
      <c r="DD58" s="831" t="n"/>
      <c r="DE58" s="831" t="n"/>
      <c r="DF58" s="831" t="n"/>
      <c r="DG58" s="831" t="n"/>
    </row>
    <row r="59">
      <c r="B59" s="1" t="n"/>
      <c r="C59" s="1" t="n"/>
      <c r="D59" s="831" t="n"/>
      <c r="E59" t="inlineStr">
        <is>
          <t>Shoulder</t>
        </is>
      </c>
      <c r="F59" s="881">
        <f>F56/F54-1</f>
        <v/>
      </c>
      <c r="G59" s="881">
        <f>G56/G54-1</f>
        <v/>
      </c>
      <c r="H59" s="881">
        <f>H56/H54-1</f>
        <v/>
      </c>
      <c r="I59" s="881">
        <f>I56/I54-1</f>
        <v/>
      </c>
      <c r="J59" s="881">
        <f>J56/J54-1</f>
        <v/>
      </c>
      <c r="K59" s="881">
        <f>K56/K54-1</f>
        <v/>
      </c>
      <c r="L59" s="881">
        <f>L56/L54-1</f>
        <v/>
      </c>
      <c r="M59" s="881">
        <f>M56/M54-1</f>
        <v/>
      </c>
      <c r="N59" s="881">
        <f>N56/N54-1</f>
        <v/>
      </c>
      <c r="O59" s="831" t="n"/>
      <c r="P59" t="inlineStr">
        <is>
          <t>Shoulder</t>
        </is>
      </c>
      <c r="Q59" s="200">
        <f>Q56/Q54-1</f>
        <v/>
      </c>
      <c r="R59" s="200">
        <f>R56/R54-1</f>
        <v/>
      </c>
      <c r="S59" s="200">
        <f>S56/S54-1</f>
        <v/>
      </c>
      <c r="T59" s="200">
        <f>T56/T54-1</f>
        <v/>
      </c>
      <c r="U59" s="200">
        <f>U56/U54-1</f>
        <v/>
      </c>
      <c r="V59" s="200">
        <f>V56/V54-1</f>
        <v/>
      </c>
      <c r="W59" s="200">
        <f>W56/W54-1</f>
        <v/>
      </c>
      <c r="X59" s="200">
        <f>X56/X54-1</f>
        <v/>
      </c>
      <c r="Y59" s="200">
        <f>Y56/Y54-1</f>
        <v/>
      </c>
      <c r="Z59" s="200">
        <f>Z56/Z54-1</f>
        <v/>
      </c>
      <c r="AA59" s="200">
        <f>AA56/AA54-1</f>
        <v/>
      </c>
      <c r="AB59" s="831" t="n"/>
      <c r="AC59" s="831" t="n"/>
      <c r="AD59" s="831" t="n"/>
      <c r="AE59" s="831" t="n"/>
      <c r="AF59" s="831" t="n"/>
      <c r="AG59" s="831" t="n"/>
      <c r="AH59" s="831" t="n"/>
      <c r="AI59" s="831" t="n"/>
      <c r="AJ59" s="831" t="n"/>
      <c r="AK59" s="831" t="n"/>
      <c r="AL59" s="831" t="n"/>
      <c r="AM59" s="832" t="n"/>
      <c r="AN59" s="831" t="n"/>
      <c r="AO59" s="831" t="n"/>
      <c r="AP59" s="831" t="n"/>
      <c r="AQ59" s="831" t="n"/>
      <c r="AR59" s="831" t="n"/>
      <c r="AS59" s="831" t="n"/>
      <c r="AT59" s="831" t="n"/>
      <c r="AU59" s="831" t="n"/>
      <c r="AV59" s="831" t="n"/>
      <c r="AW59" s="833" t="n"/>
      <c r="AX59" s="831" t="n"/>
      <c r="AY59" s="833" t="n"/>
      <c r="AZ59" s="831" t="n"/>
      <c r="BA59" s="831" t="n"/>
      <c r="BB59" s="831" t="n"/>
      <c r="BC59" s="831" t="n"/>
      <c r="BD59" s="831" t="n"/>
      <c r="BE59" s="831" t="n"/>
      <c r="BF59" s="831" t="n"/>
      <c r="BG59" s="831" t="n"/>
      <c r="BH59" s="831" t="n"/>
      <c r="BI59" s="831" t="n"/>
      <c r="BJ59" s="831" t="n"/>
      <c r="BK59" s="833" t="n"/>
      <c r="BL59" s="831" t="n"/>
      <c r="BM59" s="831" t="n"/>
      <c r="BN59" s="831" t="n"/>
      <c r="BO59" s="831" t="n"/>
      <c r="BP59" s="831" t="n"/>
      <c r="BQ59" s="831" t="n"/>
      <c r="BR59" s="831" t="n"/>
      <c r="BS59" s="831" t="n"/>
      <c r="BT59" s="831" t="n"/>
      <c r="BU59" s="831" t="n"/>
      <c r="BV59" s="831" t="n"/>
      <c r="BW59" s="833" t="n"/>
      <c r="BX59" s="831" t="n"/>
      <c r="BY59" s="831" t="n"/>
      <c r="BZ59" s="831" t="n"/>
      <c r="CA59" s="831" t="n"/>
      <c r="CB59" s="831" t="n"/>
      <c r="CC59" s="831" t="n"/>
      <c r="CD59" s="831" t="n"/>
      <c r="CE59" s="831" t="n"/>
      <c r="CF59" s="831" t="n"/>
      <c r="CG59" s="831" t="n"/>
      <c r="CH59" s="831" t="n"/>
      <c r="CI59" s="833" t="n"/>
      <c r="CJ59" s="831" t="n"/>
      <c r="CK59" s="831" t="n"/>
      <c r="CL59" s="831" t="n"/>
      <c r="CM59" s="831" t="n"/>
      <c r="CN59" s="831" t="n"/>
      <c r="CO59" s="831" t="n"/>
      <c r="CP59" s="831" t="n"/>
      <c r="CQ59" s="831" t="n"/>
      <c r="CR59" s="831" t="n"/>
      <c r="CS59" s="831" t="n"/>
      <c r="CT59" s="831" t="n"/>
      <c r="CU59" s="833" t="n"/>
      <c r="CV59" s="831" t="n"/>
      <c r="CW59" s="831" t="n"/>
      <c r="CX59" s="831" t="n"/>
      <c r="CY59" s="831" t="n"/>
      <c r="CZ59" s="831" t="n"/>
      <c r="DA59" s="831" t="n"/>
      <c r="DB59" s="831" t="n"/>
      <c r="DC59" s="831" t="n"/>
      <c r="DD59" s="831" t="n"/>
      <c r="DE59" s="831" t="n"/>
      <c r="DF59" s="831" t="n"/>
      <c r="DG59" s="831" t="n"/>
    </row>
    <row r="60">
      <c r="B60" s="1" t="n"/>
      <c r="C60" s="1" t="n"/>
      <c r="D60" s="831" t="n"/>
      <c r="E60" s="831" t="n"/>
      <c r="F60" s="831" t="n"/>
      <c r="G60" s="831" t="n"/>
      <c r="H60" s="831" t="n"/>
      <c r="I60" s="831" t="n"/>
      <c r="J60" s="831" t="n"/>
      <c r="K60" s="831" t="n"/>
      <c r="L60" s="831" t="n"/>
      <c r="M60" s="831" t="n"/>
      <c r="N60" s="831" t="n"/>
      <c r="O60" s="831" t="n"/>
      <c r="P60" s="831" t="n"/>
      <c r="Q60" s="831" t="n"/>
      <c r="R60" s="831" t="n"/>
      <c r="S60" s="831" t="n"/>
      <c r="T60" s="831" t="n"/>
      <c r="U60" s="831" t="n"/>
      <c r="V60" s="831" t="n"/>
      <c r="W60" s="831" t="n"/>
      <c r="X60" s="831" t="n"/>
      <c r="Y60" s="831" t="n"/>
      <c r="Z60" s="831" t="n"/>
      <c r="AA60" s="831" t="n"/>
      <c r="AB60" s="831" t="n"/>
      <c r="AC60" s="831" t="n"/>
      <c r="AD60" s="831" t="n"/>
      <c r="AE60" s="831" t="n"/>
      <c r="AF60" s="831" t="n"/>
      <c r="AG60" s="831" t="n"/>
      <c r="AH60" s="831" t="n"/>
      <c r="AI60" s="831" t="n"/>
      <c r="AJ60" s="831" t="n"/>
      <c r="AK60" s="831" t="n"/>
      <c r="AL60" s="831" t="n"/>
      <c r="AM60" s="832" t="n"/>
      <c r="AN60" s="831" t="n"/>
      <c r="AO60" s="831" t="n"/>
      <c r="AP60" s="831" t="n"/>
      <c r="AQ60" s="831" t="n"/>
      <c r="AR60" s="831" t="n"/>
      <c r="AS60" s="831" t="n"/>
      <c r="AT60" s="831" t="n"/>
      <c r="AU60" s="831" t="n"/>
      <c r="AV60" s="831" t="n"/>
      <c r="AW60" s="833" t="n"/>
      <c r="AX60" s="831" t="n"/>
      <c r="AY60" s="833" t="n"/>
      <c r="AZ60" s="831" t="n"/>
      <c r="BA60" s="831" t="n"/>
      <c r="BB60" s="831" t="n"/>
      <c r="BC60" s="831" t="n"/>
      <c r="BD60" s="831" t="n"/>
      <c r="BE60" s="831" t="n"/>
      <c r="BF60" s="831" t="n"/>
      <c r="BG60" s="831" t="n"/>
      <c r="BH60" s="831" t="n"/>
      <c r="BI60" s="831" t="n"/>
      <c r="BJ60" s="831" t="n"/>
      <c r="BK60" s="833" t="n"/>
      <c r="BL60" s="831" t="n"/>
      <c r="BM60" s="831" t="n"/>
      <c r="BN60" s="831" t="n"/>
      <c r="BO60" s="831" t="n"/>
      <c r="BP60" s="831" t="n"/>
      <c r="BQ60" s="831" t="n"/>
      <c r="BR60" s="831" t="n"/>
      <c r="BS60" s="831" t="n"/>
      <c r="BT60" s="831" t="n"/>
      <c r="BU60" s="831" t="n"/>
      <c r="BV60" s="831" t="n"/>
      <c r="BW60" s="833" t="n"/>
      <c r="BX60" s="831" t="n"/>
      <c r="BY60" s="831" t="n"/>
      <c r="BZ60" s="831" t="n"/>
      <c r="CA60" s="831" t="n"/>
      <c r="CB60" s="831" t="n"/>
      <c r="CC60" s="831" t="n"/>
      <c r="CD60" s="831" t="n"/>
      <c r="CE60" s="831" t="n"/>
      <c r="CF60" s="831" t="n"/>
      <c r="CG60" s="831" t="n"/>
      <c r="CH60" s="831" t="n"/>
      <c r="CI60" s="833" t="n"/>
      <c r="CJ60" s="831" t="n"/>
      <c r="CK60" s="831" t="n"/>
      <c r="CL60" s="831" t="n"/>
      <c r="CM60" s="831" t="n"/>
      <c r="CN60" s="831" t="n"/>
      <c r="CO60" s="831" t="n"/>
      <c r="CP60" s="831" t="n"/>
      <c r="CQ60" s="831" t="n"/>
      <c r="CR60" s="831" t="n"/>
      <c r="CS60" s="831" t="n"/>
      <c r="CT60" s="831" t="n"/>
      <c r="CU60" s="833" t="n"/>
      <c r="CV60" s="831" t="n"/>
      <c r="CW60" s="831" t="n"/>
      <c r="CX60" s="831" t="n"/>
      <c r="CY60" s="831" t="n"/>
      <c r="CZ60" s="831" t="n"/>
      <c r="DA60" s="831" t="n"/>
      <c r="DB60" s="831" t="n"/>
      <c r="DC60" s="831" t="n"/>
      <c r="DD60" s="831" t="n"/>
      <c r="DE60" s="831" t="n"/>
      <c r="DF60" s="831" t="n"/>
      <c r="DG60" s="831" t="n"/>
    </row>
    <row r="61" ht="1.95" customHeight="1">
      <c r="B61" s="1" t="n"/>
      <c r="C61" s="1" t="n"/>
      <c r="D61" s="831" t="n"/>
      <c r="E61" s="831" t="n"/>
      <c r="F61" s="831" t="n"/>
      <c r="G61" s="831" t="n"/>
      <c r="H61" s="831" t="n"/>
      <c r="I61" s="831" t="n"/>
      <c r="J61" s="831" t="n"/>
      <c r="K61" s="831" t="n"/>
      <c r="L61" s="831" t="n"/>
      <c r="M61" s="831" t="n"/>
      <c r="N61" s="831" t="n"/>
      <c r="O61" s="831" t="n"/>
      <c r="P61" s="831" t="n"/>
      <c r="Q61" s="831" t="n"/>
      <c r="R61" s="831" t="n"/>
      <c r="S61" s="831" t="n"/>
      <c r="T61" s="831" t="n"/>
      <c r="U61" s="831" t="n"/>
      <c r="V61" s="831" t="n"/>
      <c r="W61" s="831" t="n"/>
      <c r="X61" s="831" t="n"/>
      <c r="Y61" s="831" t="n"/>
      <c r="Z61" s="831" t="n"/>
      <c r="AA61" s="831" t="n"/>
      <c r="AB61" s="831" t="n"/>
      <c r="AC61" s="831" t="n"/>
      <c r="AD61" s="831" t="n"/>
      <c r="AE61" s="831" t="n"/>
      <c r="AF61" s="831" t="n"/>
      <c r="AG61" s="831" t="n"/>
      <c r="AH61" s="831" t="n"/>
      <c r="AI61" s="831" t="n"/>
      <c r="AJ61" s="831" t="n"/>
      <c r="AK61" s="831" t="n"/>
      <c r="AL61" s="831" t="n"/>
      <c r="AM61" s="832" t="n"/>
      <c r="AN61" s="831" t="n"/>
      <c r="AO61" s="831" t="n"/>
      <c r="AP61" s="831" t="n"/>
      <c r="AQ61" s="831" t="n"/>
      <c r="AR61" s="831" t="n"/>
      <c r="AS61" s="831" t="n"/>
      <c r="AT61" s="831" t="n"/>
      <c r="AU61" s="831" t="n"/>
      <c r="AV61" s="831" t="n"/>
      <c r="AW61" s="833" t="n"/>
      <c r="AX61" s="831" t="n"/>
      <c r="AY61" s="833" t="n"/>
      <c r="AZ61" s="831" t="n"/>
      <c r="BA61" s="831" t="n"/>
      <c r="BB61" s="831" t="n"/>
      <c r="BC61" s="831" t="n"/>
      <c r="BD61" s="831" t="n"/>
      <c r="BE61" s="831" t="n"/>
      <c r="BF61" s="831" t="n"/>
      <c r="BG61" s="831" t="n"/>
      <c r="BH61" s="831" t="n"/>
      <c r="BI61" s="831" t="n"/>
      <c r="BJ61" s="831" t="n"/>
      <c r="BK61" s="833" t="n"/>
      <c r="BL61" s="831" t="n"/>
      <c r="BM61" s="831" t="n"/>
      <c r="BN61" s="831" t="n"/>
      <c r="BO61" s="831" t="n"/>
      <c r="BP61" s="831" t="n"/>
      <c r="BQ61" s="831" t="n"/>
      <c r="BR61" s="831" t="n"/>
      <c r="BS61" s="831" t="n"/>
      <c r="BT61" s="831" t="n"/>
      <c r="BU61" s="831" t="n"/>
      <c r="BV61" s="831" t="n"/>
      <c r="BW61" s="833" t="n"/>
      <c r="BX61" s="831" t="n"/>
      <c r="BY61" s="831" t="n"/>
      <c r="BZ61" s="831" t="n"/>
      <c r="CA61" s="831" t="n"/>
      <c r="CB61" s="831" t="n"/>
      <c r="CC61" s="831" t="n"/>
      <c r="CD61" s="831" t="n"/>
      <c r="CE61" s="831" t="n"/>
      <c r="CF61" s="831" t="n"/>
      <c r="CG61" s="831" t="n"/>
      <c r="CH61" s="831" t="n"/>
      <c r="CI61" s="833" t="n"/>
      <c r="CJ61" s="831" t="n"/>
      <c r="CK61" s="831" t="n"/>
      <c r="CL61" s="831" t="n"/>
      <c r="CM61" s="831" t="n"/>
      <c r="CN61" s="831" t="n"/>
      <c r="CO61" s="831" t="n"/>
      <c r="CP61" s="831" t="n"/>
      <c r="CQ61" s="831" t="n"/>
      <c r="CR61" s="831" t="n"/>
      <c r="CS61" s="831" t="n"/>
      <c r="CT61" s="831" t="n"/>
      <c r="CU61" s="833" t="n"/>
      <c r="CV61" s="831" t="n"/>
      <c r="CW61" s="831" t="n"/>
      <c r="CX61" s="831" t="n"/>
      <c r="CY61" s="831" t="n"/>
      <c r="CZ61" s="831" t="n"/>
      <c r="DA61" s="831" t="n"/>
      <c r="DB61" s="831" t="n"/>
      <c r="DC61" s="831" t="n"/>
      <c r="DD61" s="831" t="n"/>
      <c r="DE61" s="831" t="n"/>
      <c r="DF61" s="831" t="n"/>
      <c r="DG61" s="831" t="n"/>
    </row>
    <row r="62">
      <c r="B62" s="1" t="inlineStr">
        <is>
          <t xml:space="preserve">   50000 Subcontractors</t>
        </is>
      </c>
      <c r="C62" s="1" t="n"/>
      <c r="D62" s="831" t="n"/>
      <c r="E62" s="831" t="n"/>
      <c r="F62" s="831" t="n"/>
      <c r="G62" s="831" t="n"/>
      <c r="H62" s="831" t="n"/>
      <c r="I62" s="831" t="n"/>
      <c r="J62" s="831" t="n"/>
      <c r="K62" s="831" t="n"/>
      <c r="L62" s="831" t="n"/>
      <c r="M62" s="831" t="n"/>
      <c r="N62" s="831" t="n"/>
      <c r="O62" s="831" t="n"/>
      <c r="P62" s="831" t="n"/>
      <c r="Q62" s="831" t="n"/>
      <c r="R62" s="831" t="n"/>
      <c r="S62" s="831" t="n"/>
      <c r="T62" s="831" t="n"/>
      <c r="U62" s="831" t="n"/>
      <c r="V62" s="831" t="n"/>
      <c r="W62" s="831" t="n"/>
      <c r="X62" s="831" t="n"/>
      <c r="Y62" s="831" t="n"/>
      <c r="Z62" s="831" t="n"/>
      <c r="AA62" s="831" t="n"/>
      <c r="AB62" s="831" t="n"/>
      <c r="AC62" s="831" t="n"/>
      <c r="AD62" s="831" t="n"/>
      <c r="AE62" s="831" t="n"/>
      <c r="AF62" s="831" t="n"/>
      <c r="AG62" s="831" t="n"/>
      <c r="AH62" s="831" t="n"/>
      <c r="AI62" s="831" t="n"/>
      <c r="AJ62" s="831" t="n"/>
      <c r="AK62" s="831" t="n"/>
      <c r="AL62" s="831" t="n"/>
      <c r="AM62" s="832" t="n"/>
      <c r="AN62" s="831" t="n"/>
      <c r="AO62" s="831" t="n"/>
      <c r="AP62" s="831" t="n"/>
      <c r="AQ62" s="831" t="n"/>
      <c r="AR62" s="831" t="n"/>
      <c r="AS62" s="831" t="n"/>
      <c r="AT62" s="707" t="n"/>
      <c r="AU62" s="707" t="n"/>
      <c r="AV62" s="707" t="n"/>
      <c r="AW62" s="708" t="n"/>
      <c r="AX62" s="831" t="n"/>
      <c r="AY62" s="833" t="n"/>
      <c r="AZ62" s="831" t="n"/>
      <c r="BA62" s="831" t="n"/>
      <c r="BB62" s="831" t="n"/>
      <c r="BC62" s="831" t="n"/>
      <c r="BD62" s="831" t="n"/>
      <c r="BE62" s="831" t="n"/>
      <c r="BF62" s="831" t="n"/>
      <c r="BG62" s="831" t="n"/>
      <c r="BH62" s="831" t="n"/>
      <c r="BI62" s="831" t="n"/>
      <c r="BJ62" s="831" t="n"/>
      <c r="BK62" s="833" t="n"/>
      <c r="BL62" s="831" t="n"/>
      <c r="BM62" s="831" t="n"/>
      <c r="BN62" s="831" t="n"/>
      <c r="BO62" s="831" t="n"/>
      <c r="BP62" s="831" t="n"/>
      <c r="BQ62" s="831" t="n"/>
      <c r="BR62" s="831" t="n"/>
      <c r="BS62" s="831" t="n"/>
      <c r="BT62" s="831" t="n"/>
      <c r="BU62" s="831" t="n"/>
      <c r="BV62" s="831" t="n"/>
      <c r="BW62" s="833" t="n"/>
      <c r="BX62" s="831" t="n"/>
      <c r="BY62" s="831" t="n"/>
      <c r="BZ62" s="831" t="n"/>
      <c r="CA62" s="831" t="n"/>
      <c r="CB62" s="831" t="n"/>
      <c r="CC62" s="831" t="n"/>
      <c r="CD62" s="831" t="n"/>
      <c r="CE62" s="831" t="n"/>
      <c r="CF62" s="831" t="n"/>
      <c r="CG62" s="831" t="n"/>
      <c r="CH62" s="831" t="n"/>
      <c r="CI62" s="833" t="n"/>
      <c r="CJ62" s="831" t="n"/>
      <c r="CK62" s="831" t="n"/>
      <c r="CL62" s="831" t="n"/>
      <c r="CM62" s="831" t="n"/>
      <c r="CN62" s="831" t="n"/>
      <c r="CO62" s="831" t="n"/>
      <c r="CP62" s="831" t="n"/>
      <c r="CQ62" s="831" t="n"/>
      <c r="CR62" s="831" t="n"/>
      <c r="CS62" s="831" t="n"/>
      <c r="CT62" s="831" t="n"/>
      <c r="CU62" s="833" t="n"/>
      <c r="CV62" s="831" t="n"/>
      <c r="CW62" s="831" t="n"/>
      <c r="CX62" s="831" t="n"/>
      <c r="CY62" s="831" t="n"/>
      <c r="CZ62" s="831" t="n"/>
      <c r="DA62" s="831" t="n"/>
      <c r="DB62" s="831" t="n"/>
      <c r="DC62" s="831" t="n"/>
      <c r="DD62" s="831" t="n"/>
      <c r="DE62" s="831" t="n"/>
      <c r="DF62" s="831" t="n"/>
      <c r="DG62" s="831" t="n"/>
    </row>
    <row r="63" customFormat="1" s="831">
      <c r="B63" s="1" t="inlineStr">
        <is>
          <t xml:space="preserve">      51000 Subcontractors - Tutors</t>
        </is>
      </c>
      <c r="C63" s="1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C63" s="707" t="n"/>
      <c r="AD63" s="707" t="n"/>
      <c r="AE63" s="707" t="n"/>
      <c r="AF63" s="707" t="n"/>
      <c r="AG63" s="707" t="n"/>
      <c r="AH63" s="707" t="n">
        <v>150</v>
      </c>
      <c r="AI63" s="707" t="n">
        <v>740</v>
      </c>
      <c r="AJ63" s="707" t="n">
        <v>817.5</v>
      </c>
      <c r="AK63" s="707" t="n">
        <v>937.5</v>
      </c>
      <c r="AL63" s="707" t="n">
        <v>170</v>
      </c>
      <c r="AM63" s="513" t="n"/>
      <c r="AN63" s="707" t="n">
        <v>0</v>
      </c>
      <c r="AO63" s="707" t="n">
        <v>450</v>
      </c>
      <c r="AP63" s="707" t="n">
        <v>0</v>
      </c>
      <c r="AQ63" s="707" t="n">
        <v>0</v>
      </c>
      <c r="AR63" s="707" t="n">
        <v>270</v>
      </c>
      <c r="AS63" s="707" t="n">
        <v>0</v>
      </c>
      <c r="AT63" s="707" t="n">
        <v>1042.5</v>
      </c>
      <c r="AU63" s="707" t="n">
        <v>450</v>
      </c>
      <c r="AV63" s="707">
        <f>3989.94</f>
        <v/>
      </c>
      <c r="AW63" s="708">
        <f>6135</f>
        <v/>
      </c>
      <c r="AX63" s="715">
        <f>+'People Plan'!Y20</f>
        <v/>
      </c>
      <c r="AY63" s="534">
        <f>+'People Plan'!Z20</f>
        <v/>
      </c>
      <c r="AZ63" s="429">
        <f>+'People Plan'!AA20</f>
        <v/>
      </c>
      <c r="BA63" s="715">
        <f>+'People Plan'!AB20</f>
        <v/>
      </c>
      <c r="BB63" s="715">
        <f>+'People Plan'!AC20</f>
        <v/>
      </c>
      <c r="BC63" s="715">
        <f>+'People Plan'!AD20</f>
        <v/>
      </c>
      <c r="BD63" s="715">
        <f>+'People Plan'!AE20</f>
        <v/>
      </c>
      <c r="BE63" s="715">
        <f>+'People Plan'!AF20</f>
        <v/>
      </c>
      <c r="BF63" s="715">
        <f>+'People Plan'!AG20</f>
        <v/>
      </c>
      <c r="BG63" s="715">
        <f>+'People Plan'!AH20</f>
        <v/>
      </c>
      <c r="BH63" s="715">
        <f>+'People Plan'!AI20</f>
        <v/>
      </c>
      <c r="BI63" s="715">
        <f>+'People Plan'!AJ20</f>
        <v/>
      </c>
      <c r="BJ63" s="715">
        <f>+'People Plan'!AK20</f>
        <v/>
      </c>
      <c r="BK63" s="534">
        <f>+'People Plan'!AL20</f>
        <v/>
      </c>
      <c r="BL63" s="429">
        <f>+'People Plan'!AM20</f>
        <v/>
      </c>
      <c r="BM63" s="715">
        <f>+'People Plan'!AN20</f>
        <v/>
      </c>
      <c r="BN63" s="715">
        <f>+'People Plan'!AO20</f>
        <v/>
      </c>
      <c r="BO63" s="715">
        <f>+'People Plan'!AP20</f>
        <v/>
      </c>
      <c r="BP63" s="715">
        <f>+'People Plan'!AQ20</f>
        <v/>
      </c>
      <c r="BQ63" s="715">
        <f>+'People Plan'!AR20</f>
        <v/>
      </c>
      <c r="BR63" s="715">
        <f>+'People Plan'!AS20</f>
        <v/>
      </c>
      <c r="BS63" s="715">
        <f>+'People Plan'!AT20</f>
        <v/>
      </c>
      <c r="BT63" s="715">
        <f>+'People Plan'!AU20</f>
        <v/>
      </c>
      <c r="BU63" s="715">
        <f>+'People Plan'!AV20</f>
        <v/>
      </c>
      <c r="BV63" s="715">
        <f>+'People Plan'!AW20</f>
        <v/>
      </c>
      <c r="BW63" s="534">
        <f>+'People Plan'!AX20</f>
        <v/>
      </c>
      <c r="BX63" s="715">
        <f>+'People Plan'!AY20</f>
        <v/>
      </c>
      <c r="BY63" s="715">
        <f>+'People Plan'!AZ20</f>
        <v/>
      </c>
      <c r="BZ63" s="715">
        <f>+'People Plan'!BA20</f>
        <v/>
      </c>
      <c r="CA63" s="715">
        <f>+'People Plan'!BB20</f>
        <v/>
      </c>
      <c r="CB63" s="715">
        <f>+'People Plan'!BC20</f>
        <v/>
      </c>
      <c r="CC63" s="715">
        <f>+'People Plan'!BD20</f>
        <v/>
      </c>
      <c r="CD63" s="715">
        <f>+'People Plan'!BE20</f>
        <v/>
      </c>
      <c r="CE63" s="715">
        <f>+'People Plan'!BF20</f>
        <v/>
      </c>
      <c r="CF63" s="715">
        <f>+'People Plan'!BG20</f>
        <v/>
      </c>
      <c r="CG63" s="715">
        <f>+'People Plan'!BH20</f>
        <v/>
      </c>
      <c r="CH63" s="715">
        <f>+'People Plan'!BI20</f>
        <v/>
      </c>
      <c r="CI63" s="534">
        <f>+'People Plan'!BJ20</f>
        <v/>
      </c>
      <c r="CJ63" s="715">
        <f>+'People Plan'!BK20</f>
        <v/>
      </c>
      <c r="CK63" s="715">
        <f>+'People Plan'!BL20</f>
        <v/>
      </c>
      <c r="CL63" s="715">
        <f>+'People Plan'!BM20</f>
        <v/>
      </c>
      <c r="CM63" s="715">
        <f>+'People Plan'!BN20</f>
        <v/>
      </c>
      <c r="CN63" s="715">
        <f>+'People Plan'!BO20</f>
        <v/>
      </c>
      <c r="CO63" s="715">
        <f>+'People Plan'!BP20</f>
        <v/>
      </c>
      <c r="CP63" s="715">
        <f>+'People Plan'!BQ20</f>
        <v/>
      </c>
      <c r="CQ63" s="715">
        <f>+'People Plan'!BR20</f>
        <v/>
      </c>
      <c r="CR63" s="715">
        <f>+'People Plan'!BS20</f>
        <v/>
      </c>
      <c r="CS63" s="715">
        <f>+'People Plan'!BT20</f>
        <v/>
      </c>
      <c r="CT63" s="715">
        <f>+'People Plan'!BU20</f>
        <v/>
      </c>
      <c r="CU63" s="534">
        <f>+'People Plan'!BV20</f>
        <v/>
      </c>
      <c r="CV63" s="429">
        <f>+'People Plan'!BW20</f>
        <v/>
      </c>
      <c r="CW63" s="715">
        <f>+'People Plan'!BX20</f>
        <v/>
      </c>
      <c r="CX63" s="715">
        <f>+'People Plan'!BY20</f>
        <v/>
      </c>
      <c r="CY63" s="715">
        <f>+'People Plan'!BZ20</f>
        <v/>
      </c>
      <c r="CZ63" s="715">
        <f>+'People Plan'!CA20</f>
        <v/>
      </c>
      <c r="DA63" s="715">
        <f>+'People Plan'!CB20</f>
        <v/>
      </c>
      <c r="DB63" s="715">
        <f>+'People Plan'!CC20</f>
        <v/>
      </c>
      <c r="DC63" s="715">
        <f>+'People Plan'!CD20</f>
        <v/>
      </c>
      <c r="DD63" s="715">
        <f>+'People Plan'!CE20</f>
        <v/>
      </c>
      <c r="DE63" s="715">
        <f>+'People Plan'!CF20</f>
        <v/>
      </c>
      <c r="DF63" s="715">
        <f>+'People Plan'!CG20</f>
        <v/>
      </c>
      <c r="DG63" s="715">
        <f>+'People Plan'!CH20</f>
        <v/>
      </c>
    </row>
    <row r="64" customFormat="1" s="831">
      <c r="B64" s="1" t="inlineStr">
        <is>
          <t xml:space="preserve">      51000 Subcontractors - Interns</t>
        </is>
      </c>
      <c r="C64" s="1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C64" s="707" t="n"/>
      <c r="AD64" s="707" t="n"/>
      <c r="AE64" s="707" t="n"/>
      <c r="AF64" s="707" t="n"/>
      <c r="AG64" s="707" t="n"/>
      <c r="AH64" s="707" t="n">
        <v>450</v>
      </c>
      <c r="AI64" s="707" t="n">
        <v>150</v>
      </c>
      <c r="AJ64" s="707" t="n"/>
      <c r="AK64" s="707" t="n"/>
      <c r="AL64" s="707" t="n"/>
      <c r="AM64" s="513" t="n">
        <v>599</v>
      </c>
      <c r="AN64" s="707" t="n">
        <v>0</v>
      </c>
      <c r="AO64" s="707" t="n">
        <v>0</v>
      </c>
      <c r="AP64" s="707" t="n">
        <v>0</v>
      </c>
      <c r="AQ64" s="707" t="n">
        <v>0</v>
      </c>
      <c r="AR64" s="707" t="n">
        <v>0</v>
      </c>
      <c r="AS64" s="707" t="n">
        <v>0</v>
      </c>
      <c r="AT64" s="707" t="n">
        <v>540</v>
      </c>
      <c r="AU64" s="707" t="n">
        <v>234</v>
      </c>
      <c r="AV64" s="707">
        <f>86.8</f>
        <v/>
      </c>
      <c r="AW64" s="708">
        <f>120</f>
        <v/>
      </c>
      <c r="AX64" s="715">
        <f>+'People Plan'!Y7</f>
        <v/>
      </c>
      <c r="AY64" s="534">
        <f>+'People Plan'!Z7</f>
        <v/>
      </c>
      <c r="AZ64" s="429">
        <f>+'People Plan'!AA7</f>
        <v/>
      </c>
      <c r="BA64" s="715">
        <f>+'People Plan'!AB7</f>
        <v/>
      </c>
      <c r="BB64" s="715">
        <f>+'People Plan'!AC7</f>
        <v/>
      </c>
      <c r="BC64" s="715">
        <f>+'People Plan'!AD7</f>
        <v/>
      </c>
      <c r="BD64" s="715">
        <f>+'People Plan'!AE7</f>
        <v/>
      </c>
      <c r="BE64" s="715">
        <f>+'People Plan'!AF7</f>
        <v/>
      </c>
      <c r="BF64" s="715">
        <f>+'People Plan'!AG7</f>
        <v/>
      </c>
      <c r="BG64" s="715">
        <f>+'People Plan'!AH7</f>
        <v/>
      </c>
      <c r="BH64" s="715">
        <f>+'People Plan'!AI7</f>
        <v/>
      </c>
      <c r="BI64" s="715">
        <f>+'People Plan'!AJ7</f>
        <v/>
      </c>
      <c r="BJ64" s="715">
        <f>+'People Plan'!AK7</f>
        <v/>
      </c>
      <c r="BK64" s="534">
        <f>+'People Plan'!AL7</f>
        <v/>
      </c>
      <c r="BL64" s="429">
        <f>+'People Plan'!AM7</f>
        <v/>
      </c>
      <c r="BM64" s="715">
        <f>+'People Plan'!AN7</f>
        <v/>
      </c>
      <c r="BN64" s="715">
        <f>+'People Plan'!AO7</f>
        <v/>
      </c>
      <c r="BO64" s="715">
        <f>+'People Plan'!AP7</f>
        <v/>
      </c>
      <c r="BP64" s="715">
        <f>+'People Plan'!AQ7</f>
        <v/>
      </c>
      <c r="BQ64" s="715">
        <f>+'People Plan'!AR7</f>
        <v/>
      </c>
      <c r="BR64" s="715">
        <f>+'People Plan'!AS7</f>
        <v/>
      </c>
      <c r="BS64" s="715">
        <f>+'People Plan'!AT7</f>
        <v/>
      </c>
      <c r="BT64" s="715">
        <f>+'People Plan'!AU7</f>
        <v/>
      </c>
      <c r="BU64" s="715">
        <f>+'People Plan'!AV7</f>
        <v/>
      </c>
      <c r="BV64" s="715">
        <f>+'People Plan'!AW7</f>
        <v/>
      </c>
      <c r="BW64" s="534">
        <f>+'People Plan'!AX7</f>
        <v/>
      </c>
      <c r="BX64" s="715">
        <f>+'People Plan'!AY7</f>
        <v/>
      </c>
      <c r="BY64" s="715">
        <f>+'People Plan'!AZ7</f>
        <v/>
      </c>
      <c r="BZ64" s="715">
        <f>+'People Plan'!BA7</f>
        <v/>
      </c>
      <c r="CA64" s="715">
        <f>+'People Plan'!BB7</f>
        <v/>
      </c>
      <c r="CB64" s="715">
        <f>+'People Plan'!BC7</f>
        <v/>
      </c>
      <c r="CC64" s="715">
        <f>+'People Plan'!BD7</f>
        <v/>
      </c>
      <c r="CD64" s="715">
        <f>+'People Plan'!BE7</f>
        <v/>
      </c>
      <c r="CE64" s="715">
        <f>+'People Plan'!BF7</f>
        <v/>
      </c>
      <c r="CF64" s="715">
        <f>+'People Plan'!BG7</f>
        <v/>
      </c>
      <c r="CG64" s="715">
        <f>+'People Plan'!BH7</f>
        <v/>
      </c>
      <c r="CH64" s="715">
        <f>+'People Plan'!BI7</f>
        <v/>
      </c>
      <c r="CI64" s="534">
        <f>+'People Plan'!BJ7</f>
        <v/>
      </c>
      <c r="CJ64" s="715">
        <f>+'People Plan'!BK7</f>
        <v/>
      </c>
      <c r="CK64" s="715">
        <f>+'People Plan'!BL7</f>
        <v/>
      </c>
      <c r="CL64" s="715">
        <f>+'People Plan'!BM7</f>
        <v/>
      </c>
      <c r="CM64" s="715">
        <f>+'People Plan'!BN7</f>
        <v/>
      </c>
      <c r="CN64" s="715">
        <f>+'People Plan'!BO7</f>
        <v/>
      </c>
      <c r="CO64" s="715">
        <f>+'People Plan'!BP7</f>
        <v/>
      </c>
      <c r="CP64" s="715">
        <f>+'People Plan'!BQ7</f>
        <v/>
      </c>
      <c r="CQ64" s="715">
        <f>+'People Plan'!BR7</f>
        <v/>
      </c>
      <c r="CR64" s="715">
        <f>+'People Plan'!BS7</f>
        <v/>
      </c>
      <c r="CS64" s="715">
        <f>+'People Plan'!BT7</f>
        <v/>
      </c>
      <c r="CT64" s="715">
        <f>+'People Plan'!BU7</f>
        <v/>
      </c>
      <c r="CU64" s="534">
        <f>+'People Plan'!BV7</f>
        <v/>
      </c>
      <c r="CV64" s="429">
        <f>+'People Plan'!BW7</f>
        <v/>
      </c>
      <c r="CW64" s="715">
        <f>+'People Plan'!BX7</f>
        <v/>
      </c>
      <c r="CX64" s="715">
        <f>+'People Plan'!BY7</f>
        <v/>
      </c>
      <c r="CY64" s="715">
        <f>+'People Plan'!BZ7</f>
        <v/>
      </c>
      <c r="CZ64" s="715">
        <f>+'People Plan'!CA7</f>
        <v/>
      </c>
      <c r="DA64" s="715">
        <f>+'People Plan'!CB7</f>
        <v/>
      </c>
      <c r="DB64" s="715">
        <f>+'People Plan'!CC7</f>
        <v/>
      </c>
      <c r="DC64" s="715">
        <f>+'People Plan'!CD7</f>
        <v/>
      </c>
      <c r="DD64" s="715">
        <f>+'People Plan'!CE7</f>
        <v/>
      </c>
      <c r="DE64" s="715">
        <f>+'People Plan'!CF7</f>
        <v/>
      </c>
      <c r="DF64" s="715">
        <f>+'People Plan'!CG7</f>
        <v/>
      </c>
      <c r="DG64" s="715">
        <f>+'People Plan'!CH7</f>
        <v/>
      </c>
    </row>
    <row r="65" customFormat="1" s="822">
      <c r="A65" s="3" t="n"/>
      <c r="B65" s="4" t="inlineStr">
        <is>
          <t xml:space="preserve">   Total 50000 Subcontractors</t>
        </is>
      </c>
      <c r="C65" s="4" t="n"/>
      <c r="AB65" s="822">
        <f>SUM(AB63:AB64)</f>
        <v/>
      </c>
      <c r="AC65" s="822">
        <f>SUM(AC63:AC64)</f>
        <v/>
      </c>
      <c r="AD65" s="822">
        <f>SUM(AD63:AD64)</f>
        <v/>
      </c>
      <c r="AE65" s="822">
        <f>SUM(AE63:AE64)</f>
        <v/>
      </c>
      <c r="AF65" s="822">
        <f>SUM(AF63:AF64)</f>
        <v/>
      </c>
      <c r="AG65" s="822">
        <f>SUM(AG63:AG64)</f>
        <v/>
      </c>
      <c r="AH65" s="822">
        <f>SUM(AH63:AH64)</f>
        <v/>
      </c>
      <c r="AI65" s="822">
        <f>SUM(AI63:AI64)</f>
        <v/>
      </c>
      <c r="AJ65" s="822">
        <f>SUM(AJ63:AJ64)</f>
        <v/>
      </c>
      <c r="AK65" s="822">
        <f>SUM(AK63:AK64)</f>
        <v/>
      </c>
      <c r="AL65" s="822">
        <f>SUM(AL63:AL64)</f>
        <v/>
      </c>
      <c r="AM65" s="823">
        <f>SUM(AM63:AM64)</f>
        <v/>
      </c>
      <c r="AN65" s="822">
        <f>SUM(AN63:AN64)</f>
        <v/>
      </c>
      <c r="AO65" s="822">
        <f>SUM(AO63:AO64)</f>
        <v/>
      </c>
      <c r="AP65" s="822">
        <f>SUM(AP63:AP64)</f>
        <v/>
      </c>
      <c r="AQ65" s="822">
        <f>SUM(AQ63:AQ64)</f>
        <v/>
      </c>
      <c r="AR65" s="822">
        <f>SUM(AR63:AR64)</f>
        <v/>
      </c>
      <c r="AS65" s="822">
        <f>SUM(AS63:AS64)</f>
        <v/>
      </c>
      <c r="AT65" s="822">
        <f>SUM(AT62:AT64)</f>
        <v/>
      </c>
      <c r="AU65" s="822">
        <f>SUM(AU62:AU64)</f>
        <v/>
      </c>
      <c r="AV65" s="822">
        <f>SUM(AV62:AV64)</f>
        <v/>
      </c>
      <c r="AW65" s="829">
        <f>SUM(AW62:AW64)</f>
        <v/>
      </c>
      <c r="AX65" s="822">
        <f>SUM(AX63:AX64)</f>
        <v/>
      </c>
      <c r="AY65" s="829">
        <f>SUM(AY63:AY64)</f>
        <v/>
      </c>
      <c r="AZ65" s="822">
        <f>SUM(AZ63:AZ64)</f>
        <v/>
      </c>
      <c r="BA65" s="822">
        <f>SUM(BA63:BA64)</f>
        <v/>
      </c>
      <c r="BB65" s="822">
        <f>SUM(BB63:BB64)</f>
        <v/>
      </c>
      <c r="BC65" s="822">
        <f>SUM(BC63:BC64)</f>
        <v/>
      </c>
      <c r="BD65" s="822">
        <f>SUM(BD63:BD64)</f>
        <v/>
      </c>
      <c r="BE65" s="822">
        <f>SUM(BE63:BE64)</f>
        <v/>
      </c>
      <c r="BF65" s="822">
        <f>SUM(BF63:BF64)</f>
        <v/>
      </c>
      <c r="BG65" s="822">
        <f>SUM(BG63:BG64)</f>
        <v/>
      </c>
      <c r="BH65" s="822">
        <f>SUM(BH63:BH64)</f>
        <v/>
      </c>
      <c r="BI65" s="822">
        <f>SUM(BI63:BI64)</f>
        <v/>
      </c>
      <c r="BJ65" s="822">
        <f>SUM(BJ63:BJ64)</f>
        <v/>
      </c>
      <c r="BK65" s="829">
        <f>SUM(BK63:BK64)</f>
        <v/>
      </c>
      <c r="BL65" s="822">
        <f>SUM(BL63:BL64)</f>
        <v/>
      </c>
      <c r="BM65" s="822">
        <f>SUM(BM63:BM64)</f>
        <v/>
      </c>
      <c r="BN65" s="822">
        <f>SUM(BN63:BN64)</f>
        <v/>
      </c>
      <c r="BO65" s="822">
        <f>SUM(BO63:BO64)</f>
        <v/>
      </c>
      <c r="BP65" s="822">
        <f>SUM(BP63:BP64)</f>
        <v/>
      </c>
      <c r="BQ65" s="822">
        <f>SUM(BQ63:BQ64)</f>
        <v/>
      </c>
      <c r="BR65" s="822">
        <f>SUM(BR63:BR64)</f>
        <v/>
      </c>
      <c r="BS65" s="822">
        <f>SUM(BS63:BS64)</f>
        <v/>
      </c>
      <c r="BT65" s="822">
        <f>SUM(BT63:BT64)</f>
        <v/>
      </c>
      <c r="BU65" s="822">
        <f>SUM(BU63:BU64)</f>
        <v/>
      </c>
      <c r="BV65" s="822">
        <f>SUM(BV63:BV64)</f>
        <v/>
      </c>
      <c r="BW65" s="829">
        <f>SUM(BW63:BW64)</f>
        <v/>
      </c>
      <c r="BX65" s="822">
        <f>SUM(BX63:BX64)</f>
        <v/>
      </c>
      <c r="BY65" s="822">
        <f>SUM(BY63:BY64)</f>
        <v/>
      </c>
      <c r="BZ65" s="822">
        <f>SUM(BZ63:BZ64)</f>
        <v/>
      </c>
      <c r="CA65" s="822">
        <f>SUM(CA63:CA64)</f>
        <v/>
      </c>
      <c r="CB65" s="822">
        <f>SUM(CB63:CB64)</f>
        <v/>
      </c>
      <c r="CC65" s="822">
        <f>SUM(CC63:CC64)</f>
        <v/>
      </c>
      <c r="CD65" s="822">
        <f>SUM(CD63:CD64)</f>
        <v/>
      </c>
      <c r="CE65" s="822">
        <f>SUM(CE63:CE64)</f>
        <v/>
      </c>
      <c r="CF65" s="822">
        <f>SUM(CF63:CF64)</f>
        <v/>
      </c>
      <c r="CG65" s="822">
        <f>SUM(CG63:CG64)</f>
        <v/>
      </c>
      <c r="CH65" s="822">
        <f>SUM(CH63:CH64)</f>
        <v/>
      </c>
      <c r="CI65" s="829">
        <f>SUM(CI63:CI64)</f>
        <v/>
      </c>
      <c r="CJ65" s="822">
        <f>SUM(CJ63:CJ64)</f>
        <v/>
      </c>
      <c r="CK65" s="822">
        <f>SUM(CK63:CK64)</f>
        <v/>
      </c>
      <c r="CL65" s="822">
        <f>SUM(CL63:CL64)</f>
        <v/>
      </c>
      <c r="CM65" s="822">
        <f>SUM(CM63:CM64)</f>
        <v/>
      </c>
      <c r="CN65" s="822">
        <f>SUM(CN63:CN64)</f>
        <v/>
      </c>
      <c r="CO65" s="822">
        <f>SUM(CO63:CO64)</f>
        <v/>
      </c>
      <c r="CP65" s="822">
        <f>SUM(CP63:CP64)</f>
        <v/>
      </c>
      <c r="CQ65" s="822">
        <f>SUM(CQ63:CQ64)</f>
        <v/>
      </c>
      <c r="CR65" s="822">
        <f>SUM(CR63:CR64)</f>
        <v/>
      </c>
      <c r="CS65" s="822">
        <f>SUM(CS63:CS64)</f>
        <v/>
      </c>
      <c r="CT65" s="822">
        <f>SUM(CT63:CT64)</f>
        <v/>
      </c>
      <c r="CU65" s="829">
        <f>SUM(CU63:CU64)</f>
        <v/>
      </c>
      <c r="CV65" s="822">
        <f>SUM(CV63:CV64)</f>
        <v/>
      </c>
      <c r="CW65" s="822">
        <f>SUM(CW63:CW64)</f>
        <v/>
      </c>
      <c r="CX65" s="822">
        <f>SUM(CX63:CX64)</f>
        <v/>
      </c>
      <c r="CY65" s="822">
        <f>SUM(CY63:CY64)</f>
        <v/>
      </c>
      <c r="CZ65" s="822">
        <f>SUM(CZ63:CZ64)</f>
        <v/>
      </c>
      <c r="DA65" s="822">
        <f>SUM(DA63:DA64)</f>
        <v/>
      </c>
      <c r="DB65" s="822">
        <f>SUM(DB63:DB64)</f>
        <v/>
      </c>
      <c r="DC65" s="822">
        <f>SUM(DC63:DC64)</f>
        <v/>
      </c>
      <c r="DD65" s="822">
        <f>SUM(DD63:DD64)</f>
        <v/>
      </c>
      <c r="DE65" s="822">
        <f>SUM(DE63:DE64)</f>
        <v/>
      </c>
      <c r="DF65" s="822">
        <f>SUM(DF63:DF64)</f>
        <v/>
      </c>
      <c r="DG65" s="822">
        <f>SUM(DG63:DG64)</f>
        <v/>
      </c>
    </row>
    <row r="66" customFormat="1" s="822">
      <c r="A66" s="3" t="n"/>
      <c r="B66" s="4" t="inlineStr">
        <is>
          <t>Gross Profit</t>
        </is>
      </c>
      <c r="C66" s="4" t="n"/>
      <c r="D66" s="822">
        <f>(D14)-(0)</f>
        <v/>
      </c>
      <c r="E66" s="822">
        <f>(E14)-(0)</f>
        <v/>
      </c>
      <c r="F66" s="822">
        <f>(F14)-(0)</f>
        <v/>
      </c>
      <c r="G66" s="822">
        <f>(G14)-(0)</f>
        <v/>
      </c>
      <c r="H66" s="822">
        <f>(H14)-(0)</f>
        <v/>
      </c>
      <c r="I66" s="822">
        <f>(I14)-(0)</f>
        <v/>
      </c>
      <c r="J66" s="822">
        <f>(J14)-(0)</f>
        <v/>
      </c>
      <c r="K66" s="822">
        <f>K14</f>
        <v/>
      </c>
      <c r="L66" s="822">
        <f>L14</f>
        <v/>
      </c>
      <c r="M66" s="822">
        <f>M14</f>
        <v/>
      </c>
      <c r="N66" s="822">
        <f>N14</f>
        <v/>
      </c>
      <c r="O66" s="822">
        <f>O14</f>
        <v/>
      </c>
      <c r="P66" s="822">
        <f>P14</f>
        <v/>
      </c>
      <c r="Q66" s="822">
        <f>Q14</f>
        <v/>
      </c>
      <c r="R66" s="822">
        <f>R14</f>
        <v/>
      </c>
      <c r="S66" s="822">
        <f>S14</f>
        <v/>
      </c>
      <c r="T66" s="822">
        <f>T14</f>
        <v/>
      </c>
      <c r="U66" s="822">
        <f>U14</f>
        <v/>
      </c>
      <c r="V66" s="822">
        <f>V14</f>
        <v/>
      </c>
      <c r="W66" s="822">
        <f>W14</f>
        <v/>
      </c>
      <c r="X66" s="822">
        <f>X14</f>
        <v/>
      </c>
      <c r="Y66" s="822">
        <f>Y14</f>
        <v/>
      </c>
      <c r="Z66" s="822">
        <f>Z14</f>
        <v/>
      </c>
      <c r="AA66" s="822">
        <f>AA14</f>
        <v/>
      </c>
      <c r="AB66" s="822">
        <f>AB14-AB65</f>
        <v/>
      </c>
      <c r="AC66" s="822">
        <f>AC14-AC65</f>
        <v/>
      </c>
      <c r="AD66" s="822">
        <f>AD14-AD65</f>
        <v/>
      </c>
      <c r="AE66" s="822">
        <f>AE14-AE65</f>
        <v/>
      </c>
      <c r="AF66" s="822">
        <f>AF14-AF65</f>
        <v/>
      </c>
      <c r="AG66" s="822">
        <f>AG14-AG65</f>
        <v/>
      </c>
      <c r="AH66" s="822">
        <f>AH14-AH65</f>
        <v/>
      </c>
      <c r="AI66" s="822">
        <f>AI14-AI65</f>
        <v/>
      </c>
      <c r="AJ66" s="822">
        <f>AJ14-AJ65</f>
        <v/>
      </c>
      <c r="AK66" s="822">
        <f>AK14-AK65</f>
        <v/>
      </c>
      <c r="AL66" s="822">
        <f>AL14-AL65</f>
        <v/>
      </c>
      <c r="AM66" s="823">
        <f>AM14-AM65</f>
        <v/>
      </c>
      <c r="AN66" s="822">
        <f>AN14-AN65</f>
        <v/>
      </c>
      <c r="AO66" s="822">
        <f>AO14-AO65</f>
        <v/>
      </c>
      <c r="AP66" s="822">
        <f>AP14-AP65</f>
        <v/>
      </c>
      <c r="AQ66" s="822">
        <f>AQ14-AQ65</f>
        <v/>
      </c>
      <c r="AR66" s="822">
        <f>AR14-AR65</f>
        <v/>
      </c>
      <c r="AS66" s="822">
        <f>AS14-AS65</f>
        <v/>
      </c>
      <c r="AT66" s="822">
        <f>AT14-AT65</f>
        <v/>
      </c>
      <c r="AU66" s="822">
        <f>AU14-AU65</f>
        <v/>
      </c>
      <c r="AV66" s="822">
        <f>AV14-AV65</f>
        <v/>
      </c>
      <c r="AW66" s="829">
        <f>AW14-AW65</f>
        <v/>
      </c>
      <c r="AX66" s="822">
        <f>AX14-AX65</f>
        <v/>
      </c>
      <c r="AY66" s="829">
        <f>AY14-AY65</f>
        <v/>
      </c>
      <c r="AZ66" s="822">
        <f>AZ14-AZ65</f>
        <v/>
      </c>
      <c r="BA66" s="822">
        <f>BA14-BA65</f>
        <v/>
      </c>
      <c r="BB66" s="822">
        <f>BB14-BB65</f>
        <v/>
      </c>
      <c r="BC66" s="822">
        <f>BC14-BC65</f>
        <v/>
      </c>
      <c r="BD66" s="822">
        <f>BD14-BD65</f>
        <v/>
      </c>
      <c r="BE66" s="822">
        <f>BE14-BE65</f>
        <v/>
      </c>
      <c r="BF66" s="822">
        <f>BF14-BF65</f>
        <v/>
      </c>
      <c r="BG66" s="822">
        <f>BG14-BG65</f>
        <v/>
      </c>
      <c r="BH66" s="822">
        <f>BH14-BH65</f>
        <v/>
      </c>
      <c r="BI66" s="822">
        <f>BI14-BI65</f>
        <v/>
      </c>
      <c r="BJ66" s="822">
        <f>BJ14-BJ65</f>
        <v/>
      </c>
      <c r="BK66" s="829">
        <f>BK14-BK65</f>
        <v/>
      </c>
      <c r="BL66" s="822">
        <f>BL14-BL65</f>
        <v/>
      </c>
      <c r="BM66" s="822">
        <f>BM14-BM65</f>
        <v/>
      </c>
      <c r="BN66" s="822">
        <f>BN14-BN65</f>
        <v/>
      </c>
      <c r="BO66" s="822">
        <f>BO14-BO65</f>
        <v/>
      </c>
      <c r="BP66" s="822">
        <f>BP14-BP65</f>
        <v/>
      </c>
      <c r="BQ66" s="822">
        <f>BQ14-BQ65</f>
        <v/>
      </c>
      <c r="BR66" s="822">
        <f>BR14-BR65</f>
        <v/>
      </c>
      <c r="BS66" s="822">
        <f>BS14-BS65</f>
        <v/>
      </c>
      <c r="BT66" s="822">
        <f>BT14-BT65</f>
        <v/>
      </c>
      <c r="BU66" s="822">
        <f>BU14-BU65</f>
        <v/>
      </c>
      <c r="BV66" s="822">
        <f>BV14-BV65</f>
        <v/>
      </c>
      <c r="BW66" s="829">
        <f>BW14-BW65</f>
        <v/>
      </c>
      <c r="BX66" s="822">
        <f>BX14-BX65</f>
        <v/>
      </c>
      <c r="BY66" s="822">
        <f>BY14-BY65</f>
        <v/>
      </c>
      <c r="BZ66" s="822">
        <f>BZ14-BZ65</f>
        <v/>
      </c>
      <c r="CA66" s="822">
        <f>CA14-CA65</f>
        <v/>
      </c>
      <c r="CB66" s="822">
        <f>CB14-CB65</f>
        <v/>
      </c>
      <c r="CC66" s="822">
        <f>CC14-CC65</f>
        <v/>
      </c>
      <c r="CD66" s="822">
        <f>CD14-CD65</f>
        <v/>
      </c>
      <c r="CE66" s="822">
        <f>CE14-CE65</f>
        <v/>
      </c>
      <c r="CF66" s="822">
        <f>CF14-CF65</f>
        <v/>
      </c>
      <c r="CG66" s="822">
        <f>CG14-CG65</f>
        <v/>
      </c>
      <c r="CH66" s="822">
        <f>CH14-CH65</f>
        <v/>
      </c>
      <c r="CI66" s="829">
        <f>CI14-CI65</f>
        <v/>
      </c>
      <c r="CJ66" s="822">
        <f>CJ14-CJ65</f>
        <v/>
      </c>
      <c r="CK66" s="822">
        <f>CK14-CK65</f>
        <v/>
      </c>
      <c r="CL66" s="822">
        <f>CL14-CL65</f>
        <v/>
      </c>
      <c r="CM66" s="822">
        <f>CM14-CM65</f>
        <v/>
      </c>
      <c r="CN66" s="822">
        <f>CN14-CN65</f>
        <v/>
      </c>
      <c r="CO66" s="822">
        <f>CO14-CO65</f>
        <v/>
      </c>
      <c r="CP66" s="822">
        <f>CP14-CP65</f>
        <v/>
      </c>
      <c r="CQ66" s="822">
        <f>CQ14-CQ65</f>
        <v/>
      </c>
      <c r="CR66" s="822">
        <f>CR14-CR65</f>
        <v/>
      </c>
      <c r="CS66" s="822">
        <f>CS14-CS65</f>
        <v/>
      </c>
      <c r="CT66" s="822">
        <f>CT14-CT65</f>
        <v/>
      </c>
      <c r="CU66" s="829">
        <f>CU14-CU65</f>
        <v/>
      </c>
      <c r="CV66" s="822">
        <f>CV14-CV65</f>
        <v/>
      </c>
      <c r="CW66" s="822">
        <f>CW14-CW65</f>
        <v/>
      </c>
      <c r="CX66" s="822">
        <f>CX14-CX65</f>
        <v/>
      </c>
      <c r="CY66" s="822">
        <f>CY14-CY65</f>
        <v/>
      </c>
      <c r="CZ66" s="822">
        <f>CZ14-CZ65</f>
        <v/>
      </c>
      <c r="DA66" s="822">
        <f>DA14-DA65</f>
        <v/>
      </c>
      <c r="DB66" s="822">
        <f>DB14-DB65</f>
        <v/>
      </c>
      <c r="DC66" s="822">
        <f>DC14-DC65</f>
        <v/>
      </c>
      <c r="DD66" s="822">
        <f>DD14-DD65</f>
        <v/>
      </c>
      <c r="DE66" s="822">
        <f>DE14-DE65</f>
        <v/>
      </c>
      <c r="DF66" s="822">
        <f>DF14-DF65</f>
        <v/>
      </c>
      <c r="DG66" s="822">
        <f>DG14-DG65</f>
        <v/>
      </c>
    </row>
    <row r="67" customFormat="1" s="3">
      <c r="A67" s="378" t="n"/>
      <c r="B67" s="384" t="n"/>
      <c r="C67" s="385" t="inlineStr">
        <is>
          <t>GP %</t>
        </is>
      </c>
      <c r="D67" s="386" t="n"/>
      <c r="E67" s="882">
        <f>+E53/8</f>
        <v/>
      </c>
      <c r="F67" s="882">
        <f>+F53/8</f>
        <v/>
      </c>
      <c r="G67" s="882">
        <f>+G53/8</f>
        <v/>
      </c>
      <c r="H67" s="882">
        <f>+H53/8</f>
        <v/>
      </c>
      <c r="I67" s="882">
        <f>+I53/8</f>
        <v/>
      </c>
      <c r="J67" s="882">
        <f>+J53/8</f>
        <v/>
      </c>
      <c r="K67" s="882">
        <f>+K53/8</f>
        <v/>
      </c>
      <c r="L67" s="882">
        <f>+L53/8</f>
        <v/>
      </c>
      <c r="M67" s="882">
        <f>+M53/8</f>
        <v/>
      </c>
      <c r="N67" s="882">
        <f>+N53/8</f>
        <v/>
      </c>
      <c r="O67" s="882">
        <f>+O53/8</f>
        <v/>
      </c>
      <c r="P67" s="882">
        <f>+P66/#REF!</f>
        <v/>
      </c>
      <c r="Q67" s="882">
        <f>+Q66/#REF!</f>
        <v/>
      </c>
      <c r="R67" s="882">
        <f>+R66/#REF!</f>
        <v/>
      </c>
      <c r="S67" s="882">
        <f>+S66/#REF!</f>
        <v/>
      </c>
      <c r="T67" s="882">
        <f>+T66/#REF!</f>
        <v/>
      </c>
      <c r="U67" s="882">
        <f>+U66/#REF!</f>
        <v/>
      </c>
      <c r="V67" s="882">
        <f>+V66/#REF!</f>
        <v/>
      </c>
      <c r="W67" s="882">
        <f>+W66/#REF!</f>
        <v/>
      </c>
      <c r="X67" s="882">
        <f>+X66/#REF!</f>
        <v/>
      </c>
      <c r="Y67" s="882">
        <f>+Y66/#REF!</f>
        <v/>
      </c>
      <c r="Z67" s="882">
        <f>+Z66/#REF!</f>
        <v/>
      </c>
      <c r="AA67" s="882">
        <f>+AA66/#REF!</f>
        <v/>
      </c>
      <c r="AB67" s="882">
        <f>+AB66/AB14</f>
        <v/>
      </c>
      <c r="AC67" s="882">
        <f>+AC66/AC14</f>
        <v/>
      </c>
      <c r="AD67" s="882">
        <f>+AD66/AD14</f>
        <v/>
      </c>
      <c r="AE67" s="882">
        <f>+AE66/AE14</f>
        <v/>
      </c>
      <c r="AF67" s="882">
        <f>+AF66/AF14</f>
        <v/>
      </c>
      <c r="AG67" s="882">
        <f>+AG66/AG14</f>
        <v/>
      </c>
      <c r="AH67" s="882">
        <f>+AH66/AH14</f>
        <v/>
      </c>
      <c r="AI67" s="882">
        <f>+AI66/AI14</f>
        <v/>
      </c>
      <c r="AJ67" s="882">
        <f>+AJ66/AJ14</f>
        <v/>
      </c>
      <c r="AK67" s="882">
        <f>+AK66/AK14</f>
        <v/>
      </c>
      <c r="AL67" s="882">
        <f>+AL66/AL14</f>
        <v/>
      </c>
      <c r="AM67" s="883">
        <f>+AM66/AM14</f>
        <v/>
      </c>
      <c r="AN67" s="882">
        <f>+AN66/AN14</f>
        <v/>
      </c>
      <c r="AO67" s="882">
        <f>+AO66/AO14</f>
        <v/>
      </c>
      <c r="AP67" s="882">
        <f>+AP66/AP14</f>
        <v/>
      </c>
      <c r="AQ67" s="882">
        <f>+AQ66/AQ14</f>
        <v/>
      </c>
      <c r="AR67" s="882">
        <f>+AR66/AR14</f>
        <v/>
      </c>
      <c r="AS67" s="882">
        <f>+AS66/AS14</f>
        <v/>
      </c>
      <c r="AT67" s="882">
        <f>+AT66/AT14</f>
        <v/>
      </c>
      <c r="AU67" s="882">
        <f>+AU66/AU14</f>
        <v/>
      </c>
      <c r="AV67" s="882">
        <f>+AV66/AV14</f>
        <v/>
      </c>
      <c r="AW67" s="884">
        <f>+AW66/AW14</f>
        <v/>
      </c>
      <c r="AX67" s="882">
        <f>+AX66/AX14</f>
        <v/>
      </c>
      <c r="AY67" s="884">
        <f>+AY66/AY14</f>
        <v/>
      </c>
      <c r="AZ67" s="882">
        <f>+AZ66/AZ14</f>
        <v/>
      </c>
      <c r="BA67" s="882">
        <f>+BA66/BA14</f>
        <v/>
      </c>
      <c r="BB67" s="882">
        <f>+BB66/BB14</f>
        <v/>
      </c>
      <c r="BC67" s="882">
        <f>+BC66/BC14</f>
        <v/>
      </c>
      <c r="BD67" s="882">
        <f>+BD66/BD14</f>
        <v/>
      </c>
      <c r="BE67" s="882">
        <f>+BE66/BE14</f>
        <v/>
      </c>
      <c r="BF67" s="882">
        <f>+BF66/BF14</f>
        <v/>
      </c>
      <c r="BG67" s="882">
        <f>+BG66/BG14</f>
        <v/>
      </c>
      <c r="BH67" s="882">
        <f>+BH66/BH14</f>
        <v/>
      </c>
      <c r="BI67" s="882">
        <f>+BI66/BI14</f>
        <v/>
      </c>
      <c r="BJ67" s="882">
        <f>+BJ66/BJ14</f>
        <v/>
      </c>
      <c r="BK67" s="884">
        <f>+BK66/BK14</f>
        <v/>
      </c>
      <c r="BL67" s="882">
        <f>+BL66/BL14</f>
        <v/>
      </c>
      <c r="BM67" s="882">
        <f>+BM66/BM14</f>
        <v/>
      </c>
      <c r="BN67" s="882">
        <f>+BN66/BN14</f>
        <v/>
      </c>
      <c r="BO67" s="882">
        <f>+BO66/BO14</f>
        <v/>
      </c>
      <c r="BP67" s="882">
        <f>+BP66/BP14</f>
        <v/>
      </c>
      <c r="BQ67" s="882">
        <f>+BQ66/BQ14</f>
        <v/>
      </c>
      <c r="BR67" s="882">
        <f>+BR66/BR14</f>
        <v/>
      </c>
      <c r="BS67" s="882">
        <f>+BS66/BS14</f>
        <v/>
      </c>
      <c r="BT67" s="882">
        <f>+BT66/BT14</f>
        <v/>
      </c>
      <c r="BU67" s="882">
        <f>+BU66/BU14</f>
        <v/>
      </c>
      <c r="BV67" s="882">
        <f>+BV66/BV14</f>
        <v/>
      </c>
      <c r="BW67" s="884">
        <f>+BW66/BW14</f>
        <v/>
      </c>
      <c r="BX67" s="882">
        <f>+BX66/BX14</f>
        <v/>
      </c>
      <c r="BY67" s="882">
        <f>+BY66/BY14</f>
        <v/>
      </c>
      <c r="BZ67" s="882">
        <f>+BZ66/BZ14</f>
        <v/>
      </c>
      <c r="CA67" s="882">
        <f>+CA66/CA14</f>
        <v/>
      </c>
      <c r="CB67" s="882">
        <f>+CB66/CB14</f>
        <v/>
      </c>
      <c r="CC67" s="882">
        <f>+CC66/CC14</f>
        <v/>
      </c>
      <c r="CD67" s="882">
        <f>+CD66/CD14</f>
        <v/>
      </c>
      <c r="CE67" s="882">
        <f>+CE66/CE14</f>
        <v/>
      </c>
      <c r="CF67" s="882">
        <f>+CF66/CF14</f>
        <v/>
      </c>
      <c r="CG67" s="882">
        <f>+CG66/CG14</f>
        <v/>
      </c>
      <c r="CH67" s="882">
        <f>+CH66/CH14</f>
        <v/>
      </c>
      <c r="CI67" s="884">
        <f>+CI66/CI14</f>
        <v/>
      </c>
      <c r="CJ67" s="882">
        <f>+CJ66/CJ14</f>
        <v/>
      </c>
      <c r="CK67" s="882">
        <f>+CK66/CK14</f>
        <v/>
      </c>
      <c r="CL67" s="882">
        <f>+CL66/CL14</f>
        <v/>
      </c>
      <c r="CM67" s="882">
        <f>+CM66/CM14</f>
        <v/>
      </c>
      <c r="CN67" s="882">
        <f>+CN66/CN14</f>
        <v/>
      </c>
      <c r="CO67" s="882">
        <f>+CO66/CO14</f>
        <v/>
      </c>
      <c r="CP67" s="882">
        <f>+CP66/CP14</f>
        <v/>
      </c>
      <c r="CQ67" s="882">
        <f>+CQ66/CQ14</f>
        <v/>
      </c>
      <c r="CR67" s="882">
        <f>+CR66/CR14</f>
        <v/>
      </c>
      <c r="CS67" s="882">
        <f>+CS66/CS14</f>
        <v/>
      </c>
      <c r="CT67" s="882">
        <f>+CT66/CT14</f>
        <v/>
      </c>
      <c r="CU67" s="884">
        <f>+CU66/CU14</f>
        <v/>
      </c>
      <c r="CV67" s="882">
        <f>+CV66/CV14</f>
        <v/>
      </c>
      <c r="CW67" s="882">
        <f>+CW66/CW14</f>
        <v/>
      </c>
      <c r="CX67" s="882">
        <f>+CX66/CX14</f>
        <v/>
      </c>
      <c r="CY67" s="882">
        <f>+CY66/CY14</f>
        <v/>
      </c>
      <c r="CZ67" s="882">
        <f>+CZ66/CZ14</f>
        <v/>
      </c>
      <c r="DA67" s="882">
        <f>+DA66/DA14</f>
        <v/>
      </c>
      <c r="DB67" s="882">
        <f>+DB66/DB14</f>
        <v/>
      </c>
      <c r="DC67" s="882">
        <f>+DC66/DC14</f>
        <v/>
      </c>
      <c r="DD67" s="882">
        <f>+DD66/DD14</f>
        <v/>
      </c>
      <c r="DE67" s="882">
        <f>+DE66/DE14</f>
        <v/>
      </c>
      <c r="DF67" s="882">
        <f>+DF66/DF14</f>
        <v/>
      </c>
      <c r="DG67" s="883">
        <f>+DG66/DG14</f>
        <v/>
      </c>
    </row>
    <row r="68" customFormat="1" s="822">
      <c r="B68" s="1" t="n"/>
      <c r="C68" s="1" t="n"/>
      <c r="D68" s="831" t="n"/>
      <c r="E68" s="831" t="n"/>
      <c r="F68" s="831" t="n"/>
      <c r="G68" s="831" t="n"/>
      <c r="H68" s="831" t="n"/>
      <c r="I68" s="831" t="n"/>
      <c r="J68" s="831" t="n"/>
      <c r="K68" s="831" t="n"/>
      <c r="L68" s="831" t="n"/>
      <c r="M68" s="831" t="n"/>
      <c r="N68" s="831" t="n"/>
      <c r="O68" s="831" t="n"/>
      <c r="P68" s="831" t="n"/>
      <c r="Q68" s="831" t="n"/>
      <c r="R68" s="831" t="n"/>
      <c r="S68" s="831" t="n"/>
      <c r="T68" s="831" t="n"/>
      <c r="U68" s="831" t="n"/>
      <c r="V68" s="831" t="n"/>
      <c r="W68" s="831" t="n"/>
      <c r="X68" s="831" t="n"/>
      <c r="Y68" s="831" t="n"/>
      <c r="Z68" s="831" t="n"/>
      <c r="AA68" s="831" t="n"/>
      <c r="AB68" s="831" t="n"/>
      <c r="AC68" s="831" t="n"/>
      <c r="AD68" s="831" t="n"/>
      <c r="AE68" s="831" t="n"/>
      <c r="AF68" s="831" t="n"/>
      <c r="AG68" s="831" t="n"/>
      <c r="AH68" s="831" t="n"/>
      <c r="AI68" s="831" t="n"/>
      <c r="AJ68" s="831" t="n"/>
      <c r="AK68" s="831" t="n"/>
      <c r="AL68" s="831" t="n"/>
      <c r="AM68" s="832" t="n"/>
      <c r="AN68" s="831" t="n"/>
      <c r="AO68" s="831" t="n"/>
      <c r="AP68" s="831" t="n"/>
      <c r="AQ68" s="831" t="n"/>
      <c r="AR68" s="831" t="n"/>
      <c r="AS68" s="831" t="n"/>
      <c r="AT68" s="831" t="n"/>
      <c r="AU68" s="831" t="n"/>
      <c r="AV68" s="831" t="n"/>
      <c r="AW68" s="833" t="n"/>
      <c r="AX68" s="831" t="n"/>
      <c r="AY68" s="833" t="n"/>
      <c r="AZ68" s="831" t="n"/>
      <c r="BA68" s="831" t="n"/>
      <c r="BB68" s="831" t="n"/>
      <c r="BC68" s="831" t="n"/>
      <c r="BD68" s="831" t="n"/>
      <c r="BE68" s="831" t="n"/>
      <c r="BF68" s="831" t="n"/>
      <c r="BG68" s="831" t="n"/>
      <c r="BH68" s="831" t="n"/>
      <c r="BI68" s="831" t="n"/>
      <c r="BJ68" s="831" t="n"/>
      <c r="BK68" s="833" t="n"/>
      <c r="BL68" s="831" t="n"/>
      <c r="BM68" s="831" t="n"/>
      <c r="BN68" s="831" t="n"/>
      <c r="BO68" s="831" t="n"/>
      <c r="BP68" s="831" t="n"/>
      <c r="BQ68" s="831" t="n"/>
      <c r="BR68" s="831" t="n"/>
      <c r="BS68" s="831" t="n"/>
      <c r="BT68" s="831" t="n"/>
      <c r="BU68" s="831" t="n"/>
      <c r="BV68" s="831" t="n"/>
      <c r="BW68" s="833" t="n"/>
      <c r="BX68" s="831" t="n"/>
      <c r="BY68" s="831" t="n"/>
      <c r="BZ68" s="831" t="n"/>
      <c r="CA68" s="831" t="n"/>
      <c r="CB68" s="831" t="n"/>
      <c r="CC68" s="831" t="n"/>
      <c r="CD68" s="831" t="n"/>
      <c r="CE68" s="831" t="n"/>
      <c r="CF68" s="831" t="n"/>
      <c r="CG68" s="831" t="n"/>
      <c r="CH68" s="831" t="n"/>
      <c r="CI68" s="833" t="n"/>
      <c r="CJ68" s="831" t="n"/>
      <c r="CK68" s="831" t="n"/>
      <c r="CL68" s="831" t="n"/>
      <c r="CM68" s="831" t="n"/>
      <c r="CN68" s="831" t="n"/>
      <c r="CO68" s="831" t="n"/>
      <c r="CP68" s="831" t="n"/>
      <c r="CQ68" s="831" t="n"/>
      <c r="CR68" s="831" t="n"/>
      <c r="CS68" s="831" t="n"/>
      <c r="CT68" s="831" t="n"/>
      <c r="CU68" s="833" t="n"/>
      <c r="CV68" s="831" t="n"/>
      <c r="CW68" s="831" t="n"/>
      <c r="CX68" s="831" t="n"/>
      <c r="CY68" s="831" t="n"/>
      <c r="CZ68" s="831" t="n"/>
      <c r="DA68" s="831" t="n"/>
      <c r="DB68" s="831" t="n"/>
      <c r="DC68" s="831" t="n"/>
      <c r="DD68" s="831" t="n"/>
      <c r="DE68" s="831" t="n"/>
      <c r="DF68" s="831" t="n"/>
      <c r="DG68" s="831" t="n"/>
    </row>
    <row r="69" customFormat="1" s="822">
      <c r="B69" s="1" t="inlineStr">
        <is>
          <t>Expenses</t>
        </is>
      </c>
      <c r="C69" s="1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I69" s="509" t="n"/>
      <c r="AJ69" s="509" t="n"/>
      <c r="AK69" s="509" t="n"/>
      <c r="AL69" s="509" t="n"/>
      <c r="AM69" s="97" t="n"/>
      <c r="AW69" s="184" t="n"/>
      <c r="AY69" s="184" t="n"/>
      <c r="BK69" s="184" t="n"/>
      <c r="BW69" s="184" t="n"/>
      <c r="CI69" s="184" t="n"/>
      <c r="CU69" s="184" t="n"/>
    </row>
    <row r="70" customFormat="1" s="831">
      <c r="B70" s="1" t="inlineStr">
        <is>
          <t>30000 Sales &amp; Marketing Expenses</t>
        </is>
      </c>
      <c r="C70" s="1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M70" s="97" t="n"/>
      <c r="AW70" s="184" t="n"/>
      <c r="AY70" s="184" t="n"/>
      <c r="BK70" s="184" t="n"/>
      <c r="BW70" s="184" t="n"/>
      <c r="CI70" s="184" t="n"/>
      <c r="CU70" s="184" t="n"/>
    </row>
    <row r="71" customFormat="1" s="831">
      <c r="B71" s="1" t="inlineStr">
        <is>
          <t xml:space="preserve">   30200 Events/Sponsorships</t>
        </is>
      </c>
      <c r="C71" s="1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C71" s="707" t="n">
        <v>1179.44</v>
      </c>
      <c r="AD71" s="707" t="n"/>
      <c r="AE71" s="707" t="n">
        <v>2400</v>
      </c>
      <c r="AF71" s="707" t="n"/>
      <c r="AG71" s="707" t="n">
        <v>665.5599999999999</v>
      </c>
      <c r="AH71" s="707" t="n">
        <v>0</v>
      </c>
      <c r="AI71" s="707" t="n">
        <v>0</v>
      </c>
      <c r="AJ71" s="707" t="n">
        <v>0</v>
      </c>
      <c r="AK71" s="707" t="n">
        <v>0</v>
      </c>
      <c r="AL71" s="707" t="n">
        <v>0</v>
      </c>
      <c r="AM71" s="513" t="n">
        <v>0</v>
      </c>
      <c r="AN71" s="707" t="n">
        <v>0</v>
      </c>
      <c r="AO71" s="707" t="n">
        <v>0</v>
      </c>
      <c r="AP71" s="707" t="n">
        <v>0</v>
      </c>
      <c r="AQ71" s="707" t="n">
        <v>0</v>
      </c>
      <c r="AR71" s="707" t="n">
        <v>0</v>
      </c>
      <c r="AS71" s="707" t="n">
        <v>0</v>
      </c>
      <c r="AT71" s="707" t="n">
        <v>0</v>
      </c>
      <c r="AU71" s="707" t="n">
        <v>0</v>
      </c>
      <c r="AV71" s="707" t="n">
        <v>0</v>
      </c>
      <c r="AW71" s="708" t="n">
        <v>0</v>
      </c>
      <c r="AX71" s="707">
        <f>+IF(AX3&lt;&gt;AW3, SUM(AU71:AW71), 0)*1.1</f>
        <v/>
      </c>
      <c r="AY71" s="708">
        <f>+IF(AY3&lt;&gt;AX3, SUM(AV71:AX71), 0)*1.1</f>
        <v/>
      </c>
      <c r="AZ71" s="362">
        <f>+IF(AZ3&lt;&gt;AY3, SUM(AW71:AY71), 0)*1.1</f>
        <v/>
      </c>
      <c r="BA71" s="707">
        <f>+IF(BA3&lt;&gt;AZ3, SUM(AX71:AZ71), 0)*1.1</f>
        <v/>
      </c>
      <c r="BB71" s="707">
        <f>+IF(BB3&lt;&gt;BA3, SUM(AY71:BA71), 0)*1.1</f>
        <v/>
      </c>
      <c r="BC71" s="707">
        <f>+IF(BC3&lt;&gt;BB3, SUM(AZ71:BB71), 0)*1.1</f>
        <v/>
      </c>
      <c r="BD71" s="707">
        <f>+IF(BD3&lt;&gt;BC3, SUM(BA71:BC71), 0)*1.1</f>
        <v/>
      </c>
      <c r="BE71" s="707">
        <f>+IF(BE3&lt;&gt;BD3, SUM(BB71:BD71), 0)*1.1</f>
        <v/>
      </c>
      <c r="BF71" s="707">
        <f>+IF(BF3&lt;&gt;BE3, SUM(BC71:BE71), 0)*1.1</f>
        <v/>
      </c>
      <c r="BG71" s="707">
        <f>+IF(BG3&lt;&gt;BF3, SUM(BD71:BF71), 0)*1.1</f>
        <v/>
      </c>
      <c r="BH71" s="707">
        <f>+IF(BH3&lt;&gt;BG3, SUM(BE71:BG71), 0)*1.1</f>
        <v/>
      </c>
      <c r="BI71" s="707">
        <f>+IF(BI3&lt;&gt;BH3, SUM(BF71:BH71), 0)*1.1</f>
        <v/>
      </c>
      <c r="BJ71" s="707">
        <f>+IF(BJ3&lt;&gt;BI3, SUM(BG71:BI71), 0)*1.1</f>
        <v/>
      </c>
      <c r="BK71" s="708">
        <f>+IF(BK3&lt;&gt;BJ3, SUM(BH71:BJ71), 0)*1.1</f>
        <v/>
      </c>
      <c r="BL71" s="362">
        <f>+IF(BL3&lt;&gt;BK3, SUM(BI71:BK71), 0)*1.1</f>
        <v/>
      </c>
      <c r="BM71" s="707">
        <f>+IF(BM3&lt;&gt;BL3, SUM(BJ71:BL71), 0)*1.1</f>
        <v/>
      </c>
      <c r="BN71" s="707">
        <f>+IF(BN3&lt;&gt;BM3, SUM(BK71:BM71), 0)*1.1</f>
        <v/>
      </c>
      <c r="BO71" s="707">
        <f>+IF(BO3&lt;&gt;BN3, SUM(BL71:BN71), 0)*1.1</f>
        <v/>
      </c>
      <c r="BP71" s="707">
        <f>+IF(BP3&lt;&gt;BO3, SUM(BM71:BO71), 0)*1.1</f>
        <v/>
      </c>
      <c r="BQ71" s="707">
        <f>+IF(BQ3&lt;&gt;BP3, SUM(BN71:BP71), 0)*1.1</f>
        <v/>
      </c>
      <c r="BR71" s="707">
        <f>+IF(BR3&lt;&gt;BQ3, SUM(BO71:BQ71), 0)*1.1</f>
        <v/>
      </c>
      <c r="BS71" s="707">
        <f>+IF(BS3&lt;&gt;BR3, SUM(BP71:BR71), 0)*1.1</f>
        <v/>
      </c>
      <c r="BT71" s="707">
        <f>+IF(BT3&lt;&gt;BS3, SUM(BQ71:BS71), 0)*1.1</f>
        <v/>
      </c>
      <c r="BU71" s="707">
        <f>+IF(BU3&lt;&gt;BT3, SUM(BR71:BT71), 0)*1.1</f>
        <v/>
      </c>
      <c r="BV71" s="707">
        <f>+IF(BV3&lt;&gt;BU3, SUM(BS71:BU71), 0)*1.1</f>
        <v/>
      </c>
      <c r="BW71" s="708">
        <f>+IF(BW3&lt;&gt;BV3, SUM(BT71:BV71), 0)*1.1</f>
        <v/>
      </c>
      <c r="BX71" s="707">
        <f>+IF(BX3&lt;&gt;BW3, SUM(BU71:BW71), 0)*1.1</f>
        <v/>
      </c>
      <c r="BY71" s="707">
        <f>+IF(BY3&lt;&gt;BX3, SUM(BV71:BX71), 0)*1.1</f>
        <v/>
      </c>
      <c r="BZ71" s="707">
        <f>+IF(BZ3&lt;&gt;BY3, SUM(BW71:BY71), 0)*1.1</f>
        <v/>
      </c>
      <c r="CA71" s="707">
        <f>+IF(CA3&lt;&gt;BZ3, SUM(BX71:BZ71), 0)*1.1</f>
        <v/>
      </c>
      <c r="CB71" s="707">
        <f>+IF(CB3&lt;&gt;CA3, SUM(BY71:CA71), 0)*1.1</f>
        <v/>
      </c>
      <c r="CC71" s="707">
        <f>+IF(CC3&lt;&gt;CB3, SUM(BZ71:CB71), 0)*1.1</f>
        <v/>
      </c>
      <c r="CD71" s="707">
        <f>+IF(CD3&lt;&gt;CC3, SUM(CA71:CC71), 0)*1.1</f>
        <v/>
      </c>
      <c r="CE71" s="707">
        <f>+IF(CE3&lt;&gt;CD3, SUM(CB71:CD71), 0)*1.1</f>
        <v/>
      </c>
      <c r="CF71" s="707">
        <f>+IF(CF3&lt;&gt;CE3, SUM(CC71:CE71), 0)*1.1</f>
        <v/>
      </c>
      <c r="CG71" s="707">
        <f>+IF(CG3&lt;&gt;CF3, SUM(CD71:CF71), 0)*1.1</f>
        <v/>
      </c>
      <c r="CH71" s="707">
        <f>+IF(CH3&lt;&gt;CG3, SUM(CE71:CG71), 0)*1.1</f>
        <v/>
      </c>
      <c r="CI71" s="708">
        <f>+IF(CI3&lt;&gt;CH3, SUM(CF71:CH71), 0)*1.1</f>
        <v/>
      </c>
      <c r="CJ71" s="707">
        <f>+IF(CJ3&lt;&gt;CI3, SUM(CG71:CI71), 0)*1.1</f>
        <v/>
      </c>
      <c r="CK71" s="707">
        <f>+IF(CK3&lt;&gt;CJ3, SUM(CH71:CJ71), 0)*1.1</f>
        <v/>
      </c>
      <c r="CL71" s="707">
        <f>+IF(CL3&lt;&gt;CK3, SUM(CI71:CK71), 0)*1.1</f>
        <v/>
      </c>
      <c r="CM71" s="707">
        <f>+IF(CM3&lt;&gt;CL3, SUM(CJ71:CL71), 0)*1.1</f>
        <v/>
      </c>
      <c r="CN71" s="707">
        <f>+IF(CN3&lt;&gt;CM3, SUM(CK71:CM71), 0)*1.1</f>
        <v/>
      </c>
      <c r="CO71" s="707">
        <f>+IF(CO3&lt;&gt;CN3, SUM(CL71:CN71), 0)*1.1</f>
        <v/>
      </c>
      <c r="CP71" s="707">
        <f>+IF(CP3&lt;&gt;CO3, SUM(CM71:CO71), 0)*1.1</f>
        <v/>
      </c>
      <c r="CQ71" s="707">
        <f>+IF(CQ3&lt;&gt;CP3, SUM(CN71:CP71), 0)*1.1</f>
        <v/>
      </c>
      <c r="CR71" s="707">
        <f>+IF(CR3&lt;&gt;CQ3, SUM(CO71:CQ71), 0)*1.1</f>
        <v/>
      </c>
      <c r="CS71" s="707">
        <f>+IF(CS3&lt;&gt;CR3, SUM(CP71:CR71), 0)*1.1</f>
        <v/>
      </c>
      <c r="CT71" s="707">
        <f>+IF(CT3&lt;&gt;CS3, SUM(CQ71:CS71), 0)*1.1</f>
        <v/>
      </c>
      <c r="CU71" s="708">
        <f>+IF(CU3&lt;&gt;CT3, SUM(CR71:CT71), 0)*1.1</f>
        <v/>
      </c>
      <c r="CV71" s="362">
        <f>+IF(CV3&lt;&gt;CU3, SUM(CS71:CU71), 0)*1.1</f>
        <v/>
      </c>
      <c r="CW71" s="707">
        <f>+IF(CW3&lt;&gt;CV3, SUM(CT71:CV71), 0)*1.1</f>
        <v/>
      </c>
      <c r="CX71" s="707">
        <f>+IF(CX3&lt;&gt;CW3, SUM(CU71:CW71), 0)*1.1</f>
        <v/>
      </c>
      <c r="CY71" s="707">
        <f>+IF(CY3&lt;&gt;CX3, SUM(CV71:CX71), 0)*1.1</f>
        <v/>
      </c>
      <c r="CZ71" s="707">
        <f>+IF(CZ3&lt;&gt;CY3, SUM(CW71:CY71), 0)*1.1</f>
        <v/>
      </c>
      <c r="DA71" s="707">
        <f>+IF(DA3&lt;&gt;CZ3, SUM(CX71:CZ71), 0)*1.1</f>
        <v/>
      </c>
      <c r="DB71" s="707">
        <f>+IF(DB3&lt;&gt;DA3, SUM(CY71:DA71), 0)*1.1</f>
        <v/>
      </c>
      <c r="DC71" s="707">
        <f>+IF(DC3&lt;&gt;DB3, SUM(CZ71:DB71), 0)*1.1</f>
        <v/>
      </c>
      <c r="DD71" s="707">
        <f>+IF(DD3&lt;&gt;DC3, SUM(DA71:DC71), 0)*1.1</f>
        <v/>
      </c>
      <c r="DE71" s="707">
        <f>+IF(DE3&lt;&gt;DD3, SUM(DB71:DD71), 0)*1.1</f>
        <v/>
      </c>
      <c r="DF71" s="707">
        <f>+IF(DF3&lt;&gt;DE3, SUM(DC71:DE71), 0)*1.1</f>
        <v/>
      </c>
      <c r="DG71" s="707">
        <f>+IF(DG3&lt;&gt;DF3, SUM(DD71:DF71), 0)*1.1</f>
        <v/>
      </c>
    </row>
    <row r="72">
      <c r="B72" s="1" t="inlineStr">
        <is>
          <t>Total Sales &amp; Marketing Expenses</t>
        </is>
      </c>
      <c r="C72" s="1" t="n"/>
      <c r="D72" s="822" t="n"/>
      <c r="E72" s="822" t="n"/>
      <c r="F72" s="822" t="n"/>
      <c r="G72" s="822" t="n"/>
      <c r="H72" s="822" t="n"/>
      <c r="I72" s="822" t="n"/>
      <c r="J72" s="822" t="n"/>
      <c r="K72" s="822" t="n"/>
      <c r="L72" s="822" t="n"/>
      <c r="M72" s="822" t="n"/>
      <c r="N72" s="822" t="n"/>
      <c r="O72" s="822" t="n"/>
      <c r="P72" s="822">
        <f>SUM(P71)</f>
        <v/>
      </c>
      <c r="Q72" s="822">
        <f>SUM(Q71)</f>
        <v/>
      </c>
      <c r="R72" s="822">
        <f>SUM(R71)</f>
        <v/>
      </c>
      <c r="S72" s="822">
        <f>SUM(S71)</f>
        <v/>
      </c>
      <c r="T72" s="822">
        <f>SUM(T71)</f>
        <v/>
      </c>
      <c r="U72" s="822">
        <f>SUM(U71)</f>
        <v/>
      </c>
      <c r="V72" s="822">
        <f>SUM(V71)</f>
        <v/>
      </c>
      <c r="W72" s="822">
        <f>SUM(W71)</f>
        <v/>
      </c>
      <c r="X72" s="822">
        <f>SUM(X71)</f>
        <v/>
      </c>
      <c r="Y72" s="822">
        <f>SUM(Y71)</f>
        <v/>
      </c>
      <c r="Z72" s="822">
        <f>SUM(Z71)</f>
        <v/>
      </c>
      <c r="AA72" s="822">
        <f>SUM(AA71)</f>
        <v/>
      </c>
      <c r="AB72" s="822">
        <f>SUM(AB71)</f>
        <v/>
      </c>
      <c r="AC72" s="822">
        <f>SUM(AC71)</f>
        <v/>
      </c>
      <c r="AD72" s="822">
        <f>SUM(AD71)</f>
        <v/>
      </c>
      <c r="AE72" s="822">
        <f>SUM(AE71)</f>
        <v/>
      </c>
      <c r="AF72" s="822">
        <f>SUM(AF71)</f>
        <v/>
      </c>
      <c r="AG72" s="822">
        <f>SUM(AG71)</f>
        <v/>
      </c>
      <c r="AH72" s="822">
        <f>SUM(AH71)</f>
        <v/>
      </c>
      <c r="AI72" s="822">
        <f>SUM(AI71)</f>
        <v/>
      </c>
      <c r="AJ72" s="822">
        <f>SUM(AJ71)</f>
        <v/>
      </c>
      <c r="AK72" s="822">
        <f>SUM(AK71)</f>
        <v/>
      </c>
      <c r="AL72" s="822">
        <f>SUM(AL71)</f>
        <v/>
      </c>
      <c r="AM72" s="823">
        <f>SUM(AM71)</f>
        <v/>
      </c>
      <c r="AN72" s="822">
        <f>SUM(AN71)</f>
        <v/>
      </c>
      <c r="AO72" s="822">
        <f>SUM(AO71)</f>
        <v/>
      </c>
      <c r="AP72" s="822">
        <f>SUM(AP71)</f>
        <v/>
      </c>
      <c r="AQ72" s="822">
        <f>SUM(AQ71)</f>
        <v/>
      </c>
      <c r="AR72" s="822">
        <f>SUM(AR71)</f>
        <v/>
      </c>
      <c r="AS72" s="822">
        <f>SUM(AS71)</f>
        <v/>
      </c>
      <c r="AT72" s="822">
        <f>SUM(AT71)</f>
        <v/>
      </c>
      <c r="AU72" s="822">
        <f>SUM(AU71)</f>
        <v/>
      </c>
      <c r="AV72" s="822">
        <f>SUM(AV71)</f>
        <v/>
      </c>
      <c r="AW72" s="829">
        <f>SUM(AW71)</f>
        <v/>
      </c>
      <c r="AX72" s="822">
        <f>SUM(AX71)</f>
        <v/>
      </c>
      <c r="AY72" s="829">
        <f>SUM(AY71)</f>
        <v/>
      </c>
      <c r="AZ72" s="822">
        <f>SUM(AZ71)</f>
        <v/>
      </c>
      <c r="BA72" s="822">
        <f>SUM(BA71)</f>
        <v/>
      </c>
      <c r="BB72" s="822">
        <f>SUM(BB71)</f>
        <v/>
      </c>
      <c r="BC72" s="822">
        <f>SUM(BC71)</f>
        <v/>
      </c>
      <c r="BD72" s="822">
        <f>SUM(BD71)</f>
        <v/>
      </c>
      <c r="BE72" s="822">
        <f>SUM(BE71)</f>
        <v/>
      </c>
      <c r="BF72" s="822">
        <f>SUM(BF71)</f>
        <v/>
      </c>
      <c r="BG72" s="822">
        <f>SUM(BG71)</f>
        <v/>
      </c>
      <c r="BH72" s="822">
        <f>SUM(BH71)</f>
        <v/>
      </c>
      <c r="BI72" s="822">
        <f>SUM(BI71)</f>
        <v/>
      </c>
      <c r="BJ72" s="822">
        <f>SUM(BJ71)</f>
        <v/>
      </c>
      <c r="BK72" s="829">
        <f>SUM(BK71)</f>
        <v/>
      </c>
      <c r="BL72" s="822">
        <f>SUM(BL71)</f>
        <v/>
      </c>
      <c r="BM72" s="822">
        <f>SUM(BM71)</f>
        <v/>
      </c>
      <c r="BN72" s="822">
        <f>SUM(BN71)</f>
        <v/>
      </c>
      <c r="BO72" s="822">
        <f>SUM(BO71)</f>
        <v/>
      </c>
      <c r="BP72" s="822">
        <f>SUM(BP71)</f>
        <v/>
      </c>
      <c r="BQ72" s="822">
        <f>SUM(BQ71)</f>
        <v/>
      </c>
      <c r="BR72" s="822">
        <f>SUM(BR71)</f>
        <v/>
      </c>
      <c r="BS72" s="822">
        <f>SUM(BS71)</f>
        <v/>
      </c>
      <c r="BT72" s="822">
        <f>SUM(BT71)</f>
        <v/>
      </c>
      <c r="BU72" s="822">
        <f>SUM(BU71)</f>
        <v/>
      </c>
      <c r="BV72" s="822">
        <f>SUM(BV71)</f>
        <v/>
      </c>
      <c r="BW72" s="829">
        <f>SUM(BW71)</f>
        <v/>
      </c>
      <c r="BX72" s="822">
        <f>SUM(BX71)</f>
        <v/>
      </c>
      <c r="BY72" s="822">
        <f>SUM(BY71)</f>
        <v/>
      </c>
      <c r="BZ72" s="822">
        <f>SUM(BZ71)</f>
        <v/>
      </c>
      <c r="CA72" s="822">
        <f>SUM(CA71)</f>
        <v/>
      </c>
      <c r="CB72" s="822">
        <f>SUM(CB71)</f>
        <v/>
      </c>
      <c r="CC72" s="822">
        <f>SUM(CC71)</f>
        <v/>
      </c>
      <c r="CD72" s="822">
        <f>SUM(CD71)</f>
        <v/>
      </c>
      <c r="CE72" s="822">
        <f>SUM(CE71)</f>
        <v/>
      </c>
      <c r="CF72" s="822">
        <f>SUM(CF71)</f>
        <v/>
      </c>
      <c r="CG72" s="822">
        <f>SUM(CG71)</f>
        <v/>
      </c>
      <c r="CH72" s="822">
        <f>SUM(CH71)</f>
        <v/>
      </c>
      <c r="CI72" s="829">
        <f>SUM(CI71)</f>
        <v/>
      </c>
      <c r="CJ72" s="822">
        <f>SUM(CJ71)</f>
        <v/>
      </c>
      <c r="CK72" s="822">
        <f>SUM(CK71)</f>
        <v/>
      </c>
      <c r="CL72" s="822">
        <f>SUM(CL71)</f>
        <v/>
      </c>
      <c r="CM72" s="822">
        <f>SUM(CM71)</f>
        <v/>
      </c>
      <c r="CN72" s="822">
        <f>SUM(CN71)</f>
        <v/>
      </c>
      <c r="CO72" s="822">
        <f>SUM(CO71)</f>
        <v/>
      </c>
      <c r="CP72" s="822">
        <f>SUM(CP71)</f>
        <v/>
      </c>
      <c r="CQ72" s="822">
        <f>SUM(CQ71)</f>
        <v/>
      </c>
      <c r="CR72" s="822">
        <f>SUM(CR71)</f>
        <v/>
      </c>
      <c r="CS72" s="822">
        <f>SUM(CS71)</f>
        <v/>
      </c>
      <c r="CT72" s="822">
        <f>SUM(CT71)</f>
        <v/>
      </c>
      <c r="CU72" s="829">
        <f>SUM(CU71)</f>
        <v/>
      </c>
      <c r="CV72" s="822">
        <f>SUM(CV71)</f>
        <v/>
      </c>
      <c r="CW72" s="822">
        <f>SUM(CW71)</f>
        <v/>
      </c>
      <c r="CX72" s="822">
        <f>SUM(CX71)</f>
        <v/>
      </c>
      <c r="CY72" s="822">
        <f>SUM(CY71)</f>
        <v/>
      </c>
      <c r="CZ72" s="822">
        <f>SUM(CZ71)</f>
        <v/>
      </c>
      <c r="DA72" s="822">
        <f>SUM(DA71)</f>
        <v/>
      </c>
      <c r="DB72" s="822">
        <f>SUM(DB71)</f>
        <v/>
      </c>
      <c r="DC72" s="822">
        <f>SUM(DC71)</f>
        <v/>
      </c>
      <c r="DD72" s="822">
        <f>SUM(DD71)</f>
        <v/>
      </c>
      <c r="DE72" s="822">
        <f>SUM(DE71)</f>
        <v/>
      </c>
      <c r="DF72" s="822">
        <f>SUM(DF71)</f>
        <v/>
      </c>
      <c r="DG72" s="822">
        <f>SUM(DG71)</f>
        <v/>
      </c>
    </row>
    <row r="73" customFormat="1" s="831">
      <c r="B73" s="1" t="n"/>
      <c r="C73" s="1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M73" s="97" t="n"/>
      <c r="AW73" s="184" t="n"/>
      <c r="AY73" s="184" t="n"/>
      <c r="BK73" s="184" t="n"/>
      <c r="BW73" s="184" t="n"/>
      <c r="CI73" s="184" t="n"/>
      <c r="CU73" s="184" t="n"/>
    </row>
    <row r="74" customFormat="1" s="831">
      <c r="B74" s="1" t="inlineStr">
        <is>
          <t>60000 G&amp;A Expenses</t>
        </is>
      </c>
      <c r="C74" s="1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M74" s="97" t="n"/>
      <c r="AW74" s="184" t="n"/>
      <c r="AY74" s="184" t="n"/>
      <c r="BK74" s="184" t="n"/>
      <c r="BW74" s="184" t="n"/>
      <c r="CI74" s="184" t="n"/>
      <c r="CU74" s="184" t="n"/>
    </row>
    <row r="75" customFormat="1" s="831">
      <c r="B75" s="1" t="inlineStr">
        <is>
          <t>60000 General &amp; Administrative Expenses</t>
        </is>
      </c>
      <c r="C75" s="1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M75" s="97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597" t="n"/>
      <c r="AY75" s="184" t="n"/>
      <c r="BK75" s="184" t="n"/>
      <c r="BW75" s="184" t="n"/>
      <c r="CI75" s="184" t="n"/>
      <c r="CU75" s="184" t="n"/>
    </row>
    <row r="76" customFormat="1" s="831">
      <c r="B76" s="1" t="inlineStr">
        <is>
          <t xml:space="preserve">   Owner Salary</t>
        </is>
      </c>
      <c r="C76" s="1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M76" s="97" t="n"/>
      <c r="AN76" s="707" t="n">
        <v>1275</v>
      </c>
      <c r="AO76" s="707" t="n">
        <v>4005</v>
      </c>
      <c r="AP76" s="707" t="n">
        <v>4410</v>
      </c>
      <c r="AQ76" s="707" t="n">
        <v>2450</v>
      </c>
      <c r="AR76" s="707" t="n">
        <v>1960</v>
      </c>
      <c r="AS76" s="707" t="n">
        <v>2450</v>
      </c>
      <c r="AT76" s="707" t="n">
        <v>7280</v>
      </c>
      <c r="AU76" s="707" t="n">
        <v>14252.7</v>
      </c>
      <c r="AV76" s="707">
        <f>9800</f>
        <v/>
      </c>
      <c r="AW76" s="708">
        <f>14350</f>
        <v/>
      </c>
      <c r="AX76" s="716">
        <f>+'People Plan'!Z19</f>
        <v/>
      </c>
      <c r="AY76" s="534">
        <f>+'People Plan'!AA19</f>
        <v/>
      </c>
      <c r="AZ76" s="715">
        <f>+'People Plan'!AB19</f>
        <v/>
      </c>
      <c r="BA76" s="715">
        <f>+'People Plan'!AC19</f>
        <v/>
      </c>
      <c r="BB76" s="715">
        <f>+'People Plan'!AD19</f>
        <v/>
      </c>
      <c r="BC76" s="715">
        <f>+'People Plan'!AE19</f>
        <v/>
      </c>
      <c r="BD76" s="715">
        <f>+'People Plan'!AF19</f>
        <v/>
      </c>
      <c r="BE76" s="715">
        <f>+'People Plan'!AG19</f>
        <v/>
      </c>
      <c r="BF76" s="715">
        <f>+'People Plan'!AH19</f>
        <v/>
      </c>
      <c r="BG76" s="715">
        <f>+'People Plan'!AI19</f>
        <v/>
      </c>
      <c r="BH76" s="715">
        <f>+'People Plan'!AJ19</f>
        <v/>
      </c>
      <c r="BI76" s="715">
        <f>+'People Plan'!AK19</f>
        <v/>
      </c>
      <c r="BJ76" s="715">
        <f>+'People Plan'!AL19</f>
        <v/>
      </c>
      <c r="BK76" s="534">
        <f>+'People Plan'!AM19</f>
        <v/>
      </c>
      <c r="BL76" s="715">
        <f>+'People Plan'!AN19</f>
        <v/>
      </c>
      <c r="BM76" s="715">
        <f>+'People Plan'!AO19</f>
        <v/>
      </c>
      <c r="BN76" s="715">
        <f>+'People Plan'!AP19</f>
        <v/>
      </c>
      <c r="BO76" s="715">
        <f>+'People Plan'!AQ19</f>
        <v/>
      </c>
      <c r="BP76" s="715">
        <f>+'People Plan'!AR19</f>
        <v/>
      </c>
      <c r="BQ76" s="715">
        <f>+'People Plan'!AS19</f>
        <v/>
      </c>
      <c r="BR76" s="715">
        <f>+'People Plan'!AT19</f>
        <v/>
      </c>
      <c r="BS76" s="715">
        <f>+'People Plan'!AU19</f>
        <v/>
      </c>
      <c r="BT76" s="715">
        <f>+'People Plan'!AV19</f>
        <v/>
      </c>
      <c r="BU76" s="715">
        <f>+'People Plan'!AW19</f>
        <v/>
      </c>
      <c r="BV76" s="715">
        <f>+'People Plan'!AX19</f>
        <v/>
      </c>
      <c r="BW76" s="534">
        <f>+'People Plan'!AY19</f>
        <v/>
      </c>
      <c r="BX76" s="715">
        <f>+'People Plan'!AZ19</f>
        <v/>
      </c>
      <c r="BY76" s="715">
        <f>+'People Plan'!BA19</f>
        <v/>
      </c>
      <c r="BZ76" s="715">
        <f>+'People Plan'!BB19</f>
        <v/>
      </c>
      <c r="CA76" s="715">
        <f>+'People Plan'!BC19</f>
        <v/>
      </c>
      <c r="CB76" s="715">
        <f>+'People Plan'!BD19</f>
        <v/>
      </c>
      <c r="CC76" s="715">
        <f>+'People Plan'!BE19</f>
        <v/>
      </c>
      <c r="CD76" s="715">
        <f>+'People Plan'!BF19</f>
        <v/>
      </c>
      <c r="CE76" s="715">
        <f>+'People Plan'!BG19</f>
        <v/>
      </c>
      <c r="CF76" s="715">
        <f>+'People Plan'!BH19</f>
        <v/>
      </c>
      <c r="CG76" s="715">
        <f>+'People Plan'!BI19</f>
        <v/>
      </c>
      <c r="CH76" s="715">
        <f>+'People Plan'!BJ19</f>
        <v/>
      </c>
      <c r="CI76" s="534">
        <f>+'People Plan'!BK19</f>
        <v/>
      </c>
      <c r="CJ76" s="715">
        <f>+'People Plan'!BL19</f>
        <v/>
      </c>
      <c r="CK76" s="715">
        <f>+'People Plan'!BM19</f>
        <v/>
      </c>
      <c r="CL76" s="715">
        <f>+'People Plan'!BN19</f>
        <v/>
      </c>
      <c r="CM76" s="715">
        <f>+'People Plan'!BO19</f>
        <v/>
      </c>
      <c r="CN76" s="715">
        <f>+'People Plan'!BP19</f>
        <v/>
      </c>
      <c r="CO76" s="715">
        <f>+'People Plan'!BQ19</f>
        <v/>
      </c>
      <c r="CP76" s="715">
        <f>+'People Plan'!BR19</f>
        <v/>
      </c>
      <c r="CQ76" s="715">
        <f>+'People Plan'!BS19</f>
        <v/>
      </c>
      <c r="CR76" s="715">
        <f>+'People Plan'!BT19</f>
        <v/>
      </c>
      <c r="CS76" s="715">
        <f>+'People Plan'!BU19</f>
        <v/>
      </c>
      <c r="CT76" s="715">
        <f>+'People Plan'!BV19</f>
        <v/>
      </c>
      <c r="CU76" s="534">
        <f>+'People Plan'!BW19</f>
        <v/>
      </c>
      <c r="CV76" s="715">
        <f>+'People Plan'!BX19</f>
        <v/>
      </c>
      <c r="CW76" s="715">
        <f>+'People Plan'!BY19</f>
        <v/>
      </c>
      <c r="CX76" s="715">
        <f>+'People Plan'!BZ19</f>
        <v/>
      </c>
      <c r="CY76" s="715">
        <f>+'People Plan'!CA19</f>
        <v/>
      </c>
      <c r="CZ76" s="715">
        <f>+'People Plan'!CB19</f>
        <v/>
      </c>
      <c r="DA76" s="715">
        <f>+'People Plan'!CC19</f>
        <v/>
      </c>
      <c r="DB76" s="715">
        <f>+'People Plan'!CD19</f>
        <v/>
      </c>
      <c r="DC76" s="715">
        <f>+'People Plan'!CE19</f>
        <v/>
      </c>
      <c r="DD76" s="715">
        <f>+'People Plan'!CF19</f>
        <v/>
      </c>
      <c r="DE76" s="715">
        <f>+'People Plan'!CG19</f>
        <v/>
      </c>
      <c r="DF76" s="715">
        <f>+'People Plan'!CH19</f>
        <v/>
      </c>
      <c r="DG76" s="715">
        <f>+'People Plan'!CI19</f>
        <v/>
      </c>
    </row>
    <row r="77" customFormat="1" s="831">
      <c r="B77" s="1" t="inlineStr">
        <is>
          <t xml:space="preserve">     Owner Payroll Taxes</t>
        </is>
      </c>
      <c r="C77" s="1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M77" s="97" t="n"/>
      <c r="AN77" s="707" t="n">
        <v>137.07</v>
      </c>
      <c r="AO77" s="707" t="n">
        <v>435.82</v>
      </c>
      <c r="AP77" s="707" t="n">
        <v>416.3</v>
      </c>
      <c r="AQ77" s="707" t="n">
        <v>187.43</v>
      </c>
      <c r="AR77" s="707" t="n">
        <v>149.94</v>
      </c>
      <c r="AS77" s="707" t="n">
        <v>187.42</v>
      </c>
      <c r="AT77" s="707" t="n">
        <v>150.77</v>
      </c>
      <c r="AU77" s="707" t="n">
        <v>833.4400000000001</v>
      </c>
      <c r="AV77" s="707">
        <f>749.7</f>
        <v/>
      </c>
      <c r="AW77" s="708">
        <f>1097.77</f>
        <v/>
      </c>
      <c r="AX77" s="717">
        <f>+AX76*AX81</f>
        <v/>
      </c>
      <c r="AY77" s="536">
        <f>+AY76*AY81</f>
        <v/>
      </c>
      <c r="AZ77" s="535">
        <f>+AZ76*AZ81</f>
        <v/>
      </c>
      <c r="BA77" s="535">
        <f>+BA76*BA81</f>
        <v/>
      </c>
      <c r="BB77" s="535">
        <f>+BB76*BB81</f>
        <v/>
      </c>
      <c r="BC77" s="535">
        <f>+BC76*BC81</f>
        <v/>
      </c>
      <c r="BD77" s="535">
        <f>+BD76*BD81</f>
        <v/>
      </c>
      <c r="BE77" s="535">
        <f>+BE76*BE81</f>
        <v/>
      </c>
      <c r="BF77" s="535">
        <f>+BF76*BF81</f>
        <v/>
      </c>
      <c r="BG77" s="535">
        <f>+BG76*BG81</f>
        <v/>
      </c>
      <c r="BH77" s="535">
        <f>+BH76*BH81</f>
        <v/>
      </c>
      <c r="BI77" s="535">
        <f>+BI76*BI81</f>
        <v/>
      </c>
      <c r="BJ77" s="535">
        <f>+BJ76*BJ81</f>
        <v/>
      </c>
      <c r="BK77" s="536">
        <f>+BK76*BK81</f>
        <v/>
      </c>
      <c r="BL77" s="535">
        <f>+BL76*BL81</f>
        <v/>
      </c>
      <c r="BM77" s="535">
        <f>+BM76*BM81</f>
        <v/>
      </c>
      <c r="BN77" s="535">
        <f>+BN76*BN81</f>
        <v/>
      </c>
      <c r="BO77" s="535">
        <f>+BO76*BO81</f>
        <v/>
      </c>
      <c r="BP77" s="535">
        <f>+BP76*BP81</f>
        <v/>
      </c>
      <c r="BQ77" s="535">
        <f>+BQ76*BQ81</f>
        <v/>
      </c>
      <c r="BR77" s="535">
        <f>+BR76*BR81</f>
        <v/>
      </c>
      <c r="BS77" s="535">
        <f>+BS76*BS81</f>
        <v/>
      </c>
      <c r="BT77" s="535">
        <f>+BT76*BT81</f>
        <v/>
      </c>
      <c r="BU77" s="535">
        <f>+BU76*BU81</f>
        <v/>
      </c>
      <c r="BV77" s="535">
        <f>+BV76*BV81</f>
        <v/>
      </c>
      <c r="BW77" s="536">
        <f>+BW76*BW81</f>
        <v/>
      </c>
      <c r="BX77" s="535">
        <f>+BX76*BX81</f>
        <v/>
      </c>
      <c r="BY77" s="535">
        <f>+BY76*BY81</f>
        <v/>
      </c>
      <c r="BZ77" s="535">
        <f>+BZ76*BZ81</f>
        <v/>
      </c>
      <c r="CA77" s="535">
        <f>+CA76*CA81</f>
        <v/>
      </c>
      <c r="CB77" s="535">
        <f>+CB76*CB81</f>
        <v/>
      </c>
      <c r="CC77" s="535">
        <f>+CC76*CC81</f>
        <v/>
      </c>
      <c r="CD77" s="535">
        <f>+CD76*CD81</f>
        <v/>
      </c>
      <c r="CE77" s="535">
        <f>+CE76*CE81</f>
        <v/>
      </c>
      <c r="CF77" s="535">
        <f>+CF76*CF81</f>
        <v/>
      </c>
      <c r="CG77" s="535">
        <f>+CG76*CG81</f>
        <v/>
      </c>
      <c r="CH77" s="535">
        <f>+CH76*CH81</f>
        <v/>
      </c>
      <c r="CI77" s="536">
        <f>+CI76*CI81</f>
        <v/>
      </c>
      <c r="CJ77" s="535">
        <f>+CJ76*CJ81</f>
        <v/>
      </c>
      <c r="CK77" s="535">
        <f>+CK76*CK81</f>
        <v/>
      </c>
      <c r="CL77" s="535">
        <f>+CL76*CL81</f>
        <v/>
      </c>
      <c r="CM77" s="535">
        <f>+CM76*CM81</f>
        <v/>
      </c>
      <c r="CN77" s="535">
        <f>+CN76*CN81</f>
        <v/>
      </c>
      <c r="CO77" s="535">
        <f>+CO76*CO81</f>
        <v/>
      </c>
      <c r="CP77" s="535">
        <f>+CP76*CP81</f>
        <v/>
      </c>
      <c r="CQ77" s="535">
        <f>+CQ76*CQ81</f>
        <v/>
      </c>
      <c r="CR77" s="535">
        <f>+CR76*CR81</f>
        <v/>
      </c>
      <c r="CS77" s="535">
        <f>+CS76*CS81</f>
        <v/>
      </c>
      <c r="CT77" s="535">
        <f>+CT76*CT81</f>
        <v/>
      </c>
      <c r="CU77" s="536">
        <f>+CU76*CU81</f>
        <v/>
      </c>
      <c r="CV77" s="535">
        <f>+CV76*CV81</f>
        <v/>
      </c>
      <c r="CW77" s="535">
        <f>+CW76*CW81</f>
        <v/>
      </c>
      <c r="CX77" s="535">
        <f>+CX76*CX81</f>
        <v/>
      </c>
      <c r="CY77" s="535">
        <f>+CY76*CY81</f>
        <v/>
      </c>
      <c r="CZ77" s="535">
        <f>+CZ76*CZ81</f>
        <v/>
      </c>
      <c r="DA77" s="535">
        <f>+DA76*DA81</f>
        <v/>
      </c>
      <c r="DB77" s="535">
        <f>+DB76*DB81</f>
        <v/>
      </c>
      <c r="DC77" s="535">
        <f>+DC76*DC81</f>
        <v/>
      </c>
      <c r="DD77" s="535">
        <f>+DD76*DD81</f>
        <v/>
      </c>
      <c r="DE77" s="535">
        <f>+DE76*DE81</f>
        <v/>
      </c>
      <c r="DF77" s="535">
        <f>+DF76*DF81</f>
        <v/>
      </c>
      <c r="DG77" s="535">
        <f>+DG76*DG81</f>
        <v/>
      </c>
    </row>
    <row r="78" customFormat="1" s="831">
      <c r="B78" s="1" t="inlineStr">
        <is>
          <t xml:space="preserve">     Owner Benefits</t>
        </is>
      </c>
      <c r="C78" s="1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M78" s="97" t="n"/>
      <c r="AN78" s="707" t="n">
        <v>0</v>
      </c>
      <c r="AO78" s="707" t="n">
        <v>0</v>
      </c>
      <c r="AP78" s="707" t="n">
        <v>0</v>
      </c>
      <c r="AQ78" s="707" t="n">
        <v>0</v>
      </c>
      <c r="AR78" s="707" t="n">
        <v>0</v>
      </c>
      <c r="AS78" s="707" t="n">
        <v>0</v>
      </c>
      <c r="AT78" s="707" t="n">
        <v>0</v>
      </c>
      <c r="AU78" s="707" t="n">
        <v>0</v>
      </c>
      <c r="AV78" s="707" t="n">
        <v>0</v>
      </c>
      <c r="AW78" s="708" t="n">
        <v>0</v>
      </c>
      <c r="AX78" s="717">
        <f>+AX76*AX82</f>
        <v/>
      </c>
      <c r="AY78" s="536">
        <f>+AY76*AY82</f>
        <v/>
      </c>
      <c r="AZ78" s="535">
        <f>+AZ76*AZ82</f>
        <v/>
      </c>
      <c r="BA78" s="535">
        <f>+BA76*BA82</f>
        <v/>
      </c>
      <c r="BB78" s="535">
        <f>+BB76*BB82</f>
        <v/>
      </c>
      <c r="BC78" s="535">
        <f>+BC76*BC82</f>
        <v/>
      </c>
      <c r="BD78" s="535">
        <f>+BD76*BD82</f>
        <v/>
      </c>
      <c r="BE78" s="535">
        <f>+BE76*BE82</f>
        <v/>
      </c>
      <c r="BF78" s="535">
        <f>+BF76*BF82</f>
        <v/>
      </c>
      <c r="BG78" s="535">
        <f>+BG76*BG82</f>
        <v/>
      </c>
      <c r="BH78" s="535">
        <f>+BH76*BH82</f>
        <v/>
      </c>
      <c r="BI78" s="535">
        <f>+BI76*BI82</f>
        <v/>
      </c>
      <c r="BJ78" s="535">
        <f>+BJ76*BJ82</f>
        <v/>
      </c>
      <c r="BK78" s="536">
        <f>+BK76*BK82</f>
        <v/>
      </c>
      <c r="BL78" s="535">
        <f>+BL76*BL82</f>
        <v/>
      </c>
      <c r="BM78" s="535">
        <f>+BM76*BM82</f>
        <v/>
      </c>
      <c r="BN78" s="535">
        <f>+BN76*BN82</f>
        <v/>
      </c>
      <c r="BO78" s="535">
        <f>+BO76*BO82</f>
        <v/>
      </c>
      <c r="BP78" s="535">
        <f>+BP76*BP82</f>
        <v/>
      </c>
      <c r="BQ78" s="535">
        <f>+BQ76*BQ82</f>
        <v/>
      </c>
      <c r="BR78" s="535">
        <f>+BR76*BR82</f>
        <v/>
      </c>
      <c r="BS78" s="535">
        <f>+BS76*BS82</f>
        <v/>
      </c>
      <c r="BT78" s="535">
        <f>+BT76*BT82</f>
        <v/>
      </c>
      <c r="BU78" s="535">
        <f>+BU76*BU82</f>
        <v/>
      </c>
      <c r="BV78" s="535">
        <f>+BV76*BV82</f>
        <v/>
      </c>
      <c r="BW78" s="536">
        <f>+BW76*BW82</f>
        <v/>
      </c>
      <c r="BX78" s="535">
        <f>+BX76*BX82</f>
        <v/>
      </c>
      <c r="BY78" s="535">
        <f>+BY76*BY82</f>
        <v/>
      </c>
      <c r="BZ78" s="535">
        <f>+BZ76*BZ82</f>
        <v/>
      </c>
      <c r="CA78" s="535">
        <f>+CA76*CA82</f>
        <v/>
      </c>
      <c r="CB78" s="535">
        <f>+CB76*CB82</f>
        <v/>
      </c>
      <c r="CC78" s="535">
        <f>+CC76*CC82</f>
        <v/>
      </c>
      <c r="CD78" s="535">
        <f>+CD76*CD82</f>
        <v/>
      </c>
      <c r="CE78" s="535">
        <f>+CE76*CE82</f>
        <v/>
      </c>
      <c r="CF78" s="535">
        <f>+CF76*CF82</f>
        <v/>
      </c>
      <c r="CG78" s="535">
        <f>+CG76*CG82</f>
        <v/>
      </c>
      <c r="CH78" s="535">
        <f>+CH76*CH82</f>
        <v/>
      </c>
      <c r="CI78" s="536">
        <f>+CI76*CI82</f>
        <v/>
      </c>
      <c r="CJ78" s="535">
        <f>+CJ76*CJ82</f>
        <v/>
      </c>
      <c r="CK78" s="535">
        <f>+CK76*CK82</f>
        <v/>
      </c>
      <c r="CL78" s="535">
        <f>+CL76*CL82</f>
        <v/>
      </c>
      <c r="CM78" s="535">
        <f>+CM76*CM82</f>
        <v/>
      </c>
      <c r="CN78" s="535">
        <f>+CN76*CN82</f>
        <v/>
      </c>
      <c r="CO78" s="535">
        <f>+CO76*CO82</f>
        <v/>
      </c>
      <c r="CP78" s="535">
        <f>+CP76*CP82</f>
        <v/>
      </c>
      <c r="CQ78" s="535">
        <f>+CQ76*CQ82</f>
        <v/>
      </c>
      <c r="CR78" s="535">
        <f>+CR76*CR82</f>
        <v/>
      </c>
      <c r="CS78" s="535">
        <f>+CS76*CS82</f>
        <v/>
      </c>
      <c r="CT78" s="535">
        <f>+CT76*CT82</f>
        <v/>
      </c>
      <c r="CU78" s="536">
        <f>+CU76*CU82</f>
        <v/>
      </c>
      <c r="CV78" s="535">
        <f>+CV76*CV82</f>
        <v/>
      </c>
      <c r="CW78" s="535">
        <f>+CW76*CW82</f>
        <v/>
      </c>
      <c r="CX78" s="535">
        <f>+CX76*CX82</f>
        <v/>
      </c>
      <c r="CY78" s="535">
        <f>+CY76*CY82</f>
        <v/>
      </c>
      <c r="CZ78" s="535">
        <f>+CZ76*CZ82</f>
        <v/>
      </c>
      <c r="DA78" s="535">
        <f>+DA76*DA82</f>
        <v/>
      </c>
      <c r="DB78" s="535">
        <f>+DB76*DB82</f>
        <v/>
      </c>
      <c r="DC78" s="535">
        <f>+DC76*DC82</f>
        <v/>
      </c>
      <c r="DD78" s="535">
        <f>+DD76*DD82</f>
        <v/>
      </c>
      <c r="DE78" s="535">
        <f>+DE76*DE82</f>
        <v/>
      </c>
      <c r="DF78" s="535">
        <f>+DF76*DF82</f>
        <v/>
      </c>
      <c r="DG78" s="535">
        <f>+DG76*DG82</f>
        <v/>
      </c>
    </row>
    <row r="79" customFormat="1" s="831">
      <c r="B79" s="1" t="inlineStr">
        <is>
          <t xml:space="preserve">     Owner Reimbursements</t>
        </is>
      </c>
      <c r="C79" s="1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M79" s="97" t="n"/>
      <c r="AN79" s="707" t="n">
        <v>995.35</v>
      </c>
      <c r="AO79" s="707" t="n">
        <v>615</v>
      </c>
      <c r="AP79" s="707" t="n">
        <v>0</v>
      </c>
      <c r="AQ79" s="707" t="n">
        <v>0</v>
      </c>
      <c r="AR79" s="707" t="n">
        <v>0</v>
      </c>
      <c r="AS79" s="707" t="n">
        <v>0</v>
      </c>
      <c r="AT79" s="707" t="n">
        <v>0</v>
      </c>
      <c r="AU79" s="707" t="n">
        <v>0</v>
      </c>
      <c r="AV79" s="707" t="n">
        <v>0</v>
      </c>
      <c r="AW79" s="708" t="n">
        <v>0</v>
      </c>
      <c r="AX79" s="717" t="n">
        <v>0</v>
      </c>
      <c r="AY79" s="536">
        <f>+AX79</f>
        <v/>
      </c>
      <c r="AZ79" s="535">
        <f>+AY79</f>
        <v/>
      </c>
      <c r="BA79" s="535">
        <f>+AZ79</f>
        <v/>
      </c>
      <c r="BB79" s="535">
        <f>+BA79</f>
        <v/>
      </c>
      <c r="BC79" s="535">
        <f>+BB79</f>
        <v/>
      </c>
      <c r="BD79" s="535">
        <f>+BC79</f>
        <v/>
      </c>
      <c r="BE79" s="535">
        <f>+BD79</f>
        <v/>
      </c>
      <c r="BF79" s="535">
        <f>+BE79</f>
        <v/>
      </c>
      <c r="BG79" s="535">
        <f>+BF79</f>
        <v/>
      </c>
      <c r="BH79" s="535">
        <f>+BG79</f>
        <v/>
      </c>
      <c r="BI79" s="535">
        <f>+BH79</f>
        <v/>
      </c>
      <c r="BJ79" s="535">
        <f>+BI79</f>
        <v/>
      </c>
      <c r="BK79" s="536">
        <f>+BJ79</f>
        <v/>
      </c>
      <c r="BL79" s="535">
        <f>+BK79</f>
        <v/>
      </c>
      <c r="BM79" s="535">
        <f>+BL79</f>
        <v/>
      </c>
      <c r="BN79" s="535">
        <f>+BM79</f>
        <v/>
      </c>
      <c r="BO79" s="535">
        <f>+BN79</f>
        <v/>
      </c>
      <c r="BP79" s="535">
        <f>+BO79</f>
        <v/>
      </c>
      <c r="BQ79" s="535">
        <f>+BP79</f>
        <v/>
      </c>
      <c r="BR79" s="535">
        <f>+BQ79</f>
        <v/>
      </c>
      <c r="BS79" s="535">
        <f>+BR79</f>
        <v/>
      </c>
      <c r="BT79" s="535">
        <f>+BS79</f>
        <v/>
      </c>
      <c r="BU79" s="535">
        <f>+BT79</f>
        <v/>
      </c>
      <c r="BV79" s="535">
        <f>+BU79</f>
        <v/>
      </c>
      <c r="BW79" s="536">
        <f>+BV79</f>
        <v/>
      </c>
      <c r="BX79" s="535">
        <f>+BW79</f>
        <v/>
      </c>
      <c r="BY79" s="535">
        <f>+BX79</f>
        <v/>
      </c>
      <c r="BZ79" s="535">
        <f>+BY79</f>
        <v/>
      </c>
      <c r="CA79" s="535">
        <f>+BZ79</f>
        <v/>
      </c>
      <c r="CB79" s="535">
        <f>+CA79</f>
        <v/>
      </c>
      <c r="CC79" s="535">
        <f>+CB79</f>
        <v/>
      </c>
      <c r="CD79" s="535">
        <f>+CC79</f>
        <v/>
      </c>
      <c r="CE79" s="535">
        <f>+CD79</f>
        <v/>
      </c>
      <c r="CF79" s="535">
        <f>+CE79</f>
        <v/>
      </c>
      <c r="CG79" s="535">
        <f>+CF79</f>
        <v/>
      </c>
      <c r="CH79" s="535">
        <f>+CG79</f>
        <v/>
      </c>
      <c r="CI79" s="536">
        <f>+CH79</f>
        <v/>
      </c>
      <c r="CJ79" s="535">
        <f>+CI79</f>
        <v/>
      </c>
      <c r="CK79" s="535">
        <f>+CJ79</f>
        <v/>
      </c>
      <c r="CL79" s="535">
        <f>+CK79</f>
        <v/>
      </c>
      <c r="CM79" s="535">
        <f>+CL79</f>
        <v/>
      </c>
      <c r="CN79" s="535">
        <f>+CM79</f>
        <v/>
      </c>
      <c r="CO79" s="535">
        <f>+CN79</f>
        <v/>
      </c>
      <c r="CP79" s="535">
        <f>+CO79</f>
        <v/>
      </c>
      <c r="CQ79" s="535">
        <f>+CP79</f>
        <v/>
      </c>
      <c r="CR79" s="535">
        <f>+CQ79</f>
        <v/>
      </c>
      <c r="CS79" s="535">
        <f>+CR79</f>
        <v/>
      </c>
      <c r="CT79" s="535">
        <f>+CS79</f>
        <v/>
      </c>
      <c r="CU79" s="536">
        <f>+CT79</f>
        <v/>
      </c>
      <c r="CV79" s="535">
        <f>+CU79</f>
        <v/>
      </c>
      <c r="CW79" s="535">
        <f>+CV79</f>
        <v/>
      </c>
      <c r="CX79" s="535">
        <f>+CW79</f>
        <v/>
      </c>
      <c r="CY79" s="535">
        <f>+CX79</f>
        <v/>
      </c>
      <c r="CZ79" s="535">
        <f>+CY79</f>
        <v/>
      </c>
      <c r="DA79" s="535">
        <f>+CZ79</f>
        <v/>
      </c>
      <c r="DB79" s="535">
        <f>+DA79</f>
        <v/>
      </c>
      <c r="DC79" s="535">
        <f>+DB79</f>
        <v/>
      </c>
      <c r="DD79" s="535">
        <f>+DC79</f>
        <v/>
      </c>
      <c r="DE79" s="535">
        <f>+DD79</f>
        <v/>
      </c>
      <c r="DF79" s="535">
        <f>+DE79</f>
        <v/>
      </c>
      <c r="DG79" s="535">
        <f>+DF79</f>
        <v/>
      </c>
    </row>
    <row r="80" customFormat="1" s="831">
      <c r="B80" s="4" t="inlineStr">
        <is>
          <t>Total Owner Payroll Burden</t>
        </is>
      </c>
      <c r="C80" s="4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H80" s="822">
        <f>SUM(AH76:AH78)</f>
        <v/>
      </c>
      <c r="AI80" s="822">
        <f>SUM(AI76:AI78)</f>
        <v/>
      </c>
      <c r="AJ80" s="822">
        <f>SUM(AJ76:AJ78)</f>
        <v/>
      </c>
      <c r="AK80" s="822">
        <f>SUM(AK76:AK78)</f>
        <v/>
      </c>
      <c r="AL80" s="822">
        <f>SUM(AL76:AL78)</f>
        <v/>
      </c>
      <c r="AM80" s="823">
        <f>SUM(AM76:AM78)</f>
        <v/>
      </c>
      <c r="AN80" s="822">
        <f>SUM(AN76:AN79)</f>
        <v/>
      </c>
      <c r="AO80" s="822">
        <f>SUM(AO76:AO79)</f>
        <v/>
      </c>
      <c r="AP80" s="822">
        <f>SUM(AP76:AP79)</f>
        <v/>
      </c>
      <c r="AQ80" s="822">
        <f>SUM(AQ76:AQ79)</f>
        <v/>
      </c>
      <c r="AR80" s="822">
        <f>SUM(AR76:AR79)</f>
        <v/>
      </c>
      <c r="AS80" s="822">
        <f>SUM(AS76:AS79)</f>
        <v/>
      </c>
      <c r="AT80" s="822">
        <f>SUM(AT76:AT79)</f>
        <v/>
      </c>
      <c r="AU80" s="822">
        <f>SUM(AU76:AU79)</f>
        <v/>
      </c>
      <c r="AV80" s="822">
        <f>SUM(AV76:AV79)</f>
        <v/>
      </c>
      <c r="AW80" s="829">
        <f>SUM(AW76:AW79)</f>
        <v/>
      </c>
      <c r="AX80" s="822">
        <f>SUM(AX76:AX79)</f>
        <v/>
      </c>
      <c r="AY80" s="829">
        <f>SUM(AY76:AY79)</f>
        <v/>
      </c>
      <c r="AZ80" s="822">
        <f>SUM(AZ76:AZ79)</f>
        <v/>
      </c>
      <c r="BA80" s="822">
        <f>SUM(BA76:BA79)</f>
        <v/>
      </c>
      <c r="BB80" s="822">
        <f>SUM(BB76:BB79)</f>
        <v/>
      </c>
      <c r="BC80" s="822">
        <f>SUM(BC76:BC79)</f>
        <v/>
      </c>
      <c r="BD80" s="822">
        <f>SUM(BD76:BD79)</f>
        <v/>
      </c>
      <c r="BE80" s="822">
        <f>SUM(BE76:BE79)</f>
        <v/>
      </c>
      <c r="BF80" s="822">
        <f>SUM(BF76:BF79)</f>
        <v/>
      </c>
      <c r="BG80" s="822">
        <f>SUM(BG76:BG79)</f>
        <v/>
      </c>
      <c r="BH80" s="822">
        <f>SUM(BH76:BH79)</f>
        <v/>
      </c>
      <c r="BI80" s="822">
        <f>SUM(BI76:BI79)</f>
        <v/>
      </c>
      <c r="BJ80" s="822">
        <f>SUM(BJ76:BJ79)</f>
        <v/>
      </c>
      <c r="BK80" s="829">
        <f>SUM(BK76:BK79)</f>
        <v/>
      </c>
      <c r="BL80" s="822">
        <f>SUM(BL76:BL79)</f>
        <v/>
      </c>
      <c r="BM80" s="822">
        <f>SUM(BM76:BM79)</f>
        <v/>
      </c>
      <c r="BN80" s="822">
        <f>SUM(BN76:BN79)</f>
        <v/>
      </c>
      <c r="BO80" s="822">
        <f>SUM(BO76:BO79)</f>
        <v/>
      </c>
      <c r="BP80" s="822">
        <f>SUM(BP76:BP79)</f>
        <v/>
      </c>
      <c r="BQ80" s="822">
        <f>SUM(BQ76:BQ79)</f>
        <v/>
      </c>
      <c r="BR80" s="822">
        <f>SUM(BR76:BR79)</f>
        <v/>
      </c>
      <c r="BS80" s="822">
        <f>SUM(BS76:BS79)</f>
        <v/>
      </c>
      <c r="BT80" s="822">
        <f>SUM(BT76:BT79)</f>
        <v/>
      </c>
      <c r="BU80" s="822">
        <f>SUM(BU76:BU79)</f>
        <v/>
      </c>
      <c r="BV80" s="822">
        <f>SUM(BV76:BV79)</f>
        <v/>
      </c>
      <c r="BW80" s="829">
        <f>SUM(BW76:BW79)</f>
        <v/>
      </c>
      <c r="BX80" s="822">
        <f>SUM(BX76:BX79)</f>
        <v/>
      </c>
      <c r="BY80" s="822">
        <f>SUM(BY76:BY79)</f>
        <v/>
      </c>
      <c r="BZ80" s="822">
        <f>SUM(BZ76:BZ79)</f>
        <v/>
      </c>
      <c r="CA80" s="822">
        <f>SUM(CA76:CA79)</f>
        <v/>
      </c>
      <c r="CB80" s="822">
        <f>SUM(CB76:CB79)</f>
        <v/>
      </c>
      <c r="CC80" s="822">
        <f>SUM(CC76:CC79)</f>
        <v/>
      </c>
      <c r="CD80" s="822">
        <f>SUM(CD76:CD79)</f>
        <v/>
      </c>
      <c r="CE80" s="822">
        <f>SUM(CE76:CE79)</f>
        <v/>
      </c>
      <c r="CF80" s="822">
        <f>SUM(CF76:CF79)</f>
        <v/>
      </c>
      <c r="CG80" s="822">
        <f>SUM(CG76:CG79)</f>
        <v/>
      </c>
      <c r="CH80" s="822">
        <f>SUM(CH76:CH79)</f>
        <v/>
      </c>
      <c r="CI80" s="829">
        <f>SUM(CI76:CI79)</f>
        <v/>
      </c>
      <c r="CJ80" s="822">
        <f>SUM(CJ76:CJ79)</f>
        <v/>
      </c>
      <c r="CK80" s="822">
        <f>SUM(CK76:CK79)</f>
        <v/>
      </c>
      <c r="CL80" s="822">
        <f>SUM(CL76:CL79)</f>
        <v/>
      </c>
      <c r="CM80" s="822">
        <f>SUM(CM76:CM79)</f>
        <v/>
      </c>
      <c r="CN80" s="822">
        <f>SUM(CN76:CN79)</f>
        <v/>
      </c>
      <c r="CO80" s="822">
        <f>SUM(CO76:CO79)</f>
        <v/>
      </c>
      <c r="CP80" s="822">
        <f>SUM(CP76:CP79)</f>
        <v/>
      </c>
      <c r="CQ80" s="822">
        <f>SUM(CQ76:CQ79)</f>
        <v/>
      </c>
      <c r="CR80" s="822">
        <f>SUM(CR76:CR79)</f>
        <v/>
      </c>
      <c r="CS80" s="822">
        <f>SUM(CS76:CS79)</f>
        <v/>
      </c>
      <c r="CT80" s="822">
        <f>SUM(CT76:CT79)</f>
        <v/>
      </c>
      <c r="CU80" s="829">
        <f>SUM(CU76:CU79)</f>
        <v/>
      </c>
      <c r="CV80" s="822">
        <f>SUM(CV76:CV79)</f>
        <v/>
      </c>
      <c r="CW80" s="822">
        <f>SUM(CW76:CW79)</f>
        <v/>
      </c>
      <c r="CX80" s="822">
        <f>SUM(CX76:CX79)</f>
        <v/>
      </c>
      <c r="CY80" s="822">
        <f>SUM(CY76:CY79)</f>
        <v/>
      </c>
      <c r="CZ80" s="822">
        <f>SUM(CZ76:CZ79)</f>
        <v/>
      </c>
      <c r="DA80" s="822">
        <f>SUM(DA76:DA79)</f>
        <v/>
      </c>
      <c r="DB80" s="822">
        <f>SUM(DB76:DB79)</f>
        <v/>
      </c>
      <c r="DC80" s="822">
        <f>SUM(DC76:DC79)</f>
        <v/>
      </c>
      <c r="DD80" s="822">
        <f>SUM(DD76:DD79)</f>
        <v/>
      </c>
      <c r="DE80" s="822">
        <f>SUM(DE76:DE79)</f>
        <v/>
      </c>
      <c r="DF80" s="822">
        <f>SUM(DF76:DF79)</f>
        <v/>
      </c>
      <c r="DG80" s="822">
        <f>SUM(DG76:DG79)</f>
        <v/>
      </c>
    </row>
    <row r="81" customFormat="1" s="831">
      <c r="B81" s="537" t="n"/>
      <c r="C81" s="537" t="inlineStr">
        <is>
          <t>Payroll Tax as a % of Salary</t>
        </is>
      </c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H81" s="885" t="n"/>
      <c r="AI81" s="885" t="n"/>
      <c r="AJ81" s="885" t="n"/>
      <c r="AK81" s="885" t="n"/>
      <c r="AL81" s="885" t="n"/>
      <c r="AM81" s="886" t="n"/>
      <c r="AN81" s="885">
        <f>+AN77/AN76</f>
        <v/>
      </c>
      <c r="AO81" s="885">
        <f>+AO77/AO76</f>
        <v/>
      </c>
      <c r="AP81" s="885">
        <f>+AP77/AP76</f>
        <v/>
      </c>
      <c r="AQ81" s="885">
        <f>+AQ77/AQ76</f>
        <v/>
      </c>
      <c r="AR81" s="885">
        <f>+AR77/AR76</f>
        <v/>
      </c>
      <c r="AS81" s="885">
        <f>+AS77/AS76</f>
        <v/>
      </c>
      <c r="AT81" s="885">
        <f>+AT77/AT76</f>
        <v/>
      </c>
      <c r="AU81" s="885">
        <f>+AU77/AU76</f>
        <v/>
      </c>
      <c r="AV81" s="885">
        <f>+AV77/AV76</f>
        <v/>
      </c>
      <c r="AW81" s="887">
        <f>+AW77/AW76</f>
        <v/>
      </c>
      <c r="AX81" s="888" t="n">
        <v>0.0765</v>
      </c>
      <c r="AY81" s="887">
        <f>+AX81</f>
        <v/>
      </c>
      <c r="AZ81" s="885">
        <f>+AY81</f>
        <v/>
      </c>
      <c r="BA81" s="885">
        <f>+AZ81</f>
        <v/>
      </c>
      <c r="BB81" s="885">
        <f>+BA81</f>
        <v/>
      </c>
      <c r="BC81" s="885">
        <f>+BB81</f>
        <v/>
      </c>
      <c r="BD81" s="885">
        <f>+BC81</f>
        <v/>
      </c>
      <c r="BE81" s="885">
        <f>+BD81</f>
        <v/>
      </c>
      <c r="BF81" s="885">
        <f>+BE81</f>
        <v/>
      </c>
      <c r="BG81" s="885">
        <f>+BF81</f>
        <v/>
      </c>
      <c r="BH81" s="885">
        <f>+BG81</f>
        <v/>
      </c>
      <c r="BI81" s="885">
        <f>+BH81</f>
        <v/>
      </c>
      <c r="BJ81" s="885">
        <f>+BI81</f>
        <v/>
      </c>
      <c r="BK81" s="887">
        <f>+BJ81</f>
        <v/>
      </c>
      <c r="BL81" s="885">
        <f>+BK81</f>
        <v/>
      </c>
      <c r="BM81" s="885">
        <f>+BL81</f>
        <v/>
      </c>
      <c r="BN81" s="885">
        <f>+BM81</f>
        <v/>
      </c>
      <c r="BO81" s="885">
        <f>+BN81</f>
        <v/>
      </c>
      <c r="BP81" s="885">
        <f>+BO81</f>
        <v/>
      </c>
      <c r="BQ81" s="885">
        <f>+BP81</f>
        <v/>
      </c>
      <c r="BR81" s="885">
        <f>+BQ81</f>
        <v/>
      </c>
      <c r="BS81" s="885">
        <f>+BR81</f>
        <v/>
      </c>
      <c r="BT81" s="885">
        <f>+BS81</f>
        <v/>
      </c>
      <c r="BU81" s="885">
        <f>+BT81</f>
        <v/>
      </c>
      <c r="BV81" s="885">
        <f>+BU81</f>
        <v/>
      </c>
      <c r="BW81" s="887">
        <f>+BV81</f>
        <v/>
      </c>
      <c r="BX81" s="885">
        <f>+BW81</f>
        <v/>
      </c>
      <c r="BY81" s="885">
        <f>+BX81</f>
        <v/>
      </c>
      <c r="BZ81" s="885">
        <f>+BY81</f>
        <v/>
      </c>
      <c r="CA81" s="885">
        <f>+BZ81</f>
        <v/>
      </c>
      <c r="CB81" s="885">
        <f>+CA81</f>
        <v/>
      </c>
      <c r="CC81" s="885">
        <f>+CB81</f>
        <v/>
      </c>
      <c r="CD81" s="885">
        <f>+CC81</f>
        <v/>
      </c>
      <c r="CE81" s="885">
        <f>+CD81</f>
        <v/>
      </c>
      <c r="CF81" s="885">
        <f>+CE81</f>
        <v/>
      </c>
      <c r="CG81" s="885">
        <f>+CF81</f>
        <v/>
      </c>
      <c r="CH81" s="885">
        <f>+CG81</f>
        <v/>
      </c>
      <c r="CI81" s="887">
        <f>+CH81</f>
        <v/>
      </c>
      <c r="CJ81" s="885">
        <f>+CI81</f>
        <v/>
      </c>
      <c r="CK81" s="885">
        <f>+CJ81</f>
        <v/>
      </c>
      <c r="CL81" s="885">
        <f>+CK81</f>
        <v/>
      </c>
      <c r="CM81" s="885">
        <f>+CL81</f>
        <v/>
      </c>
      <c r="CN81" s="885">
        <f>+CM81</f>
        <v/>
      </c>
      <c r="CO81" s="885">
        <f>+CN81</f>
        <v/>
      </c>
      <c r="CP81" s="885">
        <f>+CO81</f>
        <v/>
      </c>
      <c r="CQ81" s="885">
        <f>+CP81</f>
        <v/>
      </c>
      <c r="CR81" s="885">
        <f>+CQ81</f>
        <v/>
      </c>
      <c r="CS81" s="885">
        <f>+CR81</f>
        <v/>
      </c>
      <c r="CT81" s="885">
        <f>+CS81</f>
        <v/>
      </c>
      <c r="CU81" s="887">
        <f>+CT81</f>
        <v/>
      </c>
      <c r="CV81" s="885">
        <f>+CU81</f>
        <v/>
      </c>
      <c r="CW81" s="885">
        <f>+CV81</f>
        <v/>
      </c>
      <c r="CX81" s="885">
        <f>+CW81</f>
        <v/>
      </c>
      <c r="CY81" s="885">
        <f>+CX81</f>
        <v/>
      </c>
      <c r="CZ81" s="885">
        <f>+CY81</f>
        <v/>
      </c>
      <c r="DA81" s="885">
        <f>+CZ81</f>
        <v/>
      </c>
      <c r="DB81" s="885">
        <f>+DA81</f>
        <v/>
      </c>
      <c r="DC81" s="885">
        <f>+DB81</f>
        <v/>
      </c>
      <c r="DD81" s="885">
        <f>+DC81</f>
        <v/>
      </c>
      <c r="DE81" s="885">
        <f>+DD81</f>
        <v/>
      </c>
      <c r="DF81" s="885">
        <f>+DE81</f>
        <v/>
      </c>
      <c r="DG81" s="885">
        <f>+DF81</f>
        <v/>
      </c>
    </row>
    <row r="82" customFormat="1" s="831">
      <c r="B82" s="537" t="n"/>
      <c r="C82" s="537" t="inlineStr">
        <is>
          <t>Benefits as a % of Salary</t>
        </is>
      </c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H82" s="885" t="n"/>
      <c r="AI82" s="885" t="n"/>
      <c r="AJ82" s="885" t="n"/>
      <c r="AK82" s="885" t="n"/>
      <c r="AL82" s="885" t="n"/>
      <c r="AM82" s="886" t="n"/>
      <c r="AN82" s="885" t="n"/>
      <c r="AO82" s="885" t="n"/>
      <c r="AP82" s="885" t="n"/>
      <c r="AQ82" s="885" t="n"/>
      <c r="AR82" s="885" t="n"/>
      <c r="AS82" s="885" t="n"/>
      <c r="AT82" s="885" t="n"/>
      <c r="AU82" s="885" t="n"/>
      <c r="AV82" s="885" t="n"/>
      <c r="AW82" s="887" t="n"/>
      <c r="AX82" s="888" t="n">
        <v>0</v>
      </c>
      <c r="AY82" s="887">
        <f>+AX82</f>
        <v/>
      </c>
      <c r="AZ82" s="885">
        <f>+AY82</f>
        <v/>
      </c>
      <c r="BA82" s="885">
        <f>+AZ82</f>
        <v/>
      </c>
      <c r="BB82" s="885">
        <f>+BA82</f>
        <v/>
      </c>
      <c r="BC82" s="885">
        <f>+BB82</f>
        <v/>
      </c>
      <c r="BD82" s="885">
        <f>+BC82</f>
        <v/>
      </c>
      <c r="BE82" s="885">
        <f>+BD82</f>
        <v/>
      </c>
      <c r="BF82" s="885">
        <f>+BE82</f>
        <v/>
      </c>
      <c r="BG82" s="885">
        <f>+BF82</f>
        <v/>
      </c>
      <c r="BH82" s="885">
        <f>+BG82</f>
        <v/>
      </c>
      <c r="BI82" s="885">
        <f>+BH82</f>
        <v/>
      </c>
      <c r="BJ82" s="885">
        <f>+BI82</f>
        <v/>
      </c>
      <c r="BK82" s="887">
        <f>+BJ82</f>
        <v/>
      </c>
      <c r="BL82" s="885">
        <f>+BK82</f>
        <v/>
      </c>
      <c r="BM82" s="885">
        <f>+BL82</f>
        <v/>
      </c>
      <c r="BN82" s="885">
        <f>+BM82</f>
        <v/>
      </c>
      <c r="BO82" s="885">
        <f>+BN82</f>
        <v/>
      </c>
      <c r="BP82" s="885">
        <f>+BO82</f>
        <v/>
      </c>
      <c r="BQ82" s="885">
        <f>+BP82</f>
        <v/>
      </c>
      <c r="BR82" s="885">
        <f>+BQ82</f>
        <v/>
      </c>
      <c r="BS82" s="885">
        <f>+BR82</f>
        <v/>
      </c>
      <c r="BT82" s="885">
        <f>+BS82</f>
        <v/>
      </c>
      <c r="BU82" s="885">
        <f>+BT82</f>
        <v/>
      </c>
      <c r="BV82" s="885">
        <f>+BU82</f>
        <v/>
      </c>
      <c r="BW82" s="887">
        <f>+BV82</f>
        <v/>
      </c>
      <c r="BX82" s="888" t="n">
        <v>0.15</v>
      </c>
      <c r="BY82" s="885">
        <f>+BX82</f>
        <v/>
      </c>
      <c r="BZ82" s="885">
        <f>+BY82</f>
        <v/>
      </c>
      <c r="CA82" s="885">
        <f>+BZ82</f>
        <v/>
      </c>
      <c r="CB82" s="885">
        <f>+CA82</f>
        <v/>
      </c>
      <c r="CC82" s="885">
        <f>+CB82</f>
        <v/>
      </c>
      <c r="CD82" s="885">
        <f>+CC82</f>
        <v/>
      </c>
      <c r="CE82" s="885">
        <f>+CD82</f>
        <v/>
      </c>
      <c r="CF82" s="885">
        <f>+CE82</f>
        <v/>
      </c>
      <c r="CG82" s="885">
        <f>+CF82</f>
        <v/>
      </c>
      <c r="CH82" s="885">
        <f>+CG82</f>
        <v/>
      </c>
      <c r="CI82" s="887">
        <f>+CH82</f>
        <v/>
      </c>
      <c r="CJ82" s="888" t="n">
        <v>0.2</v>
      </c>
      <c r="CK82" s="885">
        <f>+CJ82</f>
        <v/>
      </c>
      <c r="CL82" s="885">
        <f>+CK82</f>
        <v/>
      </c>
      <c r="CM82" s="885">
        <f>+CL82</f>
        <v/>
      </c>
      <c r="CN82" s="885">
        <f>+CM82</f>
        <v/>
      </c>
      <c r="CO82" s="885">
        <f>+CN82</f>
        <v/>
      </c>
      <c r="CP82" s="885">
        <f>+CO82</f>
        <v/>
      </c>
      <c r="CQ82" s="885">
        <f>+CP82</f>
        <v/>
      </c>
      <c r="CR82" s="885">
        <f>+CQ82</f>
        <v/>
      </c>
      <c r="CS82" s="885">
        <f>+CR82</f>
        <v/>
      </c>
      <c r="CT82" s="885">
        <f>+CS82</f>
        <v/>
      </c>
      <c r="CU82" s="887">
        <f>+CT82</f>
        <v/>
      </c>
      <c r="CV82" s="885">
        <f>+CU82</f>
        <v/>
      </c>
      <c r="CW82" s="885">
        <f>+CV82</f>
        <v/>
      </c>
      <c r="CX82" s="885">
        <f>+CW82</f>
        <v/>
      </c>
      <c r="CY82" s="885">
        <f>+CX82</f>
        <v/>
      </c>
      <c r="CZ82" s="885">
        <f>+CY82</f>
        <v/>
      </c>
      <c r="DA82" s="885">
        <f>+CZ82</f>
        <v/>
      </c>
      <c r="DB82" s="885">
        <f>+DA82</f>
        <v/>
      </c>
      <c r="DC82" s="885">
        <f>+DB82</f>
        <v/>
      </c>
      <c r="DD82" s="885">
        <f>+DC82</f>
        <v/>
      </c>
      <c r="DE82" s="885">
        <f>+DD82</f>
        <v/>
      </c>
      <c r="DF82" s="885">
        <f>+DE82</f>
        <v/>
      </c>
      <c r="DG82" s="885">
        <f>+DF82</f>
        <v/>
      </c>
    </row>
    <row r="83">
      <c r="B83" s="1" t="inlineStr">
        <is>
          <t xml:space="preserve">      60210 Website Services</t>
        </is>
      </c>
      <c r="C83" s="1" t="n"/>
      <c r="D83" s="707" t="n"/>
      <c r="E83" s="707" t="n"/>
      <c r="F83" s="707" t="n"/>
      <c r="G83" s="707" t="n"/>
      <c r="H83" s="707" t="n"/>
      <c r="I83" s="707" t="n"/>
      <c r="J83" s="707" t="n"/>
      <c r="K83" s="707" t="n"/>
      <c r="L83" s="707" t="n"/>
      <c r="M83" s="707" t="n"/>
      <c r="N83" s="707" t="n"/>
      <c r="O83" s="707" t="n"/>
      <c r="P83" s="707" t="n"/>
      <c r="Q83" s="707" t="n"/>
      <c r="R83" s="707" t="n"/>
      <c r="S83" s="707" t="n"/>
      <c r="T83" s="707" t="n"/>
      <c r="U83" s="707" t="n"/>
      <c r="V83" s="707" t="n"/>
      <c r="W83" s="707" t="n"/>
      <c r="X83" s="707" t="n"/>
      <c r="Y83" s="707" t="n">
        <v>300</v>
      </c>
      <c r="Z83" s="707" t="n"/>
      <c r="AA83" s="707" t="n">
        <v>300</v>
      </c>
      <c r="AB83" s="707" t="n"/>
      <c r="AC83" s="707" t="n"/>
      <c r="AD83" s="707" t="n"/>
      <c r="AE83" s="707" t="n"/>
      <c r="AF83" s="707" t="n"/>
      <c r="AG83" s="707" t="n"/>
      <c r="AH83" s="707" t="n"/>
      <c r="AI83" s="707" t="n">
        <v>0</v>
      </c>
      <c r="AJ83" s="707" t="n">
        <v>0</v>
      </c>
      <c r="AK83" s="707" t="n">
        <v>0</v>
      </c>
      <c r="AL83" s="707" t="n">
        <v>0</v>
      </c>
      <c r="AM83" s="513" t="n">
        <v>0</v>
      </c>
      <c r="AN83" s="707" t="n">
        <v>0</v>
      </c>
      <c r="AO83" s="707" t="n">
        <v>0</v>
      </c>
      <c r="AP83" s="707" t="n">
        <v>0</v>
      </c>
      <c r="AQ83" s="707" t="n">
        <v>0</v>
      </c>
      <c r="AR83" s="707" t="n">
        <v>0</v>
      </c>
      <c r="AS83" s="707" t="n">
        <v>0</v>
      </c>
      <c r="AT83" s="707" t="n">
        <v>0</v>
      </c>
      <c r="AU83" s="707" t="n">
        <v>0</v>
      </c>
      <c r="AV83" s="707" t="n">
        <v>0</v>
      </c>
      <c r="AW83" s="708" t="n">
        <v>0</v>
      </c>
      <c r="AX83" s="287" t="n">
        <v>0</v>
      </c>
      <c r="AY83" s="708">
        <f>AX83</f>
        <v/>
      </c>
      <c r="AZ83" s="287">
        <f>AVERAGE(AT83:AY83)*1.2</f>
        <v/>
      </c>
      <c r="BA83" s="707">
        <f>AZ83</f>
        <v/>
      </c>
      <c r="BB83" s="707">
        <f>BA83</f>
        <v/>
      </c>
      <c r="BC83" s="707">
        <f>BB83</f>
        <v/>
      </c>
      <c r="BD83" s="707">
        <f>BC83</f>
        <v/>
      </c>
      <c r="BE83" s="707">
        <f>BD83</f>
        <v/>
      </c>
      <c r="BF83" s="707">
        <f>BE83</f>
        <v/>
      </c>
      <c r="BG83" s="707">
        <f>BF83</f>
        <v/>
      </c>
      <c r="BH83" s="707">
        <f>BG83</f>
        <v/>
      </c>
      <c r="BI83" s="707">
        <f>BH83</f>
        <v/>
      </c>
      <c r="BJ83" s="707">
        <f>BI83</f>
        <v/>
      </c>
      <c r="BK83" s="708">
        <f>BJ83</f>
        <v/>
      </c>
      <c r="BL83" s="287">
        <f>AVERAGE(BF83:BK83)*1.2</f>
        <v/>
      </c>
      <c r="BM83" s="707">
        <f>BL83</f>
        <v/>
      </c>
      <c r="BN83" s="707">
        <f>BM83</f>
        <v/>
      </c>
      <c r="BO83" s="707">
        <f>BN83</f>
        <v/>
      </c>
      <c r="BP83" s="707">
        <f>BO83</f>
        <v/>
      </c>
      <c r="BQ83" s="707">
        <f>BP83</f>
        <v/>
      </c>
      <c r="BR83" s="707">
        <f>BQ83</f>
        <v/>
      </c>
      <c r="BS83" s="707">
        <f>BR83</f>
        <v/>
      </c>
      <c r="BT83" s="707">
        <f>BS83</f>
        <v/>
      </c>
      <c r="BU83" s="707">
        <f>BT83</f>
        <v/>
      </c>
      <c r="BV83" s="707">
        <f>BU83</f>
        <v/>
      </c>
      <c r="BW83" s="708">
        <f>BV83</f>
        <v/>
      </c>
      <c r="BX83" s="287">
        <f>AVERAGE(BR83:BW83)*1.2</f>
        <v/>
      </c>
      <c r="BY83" s="707">
        <f>BX83</f>
        <v/>
      </c>
      <c r="BZ83" s="707">
        <f>BY83</f>
        <v/>
      </c>
      <c r="CA83" s="707">
        <f>BZ83</f>
        <v/>
      </c>
      <c r="CB83" s="707">
        <f>CA83</f>
        <v/>
      </c>
      <c r="CC83" s="707">
        <f>CB83</f>
        <v/>
      </c>
      <c r="CD83" s="707">
        <f>CC83</f>
        <v/>
      </c>
      <c r="CE83" s="707">
        <f>CD83</f>
        <v/>
      </c>
      <c r="CF83" s="707">
        <f>CE83</f>
        <v/>
      </c>
      <c r="CG83" s="707">
        <f>CF83</f>
        <v/>
      </c>
      <c r="CH83" s="707">
        <f>CG83</f>
        <v/>
      </c>
      <c r="CI83" s="708">
        <f>CH83</f>
        <v/>
      </c>
      <c r="CJ83" s="287">
        <f>AVERAGE(CD83:CI83)*1.2</f>
        <v/>
      </c>
      <c r="CK83" s="707">
        <f>CJ83</f>
        <v/>
      </c>
      <c r="CL83" s="707">
        <f>CK83</f>
        <v/>
      </c>
      <c r="CM83" s="707">
        <f>CL83</f>
        <v/>
      </c>
      <c r="CN83" s="707">
        <f>CM83</f>
        <v/>
      </c>
      <c r="CO83" s="707">
        <f>CN83</f>
        <v/>
      </c>
      <c r="CP83" s="707">
        <f>CO83</f>
        <v/>
      </c>
      <c r="CQ83" s="707">
        <f>CP83</f>
        <v/>
      </c>
      <c r="CR83" s="707">
        <f>CQ83</f>
        <v/>
      </c>
      <c r="CS83" s="707">
        <f>CR83</f>
        <v/>
      </c>
      <c r="CT83" s="707">
        <f>CS83</f>
        <v/>
      </c>
      <c r="CU83" s="708">
        <f>CT83</f>
        <v/>
      </c>
      <c r="CV83" s="287">
        <f>AVERAGE(CP83:CU83)*1.2</f>
        <v/>
      </c>
      <c r="CW83" s="707">
        <f>CV83</f>
        <v/>
      </c>
      <c r="CX83" s="707">
        <f>CW83</f>
        <v/>
      </c>
      <c r="CY83" s="707">
        <f>CX83</f>
        <v/>
      </c>
      <c r="CZ83" s="707">
        <f>CY83</f>
        <v/>
      </c>
      <c r="DA83" s="707">
        <f>CZ83</f>
        <v/>
      </c>
      <c r="DB83" s="707">
        <f>DA83</f>
        <v/>
      </c>
      <c r="DC83" s="707">
        <f>DB83</f>
        <v/>
      </c>
      <c r="DD83" s="707">
        <f>DC83</f>
        <v/>
      </c>
      <c r="DE83" s="707">
        <f>DD83</f>
        <v/>
      </c>
      <c r="DF83" s="707">
        <f>DE83</f>
        <v/>
      </c>
      <c r="DG83" s="707">
        <f>DF83</f>
        <v/>
      </c>
    </row>
    <row r="84">
      <c r="B84" s="1" t="inlineStr">
        <is>
          <t xml:space="preserve">      60100 Travel</t>
        </is>
      </c>
      <c r="C84" s="1" t="n"/>
      <c r="D84" s="707" t="n"/>
      <c r="E84" s="707" t="n"/>
      <c r="F84" s="707" t="n"/>
      <c r="G84" s="707" t="n"/>
      <c r="H84" s="707" t="n"/>
      <c r="I84" s="707" t="n"/>
      <c r="J84" s="707" t="n"/>
      <c r="K84" s="707" t="n"/>
      <c r="L84" s="707" t="n"/>
      <c r="M84" s="707" t="n"/>
      <c r="N84" s="707" t="n"/>
      <c r="O84" s="707" t="n"/>
      <c r="P84" s="707" t="n"/>
      <c r="Q84" s="707" t="n"/>
      <c r="R84" s="707" t="n"/>
      <c r="S84" s="707" t="n"/>
      <c r="T84" s="707" t="n"/>
      <c r="U84" s="707" t="n"/>
      <c r="V84" s="707" t="n"/>
      <c r="W84" s="707" t="n"/>
      <c r="X84" s="707" t="n"/>
      <c r="Y84" s="707" t="n"/>
      <c r="Z84" s="707" t="n"/>
      <c r="AA84" s="707" t="n"/>
      <c r="AB84" s="707" t="n"/>
      <c r="AC84" s="707" t="n"/>
      <c r="AD84" s="707" t="n"/>
      <c r="AE84" s="707" t="n"/>
      <c r="AF84" s="707" t="n"/>
      <c r="AG84" s="707" t="n"/>
      <c r="AH84" s="707" t="n">
        <v>13.59</v>
      </c>
      <c r="AI84" s="707" t="n">
        <v>15.71</v>
      </c>
      <c r="AJ84" s="707" t="n"/>
      <c r="AK84" s="707" t="n"/>
      <c r="AL84" s="707" t="n"/>
      <c r="AM84" s="513" t="n"/>
      <c r="AN84" s="707" t="n"/>
      <c r="AO84" s="707" t="n"/>
      <c r="AP84" s="707" t="n"/>
      <c r="AQ84" s="707" t="n"/>
      <c r="AR84" s="707" t="n">
        <v>44.17</v>
      </c>
      <c r="AS84" s="707" t="n">
        <v>49.63</v>
      </c>
      <c r="AT84" s="707" t="n">
        <v>126.3</v>
      </c>
      <c r="AU84" s="707" t="n">
        <v>417.97</v>
      </c>
      <c r="AV84" s="707" t="n">
        <v>0</v>
      </c>
      <c r="AW84" s="708">
        <f>222.44</f>
        <v/>
      </c>
      <c r="AX84" s="287" t="n">
        <v>75</v>
      </c>
      <c r="AY84" s="708">
        <f>AX84</f>
        <v/>
      </c>
      <c r="AZ84" s="287">
        <f>AY84</f>
        <v/>
      </c>
      <c r="BA84" s="707">
        <f>AZ84</f>
        <v/>
      </c>
      <c r="BB84" s="707">
        <f>BA84</f>
        <v/>
      </c>
      <c r="BC84" s="707">
        <f>BB84</f>
        <v/>
      </c>
      <c r="BD84" s="707">
        <f>BC84</f>
        <v/>
      </c>
      <c r="BE84" s="707">
        <f>BD84</f>
        <v/>
      </c>
      <c r="BF84" s="707">
        <f>BE84</f>
        <v/>
      </c>
      <c r="BG84" s="707">
        <f>BF84</f>
        <v/>
      </c>
      <c r="BH84" s="707">
        <f>BG84</f>
        <v/>
      </c>
      <c r="BI84" s="707">
        <f>BH84</f>
        <v/>
      </c>
      <c r="BJ84" s="707">
        <f>BI84</f>
        <v/>
      </c>
      <c r="BK84" s="708">
        <f>BJ84</f>
        <v/>
      </c>
      <c r="BL84" s="287">
        <f>BK84</f>
        <v/>
      </c>
      <c r="BM84" s="707">
        <f>BL84</f>
        <v/>
      </c>
      <c r="BN84" s="707">
        <f>BM84</f>
        <v/>
      </c>
      <c r="BO84" s="707">
        <f>BN84</f>
        <v/>
      </c>
      <c r="BP84" s="707">
        <f>BO84</f>
        <v/>
      </c>
      <c r="BQ84" s="707">
        <f>BP84</f>
        <v/>
      </c>
      <c r="BR84" s="707">
        <f>BQ84</f>
        <v/>
      </c>
      <c r="BS84" s="707">
        <f>BR84</f>
        <v/>
      </c>
      <c r="BT84" s="707">
        <f>BS84</f>
        <v/>
      </c>
      <c r="BU84" s="707">
        <f>BT84</f>
        <v/>
      </c>
      <c r="BV84" s="707">
        <f>BU84</f>
        <v/>
      </c>
      <c r="BW84" s="708">
        <f>BV84</f>
        <v/>
      </c>
      <c r="BX84" s="287">
        <f>BW84</f>
        <v/>
      </c>
      <c r="BY84" s="707">
        <f>BX84</f>
        <v/>
      </c>
      <c r="BZ84" s="707">
        <f>BY84</f>
        <v/>
      </c>
      <c r="CA84" s="707">
        <f>BZ84</f>
        <v/>
      </c>
      <c r="CB84" s="707">
        <f>CA84</f>
        <v/>
      </c>
      <c r="CC84" s="707">
        <f>CB84</f>
        <v/>
      </c>
      <c r="CD84" s="707">
        <f>CC84</f>
        <v/>
      </c>
      <c r="CE84" s="707">
        <f>CD84</f>
        <v/>
      </c>
      <c r="CF84" s="707">
        <f>CE84</f>
        <v/>
      </c>
      <c r="CG84" s="707">
        <f>CF84</f>
        <v/>
      </c>
      <c r="CH84" s="707">
        <f>CG84</f>
        <v/>
      </c>
      <c r="CI84" s="708">
        <f>CH84</f>
        <v/>
      </c>
      <c r="CJ84" s="287">
        <f>CI84</f>
        <v/>
      </c>
      <c r="CK84" s="707">
        <f>CJ84</f>
        <v/>
      </c>
      <c r="CL84" s="707">
        <f>CK84</f>
        <v/>
      </c>
      <c r="CM84" s="707">
        <f>CL84</f>
        <v/>
      </c>
      <c r="CN84" s="707">
        <f>CM84</f>
        <v/>
      </c>
      <c r="CO84" s="707">
        <f>CN84</f>
        <v/>
      </c>
      <c r="CP84" s="707">
        <f>CO84</f>
        <v/>
      </c>
      <c r="CQ84" s="707">
        <f>CP84</f>
        <v/>
      </c>
      <c r="CR84" s="707">
        <f>CQ84</f>
        <v/>
      </c>
      <c r="CS84" s="707">
        <f>CR84</f>
        <v/>
      </c>
      <c r="CT84" s="707">
        <f>CS84</f>
        <v/>
      </c>
      <c r="CU84" s="708">
        <f>CT84</f>
        <v/>
      </c>
      <c r="CV84" s="287">
        <f>CU84</f>
        <v/>
      </c>
      <c r="CW84" s="707">
        <f>CV84</f>
        <v/>
      </c>
      <c r="CX84" s="707">
        <f>CW84</f>
        <v/>
      </c>
      <c r="CY84" s="707">
        <f>CX84</f>
        <v/>
      </c>
      <c r="CZ84" s="707">
        <f>CY84</f>
        <v/>
      </c>
      <c r="DA84" s="707">
        <f>CZ84</f>
        <v/>
      </c>
      <c r="DB84" s="707">
        <f>DA84</f>
        <v/>
      </c>
      <c r="DC84" s="707">
        <f>DB84</f>
        <v/>
      </c>
      <c r="DD84" s="707">
        <f>DC84</f>
        <v/>
      </c>
      <c r="DE84" s="707">
        <f>DD84</f>
        <v/>
      </c>
      <c r="DF84" s="707">
        <f>DE84</f>
        <v/>
      </c>
      <c r="DG84" s="707">
        <f>DF84</f>
        <v/>
      </c>
    </row>
    <row r="85">
      <c r="B85" s="1" t="inlineStr">
        <is>
          <t xml:space="preserve">      60200 Computer &amp; Software Expenses</t>
        </is>
      </c>
      <c r="C85" s="1" t="n"/>
      <c r="D85" s="707">
        <f>0</f>
        <v/>
      </c>
      <c r="E85" s="707">
        <f>0</f>
        <v/>
      </c>
      <c r="F85" s="707">
        <f>0</f>
        <v/>
      </c>
      <c r="G85" s="707">
        <f>0</f>
        <v/>
      </c>
      <c r="H85" s="707">
        <f>0</f>
        <v/>
      </c>
      <c r="I85" s="707">
        <f>0</f>
        <v/>
      </c>
      <c r="J85" s="707" t="n">
        <v>0</v>
      </c>
      <c r="K85" s="707" t="n">
        <v>0</v>
      </c>
      <c r="L85" s="707" t="n">
        <v>12</v>
      </c>
      <c r="M85" s="707" t="n">
        <v>271.2</v>
      </c>
      <c r="N85" s="707" t="n">
        <v>12</v>
      </c>
      <c r="O85" s="707" t="n">
        <v>12</v>
      </c>
      <c r="P85" s="707" t="n">
        <v>12</v>
      </c>
      <c r="Q85" s="707" t="n">
        <v>12</v>
      </c>
      <c r="R85" s="707" t="n">
        <v>12</v>
      </c>
      <c r="S85" s="707" t="n">
        <v>12</v>
      </c>
      <c r="T85" s="707" t="n">
        <v>53</v>
      </c>
      <c r="U85" s="707" t="n">
        <v>156</v>
      </c>
      <c r="V85" s="707" t="n">
        <v>12</v>
      </c>
      <c r="W85" s="707" t="n">
        <v>12</v>
      </c>
      <c r="X85" s="707" t="n">
        <v>240.91</v>
      </c>
      <c r="Y85" s="707" t="n">
        <v>352.91</v>
      </c>
      <c r="Z85" s="707" t="n">
        <v>28.91</v>
      </c>
      <c r="AA85" s="707" t="n">
        <v>28.91</v>
      </c>
      <c r="AB85" s="707" t="n">
        <v>78.91</v>
      </c>
      <c r="AC85" s="707" t="n">
        <v>28.91</v>
      </c>
      <c r="AD85" s="707" t="n">
        <v>86.19</v>
      </c>
      <c r="AE85" s="707" t="n">
        <v>12</v>
      </c>
      <c r="AF85" s="707" t="n">
        <v>154.47</v>
      </c>
      <c r="AG85" s="707" t="n">
        <v>310.12</v>
      </c>
      <c r="AH85" s="707" t="n">
        <v>1251.13</v>
      </c>
      <c r="AI85" s="707" t="n">
        <v>14.81</v>
      </c>
      <c r="AJ85" s="707" t="n">
        <v>76.75</v>
      </c>
      <c r="AK85" s="707" t="n">
        <v>90.81</v>
      </c>
      <c r="AL85" s="707" t="n">
        <v>100.41</v>
      </c>
      <c r="AM85" s="513" t="n">
        <v>107.82</v>
      </c>
      <c r="AN85" s="707" t="n">
        <v>218.17</v>
      </c>
      <c r="AO85" s="707" t="n">
        <v>118.63</v>
      </c>
      <c r="AP85" s="707" t="n">
        <v>118.81</v>
      </c>
      <c r="AQ85" s="707" t="n">
        <v>202.32</v>
      </c>
      <c r="AR85" s="707" t="n">
        <v>241.38</v>
      </c>
      <c r="AS85" s="707" t="n">
        <v>433.68</v>
      </c>
      <c r="AT85" s="707" t="n">
        <v>209.45</v>
      </c>
      <c r="AU85" s="707" t="n">
        <v>336.39</v>
      </c>
      <c r="AV85" s="707">
        <f>843.04</f>
        <v/>
      </c>
      <c r="AW85" s="708">
        <f>709.4</f>
        <v/>
      </c>
      <c r="AX85" s="287" t="n">
        <v>150</v>
      </c>
      <c r="AY85" s="708">
        <f>AX85</f>
        <v/>
      </c>
      <c r="AZ85" s="287">
        <f>AVERAGE(AT85:AY85)*1.2</f>
        <v/>
      </c>
      <c r="BA85" s="707">
        <f>AZ85</f>
        <v/>
      </c>
      <c r="BB85" s="707">
        <f>BA85</f>
        <v/>
      </c>
      <c r="BC85" s="707">
        <f>BB85</f>
        <v/>
      </c>
      <c r="BD85" s="707">
        <f>BC85</f>
        <v/>
      </c>
      <c r="BE85" s="707">
        <f>BD85</f>
        <v/>
      </c>
      <c r="BF85" s="707">
        <f>BE85</f>
        <v/>
      </c>
      <c r="BG85" s="707">
        <f>BF85</f>
        <v/>
      </c>
      <c r="BH85" s="707">
        <f>BG85</f>
        <v/>
      </c>
      <c r="BI85" s="707">
        <f>BH85</f>
        <v/>
      </c>
      <c r="BJ85" s="707">
        <f>BI85</f>
        <v/>
      </c>
      <c r="BK85" s="708">
        <f>BJ85</f>
        <v/>
      </c>
      <c r="BL85" s="287">
        <f>AVERAGE(BF85:BK85)*1.2</f>
        <v/>
      </c>
      <c r="BM85" s="707">
        <f>BL85</f>
        <v/>
      </c>
      <c r="BN85" s="707">
        <f>BM85</f>
        <v/>
      </c>
      <c r="BO85" s="707">
        <f>BN85</f>
        <v/>
      </c>
      <c r="BP85" s="707">
        <f>BO85</f>
        <v/>
      </c>
      <c r="BQ85" s="707">
        <f>BP85</f>
        <v/>
      </c>
      <c r="BR85" s="707">
        <f>BQ85</f>
        <v/>
      </c>
      <c r="BS85" s="707">
        <f>BR85</f>
        <v/>
      </c>
      <c r="BT85" s="707">
        <f>BS85</f>
        <v/>
      </c>
      <c r="BU85" s="707">
        <f>BT85</f>
        <v/>
      </c>
      <c r="BV85" s="707">
        <f>BU85</f>
        <v/>
      </c>
      <c r="BW85" s="708">
        <f>BV85</f>
        <v/>
      </c>
      <c r="BX85" s="287">
        <f>AVERAGE(BR85:BW85)*1.2</f>
        <v/>
      </c>
      <c r="BY85" s="707">
        <f>BX85</f>
        <v/>
      </c>
      <c r="BZ85" s="707">
        <f>BY85</f>
        <v/>
      </c>
      <c r="CA85" s="707">
        <f>BZ85</f>
        <v/>
      </c>
      <c r="CB85" s="707">
        <f>CA85</f>
        <v/>
      </c>
      <c r="CC85" s="707">
        <f>CB85</f>
        <v/>
      </c>
      <c r="CD85" s="707">
        <f>CC85</f>
        <v/>
      </c>
      <c r="CE85" s="707">
        <f>CD85</f>
        <v/>
      </c>
      <c r="CF85" s="707">
        <f>CE85</f>
        <v/>
      </c>
      <c r="CG85" s="707">
        <f>CF85</f>
        <v/>
      </c>
      <c r="CH85" s="707">
        <f>CG85</f>
        <v/>
      </c>
      <c r="CI85" s="708">
        <f>CH85</f>
        <v/>
      </c>
      <c r="CJ85" s="287">
        <f>AVERAGE(CD85:CI85)*1.2</f>
        <v/>
      </c>
      <c r="CK85" s="707">
        <f>CJ85</f>
        <v/>
      </c>
      <c r="CL85" s="707">
        <f>CK85</f>
        <v/>
      </c>
      <c r="CM85" s="707">
        <f>CL85</f>
        <v/>
      </c>
      <c r="CN85" s="707">
        <f>CM85</f>
        <v/>
      </c>
      <c r="CO85" s="707">
        <f>CN85</f>
        <v/>
      </c>
      <c r="CP85" s="707">
        <f>CO85</f>
        <v/>
      </c>
      <c r="CQ85" s="707">
        <f>CP85</f>
        <v/>
      </c>
      <c r="CR85" s="707">
        <f>CQ85</f>
        <v/>
      </c>
      <c r="CS85" s="707">
        <f>CR85</f>
        <v/>
      </c>
      <c r="CT85" s="707">
        <f>CS85</f>
        <v/>
      </c>
      <c r="CU85" s="708">
        <f>CT85</f>
        <v/>
      </c>
      <c r="CV85" s="287">
        <f>AVERAGE(CP85:CU85)*1.2</f>
        <v/>
      </c>
      <c r="CW85" s="707">
        <f>CV85</f>
        <v/>
      </c>
      <c r="CX85" s="707">
        <f>CW85</f>
        <v/>
      </c>
      <c r="CY85" s="707">
        <f>CX85</f>
        <v/>
      </c>
      <c r="CZ85" s="707">
        <f>CY85</f>
        <v/>
      </c>
      <c r="DA85" s="707">
        <f>CZ85</f>
        <v/>
      </c>
      <c r="DB85" s="707">
        <f>DA85</f>
        <v/>
      </c>
      <c r="DC85" s="707">
        <f>DB85</f>
        <v/>
      </c>
      <c r="DD85" s="707">
        <f>DC85</f>
        <v/>
      </c>
      <c r="DE85" s="707">
        <f>DD85</f>
        <v/>
      </c>
      <c r="DF85" s="707">
        <f>DE85</f>
        <v/>
      </c>
      <c r="DG85" s="707">
        <f>DF85</f>
        <v/>
      </c>
    </row>
    <row r="86">
      <c r="B86" s="1" t="inlineStr">
        <is>
          <t xml:space="preserve">      60300 Donations/Gifts</t>
        </is>
      </c>
      <c r="C86" s="1" t="n"/>
      <c r="D86" s="707">
        <f>0</f>
        <v/>
      </c>
      <c r="E86" s="707">
        <f>0</f>
        <v/>
      </c>
      <c r="F86" s="707">
        <f>0</f>
        <v/>
      </c>
      <c r="G86" s="707">
        <f>0</f>
        <v/>
      </c>
      <c r="H86" s="707">
        <f>0</f>
        <v/>
      </c>
      <c r="I86" s="707">
        <f>0</f>
        <v/>
      </c>
      <c r="J86" s="707" t="n">
        <v>0</v>
      </c>
      <c r="K86" s="707" t="n">
        <v>0</v>
      </c>
      <c r="L86" s="707" t="n">
        <v>0</v>
      </c>
      <c r="M86" s="707" t="n">
        <v>50</v>
      </c>
      <c r="N86" s="707" t="n">
        <v>250</v>
      </c>
      <c r="O86" s="707" t="n">
        <v>0</v>
      </c>
      <c r="P86" s="707" t="n"/>
      <c r="Q86" s="707" t="n"/>
      <c r="R86" s="707" t="n"/>
      <c r="S86" s="707" t="n"/>
      <c r="T86" s="707" t="n"/>
      <c r="U86" s="707" t="n"/>
      <c r="V86" s="707" t="n"/>
      <c r="W86" s="707" t="n"/>
      <c r="X86" s="707" t="n">
        <v>150</v>
      </c>
      <c r="Y86" s="707" t="n"/>
      <c r="Z86" s="707" t="n">
        <v>430</v>
      </c>
      <c r="AA86" s="707" t="n"/>
      <c r="AB86" s="707" t="n"/>
      <c r="AC86" s="707" t="n"/>
      <c r="AD86" s="707" t="n">
        <v>50</v>
      </c>
      <c r="AE86" s="707" t="n"/>
      <c r="AF86" s="707" t="n">
        <v>141.19</v>
      </c>
      <c r="AG86" s="707" t="n"/>
      <c r="AH86" s="707" t="n"/>
      <c r="AI86" s="707" t="n"/>
      <c r="AJ86" s="707" t="n">
        <v>80</v>
      </c>
      <c r="AK86" s="707" t="n">
        <v>65</v>
      </c>
      <c r="AL86" s="707" t="n">
        <v>387.9</v>
      </c>
      <c r="AM86" s="513" t="n">
        <v>45</v>
      </c>
      <c r="AN86" s="707" t="n">
        <v>485</v>
      </c>
      <c r="AO86" s="707" t="n">
        <v>424</v>
      </c>
      <c r="AP86" s="707" t="n">
        <v>152.63</v>
      </c>
      <c r="AQ86" s="707" t="n"/>
      <c r="AR86" s="707" t="n">
        <v>346.05</v>
      </c>
      <c r="AS86" s="707" t="n">
        <v>100</v>
      </c>
      <c r="AT86" s="707" t="n">
        <v>79.04000000000001</v>
      </c>
      <c r="AU86" s="707" t="n"/>
      <c r="AV86" s="707">
        <f>574.22</f>
        <v/>
      </c>
      <c r="AW86" s="708">
        <f>150.39</f>
        <v/>
      </c>
      <c r="AX86" s="287" t="n">
        <v>100</v>
      </c>
      <c r="AY86" s="708">
        <f>AX86</f>
        <v/>
      </c>
      <c r="AZ86" s="707">
        <f>AY86</f>
        <v/>
      </c>
      <c r="BA86" s="707">
        <f>AZ86</f>
        <v/>
      </c>
      <c r="BB86" s="707">
        <f>BA86</f>
        <v/>
      </c>
      <c r="BC86" s="707">
        <f>BB86</f>
        <v/>
      </c>
      <c r="BD86" s="707">
        <f>BC86</f>
        <v/>
      </c>
      <c r="BE86" s="707">
        <f>BD86</f>
        <v/>
      </c>
      <c r="BF86" s="707">
        <f>BE86</f>
        <v/>
      </c>
      <c r="BG86" s="707">
        <f>BF86</f>
        <v/>
      </c>
      <c r="BH86" s="707">
        <f>BG86</f>
        <v/>
      </c>
      <c r="BI86" s="707">
        <f>BH86</f>
        <v/>
      </c>
      <c r="BJ86" s="707">
        <f>BI86</f>
        <v/>
      </c>
      <c r="BK86" s="708">
        <f>BJ86</f>
        <v/>
      </c>
      <c r="BL86" s="707">
        <f>BK86</f>
        <v/>
      </c>
      <c r="BM86" s="707">
        <f>BL86</f>
        <v/>
      </c>
      <c r="BN86" s="707">
        <f>BM86</f>
        <v/>
      </c>
      <c r="BO86" s="707">
        <f>BN86</f>
        <v/>
      </c>
      <c r="BP86" s="707">
        <f>BO86</f>
        <v/>
      </c>
      <c r="BQ86" s="707">
        <f>BP86</f>
        <v/>
      </c>
      <c r="BR86" s="707">
        <f>BQ86</f>
        <v/>
      </c>
      <c r="BS86" s="707">
        <f>BR86</f>
        <v/>
      </c>
      <c r="BT86" s="707">
        <f>BS86</f>
        <v/>
      </c>
      <c r="BU86" s="707">
        <f>BT86</f>
        <v/>
      </c>
      <c r="BV86" s="707">
        <f>BU86</f>
        <v/>
      </c>
      <c r="BW86" s="708">
        <f>BV86</f>
        <v/>
      </c>
      <c r="BX86" s="707">
        <f>BW86</f>
        <v/>
      </c>
      <c r="BY86" s="707">
        <f>BX86</f>
        <v/>
      </c>
      <c r="BZ86" s="707">
        <f>BY86</f>
        <v/>
      </c>
      <c r="CA86" s="707">
        <f>BZ86</f>
        <v/>
      </c>
      <c r="CB86" s="707">
        <f>CA86</f>
        <v/>
      </c>
      <c r="CC86" s="707">
        <f>CB86</f>
        <v/>
      </c>
      <c r="CD86" s="707">
        <f>CC86</f>
        <v/>
      </c>
      <c r="CE86" s="707">
        <f>CD86</f>
        <v/>
      </c>
      <c r="CF86" s="707">
        <f>CE86</f>
        <v/>
      </c>
      <c r="CG86" s="707">
        <f>CF86</f>
        <v/>
      </c>
      <c r="CH86" s="707">
        <f>CG86</f>
        <v/>
      </c>
      <c r="CI86" s="708">
        <f>CH86</f>
        <v/>
      </c>
      <c r="CJ86" s="707">
        <f>CI86</f>
        <v/>
      </c>
      <c r="CK86" s="707">
        <f>CJ86</f>
        <v/>
      </c>
      <c r="CL86" s="707">
        <f>CK86</f>
        <v/>
      </c>
      <c r="CM86" s="707">
        <f>CL86</f>
        <v/>
      </c>
      <c r="CN86" s="707">
        <f>CM86</f>
        <v/>
      </c>
      <c r="CO86" s="707">
        <f>CN86</f>
        <v/>
      </c>
      <c r="CP86" s="707">
        <f>CO86</f>
        <v/>
      </c>
      <c r="CQ86" s="707">
        <f>CP86</f>
        <v/>
      </c>
      <c r="CR86" s="707">
        <f>CQ86</f>
        <v/>
      </c>
      <c r="CS86" s="707">
        <f>CR86</f>
        <v/>
      </c>
      <c r="CT86" s="707">
        <f>CS86</f>
        <v/>
      </c>
      <c r="CU86" s="708">
        <f>CT86</f>
        <v/>
      </c>
      <c r="CV86" s="707">
        <f>CU86</f>
        <v/>
      </c>
      <c r="CW86" s="707">
        <f>CV86</f>
        <v/>
      </c>
      <c r="CX86" s="707">
        <f>CW86</f>
        <v/>
      </c>
      <c r="CY86" s="707">
        <f>CX86</f>
        <v/>
      </c>
      <c r="CZ86" s="707">
        <f>CY86</f>
        <v/>
      </c>
      <c r="DA86" s="707">
        <f>CZ86</f>
        <v/>
      </c>
      <c r="DB86" s="707">
        <f>DA86</f>
        <v/>
      </c>
      <c r="DC86" s="707">
        <f>DB86</f>
        <v/>
      </c>
      <c r="DD86" s="707">
        <f>DC86</f>
        <v/>
      </c>
      <c r="DE86" s="707">
        <f>DD86</f>
        <v/>
      </c>
      <c r="DF86" s="707">
        <f>DE86</f>
        <v/>
      </c>
      <c r="DG86" s="707">
        <f>DF86</f>
        <v/>
      </c>
    </row>
    <row r="87" customFormat="1" s="5">
      <c r="B87" s="1" t="inlineStr">
        <is>
          <t xml:space="preserve">      60400 Fees/Subscriptions</t>
        </is>
      </c>
      <c r="C87" s="1" t="n"/>
      <c r="D87" s="707">
        <f>0</f>
        <v/>
      </c>
      <c r="E87" s="707">
        <f>0</f>
        <v/>
      </c>
      <c r="F87" s="707">
        <f>0</f>
        <v/>
      </c>
      <c r="G87" s="707">
        <f>0</f>
        <v/>
      </c>
      <c r="H87" s="707">
        <f>0</f>
        <v/>
      </c>
      <c r="I87" s="707">
        <f>0</f>
        <v/>
      </c>
      <c r="J87" s="707" t="n">
        <v>0</v>
      </c>
      <c r="K87" s="707" t="n">
        <v>0</v>
      </c>
      <c r="L87" s="707" t="n">
        <v>15</v>
      </c>
      <c r="M87" s="707" t="n">
        <v>19</v>
      </c>
      <c r="N87" s="707" t="n">
        <v>0</v>
      </c>
      <c r="O87" s="707" t="n">
        <v>0</v>
      </c>
      <c r="P87" s="707" t="n"/>
      <c r="Q87" s="707" t="n"/>
      <c r="R87" s="707" t="n"/>
      <c r="S87" s="707" t="n"/>
      <c r="T87" s="707" t="n"/>
      <c r="U87" s="707" t="n"/>
      <c r="V87" s="707" t="n"/>
      <c r="W87" s="707" t="n"/>
      <c r="X87" s="707" t="n"/>
      <c r="Y87" s="707" t="n">
        <v>13.86</v>
      </c>
      <c r="Z87" s="707" t="n"/>
      <c r="AA87" s="707" t="n"/>
      <c r="AB87" s="707" t="n"/>
      <c r="AC87" s="707" t="n"/>
      <c r="AD87" s="707" t="n"/>
      <c r="AE87" s="707" t="n"/>
      <c r="AF87" s="707" t="n"/>
      <c r="AG87" s="707" t="n"/>
      <c r="AH87" s="707" t="n"/>
      <c r="AI87" s="707" t="n">
        <v>42.58</v>
      </c>
      <c r="AJ87" s="707" t="n"/>
      <c r="AK87" s="707" t="n"/>
      <c r="AL87" s="707" t="n"/>
      <c r="AM87" s="513" t="n"/>
      <c r="AN87" s="707" t="n"/>
      <c r="AO87" s="707" t="n"/>
      <c r="AP87" s="707" t="n"/>
      <c r="AQ87" s="707" t="n">
        <v>0</v>
      </c>
      <c r="AR87" s="707" t="n">
        <v>0</v>
      </c>
      <c r="AS87" s="707" t="n">
        <v>0</v>
      </c>
      <c r="AT87" s="707" t="n">
        <v>0</v>
      </c>
      <c r="AU87" s="707" t="n">
        <v>0</v>
      </c>
      <c r="AV87" s="707" t="n">
        <v>0</v>
      </c>
      <c r="AW87" s="708" t="n">
        <v>0</v>
      </c>
      <c r="AX87" s="287">
        <f>AVERAGE(AO87:AW87)</f>
        <v/>
      </c>
      <c r="AY87" s="708">
        <f>AX87</f>
        <v/>
      </c>
      <c r="AZ87" s="707">
        <f>AY87</f>
        <v/>
      </c>
      <c r="BA87" s="707">
        <f>AZ87</f>
        <v/>
      </c>
      <c r="BB87" s="707">
        <f>BA87</f>
        <v/>
      </c>
      <c r="BC87" s="707">
        <f>BB87</f>
        <v/>
      </c>
      <c r="BD87" s="707">
        <f>BC87</f>
        <v/>
      </c>
      <c r="BE87" s="707">
        <f>BD87</f>
        <v/>
      </c>
      <c r="BF87" s="707">
        <f>BE87</f>
        <v/>
      </c>
      <c r="BG87" s="707">
        <f>BF87</f>
        <v/>
      </c>
      <c r="BH87" s="707">
        <f>BG87</f>
        <v/>
      </c>
      <c r="BI87" s="707">
        <f>BH87</f>
        <v/>
      </c>
      <c r="BJ87" s="707">
        <f>BI87</f>
        <v/>
      </c>
      <c r="BK87" s="708">
        <f>BJ87</f>
        <v/>
      </c>
      <c r="BL87" s="707">
        <f>BK87</f>
        <v/>
      </c>
      <c r="BM87" s="707">
        <f>BL87</f>
        <v/>
      </c>
      <c r="BN87" s="707">
        <f>BM87</f>
        <v/>
      </c>
      <c r="BO87" s="707">
        <f>BN87</f>
        <v/>
      </c>
      <c r="BP87" s="707">
        <f>BO87</f>
        <v/>
      </c>
      <c r="BQ87" s="707">
        <f>BP87</f>
        <v/>
      </c>
      <c r="BR87" s="707">
        <f>BQ87</f>
        <v/>
      </c>
      <c r="BS87" s="707">
        <f>BR87</f>
        <v/>
      </c>
      <c r="BT87" s="707">
        <f>BS87</f>
        <v/>
      </c>
      <c r="BU87" s="707">
        <f>BT87</f>
        <v/>
      </c>
      <c r="BV87" s="707">
        <f>BU87</f>
        <v/>
      </c>
      <c r="BW87" s="708">
        <f>BV87</f>
        <v/>
      </c>
      <c r="BX87" s="707">
        <f>BW87</f>
        <v/>
      </c>
      <c r="BY87" s="707">
        <f>BX87</f>
        <v/>
      </c>
      <c r="BZ87" s="707">
        <f>BY87</f>
        <v/>
      </c>
      <c r="CA87" s="707">
        <f>BZ87</f>
        <v/>
      </c>
      <c r="CB87" s="707">
        <f>CA87</f>
        <v/>
      </c>
      <c r="CC87" s="707">
        <f>CB87</f>
        <v/>
      </c>
      <c r="CD87" s="707">
        <f>CC87</f>
        <v/>
      </c>
      <c r="CE87" s="707">
        <f>CD87</f>
        <v/>
      </c>
      <c r="CF87" s="707">
        <f>CE87</f>
        <v/>
      </c>
      <c r="CG87" s="707">
        <f>CF87</f>
        <v/>
      </c>
      <c r="CH87" s="707">
        <f>CG87</f>
        <v/>
      </c>
      <c r="CI87" s="708">
        <f>CH87</f>
        <v/>
      </c>
      <c r="CJ87" s="707">
        <f>CI87</f>
        <v/>
      </c>
      <c r="CK87" s="707">
        <f>CJ87</f>
        <v/>
      </c>
      <c r="CL87" s="707">
        <f>CK87</f>
        <v/>
      </c>
      <c r="CM87" s="707">
        <f>CL87</f>
        <v/>
      </c>
      <c r="CN87" s="707">
        <f>CM87</f>
        <v/>
      </c>
      <c r="CO87" s="707">
        <f>CN87</f>
        <v/>
      </c>
      <c r="CP87" s="707">
        <f>CO87</f>
        <v/>
      </c>
      <c r="CQ87" s="707">
        <f>CP87</f>
        <v/>
      </c>
      <c r="CR87" s="707">
        <f>CQ87</f>
        <v/>
      </c>
      <c r="CS87" s="707">
        <f>CR87</f>
        <v/>
      </c>
      <c r="CT87" s="707">
        <f>CS87</f>
        <v/>
      </c>
      <c r="CU87" s="708">
        <f>CT87</f>
        <v/>
      </c>
      <c r="CV87" s="707">
        <f>CU87</f>
        <v/>
      </c>
      <c r="CW87" s="707">
        <f>CV87</f>
        <v/>
      </c>
      <c r="CX87" s="707">
        <f>CW87</f>
        <v/>
      </c>
      <c r="CY87" s="707">
        <f>CX87</f>
        <v/>
      </c>
      <c r="CZ87" s="707">
        <f>CY87</f>
        <v/>
      </c>
      <c r="DA87" s="707">
        <f>CZ87</f>
        <v/>
      </c>
      <c r="DB87" s="707">
        <f>DA87</f>
        <v/>
      </c>
      <c r="DC87" s="707">
        <f>DB87</f>
        <v/>
      </c>
      <c r="DD87" s="707">
        <f>DC87</f>
        <v/>
      </c>
      <c r="DE87" s="707">
        <f>DD87</f>
        <v/>
      </c>
      <c r="DF87" s="707">
        <f>DE87</f>
        <v/>
      </c>
      <c r="DG87" s="707">
        <f>DF87</f>
        <v/>
      </c>
    </row>
    <row r="88" customFormat="1" s="5">
      <c r="B88" s="1" t="inlineStr">
        <is>
          <t xml:space="preserve">      60500 Finance &amp; Accounting</t>
        </is>
      </c>
      <c r="C88" s="1" t="n"/>
      <c r="D88" s="707">
        <f>0</f>
        <v/>
      </c>
      <c r="E88" s="707">
        <f>0</f>
        <v/>
      </c>
      <c r="F88" s="707">
        <f>0</f>
        <v/>
      </c>
      <c r="G88" s="707">
        <f>0</f>
        <v/>
      </c>
      <c r="H88" s="707">
        <f>0</f>
        <v/>
      </c>
      <c r="I88" s="707">
        <f>0</f>
        <v/>
      </c>
      <c r="J88" s="707" t="n">
        <v>0</v>
      </c>
      <c r="K88" s="707" t="n">
        <v>0</v>
      </c>
      <c r="L88" s="707" t="n">
        <v>0</v>
      </c>
      <c r="M88" s="707" t="n">
        <v>279.6</v>
      </c>
      <c r="N88" s="707" t="n">
        <v>75</v>
      </c>
      <c r="O88" s="707" t="n">
        <v>75</v>
      </c>
      <c r="P88" s="707" t="n">
        <v>75</v>
      </c>
      <c r="Q88" s="707" t="n">
        <v>75</v>
      </c>
      <c r="R88" s="707" t="n"/>
      <c r="S88" s="707" t="n">
        <v>75</v>
      </c>
      <c r="T88" s="707" t="n">
        <v>165</v>
      </c>
      <c r="U88" s="707" t="n">
        <v>225</v>
      </c>
      <c r="V88" s="707" t="n">
        <v>75</v>
      </c>
      <c r="W88" s="707" t="n">
        <v>75</v>
      </c>
      <c r="X88" s="707" t="n">
        <v>225</v>
      </c>
      <c r="Y88" s="707" t="n">
        <v>75</v>
      </c>
      <c r="Z88" s="707" t="n">
        <v>75</v>
      </c>
      <c r="AA88" s="707" t="n">
        <v>225</v>
      </c>
      <c r="AB88" s="707" t="n">
        <v>75</v>
      </c>
      <c r="AC88" s="707" t="n">
        <v>112.5</v>
      </c>
      <c r="AD88" s="707" t="n">
        <v>225</v>
      </c>
      <c r="AE88" s="707" t="n">
        <v>75</v>
      </c>
      <c r="AF88" s="707" t="n">
        <v>75</v>
      </c>
      <c r="AG88" s="707" t="n">
        <v>225</v>
      </c>
      <c r="AH88" s="707" t="n">
        <v>185</v>
      </c>
      <c r="AI88" s="707" t="n">
        <v>207.5</v>
      </c>
      <c r="AJ88" s="707" t="n">
        <v>208.75</v>
      </c>
      <c r="AK88" s="707" t="n">
        <v>350</v>
      </c>
      <c r="AL88" s="707" t="n">
        <v>241.25</v>
      </c>
      <c r="AM88" s="513" t="n">
        <v>140</v>
      </c>
      <c r="AN88" s="707" t="n">
        <v>711.25</v>
      </c>
      <c r="AO88" s="707" t="n">
        <v>412.5</v>
      </c>
      <c r="AP88" s="707" t="n">
        <v>1155.73</v>
      </c>
      <c r="AQ88" s="707" t="n">
        <v>415</v>
      </c>
      <c r="AR88" s="707" t="n">
        <v>356.25</v>
      </c>
      <c r="AS88" s="707" t="n">
        <v>281.25</v>
      </c>
      <c r="AT88" s="707" t="n">
        <v>450</v>
      </c>
      <c r="AU88" s="707" t="n">
        <v>453.75</v>
      </c>
      <c r="AV88" s="707" t="n">
        <v>337.5</v>
      </c>
      <c r="AW88" s="708">
        <f>581.25</f>
        <v/>
      </c>
      <c r="AX88" s="287">
        <f>IF(AX3&lt;&gt;AW3, 450, 275)+150</f>
        <v/>
      </c>
      <c r="AY88" s="708">
        <f>IF(AY3&lt;&gt;AX3, 450, 275)</f>
        <v/>
      </c>
      <c r="AZ88" s="707">
        <f>IF(AZ3&lt;&gt;AY3, 450, 275)</f>
        <v/>
      </c>
      <c r="BA88" s="707">
        <f>IF(BA3&lt;&gt;AZ3, 450, 275)</f>
        <v/>
      </c>
      <c r="BB88" s="707">
        <f>IF(BB3&lt;&gt;BA3, 450, 275)</f>
        <v/>
      </c>
      <c r="BC88" s="707">
        <f>IF(BC3&lt;&gt;BB3, 450, 275)</f>
        <v/>
      </c>
      <c r="BD88" s="707">
        <f>IF(BD3&lt;&gt;BC3, 450, 275)</f>
        <v/>
      </c>
      <c r="BE88" s="707">
        <f>IF(BE3&lt;&gt;BD3, 450, 275)</f>
        <v/>
      </c>
      <c r="BF88" s="707">
        <f>IF(BF3&lt;&gt;BE3, 450, 275)</f>
        <v/>
      </c>
      <c r="BG88" s="707">
        <f>IF(BG3&lt;&gt;BF3, 450, 275)</f>
        <v/>
      </c>
      <c r="BH88" s="707">
        <f>IF(BH3&lt;&gt;BG3, 450, 275)</f>
        <v/>
      </c>
      <c r="BI88" s="707">
        <f>IF(BI3&lt;&gt;BH3, 450, 275)</f>
        <v/>
      </c>
      <c r="BJ88" s="707">
        <f>IF(BJ3&lt;&gt;BI3, 450, 275)</f>
        <v/>
      </c>
      <c r="BK88" s="708">
        <f>IF(BK3&lt;&gt;BJ3, 450, 275)</f>
        <v/>
      </c>
      <c r="BL88" s="707">
        <f>IF(BL3&lt;&gt;BK3, 450, 275)</f>
        <v/>
      </c>
      <c r="BM88" s="707">
        <f>IF(BM3&lt;&gt;BL3, 450, 275)</f>
        <v/>
      </c>
      <c r="BN88" s="707">
        <f>IF(BN3&lt;&gt;BM3, 450, 275)</f>
        <v/>
      </c>
      <c r="BO88" s="707">
        <f>IF(BO3&lt;&gt;BN3, 450, 275)</f>
        <v/>
      </c>
      <c r="BP88" s="707">
        <f>IF(BP3&lt;&gt;BO3, 450, 275)</f>
        <v/>
      </c>
      <c r="BQ88" s="707">
        <f>IF(BQ3&lt;&gt;BP3, 450, 275)</f>
        <v/>
      </c>
      <c r="BR88" s="707">
        <f>IF(BR3&lt;&gt;BQ3, 450, 275)</f>
        <v/>
      </c>
      <c r="BS88" s="707">
        <f>IF(BS3&lt;&gt;BR3, 450, 275)</f>
        <v/>
      </c>
      <c r="BT88" s="707">
        <f>IF(BT3&lt;&gt;BS3, 450, 275)</f>
        <v/>
      </c>
      <c r="BU88" s="707">
        <f>IF(BU3&lt;&gt;BT3, 450, 275)</f>
        <v/>
      </c>
      <c r="BV88" s="707">
        <f>IF(BV3&lt;&gt;BU3, 450, 275)</f>
        <v/>
      </c>
      <c r="BW88" s="708">
        <f>IF(BW3&lt;&gt;BV3, 450, 275)</f>
        <v/>
      </c>
      <c r="BX88" s="707">
        <f>IF(BX3&lt;&gt;BW3, 450, 275)</f>
        <v/>
      </c>
      <c r="BY88" s="707">
        <f>IF(BY3&lt;&gt;BX3, 450, 275)</f>
        <v/>
      </c>
      <c r="BZ88" s="707">
        <f>IF(BZ3&lt;&gt;BY3, 450, 275)</f>
        <v/>
      </c>
      <c r="CA88" s="707">
        <f>IF(CA3&lt;&gt;BZ3, 450, 275)</f>
        <v/>
      </c>
      <c r="CB88" s="707">
        <f>IF(CB3&lt;&gt;CA3, 450, 275)</f>
        <v/>
      </c>
      <c r="CC88" s="707">
        <f>IF(CC3&lt;&gt;CB3, 450, 275)</f>
        <v/>
      </c>
      <c r="CD88" s="707">
        <f>IF(CD3&lt;&gt;CC3, 450, 275)</f>
        <v/>
      </c>
      <c r="CE88" s="707">
        <f>IF(CE3&lt;&gt;CD3, 450, 275)</f>
        <v/>
      </c>
      <c r="CF88" s="707">
        <f>IF(CF3&lt;&gt;CE3, 450, 275)</f>
        <v/>
      </c>
      <c r="CG88" s="707">
        <f>IF(CG3&lt;&gt;CF3, 450, 275)</f>
        <v/>
      </c>
      <c r="CH88" s="707">
        <f>IF(CH3&lt;&gt;CG3, 450, 275)</f>
        <v/>
      </c>
      <c r="CI88" s="708">
        <f>IF(CI3&lt;&gt;CH3, 450, 275)</f>
        <v/>
      </c>
      <c r="CJ88" s="707">
        <f>IF(CJ3&lt;&gt;CI3, 450, 275)</f>
        <v/>
      </c>
      <c r="CK88" s="707">
        <f>IF(CK3&lt;&gt;CJ3, 450, 275)</f>
        <v/>
      </c>
      <c r="CL88" s="707">
        <f>IF(CL3&lt;&gt;CK3, 450, 275)</f>
        <v/>
      </c>
      <c r="CM88" s="707">
        <f>IF(CM3&lt;&gt;CL3, 450, 275)</f>
        <v/>
      </c>
      <c r="CN88" s="707">
        <f>IF(CN3&lt;&gt;CM3, 450, 275)</f>
        <v/>
      </c>
      <c r="CO88" s="707">
        <f>IF(CO3&lt;&gt;CN3, 450, 275)</f>
        <v/>
      </c>
      <c r="CP88" s="707">
        <f>IF(CP3&lt;&gt;CO3, 450, 275)</f>
        <v/>
      </c>
      <c r="CQ88" s="707">
        <f>IF(CQ3&lt;&gt;CP3, 450, 275)</f>
        <v/>
      </c>
      <c r="CR88" s="707">
        <f>IF(CR3&lt;&gt;CQ3, 450, 275)</f>
        <v/>
      </c>
      <c r="CS88" s="707">
        <f>IF(CS3&lt;&gt;CR3, 450, 275)</f>
        <v/>
      </c>
      <c r="CT88" s="707">
        <f>IF(CT3&lt;&gt;CS3, 450, 275)</f>
        <v/>
      </c>
      <c r="CU88" s="708">
        <f>IF(CU3&lt;&gt;CT3, 450, 275)</f>
        <v/>
      </c>
      <c r="CV88" s="707">
        <f>IF(CV3&lt;&gt;CU3, 450, 275)</f>
        <v/>
      </c>
      <c r="CW88" s="707">
        <f>IF(CW3&lt;&gt;CV3, 450, 275)</f>
        <v/>
      </c>
      <c r="CX88" s="707">
        <f>IF(CX3&lt;&gt;CW3, 450, 275)</f>
        <v/>
      </c>
      <c r="CY88" s="707">
        <f>IF(CY3&lt;&gt;CX3, 450, 275)</f>
        <v/>
      </c>
      <c r="CZ88" s="707">
        <f>IF(CZ3&lt;&gt;CY3, 450, 275)</f>
        <v/>
      </c>
      <c r="DA88" s="707">
        <f>IF(DA3&lt;&gt;CZ3, 450, 275)</f>
        <v/>
      </c>
      <c r="DB88" s="707">
        <f>IF(DB3&lt;&gt;DA3, 450, 275)</f>
        <v/>
      </c>
      <c r="DC88" s="707">
        <f>IF(DC3&lt;&gt;DB3, 450, 275)</f>
        <v/>
      </c>
      <c r="DD88" s="707">
        <f>IF(DD3&lt;&gt;DC3, 450, 275)</f>
        <v/>
      </c>
      <c r="DE88" s="707">
        <f>IF(DE3&lt;&gt;DD3, 450, 275)</f>
        <v/>
      </c>
      <c r="DF88" s="707">
        <f>IF(DF3&lt;&gt;DE3, 450, 275)</f>
        <v/>
      </c>
      <c r="DG88" s="707">
        <f>IF(DG3&lt;&gt;DF3, 450, 275)</f>
        <v/>
      </c>
    </row>
    <row r="89" customFormat="1" s="3">
      <c r="B89" s="1" t="inlineStr">
        <is>
          <t xml:space="preserve">      60600 Bank Fees</t>
        </is>
      </c>
      <c r="C89" s="1" t="n"/>
      <c r="D89" s="707">
        <f>0</f>
        <v/>
      </c>
      <c r="E89" s="707">
        <f>0</f>
        <v/>
      </c>
      <c r="F89" s="707">
        <f>0</f>
        <v/>
      </c>
      <c r="G89" s="707">
        <f>0</f>
        <v/>
      </c>
      <c r="H89" s="707">
        <f>0</f>
        <v/>
      </c>
      <c r="I89" s="707">
        <f>0</f>
        <v/>
      </c>
      <c r="J89" s="707" t="n">
        <v>0</v>
      </c>
      <c r="K89" s="707" t="n">
        <v>0</v>
      </c>
      <c r="L89" s="707" t="n">
        <v>0</v>
      </c>
      <c r="M89" s="707" t="n">
        <v>26.86</v>
      </c>
      <c r="N89" s="707" t="n">
        <v>105.23</v>
      </c>
      <c r="O89" s="707" t="n">
        <v>22.43</v>
      </c>
      <c r="P89" s="707" t="n">
        <v>118.13</v>
      </c>
      <c r="Q89" s="707" t="n">
        <v>36.76</v>
      </c>
      <c r="R89" s="707" t="n">
        <v>63.36</v>
      </c>
      <c r="S89" s="707" t="n">
        <v>153.85</v>
      </c>
      <c r="T89" s="707" t="n">
        <v>72.88</v>
      </c>
      <c r="U89" s="707" t="n">
        <v>27.48</v>
      </c>
      <c r="V89" s="707" t="n">
        <v>17.2</v>
      </c>
      <c r="W89" s="707" t="n">
        <v>33.76</v>
      </c>
      <c r="X89" s="707" t="n">
        <v>48.31</v>
      </c>
      <c r="Y89" s="707" t="n">
        <v>29</v>
      </c>
      <c r="Z89" s="707" t="n">
        <v>29</v>
      </c>
      <c r="AA89" s="707" t="n"/>
      <c r="AB89" s="707" t="n"/>
      <c r="AC89" s="707" t="n"/>
      <c r="AD89" s="707" t="n">
        <v>1.75</v>
      </c>
      <c r="AE89" s="707" t="n">
        <v>4.55</v>
      </c>
      <c r="AF89" s="707" t="n">
        <v>3.5</v>
      </c>
      <c r="AG89" s="707" t="n"/>
      <c r="AH89" s="707" t="n">
        <v>31.6</v>
      </c>
      <c r="AI89" s="707" t="n"/>
      <c r="AJ89" s="707" t="n"/>
      <c r="AK89" s="707" t="n">
        <v>29</v>
      </c>
      <c r="AL89" s="707" t="n"/>
      <c r="AM89" s="513" t="n"/>
      <c r="AN89" s="707" t="n"/>
      <c r="AO89" s="707" t="n"/>
      <c r="AP89" s="707">
        <f>52</f>
        <v/>
      </c>
      <c r="AQ89" s="707" t="n">
        <v>0</v>
      </c>
      <c r="AR89" s="707" t="n">
        <v>0</v>
      </c>
      <c r="AS89" s="707" t="n">
        <v>0</v>
      </c>
      <c r="AT89" s="707" t="n">
        <v>0</v>
      </c>
      <c r="AU89" s="707" t="n">
        <v>0</v>
      </c>
      <c r="AV89" s="707" t="n">
        <v>2</v>
      </c>
      <c r="AW89" s="708">
        <f>80.44</f>
        <v/>
      </c>
      <c r="AX89" s="287">
        <f>AVERAGE(AR89:AW89)</f>
        <v/>
      </c>
      <c r="AY89" s="708">
        <f>AX89</f>
        <v/>
      </c>
      <c r="AZ89" s="707">
        <f>AY89</f>
        <v/>
      </c>
      <c r="BA89" s="707">
        <f>AZ89</f>
        <v/>
      </c>
      <c r="BB89" s="707">
        <f>BA89</f>
        <v/>
      </c>
      <c r="BC89" s="707">
        <f>BB89</f>
        <v/>
      </c>
      <c r="BD89" s="707">
        <f>BC89</f>
        <v/>
      </c>
      <c r="BE89" s="707">
        <f>BD89</f>
        <v/>
      </c>
      <c r="BF89" s="707">
        <f>BE89</f>
        <v/>
      </c>
      <c r="BG89" s="707">
        <f>BF89</f>
        <v/>
      </c>
      <c r="BH89" s="707">
        <f>BG89</f>
        <v/>
      </c>
      <c r="BI89" s="707">
        <f>BH89</f>
        <v/>
      </c>
      <c r="BJ89" s="707">
        <f>BI89</f>
        <v/>
      </c>
      <c r="BK89" s="708">
        <f>BJ89</f>
        <v/>
      </c>
      <c r="BL89" s="707">
        <f>BK89</f>
        <v/>
      </c>
      <c r="BM89" s="707">
        <f>BL89</f>
        <v/>
      </c>
      <c r="BN89" s="707">
        <f>BM89</f>
        <v/>
      </c>
      <c r="BO89" s="707">
        <f>BN89</f>
        <v/>
      </c>
      <c r="BP89" s="707">
        <f>BO89</f>
        <v/>
      </c>
      <c r="BQ89" s="707">
        <f>BP89</f>
        <v/>
      </c>
      <c r="BR89" s="707">
        <f>BQ89</f>
        <v/>
      </c>
      <c r="BS89" s="707">
        <f>BR89</f>
        <v/>
      </c>
      <c r="BT89" s="707">
        <f>BS89</f>
        <v/>
      </c>
      <c r="BU89" s="707">
        <f>BT89</f>
        <v/>
      </c>
      <c r="BV89" s="707">
        <f>BU89</f>
        <v/>
      </c>
      <c r="BW89" s="708">
        <f>BV89</f>
        <v/>
      </c>
      <c r="BX89" s="707">
        <f>BW89</f>
        <v/>
      </c>
      <c r="BY89" s="707">
        <f>BX89</f>
        <v/>
      </c>
      <c r="BZ89" s="707">
        <f>BY89</f>
        <v/>
      </c>
      <c r="CA89" s="707">
        <f>BZ89</f>
        <v/>
      </c>
      <c r="CB89" s="707">
        <f>CA89</f>
        <v/>
      </c>
      <c r="CC89" s="707">
        <f>CB89</f>
        <v/>
      </c>
      <c r="CD89" s="707">
        <f>CC89</f>
        <v/>
      </c>
      <c r="CE89" s="707">
        <f>CD89</f>
        <v/>
      </c>
      <c r="CF89" s="707">
        <f>CE89</f>
        <v/>
      </c>
      <c r="CG89" s="707">
        <f>CF89</f>
        <v/>
      </c>
      <c r="CH89" s="707">
        <f>CG89</f>
        <v/>
      </c>
      <c r="CI89" s="708">
        <f>CH89</f>
        <v/>
      </c>
      <c r="CJ89" s="707">
        <f>CI89</f>
        <v/>
      </c>
      <c r="CK89" s="707">
        <f>CJ89</f>
        <v/>
      </c>
      <c r="CL89" s="707">
        <f>CK89</f>
        <v/>
      </c>
      <c r="CM89" s="707">
        <f>CL89</f>
        <v/>
      </c>
      <c r="CN89" s="707">
        <f>CM89</f>
        <v/>
      </c>
      <c r="CO89" s="707">
        <f>CN89</f>
        <v/>
      </c>
      <c r="CP89" s="707">
        <f>CO89</f>
        <v/>
      </c>
      <c r="CQ89" s="707">
        <f>CP89</f>
        <v/>
      </c>
      <c r="CR89" s="707">
        <f>CQ89</f>
        <v/>
      </c>
      <c r="CS89" s="707">
        <f>CR89</f>
        <v/>
      </c>
      <c r="CT89" s="707">
        <f>CS89</f>
        <v/>
      </c>
      <c r="CU89" s="708">
        <f>CT89</f>
        <v/>
      </c>
      <c r="CV89" s="707">
        <f>CU89</f>
        <v/>
      </c>
      <c r="CW89" s="707">
        <f>CV89</f>
        <v/>
      </c>
      <c r="CX89" s="707">
        <f>CW89</f>
        <v/>
      </c>
      <c r="CY89" s="707">
        <f>CX89</f>
        <v/>
      </c>
      <c r="CZ89" s="707">
        <f>CY89</f>
        <v/>
      </c>
      <c r="DA89" s="707">
        <f>CZ89</f>
        <v/>
      </c>
      <c r="DB89" s="707">
        <f>DA89</f>
        <v/>
      </c>
      <c r="DC89" s="707">
        <f>DB89</f>
        <v/>
      </c>
      <c r="DD89" s="707">
        <f>DC89</f>
        <v/>
      </c>
      <c r="DE89" s="707">
        <f>DD89</f>
        <v/>
      </c>
      <c r="DF89" s="707">
        <f>DE89</f>
        <v/>
      </c>
      <c r="DG89" s="707">
        <f>DF89</f>
        <v/>
      </c>
    </row>
    <row r="90">
      <c r="B90" s="1" t="inlineStr">
        <is>
          <t xml:space="preserve">      60700 Meals and Entertainment</t>
        </is>
      </c>
      <c r="C90" s="1" t="n"/>
      <c r="D90" s="707" t="n"/>
      <c r="E90" s="707" t="n"/>
      <c r="F90" s="707" t="n"/>
      <c r="G90" s="707" t="n"/>
      <c r="H90" s="707" t="n"/>
      <c r="I90" s="707" t="n"/>
      <c r="J90" s="707" t="n"/>
      <c r="K90" s="707" t="n"/>
      <c r="L90" s="707" t="n"/>
      <c r="M90" s="707" t="n"/>
      <c r="N90" s="707" t="n"/>
      <c r="O90" s="707" t="n"/>
      <c r="P90" s="707" t="n"/>
      <c r="Q90" s="707" t="n"/>
      <c r="R90" s="707" t="n"/>
      <c r="S90" s="707" t="n"/>
      <c r="T90" s="707" t="n">
        <v>22</v>
      </c>
      <c r="U90" s="707" t="n"/>
      <c r="V90" s="707" t="n"/>
      <c r="W90" s="707" t="n"/>
      <c r="X90" s="707" t="n"/>
      <c r="Y90" s="707" t="n"/>
      <c r="Z90" s="707" t="n"/>
      <c r="AA90" s="707" t="n"/>
      <c r="AB90" s="707" t="n"/>
      <c r="AC90" s="707" t="n"/>
      <c r="AD90" s="707" t="n"/>
      <c r="AE90" s="707" t="n"/>
      <c r="AF90" s="707" t="n"/>
      <c r="AG90" s="707" t="n"/>
      <c r="AH90" s="707" t="n">
        <v>218.02</v>
      </c>
      <c r="AI90" s="707" t="n">
        <v>57.06</v>
      </c>
      <c r="AJ90" s="707" t="n">
        <v>44.41</v>
      </c>
      <c r="AK90" s="707" t="n"/>
      <c r="AL90" s="707" t="n">
        <v>837.0700000000001</v>
      </c>
      <c r="AM90" s="513" t="n"/>
      <c r="AN90" s="707" t="n">
        <v>50</v>
      </c>
      <c r="AO90" s="707" t="n">
        <v>251.46</v>
      </c>
      <c r="AP90" s="707" t="n"/>
      <c r="AQ90" s="707" t="n"/>
      <c r="AR90" s="707" t="n">
        <v>285.65</v>
      </c>
      <c r="AS90" s="707" t="n">
        <v>315.29</v>
      </c>
      <c r="AT90" s="707" t="n">
        <v>326.19</v>
      </c>
      <c r="AU90" s="707" t="n">
        <v>484.06</v>
      </c>
      <c r="AV90" s="707" t="n">
        <v>383.29</v>
      </c>
      <c r="AW90" s="708">
        <f>677.01</f>
        <v/>
      </c>
      <c r="AX90" s="287">
        <f>AVERAGE(AR90:AW90)</f>
        <v/>
      </c>
      <c r="AY90" s="708">
        <f>AX90</f>
        <v/>
      </c>
      <c r="AZ90" s="707">
        <f>AY90</f>
        <v/>
      </c>
      <c r="BA90" s="707">
        <f>AZ90</f>
        <v/>
      </c>
      <c r="BB90" s="707">
        <f>BA90</f>
        <v/>
      </c>
      <c r="BC90" s="707">
        <f>BB90</f>
        <v/>
      </c>
      <c r="BD90" s="707">
        <f>BC90</f>
        <v/>
      </c>
      <c r="BE90" s="707">
        <f>BD90</f>
        <v/>
      </c>
      <c r="BF90" s="707">
        <f>BE90</f>
        <v/>
      </c>
      <c r="BG90" s="707">
        <f>BF90</f>
        <v/>
      </c>
      <c r="BH90" s="707">
        <f>BG90</f>
        <v/>
      </c>
      <c r="BI90" s="707">
        <f>BH90</f>
        <v/>
      </c>
      <c r="BJ90" s="707">
        <f>BI90</f>
        <v/>
      </c>
      <c r="BK90" s="708">
        <f>BJ90</f>
        <v/>
      </c>
      <c r="BL90" s="707">
        <f>BK90</f>
        <v/>
      </c>
      <c r="BM90" s="707">
        <f>BL90</f>
        <v/>
      </c>
      <c r="BN90" s="707">
        <f>BM90</f>
        <v/>
      </c>
      <c r="BO90" s="707">
        <f>BN90</f>
        <v/>
      </c>
      <c r="BP90" s="707">
        <f>BO90</f>
        <v/>
      </c>
      <c r="BQ90" s="707">
        <f>BP90</f>
        <v/>
      </c>
      <c r="BR90" s="707">
        <f>BQ90</f>
        <v/>
      </c>
      <c r="BS90" s="707">
        <f>BR90</f>
        <v/>
      </c>
      <c r="BT90" s="707">
        <f>BS90</f>
        <v/>
      </c>
      <c r="BU90" s="707">
        <f>BT90</f>
        <v/>
      </c>
      <c r="BV90" s="707">
        <f>BU90</f>
        <v/>
      </c>
      <c r="BW90" s="708">
        <f>BV90</f>
        <v/>
      </c>
      <c r="BX90" s="707">
        <f>BW90</f>
        <v/>
      </c>
      <c r="BY90" s="707">
        <f>BX90</f>
        <v/>
      </c>
      <c r="BZ90" s="707">
        <f>BY90</f>
        <v/>
      </c>
      <c r="CA90" s="707">
        <f>BZ90</f>
        <v/>
      </c>
      <c r="CB90" s="707">
        <f>CA90</f>
        <v/>
      </c>
      <c r="CC90" s="707">
        <f>CB90</f>
        <v/>
      </c>
      <c r="CD90" s="707">
        <f>CC90</f>
        <v/>
      </c>
      <c r="CE90" s="707">
        <f>CD90</f>
        <v/>
      </c>
      <c r="CF90" s="707">
        <f>CE90</f>
        <v/>
      </c>
      <c r="CG90" s="707">
        <f>CF90</f>
        <v/>
      </c>
      <c r="CH90" s="707">
        <f>CG90</f>
        <v/>
      </c>
      <c r="CI90" s="708">
        <f>CH90</f>
        <v/>
      </c>
      <c r="CJ90" s="707">
        <f>CI90</f>
        <v/>
      </c>
      <c r="CK90" s="707">
        <f>CJ90</f>
        <v/>
      </c>
      <c r="CL90" s="707">
        <f>CK90</f>
        <v/>
      </c>
      <c r="CM90" s="707">
        <f>CL90</f>
        <v/>
      </c>
      <c r="CN90" s="707">
        <f>CM90</f>
        <v/>
      </c>
      <c r="CO90" s="707">
        <f>CN90</f>
        <v/>
      </c>
      <c r="CP90" s="707">
        <f>CO90</f>
        <v/>
      </c>
      <c r="CQ90" s="707">
        <f>CP90</f>
        <v/>
      </c>
      <c r="CR90" s="707">
        <f>CQ90</f>
        <v/>
      </c>
      <c r="CS90" s="707">
        <f>CR90</f>
        <v/>
      </c>
      <c r="CT90" s="707">
        <f>CS90</f>
        <v/>
      </c>
      <c r="CU90" s="708">
        <f>CT90</f>
        <v/>
      </c>
      <c r="CV90" s="707">
        <f>CU90</f>
        <v/>
      </c>
      <c r="CW90" s="707">
        <f>CV90</f>
        <v/>
      </c>
      <c r="CX90" s="707">
        <f>CW90</f>
        <v/>
      </c>
      <c r="CY90" s="707">
        <f>CX90</f>
        <v/>
      </c>
      <c r="CZ90" s="707">
        <f>CY90</f>
        <v/>
      </c>
      <c r="DA90" s="707">
        <f>CZ90</f>
        <v/>
      </c>
      <c r="DB90" s="707">
        <f>DA90</f>
        <v/>
      </c>
      <c r="DC90" s="707">
        <f>DB90</f>
        <v/>
      </c>
      <c r="DD90" s="707">
        <f>DC90</f>
        <v/>
      </c>
      <c r="DE90" s="707">
        <f>DD90</f>
        <v/>
      </c>
      <c r="DF90" s="707">
        <f>DE90</f>
        <v/>
      </c>
      <c r="DG90" s="707">
        <f>DF90</f>
        <v/>
      </c>
    </row>
    <row r="91">
      <c r="B91" s="1" t="inlineStr">
        <is>
          <t xml:space="preserve">      60800 QB Fees</t>
        </is>
      </c>
      <c r="C91" s="1" t="n"/>
      <c r="D91" s="707" t="n">
        <v>0</v>
      </c>
      <c r="E91" s="707" t="n">
        <v>0</v>
      </c>
      <c r="F91" s="707" t="n">
        <v>0</v>
      </c>
      <c r="G91" s="707" t="n">
        <v>0</v>
      </c>
      <c r="H91" s="707" t="n">
        <v>0</v>
      </c>
      <c r="I91" s="707" t="n">
        <v>0</v>
      </c>
      <c r="J91" s="707" t="n">
        <v>0</v>
      </c>
      <c r="K91" s="707" t="n">
        <v>0</v>
      </c>
      <c r="L91" s="707" t="n">
        <v>0</v>
      </c>
      <c r="M91" s="707" t="n">
        <v>0</v>
      </c>
      <c r="N91" s="707" t="n">
        <v>30</v>
      </c>
      <c r="O91" s="707" t="n">
        <v>52.67</v>
      </c>
      <c r="P91" s="707" t="n">
        <v>30</v>
      </c>
      <c r="Q91" s="707" t="n">
        <v>30</v>
      </c>
      <c r="R91" s="707" t="n">
        <v>30</v>
      </c>
      <c r="S91" s="707" t="n">
        <v>31.99</v>
      </c>
      <c r="T91" s="707" t="n">
        <v>45.38</v>
      </c>
      <c r="U91" s="707" t="n">
        <v>51.04</v>
      </c>
      <c r="V91" s="707" t="n">
        <v>92.48999999999999</v>
      </c>
      <c r="W91" s="707" t="n">
        <v>194.71</v>
      </c>
      <c r="X91" s="707" t="n">
        <v>210.47</v>
      </c>
      <c r="Y91" s="707" t="n">
        <v>313.34</v>
      </c>
      <c r="Z91" s="707" t="n">
        <v>205.12</v>
      </c>
      <c r="AA91" s="707" t="n">
        <v>105.16</v>
      </c>
      <c r="AB91" s="707" t="n">
        <v>124.93</v>
      </c>
      <c r="AC91" s="707" t="n">
        <v>156.19</v>
      </c>
      <c r="AD91" s="707" t="n">
        <v>141.67</v>
      </c>
      <c r="AE91" s="707" t="n">
        <v>145.28</v>
      </c>
      <c r="AF91" s="707" t="n">
        <v>173.37</v>
      </c>
      <c r="AG91" s="707" t="n">
        <v>236.32</v>
      </c>
      <c r="AH91" s="707" t="n">
        <v>228.28</v>
      </c>
      <c r="AI91" s="707" t="n">
        <v>404.2</v>
      </c>
      <c r="AJ91" s="707" t="n">
        <v>334.27</v>
      </c>
      <c r="AK91" s="707" t="n">
        <v>523.21</v>
      </c>
      <c r="AL91" s="707" t="n">
        <v>315.97</v>
      </c>
      <c r="AM91" s="513" t="n">
        <v>199.98</v>
      </c>
      <c r="AN91" s="707" t="n">
        <v>229.96</v>
      </c>
      <c r="AO91" s="707" t="n">
        <v>281.21</v>
      </c>
      <c r="AP91" s="707" t="n">
        <v>303.5</v>
      </c>
      <c r="AQ91" s="707" t="n">
        <v>167.72</v>
      </c>
      <c r="AR91" s="707" t="n">
        <v>171.91</v>
      </c>
      <c r="AS91" s="707" t="n">
        <v>212.1</v>
      </c>
      <c r="AT91" s="707" t="n">
        <v>440.63</v>
      </c>
      <c r="AU91" s="707" t="n">
        <v>658.74</v>
      </c>
      <c r="AV91" s="707" t="n">
        <v>666.46</v>
      </c>
      <c r="AW91" s="708">
        <f>921.67</f>
        <v/>
      </c>
      <c r="AX91" s="287">
        <f>+AX101*AX12</f>
        <v/>
      </c>
      <c r="AY91" s="708">
        <f>+AY101*AY12</f>
        <v/>
      </c>
      <c r="AZ91" s="707">
        <f>+AZ101*AZ12</f>
        <v/>
      </c>
      <c r="BA91" s="707">
        <f>+BA101*BA12</f>
        <v/>
      </c>
      <c r="BB91" s="707">
        <f>+BB101*BB12</f>
        <v/>
      </c>
      <c r="BC91" s="707">
        <f>+BC101*BC12</f>
        <v/>
      </c>
      <c r="BD91" s="707">
        <f>+BD101*BD12</f>
        <v/>
      </c>
      <c r="BE91" s="707">
        <f>+BE101*BE12</f>
        <v/>
      </c>
      <c r="BF91" s="707">
        <f>+BF101*BF12</f>
        <v/>
      </c>
      <c r="BG91" s="707">
        <f>+BG101*BG12</f>
        <v/>
      </c>
      <c r="BH91" s="707">
        <f>+BH101*BH12</f>
        <v/>
      </c>
      <c r="BI91" s="707">
        <f>+BI101*BI12</f>
        <v/>
      </c>
      <c r="BJ91" s="707">
        <f>+BJ101*BJ12</f>
        <v/>
      </c>
      <c r="BK91" s="708">
        <f>+BK101*BK12</f>
        <v/>
      </c>
      <c r="BL91" s="707">
        <f>+BL101*BL12</f>
        <v/>
      </c>
      <c r="BM91" s="707">
        <f>+BM101*BM12</f>
        <v/>
      </c>
      <c r="BN91" s="707">
        <f>+BN101*BN12</f>
        <v/>
      </c>
      <c r="BO91" s="707">
        <f>+BO101*BO12</f>
        <v/>
      </c>
      <c r="BP91" s="707">
        <f>+BP101*BP12</f>
        <v/>
      </c>
      <c r="BQ91" s="707">
        <f>+BQ101*BQ12</f>
        <v/>
      </c>
      <c r="BR91" s="707">
        <f>+BR101*BR12</f>
        <v/>
      </c>
      <c r="BS91" s="707">
        <f>+BS101*BS12</f>
        <v/>
      </c>
      <c r="BT91" s="707">
        <f>+BT101*BT12</f>
        <v/>
      </c>
      <c r="BU91" s="707">
        <f>+BU101*BU12</f>
        <v/>
      </c>
      <c r="BV91" s="707">
        <f>+BV101*BV12</f>
        <v/>
      </c>
      <c r="BW91" s="708">
        <f>+BW101*BW12</f>
        <v/>
      </c>
      <c r="BX91" s="707">
        <f>+BX101*BX12</f>
        <v/>
      </c>
      <c r="BY91" s="707">
        <f>+BY101*BY12</f>
        <v/>
      </c>
      <c r="BZ91" s="707">
        <f>+BZ101*BZ12</f>
        <v/>
      </c>
      <c r="CA91" s="707">
        <f>+CA101*CA12</f>
        <v/>
      </c>
      <c r="CB91" s="707">
        <f>+CB101*CB12</f>
        <v/>
      </c>
      <c r="CC91" s="707">
        <f>+CC101*CC12</f>
        <v/>
      </c>
      <c r="CD91" s="707">
        <f>+CD101*CD12</f>
        <v/>
      </c>
      <c r="CE91" s="707">
        <f>+CE101*CE12</f>
        <v/>
      </c>
      <c r="CF91" s="707">
        <f>+CF101*CF12</f>
        <v/>
      </c>
      <c r="CG91" s="707">
        <f>+CG101*CG12</f>
        <v/>
      </c>
      <c r="CH91" s="707">
        <f>+CH101*CH12</f>
        <v/>
      </c>
      <c r="CI91" s="708">
        <f>+CI101*CI12</f>
        <v/>
      </c>
      <c r="CJ91" s="707">
        <f>+CJ101*CJ12</f>
        <v/>
      </c>
      <c r="CK91" s="707">
        <f>+CK101*CK12</f>
        <v/>
      </c>
      <c r="CL91" s="707">
        <f>+CL101*CL12</f>
        <v/>
      </c>
      <c r="CM91" s="707">
        <f>+CM101*CM12</f>
        <v/>
      </c>
      <c r="CN91" s="707">
        <f>+CN101*CN12</f>
        <v/>
      </c>
      <c r="CO91" s="707">
        <f>+CO101*CO12</f>
        <v/>
      </c>
      <c r="CP91" s="707">
        <f>+CP101*CP12</f>
        <v/>
      </c>
      <c r="CQ91" s="707">
        <f>+CQ101*CQ12</f>
        <v/>
      </c>
      <c r="CR91" s="707">
        <f>+CR101*CR12</f>
        <v/>
      </c>
      <c r="CS91" s="707">
        <f>+CS101*CS12</f>
        <v/>
      </c>
      <c r="CT91" s="707">
        <f>+CT101*CT12</f>
        <v/>
      </c>
      <c r="CU91" s="708">
        <f>+CU101*CU12</f>
        <v/>
      </c>
      <c r="CV91" s="707">
        <f>+CV101*CV12</f>
        <v/>
      </c>
      <c r="CW91" s="707">
        <f>+CW101*CW12</f>
        <v/>
      </c>
      <c r="CX91" s="707">
        <f>+CX101*CX12</f>
        <v/>
      </c>
      <c r="CY91" s="707">
        <f>+CY101*CY12</f>
        <v/>
      </c>
      <c r="CZ91" s="707">
        <f>+CZ101*CZ12</f>
        <v/>
      </c>
      <c r="DA91" s="707">
        <f>+DA101*DA12</f>
        <v/>
      </c>
      <c r="DB91" s="707">
        <f>+DB101*DB12</f>
        <v/>
      </c>
      <c r="DC91" s="707">
        <f>+DC101*DC12</f>
        <v/>
      </c>
      <c r="DD91" s="707">
        <f>+DD101*DD12</f>
        <v/>
      </c>
      <c r="DE91" s="707">
        <f>+DE101*DE12</f>
        <v/>
      </c>
      <c r="DF91" s="707">
        <f>+DF101*DF12</f>
        <v/>
      </c>
      <c r="DG91" s="707">
        <f>+DG101*DG12</f>
        <v/>
      </c>
    </row>
    <row r="92" customFormat="1" s="29">
      <c r="B92" s="1" t="inlineStr">
        <is>
          <t xml:space="preserve">      60900 Professional/Legal Fees</t>
        </is>
      </c>
      <c r="C92" s="1" t="n"/>
      <c r="D92" s="707">
        <f>0</f>
        <v/>
      </c>
      <c r="E92" s="707">
        <f>0</f>
        <v/>
      </c>
      <c r="F92" s="707">
        <f>0</f>
        <v/>
      </c>
      <c r="G92" s="707">
        <f>0</f>
        <v/>
      </c>
      <c r="H92" s="707">
        <f>0</f>
        <v/>
      </c>
      <c r="I92" s="707">
        <f>0</f>
        <v/>
      </c>
      <c r="J92" s="707" t="n">
        <v>0</v>
      </c>
      <c r="K92" s="707" t="n">
        <v>0</v>
      </c>
      <c r="L92" s="707" t="n">
        <v>0</v>
      </c>
      <c r="M92" s="707" t="n">
        <v>1150</v>
      </c>
      <c r="N92" s="707" t="n">
        <v>0</v>
      </c>
      <c r="O92" s="707" t="n">
        <v>0</v>
      </c>
      <c r="P92" s="707" t="n"/>
      <c r="Q92" s="707" t="n"/>
      <c r="R92" s="707" t="n"/>
      <c r="S92" s="707" t="n"/>
      <c r="T92" s="707" t="n"/>
      <c r="U92" s="707" t="n">
        <v>50</v>
      </c>
      <c r="V92" s="707" t="n">
        <v>55</v>
      </c>
      <c r="W92" s="707" t="n">
        <v>200</v>
      </c>
      <c r="X92" s="707" t="n">
        <v>633.5</v>
      </c>
      <c r="Y92" s="707" t="n"/>
      <c r="Z92" s="707" t="n"/>
      <c r="AA92" s="707" t="n"/>
      <c r="AB92" s="707" t="n"/>
      <c r="AC92" s="707" t="n"/>
      <c r="AD92" s="707" t="n"/>
      <c r="AE92" s="707" t="n"/>
      <c r="AF92" s="707" t="n"/>
      <c r="AG92" s="707" t="n"/>
      <c r="AH92" s="707" t="n"/>
      <c r="AI92" s="707" t="n">
        <v>490</v>
      </c>
      <c r="AJ92" s="707" t="n"/>
      <c r="AK92" s="707" t="n">
        <v>262.5</v>
      </c>
      <c r="AL92" s="707" t="n"/>
      <c r="AM92" s="513" t="n"/>
      <c r="AN92" s="707" t="n"/>
      <c r="AO92" s="707" t="n"/>
      <c r="AP92" s="707">
        <f>707</f>
        <v/>
      </c>
      <c r="AQ92" s="707" t="n">
        <v>235.5</v>
      </c>
      <c r="AR92" s="707" t="n"/>
      <c r="AS92" s="707" t="n"/>
      <c r="AT92" s="707" t="n">
        <v>275</v>
      </c>
      <c r="AU92" s="707" t="n">
        <v>88</v>
      </c>
      <c r="AV92" s="707" t="n"/>
      <c r="AW92" s="708" t="n"/>
      <c r="AX92" s="287">
        <f>AVERAGE(AR92:AW92)</f>
        <v/>
      </c>
      <c r="AY92" s="708">
        <f>+AM92</f>
        <v/>
      </c>
      <c r="AZ92" s="707">
        <f>+AN92</f>
        <v/>
      </c>
      <c r="BA92" s="707">
        <f>+AO92</f>
        <v/>
      </c>
      <c r="BB92" s="707">
        <f>+AP92</f>
        <v/>
      </c>
      <c r="BC92" s="707">
        <f>+AQ92</f>
        <v/>
      </c>
      <c r="BD92" s="707">
        <f>+AR92</f>
        <v/>
      </c>
      <c r="BE92" s="707">
        <f>+AS92</f>
        <v/>
      </c>
      <c r="BF92" s="707">
        <f>+AT92</f>
        <v/>
      </c>
      <c r="BG92" s="707">
        <f>+AU92</f>
        <v/>
      </c>
      <c r="BH92" s="707">
        <f>+AV92</f>
        <v/>
      </c>
      <c r="BI92" s="707">
        <f>+AW92</f>
        <v/>
      </c>
      <c r="BJ92" s="707">
        <f>+AX92</f>
        <v/>
      </c>
      <c r="BK92" s="708">
        <f>+AY92</f>
        <v/>
      </c>
      <c r="BL92" s="707">
        <f>+AZ92</f>
        <v/>
      </c>
      <c r="BM92" s="707">
        <f>+BA92</f>
        <v/>
      </c>
      <c r="BN92" s="707">
        <f>+BB92</f>
        <v/>
      </c>
      <c r="BO92" s="707">
        <f>+BC92</f>
        <v/>
      </c>
      <c r="BP92" s="707">
        <f>+BD92</f>
        <v/>
      </c>
      <c r="BQ92" s="707">
        <f>+BE92</f>
        <v/>
      </c>
      <c r="BR92" s="707">
        <f>+BF92</f>
        <v/>
      </c>
      <c r="BS92" s="707">
        <f>+BG92</f>
        <v/>
      </c>
      <c r="BT92" s="707">
        <f>+BH92</f>
        <v/>
      </c>
      <c r="BU92" s="707">
        <f>+BI92</f>
        <v/>
      </c>
      <c r="BV92" s="707">
        <f>+BJ92</f>
        <v/>
      </c>
      <c r="BW92" s="708">
        <f>+BK92</f>
        <v/>
      </c>
      <c r="BX92" s="707">
        <f>+BL92</f>
        <v/>
      </c>
      <c r="BY92" s="707">
        <f>+BM92</f>
        <v/>
      </c>
      <c r="BZ92" s="707">
        <f>+BN92</f>
        <v/>
      </c>
      <c r="CA92" s="707">
        <f>+BO92</f>
        <v/>
      </c>
      <c r="CB92" s="707">
        <f>+BP92</f>
        <v/>
      </c>
      <c r="CC92" s="707">
        <f>+BQ92</f>
        <v/>
      </c>
      <c r="CD92" s="707">
        <f>+BR92</f>
        <v/>
      </c>
      <c r="CE92" s="707">
        <f>+BS92</f>
        <v/>
      </c>
      <c r="CF92" s="707">
        <f>+BT92</f>
        <v/>
      </c>
      <c r="CG92" s="707">
        <f>+BU92</f>
        <v/>
      </c>
      <c r="CH92" s="707">
        <f>+BV92</f>
        <v/>
      </c>
      <c r="CI92" s="708">
        <f>+BW92</f>
        <v/>
      </c>
      <c r="CJ92" s="707">
        <f>+BX92</f>
        <v/>
      </c>
      <c r="CK92" s="707">
        <f>+BY92</f>
        <v/>
      </c>
      <c r="CL92" s="707">
        <f>+BZ92</f>
        <v/>
      </c>
      <c r="CM92" s="707">
        <f>+CA92</f>
        <v/>
      </c>
      <c r="CN92" s="707">
        <f>+CB92</f>
        <v/>
      </c>
      <c r="CO92" s="707">
        <f>+CC92</f>
        <v/>
      </c>
      <c r="CP92" s="707">
        <f>+CD92</f>
        <v/>
      </c>
      <c r="CQ92" s="707">
        <f>+CE92</f>
        <v/>
      </c>
      <c r="CR92" s="707">
        <f>+CF92</f>
        <v/>
      </c>
      <c r="CS92" s="707">
        <f>+CG92</f>
        <v/>
      </c>
      <c r="CT92" s="707">
        <f>+CH92</f>
        <v/>
      </c>
      <c r="CU92" s="708">
        <f>+CI92</f>
        <v/>
      </c>
      <c r="CV92" s="707">
        <f>+CJ92</f>
        <v/>
      </c>
      <c r="CW92" s="707">
        <f>+CK92</f>
        <v/>
      </c>
      <c r="CX92" s="707">
        <f>+CL92</f>
        <v/>
      </c>
      <c r="CY92" s="707">
        <f>+CM92</f>
        <v/>
      </c>
      <c r="CZ92" s="707">
        <f>+CN92</f>
        <v/>
      </c>
      <c r="DA92" s="707">
        <f>+CO92</f>
        <v/>
      </c>
      <c r="DB92" s="707">
        <f>+CP92</f>
        <v/>
      </c>
      <c r="DC92" s="707">
        <f>+CQ92</f>
        <v/>
      </c>
      <c r="DD92" s="707">
        <f>+CR92</f>
        <v/>
      </c>
      <c r="DE92" s="707">
        <f>+CS92</f>
        <v/>
      </c>
      <c r="DF92" s="707">
        <f>+CT92</f>
        <v/>
      </c>
      <c r="DG92" s="707">
        <f>+CU92</f>
        <v/>
      </c>
    </row>
    <row r="93" customFormat="1" s="29">
      <c r="B93" s="1" t="inlineStr">
        <is>
          <t xml:space="preserve">      61100 Utilities</t>
        </is>
      </c>
      <c r="C93" s="1" t="n"/>
      <c r="D93" s="707" t="n"/>
      <c r="E93" s="707" t="n"/>
      <c r="F93" s="707" t="n"/>
      <c r="G93" s="707" t="n"/>
      <c r="H93" s="707" t="n"/>
      <c r="I93" s="707" t="n"/>
      <c r="J93" s="707" t="n"/>
      <c r="K93" s="707" t="n"/>
      <c r="L93" s="707" t="n"/>
      <c r="M93" s="707" t="n"/>
      <c r="N93" s="707" t="n"/>
      <c r="O93" s="707" t="n"/>
      <c r="P93" s="707" t="n"/>
      <c r="Q93" s="707" t="n"/>
      <c r="R93" s="707" t="n"/>
      <c r="S93" s="707" t="n"/>
      <c r="T93" s="707" t="n">
        <v>192.74</v>
      </c>
      <c r="U93" s="707" t="n">
        <v>137.74</v>
      </c>
      <c r="V93" s="707" t="n">
        <v>181.07</v>
      </c>
      <c r="W93" s="707" t="n">
        <v>286.48</v>
      </c>
      <c r="X93" s="707" t="n">
        <v>138.17</v>
      </c>
      <c r="Y93" s="707" t="n">
        <v>263.36</v>
      </c>
      <c r="Z93" s="707" t="n">
        <v>138.4</v>
      </c>
      <c r="AA93" s="707" t="n">
        <v>138.4</v>
      </c>
      <c r="AB93" s="707" t="n">
        <v>138.4</v>
      </c>
      <c r="AC93" s="707" t="n">
        <v>138.42</v>
      </c>
      <c r="AD93" s="707" t="n">
        <v>138.42</v>
      </c>
      <c r="AE93" s="707" t="n">
        <v>145.97</v>
      </c>
      <c r="AF93" s="707" t="n">
        <v>142.42</v>
      </c>
      <c r="AG93" s="707" t="n">
        <v>142.42</v>
      </c>
      <c r="AH93" s="707" t="n">
        <v>219.14</v>
      </c>
      <c r="AI93" s="707" t="n">
        <v>164.46</v>
      </c>
      <c r="AJ93" s="707" t="n">
        <v>134.46</v>
      </c>
      <c r="AK93" s="707" t="n">
        <v>260.35</v>
      </c>
      <c r="AL93" s="707" t="n">
        <v>157.41</v>
      </c>
      <c r="AM93" s="513" t="n">
        <v>127.41</v>
      </c>
      <c r="AN93" s="707" t="n">
        <v>128.5</v>
      </c>
      <c r="AO93" s="707" t="n">
        <v>155.68</v>
      </c>
      <c r="AP93" s="707" t="n">
        <v>123.02</v>
      </c>
      <c r="AQ93" s="707" t="n">
        <v>123.02</v>
      </c>
      <c r="AR93" s="707" t="n">
        <v>123.01</v>
      </c>
      <c r="AS93" s="707" t="n">
        <v>123.01</v>
      </c>
      <c r="AT93" s="707" t="n">
        <v>123.01</v>
      </c>
      <c r="AU93" s="707" t="n">
        <v>122.99</v>
      </c>
      <c r="AV93" s="707" t="n">
        <v>161.99</v>
      </c>
      <c r="AW93" s="708">
        <f>155.86</f>
        <v/>
      </c>
      <c r="AX93" s="287">
        <f>+AW93</f>
        <v/>
      </c>
      <c r="AY93" s="708">
        <f>+AX93</f>
        <v/>
      </c>
      <c r="AZ93" s="707">
        <f>+AY93</f>
        <v/>
      </c>
      <c r="BA93" s="707">
        <f>+AZ93</f>
        <v/>
      </c>
      <c r="BB93" s="707">
        <f>+BA93</f>
        <v/>
      </c>
      <c r="BC93" s="707">
        <f>+BB93</f>
        <v/>
      </c>
      <c r="BD93" s="707">
        <f>+BC93</f>
        <v/>
      </c>
      <c r="BE93" s="707">
        <f>+BD93</f>
        <v/>
      </c>
      <c r="BF93" s="707">
        <f>+BE93</f>
        <v/>
      </c>
      <c r="BG93" s="707">
        <f>+BF93</f>
        <v/>
      </c>
      <c r="BH93" s="707">
        <f>+BG93</f>
        <v/>
      </c>
      <c r="BI93" s="707">
        <f>+BH93</f>
        <v/>
      </c>
      <c r="BJ93" s="707">
        <f>+BI93</f>
        <v/>
      </c>
      <c r="BK93" s="708">
        <f>+BJ93</f>
        <v/>
      </c>
      <c r="BL93" s="707">
        <f>+BK93</f>
        <v/>
      </c>
      <c r="BM93" s="707">
        <f>+BL93</f>
        <v/>
      </c>
      <c r="BN93" s="707">
        <f>+BM93</f>
        <v/>
      </c>
      <c r="BO93" s="707">
        <f>+BN93</f>
        <v/>
      </c>
      <c r="BP93" s="707">
        <f>+BO93</f>
        <v/>
      </c>
      <c r="BQ93" s="707">
        <f>+BP93</f>
        <v/>
      </c>
      <c r="BR93" s="707">
        <f>+BQ93</f>
        <v/>
      </c>
      <c r="BS93" s="707">
        <f>+BR93</f>
        <v/>
      </c>
      <c r="BT93" s="707">
        <f>+BS93</f>
        <v/>
      </c>
      <c r="BU93" s="707">
        <f>+BT93</f>
        <v/>
      </c>
      <c r="BV93" s="707">
        <f>+BU93</f>
        <v/>
      </c>
      <c r="BW93" s="708">
        <f>+BV93</f>
        <v/>
      </c>
      <c r="BX93" s="707">
        <f>+BW93</f>
        <v/>
      </c>
      <c r="BY93" s="707">
        <f>+BX93</f>
        <v/>
      </c>
      <c r="BZ93" s="707">
        <f>+BY93</f>
        <v/>
      </c>
      <c r="CA93" s="707">
        <f>+BZ93</f>
        <v/>
      </c>
      <c r="CB93" s="707">
        <f>+CA93</f>
        <v/>
      </c>
      <c r="CC93" s="707">
        <f>+CB93</f>
        <v/>
      </c>
      <c r="CD93" s="707">
        <f>+CC93</f>
        <v/>
      </c>
      <c r="CE93" s="707">
        <f>+CD93</f>
        <v/>
      </c>
      <c r="CF93" s="707">
        <f>+CE93</f>
        <v/>
      </c>
      <c r="CG93" s="707">
        <f>+CF93</f>
        <v/>
      </c>
      <c r="CH93" s="707">
        <f>+CG93</f>
        <v/>
      </c>
      <c r="CI93" s="708">
        <f>+CH93</f>
        <v/>
      </c>
      <c r="CJ93" s="707">
        <f>+CI93</f>
        <v/>
      </c>
      <c r="CK93" s="707">
        <f>+CJ93</f>
        <v/>
      </c>
      <c r="CL93" s="707">
        <f>+CK93</f>
        <v/>
      </c>
      <c r="CM93" s="707">
        <f>+CL93</f>
        <v/>
      </c>
      <c r="CN93" s="707">
        <f>+CM93</f>
        <v/>
      </c>
      <c r="CO93" s="707">
        <f>+CN93</f>
        <v/>
      </c>
      <c r="CP93" s="707">
        <f>+CO93</f>
        <v/>
      </c>
      <c r="CQ93" s="707">
        <f>+CP93</f>
        <v/>
      </c>
      <c r="CR93" s="707">
        <f>+CQ93</f>
        <v/>
      </c>
      <c r="CS93" s="707">
        <f>+CR93</f>
        <v/>
      </c>
      <c r="CT93" s="707">
        <f>+CS93</f>
        <v/>
      </c>
      <c r="CU93" s="708">
        <f>+CT93</f>
        <v/>
      </c>
      <c r="CV93" s="707">
        <f>+CU93</f>
        <v/>
      </c>
      <c r="CW93" s="707">
        <f>+CV93</f>
        <v/>
      </c>
      <c r="CX93" s="707">
        <f>+CW93</f>
        <v/>
      </c>
      <c r="CY93" s="707">
        <f>+CX93</f>
        <v/>
      </c>
      <c r="CZ93" s="707">
        <f>+CY93</f>
        <v/>
      </c>
      <c r="DA93" s="707">
        <f>+CZ93</f>
        <v/>
      </c>
      <c r="DB93" s="707">
        <f>+DA93</f>
        <v/>
      </c>
      <c r="DC93" s="707">
        <f>+DB93</f>
        <v/>
      </c>
      <c r="DD93" s="707">
        <f>+DC93</f>
        <v/>
      </c>
      <c r="DE93" s="707">
        <f>+DD93</f>
        <v/>
      </c>
      <c r="DF93" s="707">
        <f>+DE93</f>
        <v/>
      </c>
      <c r="DG93" s="707">
        <f>+DF93</f>
        <v/>
      </c>
    </row>
    <row r="94" customFormat="1" s="29">
      <c r="B94" s="1" t="inlineStr">
        <is>
          <t xml:space="preserve">      61200 Taxes/Licenses</t>
        </is>
      </c>
      <c r="C94" s="1" t="n"/>
      <c r="D94" s="707" t="n"/>
      <c r="E94" s="707" t="n"/>
      <c r="F94" s="707" t="n"/>
      <c r="G94" s="707" t="n"/>
      <c r="H94" s="707" t="n"/>
      <c r="I94" s="707" t="n"/>
      <c r="J94" s="707" t="n"/>
      <c r="K94" s="707" t="n"/>
      <c r="L94" s="707" t="n"/>
      <c r="M94" s="707" t="n"/>
      <c r="N94" s="707" t="n"/>
      <c r="O94" s="707" t="n"/>
      <c r="P94" s="707" t="n"/>
      <c r="Q94" s="707" t="n"/>
      <c r="R94" s="707" t="n"/>
      <c r="S94" s="707" t="n"/>
      <c r="T94" s="707" t="n"/>
      <c r="U94" s="707" t="n"/>
      <c r="V94" s="707" t="n"/>
      <c r="W94" s="707" t="n">
        <v>50</v>
      </c>
      <c r="X94" s="707" t="n"/>
      <c r="Y94" s="707" t="n"/>
      <c r="Z94" s="707" t="n"/>
      <c r="AA94" s="707" t="n"/>
      <c r="AB94" s="707" t="n"/>
      <c r="AC94" s="707" t="n"/>
      <c r="AD94" s="707" t="n">
        <v>300</v>
      </c>
      <c r="AE94" s="707" t="n"/>
      <c r="AF94" s="707" t="n"/>
      <c r="AG94" s="707" t="n"/>
      <c r="AH94" s="707" t="n"/>
      <c r="AI94" s="707" t="n">
        <v>50</v>
      </c>
      <c r="AJ94" s="707" t="n"/>
      <c r="AK94" s="707" t="n"/>
      <c r="AL94" s="707" t="n"/>
      <c r="AM94" s="513" t="n"/>
      <c r="AN94" s="707" t="n"/>
      <c r="AO94" s="707" t="n"/>
      <c r="AP94" s="707" t="n"/>
      <c r="AQ94" s="707" t="n"/>
      <c r="AR94" s="707" t="n">
        <v>0</v>
      </c>
      <c r="AS94" s="707" t="n">
        <v>0</v>
      </c>
      <c r="AT94" s="707" t="n">
        <v>50</v>
      </c>
      <c r="AU94" s="707" t="n"/>
      <c r="AV94" s="707" t="n"/>
      <c r="AW94" s="708" t="n"/>
      <c r="AX94" s="287">
        <f>AVERAGE(AO94:AW94)</f>
        <v/>
      </c>
      <c r="AY94" s="708">
        <f>+AX94</f>
        <v/>
      </c>
      <c r="AZ94" s="707">
        <f>+AY94</f>
        <v/>
      </c>
      <c r="BA94" s="707">
        <f>+AZ94</f>
        <v/>
      </c>
      <c r="BB94" s="707">
        <f>+BA94</f>
        <v/>
      </c>
      <c r="BC94" s="707">
        <f>+BB94</f>
        <v/>
      </c>
      <c r="BD94" s="707">
        <f>+BC94</f>
        <v/>
      </c>
      <c r="BE94" s="707">
        <f>+BD94</f>
        <v/>
      </c>
      <c r="BF94" s="707">
        <f>+BE94</f>
        <v/>
      </c>
      <c r="BG94" s="707">
        <f>+BF94</f>
        <v/>
      </c>
      <c r="BH94" s="707">
        <f>+BG94</f>
        <v/>
      </c>
      <c r="BI94" s="707">
        <f>+BH94</f>
        <v/>
      </c>
      <c r="BJ94" s="707">
        <f>+BI94</f>
        <v/>
      </c>
      <c r="BK94" s="708">
        <f>+BJ94</f>
        <v/>
      </c>
      <c r="BL94" s="707">
        <f>+BK94</f>
        <v/>
      </c>
      <c r="BM94" s="707">
        <f>+BL94</f>
        <v/>
      </c>
      <c r="BN94" s="707">
        <f>+BM94</f>
        <v/>
      </c>
      <c r="BO94" s="707">
        <f>+BN94</f>
        <v/>
      </c>
      <c r="BP94" s="707">
        <f>+BO94</f>
        <v/>
      </c>
      <c r="BQ94" s="707">
        <f>+BP94</f>
        <v/>
      </c>
      <c r="BR94" s="707">
        <f>+BQ94</f>
        <v/>
      </c>
      <c r="BS94" s="707">
        <f>+BR94</f>
        <v/>
      </c>
      <c r="BT94" s="707">
        <f>+BS94</f>
        <v/>
      </c>
      <c r="BU94" s="707">
        <f>+BT94</f>
        <v/>
      </c>
      <c r="BV94" s="707">
        <f>+BU94</f>
        <v/>
      </c>
      <c r="BW94" s="708">
        <f>+BV94</f>
        <v/>
      </c>
      <c r="BX94" s="707">
        <f>+BW94</f>
        <v/>
      </c>
      <c r="BY94" s="707">
        <f>+BX94</f>
        <v/>
      </c>
      <c r="BZ94" s="707">
        <f>+BY94</f>
        <v/>
      </c>
      <c r="CA94" s="707">
        <f>+BZ94</f>
        <v/>
      </c>
      <c r="CB94" s="707">
        <f>+CA94</f>
        <v/>
      </c>
      <c r="CC94" s="707">
        <f>+CB94</f>
        <v/>
      </c>
      <c r="CD94" s="707">
        <f>+CC94</f>
        <v/>
      </c>
      <c r="CE94" s="707">
        <f>+CD94</f>
        <v/>
      </c>
      <c r="CF94" s="707">
        <f>+CE94</f>
        <v/>
      </c>
      <c r="CG94" s="707">
        <f>+CF94</f>
        <v/>
      </c>
      <c r="CH94" s="707">
        <f>+CG94</f>
        <v/>
      </c>
      <c r="CI94" s="708">
        <f>+CH94</f>
        <v/>
      </c>
      <c r="CJ94" s="707">
        <f>+CI94</f>
        <v/>
      </c>
      <c r="CK94" s="707">
        <f>+CJ94</f>
        <v/>
      </c>
      <c r="CL94" s="707">
        <f>+CK94</f>
        <v/>
      </c>
      <c r="CM94" s="707">
        <f>+CL94</f>
        <v/>
      </c>
      <c r="CN94" s="707">
        <f>+CM94</f>
        <v/>
      </c>
      <c r="CO94" s="707">
        <f>+CN94</f>
        <v/>
      </c>
      <c r="CP94" s="707">
        <f>+CO94</f>
        <v/>
      </c>
      <c r="CQ94" s="707">
        <f>+CP94</f>
        <v/>
      </c>
      <c r="CR94" s="707">
        <f>+CQ94</f>
        <v/>
      </c>
      <c r="CS94" s="707">
        <f>+CR94</f>
        <v/>
      </c>
      <c r="CT94" s="707">
        <f>+CS94</f>
        <v/>
      </c>
      <c r="CU94" s="708">
        <f>+CT94</f>
        <v/>
      </c>
      <c r="CV94" s="707">
        <f>+CU94</f>
        <v/>
      </c>
      <c r="CW94" s="707">
        <f>+CV94</f>
        <v/>
      </c>
      <c r="CX94" s="707">
        <f>+CW94</f>
        <v/>
      </c>
      <c r="CY94" s="707">
        <f>+CX94</f>
        <v/>
      </c>
      <c r="CZ94" s="707">
        <f>+CY94</f>
        <v/>
      </c>
      <c r="DA94" s="707">
        <f>+CZ94</f>
        <v/>
      </c>
      <c r="DB94" s="707">
        <f>+DA94</f>
        <v/>
      </c>
      <c r="DC94" s="707">
        <f>+DB94</f>
        <v/>
      </c>
      <c r="DD94" s="707">
        <f>+DC94</f>
        <v/>
      </c>
      <c r="DE94" s="707">
        <f>+DD94</f>
        <v/>
      </c>
      <c r="DF94" s="707">
        <f>+DE94</f>
        <v/>
      </c>
      <c r="DG94" s="707">
        <f>+DF94</f>
        <v/>
      </c>
    </row>
    <row r="95">
      <c r="B95" s="1" t="inlineStr">
        <is>
          <t>Total G&amp;A Expenses</t>
        </is>
      </c>
      <c r="C95" s="1" t="n"/>
      <c r="D95" s="822">
        <f>SUM(D85:D92)</f>
        <v/>
      </c>
      <c r="E95" s="822">
        <f>SUM(E85:E92)</f>
        <v/>
      </c>
      <c r="F95" s="822">
        <f>SUM(F85:F92)</f>
        <v/>
      </c>
      <c r="G95" s="822">
        <f>SUM(G85:G92)</f>
        <v/>
      </c>
      <c r="H95" s="822">
        <f>SUM(H85:H92)</f>
        <v/>
      </c>
      <c r="I95" s="822">
        <f>SUM(I85:I92)</f>
        <v/>
      </c>
      <c r="J95" s="822">
        <f>SUM(J85:J92)</f>
        <v/>
      </c>
      <c r="K95" s="822">
        <f>SUM(K85:K92)</f>
        <v/>
      </c>
      <c r="L95" s="822">
        <f>SUM(L85:L92)</f>
        <v/>
      </c>
      <c r="M95" s="822">
        <f>SUM(M85:M92)</f>
        <v/>
      </c>
      <c r="N95" s="822">
        <f>SUM(N85:N92)</f>
        <v/>
      </c>
      <c r="O95" s="822">
        <f>SUM(O85:O92)</f>
        <v/>
      </c>
      <c r="P95" s="822">
        <f>SUM(P85:P94)</f>
        <v/>
      </c>
      <c r="Q95" s="822">
        <f>SUM(Q85:Q94)</f>
        <v/>
      </c>
      <c r="R95" s="822">
        <f>SUM(R85:R94)</f>
        <v/>
      </c>
      <c r="S95" s="822">
        <f>SUM(S85:S94)</f>
        <v/>
      </c>
      <c r="T95" s="822">
        <f>SUM(T85:T94)</f>
        <v/>
      </c>
      <c r="U95" s="822">
        <f>SUM(U85:U94)</f>
        <v/>
      </c>
      <c r="V95" s="822">
        <f>SUM(V85:V94)</f>
        <v/>
      </c>
      <c r="W95" s="822">
        <f>SUM(W85:W94)</f>
        <v/>
      </c>
      <c r="X95" s="822">
        <f>SUM(X85:X94)</f>
        <v/>
      </c>
      <c r="Y95" s="822">
        <f>SUM(Y74:Y94)</f>
        <v/>
      </c>
      <c r="Z95" s="822">
        <f>SUM(Z74:Z94)</f>
        <v/>
      </c>
      <c r="AA95" s="822">
        <f>SUM(AA74:AA94)</f>
        <v/>
      </c>
      <c r="AB95" s="822">
        <f>SUM(AB74:AB94)</f>
        <v/>
      </c>
      <c r="AC95" s="822">
        <f>SUM(AC74:AC94)</f>
        <v/>
      </c>
      <c r="AD95" s="822">
        <f>SUM(AD74:AD94)</f>
        <v/>
      </c>
      <c r="AE95" s="822">
        <f>SUM(AE74:AE94)</f>
        <v/>
      </c>
      <c r="AF95" s="822">
        <f>SUM(AF74:AF94)</f>
        <v/>
      </c>
      <c r="AG95" s="822">
        <f>SUM(AG74:AG94)</f>
        <v/>
      </c>
      <c r="AH95" s="822">
        <f>SUM(AH74:AH94)</f>
        <v/>
      </c>
      <c r="AI95" s="822">
        <f>SUM(AI74:AI94)</f>
        <v/>
      </c>
      <c r="AJ95" s="822">
        <f>SUM(AJ74:AJ94)</f>
        <v/>
      </c>
      <c r="AK95" s="822">
        <f>SUM(AK74:AK94)</f>
        <v/>
      </c>
      <c r="AL95" s="822">
        <f>SUM(AL74:AL94)</f>
        <v/>
      </c>
      <c r="AM95" s="823">
        <f>SUM(AM74:AM94)</f>
        <v/>
      </c>
      <c r="AN95" s="822">
        <f>SUM(AN83:AN94)+AN80</f>
        <v/>
      </c>
      <c r="AO95" s="822">
        <f>SUM(AO83:AO94)+AO80</f>
        <v/>
      </c>
      <c r="AP95" s="822">
        <f>SUM(AP83:AP94)+AP80</f>
        <v/>
      </c>
      <c r="AQ95" s="822">
        <f>SUM(AQ83:AQ94)+AQ80</f>
        <v/>
      </c>
      <c r="AR95" s="822">
        <f>SUM(AR83:AR94)+AR80</f>
        <v/>
      </c>
      <c r="AS95" s="822">
        <f>SUM(AS83:AS94)+AS80</f>
        <v/>
      </c>
      <c r="AT95" s="822">
        <f>SUM(AT83:AT94)+AT80</f>
        <v/>
      </c>
      <c r="AU95" s="822">
        <f>SUM(AU83:AU94)+AU80</f>
        <v/>
      </c>
      <c r="AV95" s="822">
        <f>SUM(AV83:AV94)+AV80</f>
        <v/>
      </c>
      <c r="AW95" s="829">
        <f>SUM(AW83:AW94)+AW80</f>
        <v/>
      </c>
      <c r="AX95" s="822">
        <f>SUM(AX83:AX94)+AX80</f>
        <v/>
      </c>
      <c r="AY95" s="829">
        <f>SUM(AY83:AY94)+AY80</f>
        <v/>
      </c>
      <c r="AZ95" s="822">
        <f>SUM(AZ83:AZ94)+AZ80</f>
        <v/>
      </c>
      <c r="BA95" s="822">
        <f>SUM(BA83:BA94)+BA80</f>
        <v/>
      </c>
      <c r="BB95" s="822">
        <f>SUM(BB83:BB94)+BB80</f>
        <v/>
      </c>
      <c r="BC95" s="822">
        <f>SUM(BC83:BC94)+BC80</f>
        <v/>
      </c>
      <c r="BD95" s="822">
        <f>SUM(BD83:BD94)+BD80</f>
        <v/>
      </c>
      <c r="BE95" s="822">
        <f>SUM(BE83:BE94)+BE80</f>
        <v/>
      </c>
      <c r="BF95" s="822">
        <f>SUM(BF83:BF94)+BF80</f>
        <v/>
      </c>
      <c r="BG95" s="822">
        <f>SUM(BG83:BG94)+BG80</f>
        <v/>
      </c>
      <c r="BH95" s="822">
        <f>SUM(BH83:BH94)+BH80</f>
        <v/>
      </c>
      <c r="BI95" s="822">
        <f>SUM(BI83:BI94)+BI80</f>
        <v/>
      </c>
      <c r="BJ95" s="822">
        <f>SUM(BJ83:BJ94)+BJ80</f>
        <v/>
      </c>
      <c r="BK95" s="829">
        <f>SUM(BK83:BK94)+BK80</f>
        <v/>
      </c>
      <c r="BL95" s="822">
        <f>SUM(BL83:BL94)+BL80</f>
        <v/>
      </c>
      <c r="BM95" s="822">
        <f>SUM(BM83:BM94)+BM80</f>
        <v/>
      </c>
      <c r="BN95" s="822">
        <f>SUM(BN83:BN94)+BN80</f>
        <v/>
      </c>
      <c r="BO95" s="822">
        <f>SUM(BO83:BO94)+BO80</f>
        <v/>
      </c>
      <c r="BP95" s="822">
        <f>SUM(BP83:BP94)+BP80</f>
        <v/>
      </c>
      <c r="BQ95" s="822">
        <f>SUM(BQ83:BQ94)+BQ80</f>
        <v/>
      </c>
      <c r="BR95" s="822">
        <f>SUM(BR83:BR94)+BR80</f>
        <v/>
      </c>
      <c r="BS95" s="822">
        <f>SUM(BS83:BS94)+BS80</f>
        <v/>
      </c>
      <c r="BT95" s="822">
        <f>SUM(BT83:BT94)+BT80</f>
        <v/>
      </c>
      <c r="BU95" s="822">
        <f>SUM(BU83:BU94)+BU80</f>
        <v/>
      </c>
      <c r="BV95" s="822">
        <f>SUM(BV83:BV94)+BV80</f>
        <v/>
      </c>
      <c r="BW95" s="829">
        <f>SUM(BW83:BW94)+BW80</f>
        <v/>
      </c>
      <c r="BX95" s="822">
        <f>SUM(BX83:BX94)+BX80</f>
        <v/>
      </c>
      <c r="BY95" s="822">
        <f>SUM(BY83:BY94)+BY80</f>
        <v/>
      </c>
      <c r="BZ95" s="822">
        <f>SUM(BZ83:BZ94)+BZ80</f>
        <v/>
      </c>
      <c r="CA95" s="822">
        <f>SUM(CA83:CA94)+CA80</f>
        <v/>
      </c>
      <c r="CB95" s="822">
        <f>SUM(CB83:CB94)+CB80</f>
        <v/>
      </c>
      <c r="CC95" s="822">
        <f>SUM(CC83:CC94)+CC80</f>
        <v/>
      </c>
      <c r="CD95" s="822">
        <f>SUM(CD83:CD94)+CD80</f>
        <v/>
      </c>
      <c r="CE95" s="822">
        <f>SUM(CE83:CE94)+CE80</f>
        <v/>
      </c>
      <c r="CF95" s="822">
        <f>SUM(CF83:CF94)+CF80</f>
        <v/>
      </c>
      <c r="CG95" s="822">
        <f>SUM(CG83:CG94)+CG80</f>
        <v/>
      </c>
      <c r="CH95" s="822">
        <f>SUM(CH83:CH94)+CH80</f>
        <v/>
      </c>
      <c r="CI95" s="829">
        <f>SUM(CI83:CI94)+CI80</f>
        <v/>
      </c>
      <c r="CJ95" s="822">
        <f>SUM(CJ83:CJ94)+CJ80</f>
        <v/>
      </c>
      <c r="CK95" s="822">
        <f>SUM(CK83:CK94)+CK80</f>
        <v/>
      </c>
      <c r="CL95" s="822">
        <f>SUM(CL83:CL94)+CL80</f>
        <v/>
      </c>
      <c r="CM95" s="822">
        <f>SUM(CM83:CM94)+CM80</f>
        <v/>
      </c>
      <c r="CN95" s="822">
        <f>SUM(CN83:CN94)+CN80</f>
        <v/>
      </c>
      <c r="CO95" s="822">
        <f>SUM(CO83:CO94)+CO80</f>
        <v/>
      </c>
      <c r="CP95" s="822">
        <f>SUM(CP83:CP94)+CP80</f>
        <v/>
      </c>
      <c r="CQ95" s="822">
        <f>SUM(CQ83:CQ94)+CQ80</f>
        <v/>
      </c>
      <c r="CR95" s="822">
        <f>SUM(CR83:CR94)+CR80</f>
        <v/>
      </c>
      <c r="CS95" s="822">
        <f>SUM(CS83:CS94)+CS80</f>
        <v/>
      </c>
      <c r="CT95" s="822">
        <f>SUM(CT83:CT94)+CT80</f>
        <v/>
      </c>
      <c r="CU95" s="829">
        <f>SUM(CU83:CU94)+CU80</f>
        <v/>
      </c>
      <c r="CV95" s="822">
        <f>SUM(CV83:CV94)+CV80</f>
        <v/>
      </c>
      <c r="CW95" s="822">
        <f>SUM(CW83:CW94)+CW80</f>
        <v/>
      </c>
      <c r="CX95" s="822">
        <f>SUM(CX83:CX94)+CX80</f>
        <v/>
      </c>
      <c r="CY95" s="822">
        <f>SUM(CY83:CY94)+CY80</f>
        <v/>
      </c>
      <c r="CZ95" s="822">
        <f>SUM(CZ83:CZ94)+CZ80</f>
        <v/>
      </c>
      <c r="DA95" s="822">
        <f>SUM(DA83:DA94)+DA80</f>
        <v/>
      </c>
      <c r="DB95" s="822">
        <f>SUM(DB83:DB94)+DB80</f>
        <v/>
      </c>
      <c r="DC95" s="822">
        <f>SUM(DC83:DC94)+DC80</f>
        <v/>
      </c>
      <c r="DD95" s="822">
        <f>SUM(DD83:DD94)+DD80</f>
        <v/>
      </c>
      <c r="DE95" s="822">
        <f>SUM(DE83:DE94)+DE80</f>
        <v/>
      </c>
      <c r="DF95" s="822">
        <f>SUM(DF83:DF94)+DF80</f>
        <v/>
      </c>
      <c r="DG95" s="822">
        <f>SUM(DG83:DG94)+DG80</f>
        <v/>
      </c>
    </row>
    <row r="96" hidden="1">
      <c r="B96" s="1" t="inlineStr">
        <is>
          <t xml:space="preserve">   61000 Owner Guarenteed Payments</t>
        </is>
      </c>
      <c r="C96" s="1" t="n"/>
      <c r="D96" s="707" t="n">
        <v>0</v>
      </c>
      <c r="E96" s="707" t="n">
        <v>0</v>
      </c>
      <c r="F96" s="707" t="n">
        <v>0</v>
      </c>
      <c r="G96" s="707" t="n">
        <v>0</v>
      </c>
      <c r="H96" s="707" t="n">
        <v>0</v>
      </c>
      <c r="I96" s="707" t="n">
        <v>0</v>
      </c>
      <c r="J96" s="707" t="n"/>
      <c r="K96" s="707" t="n"/>
      <c r="L96" s="707" t="n"/>
      <c r="M96" s="707" t="n"/>
      <c r="N96" s="707" t="n"/>
      <c r="O96" s="707" t="n"/>
      <c r="P96" s="707" t="n"/>
      <c r="Q96" s="707" t="n"/>
      <c r="R96" s="707" t="n"/>
      <c r="S96" s="707" t="n"/>
      <c r="T96" s="707" t="n"/>
      <c r="U96" s="707" t="n"/>
      <c r="V96" s="707" t="n"/>
      <c r="W96" s="707" t="n"/>
      <c r="X96" s="707" t="n"/>
      <c r="Y96" s="707" t="n"/>
      <c r="Z96" s="707" t="n"/>
      <c r="AA96" s="707" t="n"/>
      <c r="AB96" s="707">
        <f>AA96</f>
        <v/>
      </c>
      <c r="AC96" s="707">
        <f>AB96</f>
        <v/>
      </c>
      <c r="AD96" s="707">
        <f>AC96</f>
        <v/>
      </c>
      <c r="AE96" s="707">
        <f>AD96</f>
        <v/>
      </c>
      <c r="AF96" s="707">
        <f>AE96</f>
        <v/>
      </c>
      <c r="AG96" s="707">
        <f>AF96</f>
        <v/>
      </c>
      <c r="AH96" s="707">
        <f>AG96</f>
        <v/>
      </c>
      <c r="AI96" s="707">
        <f>AH96</f>
        <v/>
      </c>
      <c r="AJ96" s="707">
        <f>AI96</f>
        <v/>
      </c>
      <c r="AK96" s="707">
        <f>AJ96</f>
        <v/>
      </c>
      <c r="AL96" s="707">
        <f>AK96</f>
        <v/>
      </c>
      <c r="AM96" s="513">
        <f>AL96</f>
        <v/>
      </c>
      <c r="AN96" s="707">
        <f>AM96</f>
        <v/>
      </c>
      <c r="AO96" s="707">
        <f>AN96</f>
        <v/>
      </c>
      <c r="AP96" s="707">
        <f>AO96</f>
        <v/>
      </c>
      <c r="AQ96" s="707">
        <f>AP96</f>
        <v/>
      </c>
      <c r="AR96" s="707">
        <f>AQ96</f>
        <v/>
      </c>
      <c r="AS96" s="707">
        <f>AR96</f>
        <v/>
      </c>
      <c r="AT96" s="707">
        <f>AS96</f>
        <v/>
      </c>
      <c r="AU96" s="707">
        <f>AT96</f>
        <v/>
      </c>
      <c r="AV96" s="707">
        <f>AU96</f>
        <v/>
      </c>
      <c r="AW96" s="708">
        <f>AV96</f>
        <v/>
      </c>
      <c r="AX96" s="707">
        <f>AW96</f>
        <v/>
      </c>
      <c r="AY96" s="708">
        <f>AX96</f>
        <v/>
      </c>
      <c r="AZ96" s="707">
        <f>AY96</f>
        <v/>
      </c>
      <c r="BA96" s="707">
        <f>AZ96</f>
        <v/>
      </c>
      <c r="BB96" s="707">
        <f>BA96</f>
        <v/>
      </c>
      <c r="BC96" s="707">
        <f>BB96</f>
        <v/>
      </c>
      <c r="BD96" s="707">
        <f>BC96</f>
        <v/>
      </c>
      <c r="BE96" s="707">
        <f>BD96</f>
        <v/>
      </c>
      <c r="BF96" s="707">
        <f>BE96</f>
        <v/>
      </c>
      <c r="BG96" s="707">
        <f>BF96</f>
        <v/>
      </c>
      <c r="BH96" s="707">
        <f>BG96</f>
        <v/>
      </c>
      <c r="BI96" s="707">
        <f>BH96</f>
        <v/>
      </c>
      <c r="BJ96" s="707">
        <f>BI96</f>
        <v/>
      </c>
      <c r="BK96" s="708">
        <f>BJ96</f>
        <v/>
      </c>
      <c r="BL96" s="707">
        <f>BK96</f>
        <v/>
      </c>
      <c r="BM96" s="707">
        <f>BL96</f>
        <v/>
      </c>
      <c r="BN96" s="707">
        <f>BM96</f>
        <v/>
      </c>
      <c r="BO96" s="707">
        <f>BN96</f>
        <v/>
      </c>
      <c r="BP96" s="707">
        <f>BO96</f>
        <v/>
      </c>
      <c r="BQ96" s="707">
        <f>BP96</f>
        <v/>
      </c>
      <c r="BR96" s="707">
        <f>BQ96</f>
        <v/>
      </c>
      <c r="BS96" s="707">
        <f>BR96</f>
        <v/>
      </c>
      <c r="BT96" s="707">
        <f>BS96</f>
        <v/>
      </c>
      <c r="BU96" s="707">
        <f>BT96</f>
        <v/>
      </c>
      <c r="BV96" s="707">
        <f>BU96</f>
        <v/>
      </c>
      <c r="BW96" s="708">
        <f>BV96</f>
        <v/>
      </c>
      <c r="BX96" s="707">
        <f>BW96</f>
        <v/>
      </c>
      <c r="BY96" s="707">
        <f>BX96</f>
        <v/>
      </c>
      <c r="BZ96" s="707">
        <f>BY96</f>
        <v/>
      </c>
      <c r="CA96" s="707">
        <f>BZ96</f>
        <v/>
      </c>
      <c r="CB96" s="707">
        <f>CA96</f>
        <v/>
      </c>
      <c r="CC96" s="707">
        <f>CB96</f>
        <v/>
      </c>
      <c r="CD96" s="707">
        <f>CC96</f>
        <v/>
      </c>
      <c r="CE96" s="707">
        <f>CD96</f>
        <v/>
      </c>
      <c r="CF96" s="707">
        <f>CE96</f>
        <v/>
      </c>
      <c r="CG96" s="707">
        <f>CF96</f>
        <v/>
      </c>
      <c r="CH96" s="707">
        <f>CG96</f>
        <v/>
      </c>
      <c r="CI96" s="708">
        <f>CH96</f>
        <v/>
      </c>
      <c r="CJ96" s="707">
        <f>CI96</f>
        <v/>
      </c>
      <c r="CK96" s="707">
        <f>CJ96</f>
        <v/>
      </c>
      <c r="CL96" s="707">
        <f>CK96</f>
        <v/>
      </c>
      <c r="CM96" s="707">
        <f>CL96</f>
        <v/>
      </c>
      <c r="CN96" s="707">
        <f>CM96</f>
        <v/>
      </c>
      <c r="CO96" s="707">
        <f>CN96</f>
        <v/>
      </c>
      <c r="CP96" s="707">
        <f>CO96</f>
        <v/>
      </c>
      <c r="CQ96" s="707">
        <f>CP96</f>
        <v/>
      </c>
      <c r="CR96" s="707">
        <f>CQ96</f>
        <v/>
      </c>
      <c r="CS96" s="707">
        <f>CR96</f>
        <v/>
      </c>
      <c r="CT96" s="707">
        <f>CS96</f>
        <v/>
      </c>
      <c r="CU96" s="708">
        <f>CT96</f>
        <v/>
      </c>
      <c r="CV96" s="707">
        <f>CU96</f>
        <v/>
      </c>
      <c r="CW96" s="707">
        <f>CV96</f>
        <v/>
      </c>
      <c r="CX96" s="707">
        <f>CW96</f>
        <v/>
      </c>
      <c r="CY96" s="707">
        <f>CX96</f>
        <v/>
      </c>
      <c r="CZ96" s="707">
        <f>CY96</f>
        <v/>
      </c>
      <c r="DA96" s="707">
        <f>CZ96</f>
        <v/>
      </c>
      <c r="DB96" s="707">
        <f>DA96</f>
        <v/>
      </c>
      <c r="DC96" s="707">
        <f>DB96</f>
        <v/>
      </c>
      <c r="DD96" s="707">
        <f>DC96</f>
        <v/>
      </c>
      <c r="DE96" s="707">
        <f>DD96</f>
        <v/>
      </c>
      <c r="DF96" s="707">
        <f>DE96</f>
        <v/>
      </c>
      <c r="DG96" s="707">
        <f>DF96</f>
        <v/>
      </c>
    </row>
    <row r="97" hidden="1">
      <c r="A97" s="5" t="n"/>
      <c r="B97" s="6" t="inlineStr">
        <is>
          <t>Total Expenses</t>
        </is>
      </c>
      <c r="C97" s="6" t="n"/>
      <c r="D97" s="822">
        <f>SUM(D95:D96)</f>
        <v/>
      </c>
      <c r="E97" s="822">
        <f>SUM(E95:E96)</f>
        <v/>
      </c>
      <c r="F97" s="822">
        <f>SUM(F95:F96)</f>
        <v/>
      </c>
      <c r="G97" s="822">
        <f>SUM(G95:G96)</f>
        <v/>
      </c>
      <c r="H97" s="822">
        <f>SUM(H95:H96)</f>
        <v/>
      </c>
      <c r="I97" s="822">
        <f>SUM(I95:I96)</f>
        <v/>
      </c>
      <c r="J97" s="822">
        <f>SUM(J95:J96)</f>
        <v/>
      </c>
      <c r="K97" s="822">
        <f>SUM(K95:K96)</f>
        <v/>
      </c>
      <c r="L97" s="822">
        <f>SUM(L95:L96)</f>
        <v/>
      </c>
      <c r="M97" s="822">
        <f>SUM(M95:M96)</f>
        <v/>
      </c>
      <c r="N97" s="822">
        <f>SUM(N95:N96)</f>
        <v/>
      </c>
      <c r="O97" s="822">
        <f>SUM(O95:O96)</f>
        <v/>
      </c>
      <c r="P97" s="822">
        <f>SUM(P95:P96)</f>
        <v/>
      </c>
      <c r="Q97" s="822">
        <f>SUM(Q95:Q96)</f>
        <v/>
      </c>
      <c r="R97" s="822">
        <f>SUM(R95:R96)</f>
        <v/>
      </c>
      <c r="S97" s="822">
        <f>SUM(S95:S96)</f>
        <v/>
      </c>
      <c r="T97" s="822">
        <f>SUM(T95:T96)</f>
        <v/>
      </c>
      <c r="U97" s="822">
        <f>SUM(U95:U96)</f>
        <v/>
      </c>
      <c r="V97" s="822">
        <f>SUM(V95:V96)</f>
        <v/>
      </c>
      <c r="W97" s="822">
        <f>SUM(W95:W96)</f>
        <v/>
      </c>
      <c r="X97" s="822">
        <f>SUM(X95:X96)</f>
        <v/>
      </c>
      <c r="Y97" s="822">
        <f>SUM(Y95:Y96)</f>
        <v/>
      </c>
      <c r="Z97" s="822">
        <f>SUM(Z95:Z96)</f>
        <v/>
      </c>
      <c r="AA97" s="822">
        <f>SUM(AA95:AA96)</f>
        <v/>
      </c>
      <c r="AB97" s="822">
        <f>SUM(AB95:AB96)</f>
        <v/>
      </c>
      <c r="AC97" s="822">
        <f>SUM(AC95:AC96)</f>
        <v/>
      </c>
      <c r="AD97" s="822">
        <f>SUM(AD95:AD96)</f>
        <v/>
      </c>
      <c r="AE97" s="822">
        <f>SUM(AE95:AE96)</f>
        <v/>
      </c>
      <c r="AF97" s="822">
        <f>SUM(AF95:AF96)</f>
        <v/>
      </c>
      <c r="AG97" s="822">
        <f>SUM(AG95:AG96)</f>
        <v/>
      </c>
      <c r="AH97" s="822">
        <f>SUM(AH95:AH96)</f>
        <v/>
      </c>
      <c r="AI97" s="822">
        <f>SUM(AI95:AI96)</f>
        <v/>
      </c>
      <c r="AJ97" s="822">
        <f>SUM(AJ95:AJ96)</f>
        <v/>
      </c>
      <c r="AK97" s="822">
        <f>SUM(AK95:AK96)</f>
        <v/>
      </c>
      <c r="AL97" s="822">
        <f>SUM(AL95:AL96)</f>
        <v/>
      </c>
      <c r="AM97" s="823">
        <f>SUM(AM95:AM96)</f>
        <v/>
      </c>
      <c r="AN97" s="822">
        <f>SUM(AN95:AN96)</f>
        <v/>
      </c>
      <c r="AO97" s="822">
        <f>SUM(AO95:AO96)</f>
        <v/>
      </c>
      <c r="AP97" s="822">
        <f>SUM(AP95:AP96)</f>
        <v/>
      </c>
      <c r="AQ97" s="822">
        <f>SUM(AQ95:AQ96)</f>
        <v/>
      </c>
      <c r="AR97" s="822">
        <f>SUM(AR95:AR96)</f>
        <v/>
      </c>
      <c r="AS97" s="822">
        <f>SUM(AS95:AS96)</f>
        <v/>
      </c>
      <c r="AT97" s="822">
        <f>SUM(AT95:AT96)</f>
        <v/>
      </c>
      <c r="AU97" s="822">
        <f>SUM(AU95:AU96)</f>
        <v/>
      </c>
      <c r="AV97" s="822">
        <f>SUM(AV95:AV96)</f>
        <v/>
      </c>
      <c r="AW97" s="829">
        <f>SUM(AW95:AW96)</f>
        <v/>
      </c>
      <c r="AX97" s="822">
        <f>SUM(AX95:AX96)</f>
        <v/>
      </c>
      <c r="AY97" s="829">
        <f>SUM(AY95:AY96)</f>
        <v/>
      </c>
      <c r="AZ97" s="822">
        <f>SUM(AZ95:AZ96)</f>
        <v/>
      </c>
      <c r="BA97" s="822">
        <f>SUM(BA95:BA96)</f>
        <v/>
      </c>
      <c r="BB97" s="822">
        <f>SUM(BB95:BB96)</f>
        <v/>
      </c>
      <c r="BC97" s="822">
        <f>SUM(BC95:BC96)</f>
        <v/>
      </c>
      <c r="BD97" s="822">
        <f>SUM(BD95:BD96)</f>
        <v/>
      </c>
      <c r="BE97" s="822">
        <f>SUM(BE95:BE96)</f>
        <v/>
      </c>
      <c r="BF97" s="822">
        <f>SUM(BF95:BF96)</f>
        <v/>
      </c>
      <c r="BG97" s="822">
        <f>SUM(BG95:BG96)</f>
        <v/>
      </c>
      <c r="BH97" s="822">
        <f>SUM(BH95:BH96)</f>
        <v/>
      </c>
      <c r="BI97" s="822">
        <f>SUM(BI95:BI96)</f>
        <v/>
      </c>
      <c r="BJ97" s="822">
        <f>SUM(BJ95:BJ96)</f>
        <v/>
      </c>
      <c r="BK97" s="829">
        <f>SUM(BK95:BK96)</f>
        <v/>
      </c>
      <c r="BL97" s="822">
        <f>SUM(BL95:BL96)</f>
        <v/>
      </c>
      <c r="BM97" s="822">
        <f>SUM(BM95:BM96)</f>
        <v/>
      </c>
      <c r="BN97" s="822">
        <f>SUM(BN95:BN96)</f>
        <v/>
      </c>
      <c r="BO97" s="822">
        <f>SUM(BO95:BO96)</f>
        <v/>
      </c>
      <c r="BP97" s="822">
        <f>SUM(BP95:BP96)</f>
        <v/>
      </c>
      <c r="BQ97" s="822">
        <f>SUM(BQ95:BQ96)</f>
        <v/>
      </c>
      <c r="BR97" s="822">
        <f>SUM(BR95:BR96)</f>
        <v/>
      </c>
      <c r="BS97" s="822">
        <f>SUM(BS95:BS96)</f>
        <v/>
      </c>
      <c r="BT97" s="822">
        <f>SUM(BT95:BT96)</f>
        <v/>
      </c>
      <c r="BU97" s="822">
        <f>SUM(BU95:BU96)</f>
        <v/>
      </c>
      <c r="BV97" s="822">
        <f>SUM(BV95:BV96)</f>
        <v/>
      </c>
      <c r="BW97" s="829">
        <f>SUM(BW95:BW96)</f>
        <v/>
      </c>
      <c r="BX97" s="822">
        <f>SUM(BX95:BX96)</f>
        <v/>
      </c>
      <c r="BY97" s="822">
        <f>SUM(BY95:BY96)</f>
        <v/>
      </c>
      <c r="BZ97" s="822">
        <f>SUM(BZ95:BZ96)</f>
        <v/>
      </c>
      <c r="CA97" s="822">
        <f>SUM(CA95:CA96)</f>
        <v/>
      </c>
      <c r="CB97" s="822">
        <f>SUM(CB95:CB96)</f>
        <v/>
      </c>
      <c r="CC97" s="822">
        <f>SUM(CC95:CC96)</f>
        <v/>
      </c>
      <c r="CD97" s="822">
        <f>SUM(CD95:CD96)</f>
        <v/>
      </c>
      <c r="CE97" s="822">
        <f>SUM(CE95:CE96)</f>
        <v/>
      </c>
      <c r="CF97" s="822">
        <f>SUM(CF95:CF96)</f>
        <v/>
      </c>
      <c r="CG97" s="822">
        <f>SUM(CG95:CG96)</f>
        <v/>
      </c>
      <c r="CH97" s="822">
        <f>SUM(CH95:CH96)</f>
        <v/>
      </c>
      <c r="CI97" s="829">
        <f>SUM(CI95:CI96)</f>
        <v/>
      </c>
      <c r="CJ97" s="822">
        <f>SUM(CJ95:CJ96)</f>
        <v/>
      </c>
      <c r="CK97" s="822">
        <f>SUM(CK95:CK96)</f>
        <v/>
      </c>
      <c r="CL97" s="822">
        <f>SUM(CL95:CL96)</f>
        <v/>
      </c>
      <c r="CM97" s="822">
        <f>SUM(CM95:CM96)</f>
        <v/>
      </c>
      <c r="CN97" s="822">
        <f>SUM(CN95:CN96)</f>
        <v/>
      </c>
      <c r="CO97" s="822">
        <f>SUM(CO95:CO96)</f>
        <v/>
      </c>
      <c r="CP97" s="822">
        <f>SUM(CP95:CP96)</f>
        <v/>
      </c>
      <c r="CQ97" s="822">
        <f>SUM(CQ95:CQ96)</f>
        <v/>
      </c>
      <c r="CR97" s="822">
        <f>SUM(CR95:CR96)</f>
        <v/>
      </c>
      <c r="CS97" s="822">
        <f>SUM(CS95:CS96)</f>
        <v/>
      </c>
      <c r="CT97" s="822">
        <f>SUM(CT95:CT96)</f>
        <v/>
      </c>
      <c r="CU97" s="829">
        <f>SUM(CU95:CU96)</f>
        <v/>
      </c>
      <c r="CV97" s="822">
        <f>SUM(CV95:CV96)</f>
        <v/>
      </c>
      <c r="CW97" s="822">
        <f>SUM(CW95:CW96)</f>
        <v/>
      </c>
      <c r="CX97" s="822">
        <f>SUM(CX95:CX96)</f>
        <v/>
      </c>
      <c r="CY97" s="822">
        <f>SUM(CY95:CY96)</f>
        <v/>
      </c>
      <c r="CZ97" s="822">
        <f>SUM(CZ95:CZ96)</f>
        <v/>
      </c>
      <c r="DA97" s="822">
        <f>SUM(DA95:DA96)</f>
        <v/>
      </c>
      <c r="DB97" s="822">
        <f>SUM(DB95:DB96)</f>
        <v/>
      </c>
      <c r="DC97" s="822">
        <f>SUM(DC95:DC96)</f>
        <v/>
      </c>
      <c r="DD97" s="822">
        <f>SUM(DD95:DD96)</f>
        <v/>
      </c>
      <c r="DE97" s="822">
        <f>SUM(DE95:DE96)</f>
        <v/>
      </c>
      <c r="DF97" s="822">
        <f>SUM(DF95:DF96)</f>
        <v/>
      </c>
      <c r="DG97" s="822">
        <f>SUM(DG95:DG96)</f>
        <v/>
      </c>
    </row>
    <row r="98">
      <c r="A98" s="3" t="n"/>
      <c r="B98" s="4" t="inlineStr">
        <is>
          <t>Total Operating Expenses</t>
        </is>
      </c>
      <c r="C98" s="4" t="n"/>
      <c r="D98" s="822" t="n"/>
      <c r="E98" s="822" t="n"/>
      <c r="F98" s="822" t="n"/>
      <c r="G98" s="822" t="n"/>
      <c r="H98" s="822" t="n"/>
      <c r="I98" s="822" t="n"/>
      <c r="J98" s="822" t="n"/>
      <c r="K98" s="822" t="n"/>
      <c r="L98" s="822" t="n"/>
      <c r="M98" s="822" t="n"/>
      <c r="N98" s="822" t="n"/>
      <c r="O98" s="822" t="n"/>
      <c r="P98" s="822">
        <f>+P95+P72</f>
        <v/>
      </c>
      <c r="Q98" s="822">
        <f>+Q95+Q72</f>
        <v/>
      </c>
      <c r="R98" s="822">
        <f>+R95+R72</f>
        <v/>
      </c>
      <c r="S98" s="822">
        <f>+S95+S72</f>
        <v/>
      </c>
      <c r="T98" s="822">
        <f>+T95+T72</f>
        <v/>
      </c>
      <c r="U98" s="822">
        <f>+U95+U72</f>
        <v/>
      </c>
      <c r="V98" s="822">
        <f>+V95+V72</f>
        <v/>
      </c>
      <c r="W98" s="822">
        <f>+W95+W72</f>
        <v/>
      </c>
      <c r="X98" s="822">
        <f>+X95+X72</f>
        <v/>
      </c>
      <c r="Y98" s="822">
        <f>+Y95+Y72</f>
        <v/>
      </c>
      <c r="Z98" s="822">
        <f>+Z95+Z72</f>
        <v/>
      </c>
      <c r="AA98" s="822">
        <f>+AA95+AA72</f>
        <v/>
      </c>
      <c r="AB98" s="822">
        <f>+AB95+AB72</f>
        <v/>
      </c>
      <c r="AC98" s="822">
        <f>+AC95+AC72</f>
        <v/>
      </c>
      <c r="AD98" s="822">
        <f>+AD95+AD72</f>
        <v/>
      </c>
      <c r="AE98" s="822">
        <f>+AE95+AE72</f>
        <v/>
      </c>
      <c r="AF98" s="822">
        <f>+AF95+AF72</f>
        <v/>
      </c>
      <c r="AG98" s="822">
        <f>+AG95+AG72</f>
        <v/>
      </c>
      <c r="AH98" s="822">
        <f>+AH95+AH72</f>
        <v/>
      </c>
      <c r="AI98" s="822">
        <f>+AI95+AI72</f>
        <v/>
      </c>
      <c r="AJ98" s="822">
        <f>+AJ95+AJ72</f>
        <v/>
      </c>
      <c r="AK98" s="822">
        <f>+AK95+AK72</f>
        <v/>
      </c>
      <c r="AL98" s="822">
        <f>+AL95+AL72</f>
        <v/>
      </c>
      <c r="AM98" s="823">
        <f>+AM95+AM72</f>
        <v/>
      </c>
      <c r="AN98" s="822">
        <f>+AN95+AN72</f>
        <v/>
      </c>
      <c r="AO98" s="822">
        <f>+AO95+AO72</f>
        <v/>
      </c>
      <c r="AP98" s="822">
        <f>+AP95+AP72</f>
        <v/>
      </c>
      <c r="AQ98" s="822">
        <f>+AQ95+AQ72</f>
        <v/>
      </c>
      <c r="AR98" s="822">
        <f>+AR95+AR72</f>
        <v/>
      </c>
      <c r="AS98" s="822">
        <f>+AS95+AS72</f>
        <v/>
      </c>
      <c r="AT98" s="822">
        <f>+AT95+AT72</f>
        <v/>
      </c>
      <c r="AU98" s="822">
        <f>+AU95+AU72</f>
        <v/>
      </c>
      <c r="AV98" s="822">
        <f>+AV95+AV72</f>
        <v/>
      </c>
      <c r="AW98" s="829">
        <f>+AW95+AW72</f>
        <v/>
      </c>
      <c r="AX98" s="822">
        <f>+AX95+AX72</f>
        <v/>
      </c>
      <c r="AY98" s="829">
        <f>+AY95+AY72</f>
        <v/>
      </c>
      <c r="AZ98" s="822">
        <f>+AZ95+AZ72</f>
        <v/>
      </c>
      <c r="BA98" s="822">
        <f>+BA95+BA72</f>
        <v/>
      </c>
      <c r="BB98" s="822">
        <f>+BB95+BB72</f>
        <v/>
      </c>
      <c r="BC98" s="822">
        <f>+BC95+BC72</f>
        <v/>
      </c>
      <c r="BD98" s="822">
        <f>+BD95+BD72</f>
        <v/>
      </c>
      <c r="BE98" s="822">
        <f>+BE95+BE72</f>
        <v/>
      </c>
      <c r="BF98" s="822">
        <f>+BF95+BF72</f>
        <v/>
      </c>
      <c r="BG98" s="822">
        <f>+BG95+BG72</f>
        <v/>
      </c>
      <c r="BH98" s="822">
        <f>+BH95+BH72</f>
        <v/>
      </c>
      <c r="BI98" s="822">
        <f>+BI95+BI72</f>
        <v/>
      </c>
      <c r="BJ98" s="822">
        <f>+BJ95+BJ72</f>
        <v/>
      </c>
      <c r="BK98" s="829">
        <f>+BK95+BK72</f>
        <v/>
      </c>
      <c r="BL98" s="822">
        <f>+BL95+BL72</f>
        <v/>
      </c>
      <c r="BM98" s="822">
        <f>+BM95+BM72</f>
        <v/>
      </c>
      <c r="BN98" s="822">
        <f>+BN95+BN72</f>
        <v/>
      </c>
      <c r="BO98" s="822">
        <f>+BO95+BO72</f>
        <v/>
      </c>
      <c r="BP98" s="822">
        <f>+BP95+BP72</f>
        <v/>
      </c>
      <c r="BQ98" s="822">
        <f>+BQ95+BQ72</f>
        <v/>
      </c>
      <c r="BR98" s="822">
        <f>+BR95+BR72</f>
        <v/>
      </c>
      <c r="BS98" s="822">
        <f>+BS95+BS72</f>
        <v/>
      </c>
      <c r="BT98" s="822">
        <f>+BT95+BT72</f>
        <v/>
      </c>
      <c r="BU98" s="822">
        <f>+BU95+BU72</f>
        <v/>
      </c>
      <c r="BV98" s="822">
        <f>+BV95+BV72</f>
        <v/>
      </c>
      <c r="BW98" s="829">
        <f>+BW95+BW72</f>
        <v/>
      </c>
      <c r="BX98" s="822">
        <f>+BX95+BX72</f>
        <v/>
      </c>
      <c r="BY98" s="822">
        <f>+BY95+BY72</f>
        <v/>
      </c>
      <c r="BZ98" s="822">
        <f>+BZ95+BZ72</f>
        <v/>
      </c>
      <c r="CA98" s="822">
        <f>+CA95+CA72</f>
        <v/>
      </c>
      <c r="CB98" s="822">
        <f>+CB95+CB72</f>
        <v/>
      </c>
      <c r="CC98" s="822">
        <f>+CC95+CC72</f>
        <v/>
      </c>
      <c r="CD98" s="822">
        <f>+CD95+CD72</f>
        <v/>
      </c>
      <c r="CE98" s="822">
        <f>+CE95+CE72</f>
        <v/>
      </c>
      <c r="CF98" s="822">
        <f>+CF95+CF72</f>
        <v/>
      </c>
      <c r="CG98" s="822">
        <f>+CG95+CG72</f>
        <v/>
      </c>
      <c r="CH98" s="822">
        <f>+CH95+CH72</f>
        <v/>
      </c>
      <c r="CI98" s="829">
        <f>+CI95+CI72</f>
        <v/>
      </c>
      <c r="CJ98" s="822">
        <f>+CJ95+CJ72</f>
        <v/>
      </c>
      <c r="CK98" s="822">
        <f>+CK95+CK72</f>
        <v/>
      </c>
      <c r="CL98" s="822">
        <f>+CL95+CL72</f>
        <v/>
      </c>
      <c r="CM98" s="822">
        <f>+CM95+CM72</f>
        <v/>
      </c>
      <c r="CN98" s="822">
        <f>+CN95+CN72</f>
        <v/>
      </c>
      <c r="CO98" s="822">
        <f>+CO95+CO72</f>
        <v/>
      </c>
      <c r="CP98" s="822">
        <f>+CP95+CP72</f>
        <v/>
      </c>
      <c r="CQ98" s="822">
        <f>+CQ95+CQ72</f>
        <v/>
      </c>
      <c r="CR98" s="822">
        <f>+CR95+CR72</f>
        <v/>
      </c>
      <c r="CS98" s="822">
        <f>+CS95+CS72</f>
        <v/>
      </c>
      <c r="CT98" s="822">
        <f>+CT95+CT72</f>
        <v/>
      </c>
      <c r="CU98" s="829">
        <f>+CU95+CU72</f>
        <v/>
      </c>
      <c r="CV98" s="822">
        <f>+CV95+CV72</f>
        <v/>
      </c>
      <c r="CW98" s="822">
        <f>+CW95+CW72</f>
        <v/>
      </c>
      <c r="CX98" s="822">
        <f>+CX95+CX72</f>
        <v/>
      </c>
      <c r="CY98" s="822">
        <f>+CY95+CY72</f>
        <v/>
      </c>
      <c r="CZ98" s="822">
        <f>+CZ95+CZ72</f>
        <v/>
      </c>
      <c r="DA98" s="822">
        <f>+DA95+DA72</f>
        <v/>
      </c>
      <c r="DB98" s="822">
        <f>+DB95+DB72</f>
        <v/>
      </c>
      <c r="DC98" s="822">
        <f>+DC95+DC72</f>
        <v/>
      </c>
      <c r="DD98" s="822">
        <f>+DD95+DD72</f>
        <v/>
      </c>
      <c r="DE98" s="822">
        <f>+DE95+DE72</f>
        <v/>
      </c>
      <c r="DF98" s="822">
        <f>+DF95+DF72</f>
        <v/>
      </c>
      <c r="DG98" s="822">
        <f>+DG95+DG72</f>
        <v/>
      </c>
    </row>
    <row r="99">
      <c r="A99" s="3" t="n"/>
      <c r="B99" s="4" t="inlineStr">
        <is>
          <t>Net Operating Income</t>
        </is>
      </c>
      <c r="C99" s="4" t="n"/>
      <c r="D99" s="822">
        <f>D66-D97</f>
        <v/>
      </c>
      <c r="E99" s="822">
        <f>E66-E97</f>
        <v/>
      </c>
      <c r="F99" s="822">
        <f>F66-F97</f>
        <v/>
      </c>
      <c r="G99" s="822">
        <f>G66-G97</f>
        <v/>
      </c>
      <c r="H99" s="822">
        <f>H66-H97</f>
        <v/>
      </c>
      <c r="I99" s="822">
        <f>I66-I97</f>
        <v/>
      </c>
      <c r="J99" s="822">
        <f>J66-J97</f>
        <v/>
      </c>
      <c r="K99" s="822">
        <f>K66-K97</f>
        <v/>
      </c>
      <c r="L99" s="822">
        <f>L66-L97</f>
        <v/>
      </c>
      <c r="M99" s="822">
        <f>M66-M97</f>
        <v/>
      </c>
      <c r="N99" s="822">
        <f>N66-N97</f>
        <v/>
      </c>
      <c r="O99" s="822">
        <f>O66-O97</f>
        <v/>
      </c>
      <c r="P99" s="822">
        <f>P66-P98</f>
        <v/>
      </c>
      <c r="Q99" s="822">
        <f>Q66-Q98</f>
        <v/>
      </c>
      <c r="R99" s="822">
        <f>R66-R98</f>
        <v/>
      </c>
      <c r="S99" s="822">
        <f>S66-S98</f>
        <v/>
      </c>
      <c r="T99" s="822">
        <f>T66-T98</f>
        <v/>
      </c>
      <c r="U99" s="822">
        <f>U66-U98</f>
        <v/>
      </c>
      <c r="V99" s="822">
        <f>V66-V98</f>
        <v/>
      </c>
      <c r="W99" s="822">
        <f>W66-W98</f>
        <v/>
      </c>
      <c r="X99" s="822">
        <f>X66-X98</f>
        <v/>
      </c>
      <c r="Y99" s="822">
        <f>Y66-Y98</f>
        <v/>
      </c>
      <c r="Z99" s="822">
        <f>Z66-Z98</f>
        <v/>
      </c>
      <c r="AA99" s="822">
        <f>AA66-AA98</f>
        <v/>
      </c>
      <c r="AB99" s="822">
        <f>AB66-AB98</f>
        <v/>
      </c>
      <c r="AC99" s="822">
        <f>AC66-AC98</f>
        <v/>
      </c>
      <c r="AD99" s="822">
        <f>AD66-AD98</f>
        <v/>
      </c>
      <c r="AE99" s="822">
        <f>AE66-AE98</f>
        <v/>
      </c>
      <c r="AF99" s="822">
        <f>AF66-AF98</f>
        <v/>
      </c>
      <c r="AG99" s="822">
        <f>AG66-AG98</f>
        <v/>
      </c>
      <c r="AH99" s="822">
        <f>AH66-AH98</f>
        <v/>
      </c>
      <c r="AI99" s="822">
        <f>AI66-AI98</f>
        <v/>
      </c>
      <c r="AJ99" s="822">
        <f>AJ66-AJ98</f>
        <v/>
      </c>
      <c r="AK99" s="822">
        <f>AK66-AK98</f>
        <v/>
      </c>
      <c r="AL99" s="822">
        <f>AL66-AL98</f>
        <v/>
      </c>
      <c r="AM99" s="823">
        <f>AM66-AM98</f>
        <v/>
      </c>
      <c r="AN99" s="822">
        <f>AN66-AN98</f>
        <v/>
      </c>
      <c r="AO99" s="822">
        <f>AO66-AO98</f>
        <v/>
      </c>
      <c r="AP99" s="822">
        <f>AP66-AP98</f>
        <v/>
      </c>
      <c r="AQ99" s="822">
        <f>AQ66-AQ98</f>
        <v/>
      </c>
      <c r="AR99" s="822">
        <f>AR66-AR98</f>
        <v/>
      </c>
      <c r="AS99" s="822">
        <f>AS66-AS98</f>
        <v/>
      </c>
      <c r="AT99" s="822">
        <f>AT66-AT98</f>
        <v/>
      </c>
      <c r="AU99" s="822">
        <f>AU66-AU98</f>
        <v/>
      </c>
      <c r="AV99" s="822">
        <f>AV66-AV98</f>
        <v/>
      </c>
      <c r="AW99" s="829">
        <f>AW66-AW98</f>
        <v/>
      </c>
      <c r="AX99" s="822">
        <f>AX66-AX98</f>
        <v/>
      </c>
      <c r="AY99" s="829">
        <f>AY66-AY98</f>
        <v/>
      </c>
      <c r="AZ99" s="822">
        <f>AZ66-AZ98</f>
        <v/>
      </c>
      <c r="BA99" s="822">
        <f>BA66-BA98</f>
        <v/>
      </c>
      <c r="BB99" s="822">
        <f>BB66-BB98</f>
        <v/>
      </c>
      <c r="BC99" s="822">
        <f>BC66-BC98</f>
        <v/>
      </c>
      <c r="BD99" s="822">
        <f>BD66-BD98</f>
        <v/>
      </c>
      <c r="BE99" s="822">
        <f>BE66-BE98</f>
        <v/>
      </c>
      <c r="BF99" s="822">
        <f>BF66-BF98</f>
        <v/>
      </c>
      <c r="BG99" s="822">
        <f>BG66-BG98</f>
        <v/>
      </c>
      <c r="BH99" s="822">
        <f>BH66-BH98</f>
        <v/>
      </c>
      <c r="BI99" s="822">
        <f>BI66-BI98</f>
        <v/>
      </c>
      <c r="BJ99" s="822">
        <f>BJ66-BJ98</f>
        <v/>
      </c>
      <c r="BK99" s="829">
        <f>BK66-BK98</f>
        <v/>
      </c>
      <c r="BL99" s="822">
        <f>BL66-BL98</f>
        <v/>
      </c>
      <c r="BM99" s="822">
        <f>BM66-BM98</f>
        <v/>
      </c>
      <c r="BN99" s="822">
        <f>BN66-BN98</f>
        <v/>
      </c>
      <c r="BO99" s="822">
        <f>BO66-BO98</f>
        <v/>
      </c>
      <c r="BP99" s="822">
        <f>BP66-BP98</f>
        <v/>
      </c>
      <c r="BQ99" s="822">
        <f>BQ66-BQ98</f>
        <v/>
      </c>
      <c r="BR99" s="822">
        <f>BR66-BR98</f>
        <v/>
      </c>
      <c r="BS99" s="822">
        <f>BS66-BS98</f>
        <v/>
      </c>
      <c r="BT99" s="822">
        <f>BT66-BT98</f>
        <v/>
      </c>
      <c r="BU99" s="822">
        <f>BU66-BU98</f>
        <v/>
      </c>
      <c r="BV99" s="822">
        <f>BV66-BV98</f>
        <v/>
      </c>
      <c r="BW99" s="829">
        <f>BW66-BW98</f>
        <v/>
      </c>
      <c r="BX99" s="822">
        <f>BX66-BX98</f>
        <v/>
      </c>
      <c r="BY99" s="822">
        <f>BY66-BY98</f>
        <v/>
      </c>
      <c r="BZ99" s="822">
        <f>BZ66-BZ98</f>
        <v/>
      </c>
      <c r="CA99" s="822">
        <f>CA66-CA98</f>
        <v/>
      </c>
      <c r="CB99" s="822">
        <f>CB66-CB98</f>
        <v/>
      </c>
      <c r="CC99" s="822">
        <f>CC66-CC98</f>
        <v/>
      </c>
      <c r="CD99" s="822">
        <f>CD66-CD98</f>
        <v/>
      </c>
      <c r="CE99" s="822">
        <f>CE66-CE98</f>
        <v/>
      </c>
      <c r="CF99" s="822">
        <f>CF66-CF98</f>
        <v/>
      </c>
      <c r="CG99" s="822">
        <f>CG66-CG98</f>
        <v/>
      </c>
      <c r="CH99" s="822">
        <f>CH66-CH98</f>
        <v/>
      </c>
      <c r="CI99" s="829">
        <f>CI66-CI98</f>
        <v/>
      </c>
      <c r="CJ99" s="822">
        <f>CJ66-CJ98</f>
        <v/>
      </c>
      <c r="CK99" s="822">
        <f>CK66-CK98</f>
        <v/>
      </c>
      <c r="CL99" s="822">
        <f>CL66-CL98</f>
        <v/>
      </c>
      <c r="CM99" s="822">
        <f>CM66-CM98</f>
        <v/>
      </c>
      <c r="CN99" s="822">
        <f>CN66-CN98</f>
        <v/>
      </c>
      <c r="CO99" s="822">
        <f>CO66-CO98</f>
        <v/>
      </c>
      <c r="CP99" s="822">
        <f>CP66-CP98</f>
        <v/>
      </c>
      <c r="CQ99" s="822">
        <f>CQ66-CQ98</f>
        <v/>
      </c>
      <c r="CR99" s="822">
        <f>CR66-CR98</f>
        <v/>
      </c>
      <c r="CS99" s="822">
        <f>CS66-CS98</f>
        <v/>
      </c>
      <c r="CT99" s="822">
        <f>CT66-CT98</f>
        <v/>
      </c>
      <c r="CU99" s="829">
        <f>CU66-CU98</f>
        <v/>
      </c>
      <c r="CV99" s="822">
        <f>CV66-CV98</f>
        <v/>
      </c>
      <c r="CW99" s="822">
        <f>CW66-CW98</f>
        <v/>
      </c>
      <c r="CX99" s="822">
        <f>CX66-CX98</f>
        <v/>
      </c>
      <c r="CY99" s="822">
        <f>CY66-CY98</f>
        <v/>
      </c>
      <c r="CZ99" s="822">
        <f>CZ66-CZ98</f>
        <v/>
      </c>
      <c r="DA99" s="822">
        <f>DA66-DA98</f>
        <v/>
      </c>
      <c r="DB99" s="822">
        <f>DB66-DB98</f>
        <v/>
      </c>
      <c r="DC99" s="822">
        <f>DC66-DC98</f>
        <v/>
      </c>
      <c r="DD99" s="822">
        <f>DD66-DD98</f>
        <v/>
      </c>
      <c r="DE99" s="822">
        <f>DE66-DE98</f>
        <v/>
      </c>
      <c r="DF99" s="822">
        <f>DF66-DF98</f>
        <v/>
      </c>
      <c r="DG99" s="822">
        <f>DG66-DG98</f>
        <v/>
      </c>
    </row>
    <row r="100" customFormat="1" s="3">
      <c r="A100" s="378" t="n"/>
      <c r="B100" s="378" t="n"/>
      <c r="C100" s="379" t="inlineStr">
        <is>
          <t>NOI %</t>
        </is>
      </c>
      <c r="D100" s="380" t="n"/>
      <c r="E100" s="889">
        <f>+E86/8</f>
        <v/>
      </c>
      <c r="F100" s="889">
        <f>+F86/8</f>
        <v/>
      </c>
      <c r="G100" s="889">
        <f>+G86/8</f>
        <v/>
      </c>
      <c r="H100" s="889">
        <f>+H86/8</f>
        <v/>
      </c>
      <c r="I100" s="889">
        <f>+I86/8</f>
        <v/>
      </c>
      <c r="J100" s="889">
        <f>+J86/8</f>
        <v/>
      </c>
      <c r="K100" s="889">
        <f>+K86/8</f>
        <v/>
      </c>
      <c r="L100" s="889">
        <f>+L86/8</f>
        <v/>
      </c>
      <c r="M100" s="889">
        <f>+M86/8</f>
        <v/>
      </c>
      <c r="N100" s="889">
        <f>+N86/8</f>
        <v/>
      </c>
      <c r="O100" s="889">
        <f>+O86/8</f>
        <v/>
      </c>
      <c r="P100" s="889">
        <f>+P99/P14</f>
        <v/>
      </c>
      <c r="Q100" s="889">
        <f>+Q99/Q14</f>
        <v/>
      </c>
      <c r="R100" s="889">
        <f>+R99/R14</f>
        <v/>
      </c>
      <c r="S100" s="889">
        <f>+S99/S14</f>
        <v/>
      </c>
      <c r="T100" s="889">
        <f>+T99/T14</f>
        <v/>
      </c>
      <c r="U100" s="889">
        <f>+U99/U14</f>
        <v/>
      </c>
      <c r="V100" s="889">
        <f>+V99/V14</f>
        <v/>
      </c>
      <c r="W100" s="889">
        <f>+W99/W14</f>
        <v/>
      </c>
      <c r="X100" s="889">
        <f>+X99/X14</f>
        <v/>
      </c>
      <c r="Y100" s="889">
        <f>+Y99/Y14</f>
        <v/>
      </c>
      <c r="Z100" s="889">
        <f>+Z99/Z14</f>
        <v/>
      </c>
      <c r="AA100" s="889">
        <f>+AA99/AA14</f>
        <v/>
      </c>
      <c r="AB100" s="889">
        <f>+AB99/AB14</f>
        <v/>
      </c>
      <c r="AC100" s="889">
        <f>+AC99/AC14</f>
        <v/>
      </c>
      <c r="AD100" s="889">
        <f>+AD99/AD14</f>
        <v/>
      </c>
      <c r="AE100" s="889">
        <f>+AE99/AE14</f>
        <v/>
      </c>
      <c r="AF100" s="889">
        <f>+AF99/AF14</f>
        <v/>
      </c>
      <c r="AG100" s="889">
        <f>+AG99/AG14</f>
        <v/>
      </c>
      <c r="AH100" s="889">
        <f>+AH99/AH14</f>
        <v/>
      </c>
      <c r="AI100" s="889">
        <f>+AI99/AI14</f>
        <v/>
      </c>
      <c r="AJ100" s="889">
        <f>+AJ99/AJ14</f>
        <v/>
      </c>
      <c r="AK100" s="889">
        <f>+AK99/AK14</f>
        <v/>
      </c>
      <c r="AL100" s="889">
        <f>+AL99/AL14</f>
        <v/>
      </c>
      <c r="AM100" s="890">
        <f>+AM99/AM14</f>
        <v/>
      </c>
      <c r="AN100" s="889">
        <f>+AN99/AN14</f>
        <v/>
      </c>
      <c r="AO100" s="889">
        <f>+AO99/AO14</f>
        <v/>
      </c>
      <c r="AP100" s="889">
        <f>+AP99/AP14</f>
        <v/>
      </c>
      <c r="AQ100" s="889">
        <f>+AQ99/AQ14</f>
        <v/>
      </c>
      <c r="AR100" s="889">
        <f>+AR99/AR14</f>
        <v/>
      </c>
      <c r="AS100" s="889">
        <f>+AS99/AS14</f>
        <v/>
      </c>
      <c r="AT100" s="889">
        <f>+AT99/AT14</f>
        <v/>
      </c>
      <c r="AU100" s="889">
        <f>+AU99/AU14</f>
        <v/>
      </c>
      <c r="AV100" s="889">
        <f>+AV99/AV14</f>
        <v/>
      </c>
      <c r="AW100" s="891">
        <f>+AW99/AW14</f>
        <v/>
      </c>
      <c r="AX100" s="889">
        <f>+AX99/AX14</f>
        <v/>
      </c>
      <c r="AY100" s="891">
        <f>+AY99/AY14</f>
        <v/>
      </c>
      <c r="AZ100" s="889">
        <f>+AZ99/AZ14</f>
        <v/>
      </c>
      <c r="BA100" s="889">
        <f>+BA99/BA14</f>
        <v/>
      </c>
      <c r="BB100" s="889">
        <f>+BB99/BB14</f>
        <v/>
      </c>
      <c r="BC100" s="889">
        <f>+BC99/BC14</f>
        <v/>
      </c>
      <c r="BD100" s="889">
        <f>+BD99/BD14</f>
        <v/>
      </c>
      <c r="BE100" s="889">
        <f>+BE99/BE14</f>
        <v/>
      </c>
      <c r="BF100" s="889">
        <f>+BF99/BF14</f>
        <v/>
      </c>
      <c r="BG100" s="889">
        <f>+BG99/BG14</f>
        <v/>
      </c>
      <c r="BH100" s="889">
        <f>+BH99/BH14</f>
        <v/>
      </c>
      <c r="BI100" s="889">
        <f>+BI99/BI14</f>
        <v/>
      </c>
      <c r="BJ100" s="889">
        <f>+BJ99/BJ14</f>
        <v/>
      </c>
      <c r="BK100" s="891">
        <f>+BK99/BK14</f>
        <v/>
      </c>
      <c r="BL100" s="889">
        <f>+BL99/BL14</f>
        <v/>
      </c>
      <c r="BM100" s="889">
        <f>+BM99/BM14</f>
        <v/>
      </c>
      <c r="BN100" s="889">
        <f>+BN99/BN14</f>
        <v/>
      </c>
      <c r="BO100" s="889">
        <f>+BO99/BO14</f>
        <v/>
      </c>
      <c r="BP100" s="889">
        <f>+BP99/BP14</f>
        <v/>
      </c>
      <c r="BQ100" s="889">
        <f>+BQ99/BQ14</f>
        <v/>
      </c>
      <c r="BR100" s="889">
        <f>+BR99/BR14</f>
        <v/>
      </c>
      <c r="BS100" s="889">
        <f>+BS99/BS14</f>
        <v/>
      </c>
      <c r="BT100" s="889">
        <f>+BT99/BT14</f>
        <v/>
      </c>
      <c r="BU100" s="889">
        <f>+BU99/BU14</f>
        <v/>
      </c>
      <c r="BV100" s="889">
        <f>+BV99/BV14</f>
        <v/>
      </c>
      <c r="BW100" s="891">
        <f>+BW99/BW14</f>
        <v/>
      </c>
      <c r="BX100" s="889">
        <f>+BX99/BX14</f>
        <v/>
      </c>
      <c r="BY100" s="889">
        <f>+BY99/BY14</f>
        <v/>
      </c>
      <c r="BZ100" s="889">
        <f>+BZ99/BZ14</f>
        <v/>
      </c>
      <c r="CA100" s="889">
        <f>+CA99/CA14</f>
        <v/>
      </c>
      <c r="CB100" s="889">
        <f>+CB99/CB14</f>
        <v/>
      </c>
      <c r="CC100" s="889">
        <f>+CC99/CC14</f>
        <v/>
      </c>
      <c r="CD100" s="889">
        <f>+CD99/CD14</f>
        <v/>
      </c>
      <c r="CE100" s="889">
        <f>+CE99/CE14</f>
        <v/>
      </c>
      <c r="CF100" s="889">
        <f>+CF99/CF14</f>
        <v/>
      </c>
      <c r="CG100" s="889">
        <f>+CG99/CG14</f>
        <v/>
      </c>
      <c r="CH100" s="889">
        <f>+CH99/CH14</f>
        <v/>
      </c>
      <c r="CI100" s="891">
        <f>+CI99/CI14</f>
        <v/>
      </c>
      <c r="CJ100" s="889">
        <f>+CJ99/CJ14</f>
        <v/>
      </c>
      <c r="CK100" s="889">
        <f>+CK99/CK14</f>
        <v/>
      </c>
      <c r="CL100" s="889">
        <f>+CL99/CL14</f>
        <v/>
      </c>
      <c r="CM100" s="889">
        <f>+CM99/CM14</f>
        <v/>
      </c>
      <c r="CN100" s="889">
        <f>+CN99/CN14</f>
        <v/>
      </c>
      <c r="CO100" s="889">
        <f>+CO99/CO14</f>
        <v/>
      </c>
      <c r="CP100" s="889">
        <f>+CP99/CP14</f>
        <v/>
      </c>
      <c r="CQ100" s="889">
        <f>+CQ99/CQ14</f>
        <v/>
      </c>
      <c r="CR100" s="889">
        <f>+CR99/CR14</f>
        <v/>
      </c>
      <c r="CS100" s="889">
        <f>+CS99/CS14</f>
        <v/>
      </c>
      <c r="CT100" s="889">
        <f>+CT99/CT14</f>
        <v/>
      </c>
      <c r="CU100" s="891">
        <f>+CU99/CU14</f>
        <v/>
      </c>
      <c r="CV100" s="889">
        <f>+CV99/CV14</f>
        <v/>
      </c>
      <c r="CW100" s="889">
        <f>+CW99/CW14</f>
        <v/>
      </c>
      <c r="CX100" s="889">
        <f>+CX99/CX14</f>
        <v/>
      </c>
      <c r="CY100" s="889">
        <f>+CY99/CY14</f>
        <v/>
      </c>
      <c r="CZ100" s="889">
        <f>+CZ99/CZ14</f>
        <v/>
      </c>
      <c r="DA100" s="889">
        <f>+DA99/DA14</f>
        <v/>
      </c>
      <c r="DB100" s="889">
        <f>+DB99/DB14</f>
        <v/>
      </c>
      <c r="DC100" s="889">
        <f>+DC99/DC14</f>
        <v/>
      </c>
      <c r="DD100" s="889">
        <f>+DD99/DD14</f>
        <v/>
      </c>
      <c r="DE100" s="889">
        <f>+DE99/DE14</f>
        <v/>
      </c>
      <c r="DF100" s="889">
        <f>+DF99/DF14</f>
        <v/>
      </c>
      <c r="DG100" s="890">
        <f>+DG99/DG14</f>
        <v/>
      </c>
    </row>
    <row r="101" customFormat="1" s="5">
      <c r="A101" s="384" t="n"/>
      <c r="B101" s="384" t="n"/>
      <c r="C101" s="385" t="inlineStr">
        <is>
          <t>QBO Fees as a % of Revenue</t>
        </is>
      </c>
      <c r="D101" s="386" t="n"/>
      <c r="E101" s="882" t="n"/>
      <c r="F101" s="882" t="n"/>
      <c r="G101" s="882" t="n"/>
      <c r="H101" s="882" t="n"/>
      <c r="I101" s="882" t="n"/>
      <c r="J101" s="882" t="n"/>
      <c r="K101" s="882" t="n"/>
      <c r="L101" s="882" t="n"/>
      <c r="M101" s="882" t="n"/>
      <c r="N101" s="882" t="n"/>
      <c r="O101" s="882" t="n"/>
      <c r="P101" s="882" t="n"/>
      <c r="Q101" s="882" t="n"/>
      <c r="R101" s="882" t="n"/>
      <c r="S101" s="882" t="n"/>
      <c r="T101" s="882" t="n"/>
      <c r="U101" s="882" t="n"/>
      <c r="V101" s="882" t="n"/>
      <c r="W101" s="882" t="n"/>
      <c r="X101" s="882" t="n"/>
      <c r="Y101" s="882" t="n"/>
      <c r="Z101" s="882" t="n"/>
      <c r="AA101" s="882" t="n"/>
      <c r="AB101" s="882">
        <f>+AB91/AB12</f>
        <v/>
      </c>
      <c r="AC101" s="882">
        <f>+AC91/AC12</f>
        <v/>
      </c>
      <c r="AD101" s="882">
        <f>+AD91/AD12</f>
        <v/>
      </c>
      <c r="AE101" s="882">
        <f>+AE91/AE12</f>
        <v/>
      </c>
      <c r="AF101" s="882">
        <f>+AF91/AF12</f>
        <v/>
      </c>
      <c r="AG101" s="882">
        <f>+AG91/AG12</f>
        <v/>
      </c>
      <c r="AH101" s="882">
        <f>+AH91/AH12</f>
        <v/>
      </c>
      <c r="AI101" s="882">
        <f>+AI91/AI12</f>
        <v/>
      </c>
      <c r="AJ101" s="882">
        <f>+AJ91/AJ12</f>
        <v/>
      </c>
      <c r="AK101" s="882">
        <f>+AK91/AK12</f>
        <v/>
      </c>
      <c r="AL101" s="882">
        <f>+AL91/AL12</f>
        <v/>
      </c>
      <c r="AM101" s="883">
        <f>+AM91/AM12</f>
        <v/>
      </c>
      <c r="AN101" s="882">
        <f>+AN91/AN12</f>
        <v/>
      </c>
      <c r="AO101" s="882">
        <f>+AO91/AO12</f>
        <v/>
      </c>
      <c r="AP101" s="882">
        <f>+AP91/AP12</f>
        <v/>
      </c>
      <c r="AQ101" s="882">
        <f>+AQ91/AQ12</f>
        <v/>
      </c>
      <c r="AR101" s="882">
        <f>+AR91/AR12</f>
        <v/>
      </c>
      <c r="AS101" s="882">
        <f>+AS91/AS12</f>
        <v/>
      </c>
      <c r="AT101" s="882">
        <f>+AT91/AT12</f>
        <v/>
      </c>
      <c r="AU101" s="882">
        <f>+AU91/AU12</f>
        <v/>
      </c>
      <c r="AV101" s="882">
        <f>+AV91/AV12</f>
        <v/>
      </c>
      <c r="AW101" s="884">
        <f>+AW91/AW12</f>
        <v/>
      </c>
      <c r="AX101" s="892">
        <f>+AVERAGE(AU101:AW101)</f>
        <v/>
      </c>
      <c r="AY101" s="884">
        <f>+AX101</f>
        <v/>
      </c>
      <c r="AZ101" s="882">
        <f>+AY101</f>
        <v/>
      </c>
      <c r="BA101" s="882">
        <f>+AZ101</f>
        <v/>
      </c>
      <c r="BB101" s="882">
        <f>+BA101</f>
        <v/>
      </c>
      <c r="BC101" s="882">
        <f>+BB101</f>
        <v/>
      </c>
      <c r="BD101" s="882">
        <f>+BC101</f>
        <v/>
      </c>
      <c r="BE101" s="882">
        <f>+BD101</f>
        <v/>
      </c>
      <c r="BF101" s="882">
        <f>+BE101</f>
        <v/>
      </c>
      <c r="BG101" s="882">
        <f>+BF101</f>
        <v/>
      </c>
      <c r="BH101" s="882">
        <f>+BG101</f>
        <v/>
      </c>
      <c r="BI101" s="882">
        <f>+BH101</f>
        <v/>
      </c>
      <c r="BJ101" s="882">
        <f>+BI101</f>
        <v/>
      </c>
      <c r="BK101" s="884">
        <f>+BJ101</f>
        <v/>
      </c>
      <c r="BL101" s="882">
        <f>+BK101</f>
        <v/>
      </c>
      <c r="BM101" s="882">
        <f>+BL101</f>
        <v/>
      </c>
      <c r="BN101" s="882">
        <f>+BM101</f>
        <v/>
      </c>
      <c r="BO101" s="882">
        <f>+BN101</f>
        <v/>
      </c>
      <c r="BP101" s="882">
        <f>+BO101</f>
        <v/>
      </c>
      <c r="BQ101" s="882">
        <f>+BP101</f>
        <v/>
      </c>
      <c r="BR101" s="882">
        <f>+BQ101</f>
        <v/>
      </c>
      <c r="BS101" s="882">
        <f>+BR101</f>
        <v/>
      </c>
      <c r="BT101" s="882">
        <f>+BS101</f>
        <v/>
      </c>
      <c r="BU101" s="882">
        <f>+BT101</f>
        <v/>
      </c>
      <c r="BV101" s="882">
        <f>+BU101</f>
        <v/>
      </c>
      <c r="BW101" s="884">
        <f>+BV101</f>
        <v/>
      </c>
      <c r="BX101" s="882">
        <f>+BW101</f>
        <v/>
      </c>
      <c r="BY101" s="882">
        <f>+BX101</f>
        <v/>
      </c>
      <c r="BZ101" s="882">
        <f>+BY101</f>
        <v/>
      </c>
      <c r="CA101" s="882">
        <f>+BZ101</f>
        <v/>
      </c>
      <c r="CB101" s="882">
        <f>+CA101</f>
        <v/>
      </c>
      <c r="CC101" s="882">
        <f>+CB101</f>
        <v/>
      </c>
      <c r="CD101" s="882">
        <f>+CC101</f>
        <v/>
      </c>
      <c r="CE101" s="882">
        <f>+CD101</f>
        <v/>
      </c>
      <c r="CF101" s="882">
        <f>+CE101</f>
        <v/>
      </c>
      <c r="CG101" s="882">
        <f>+CF101</f>
        <v/>
      </c>
      <c r="CH101" s="882">
        <f>+CG101</f>
        <v/>
      </c>
      <c r="CI101" s="884">
        <f>+CH101</f>
        <v/>
      </c>
      <c r="CJ101" s="882">
        <f>+CI101</f>
        <v/>
      </c>
      <c r="CK101" s="882">
        <f>+CJ101</f>
        <v/>
      </c>
      <c r="CL101" s="882">
        <f>+CK101</f>
        <v/>
      </c>
      <c r="CM101" s="882">
        <f>+CL101</f>
        <v/>
      </c>
      <c r="CN101" s="882">
        <f>+CM101</f>
        <v/>
      </c>
      <c r="CO101" s="882">
        <f>+CN101</f>
        <v/>
      </c>
      <c r="CP101" s="882">
        <f>+CO101</f>
        <v/>
      </c>
      <c r="CQ101" s="882">
        <f>+CP101</f>
        <v/>
      </c>
      <c r="CR101" s="882">
        <f>+CQ101</f>
        <v/>
      </c>
      <c r="CS101" s="882">
        <f>+CR101</f>
        <v/>
      </c>
      <c r="CT101" s="882">
        <f>+CS101</f>
        <v/>
      </c>
      <c r="CU101" s="884">
        <f>+CT101</f>
        <v/>
      </c>
      <c r="CV101" s="882">
        <f>+CU101</f>
        <v/>
      </c>
      <c r="CW101" s="882">
        <f>+CV101</f>
        <v/>
      </c>
      <c r="CX101" s="882">
        <f>+CW101</f>
        <v/>
      </c>
      <c r="CY101" s="882">
        <f>+CX101</f>
        <v/>
      </c>
      <c r="CZ101" s="882">
        <f>+CY101</f>
        <v/>
      </c>
      <c r="DA101" s="882">
        <f>+CZ101</f>
        <v/>
      </c>
      <c r="DB101" s="882">
        <f>+DA101</f>
        <v/>
      </c>
      <c r="DC101" s="882">
        <f>+DB101</f>
        <v/>
      </c>
      <c r="DD101" s="882">
        <f>+DC101</f>
        <v/>
      </c>
      <c r="DE101" s="882">
        <f>+DD101</f>
        <v/>
      </c>
      <c r="DF101" s="882">
        <f>+DE101</f>
        <v/>
      </c>
      <c r="DG101" s="882">
        <f>+DF101</f>
        <v/>
      </c>
    </row>
    <row r="102" customFormat="1" s="5">
      <c r="A102" s="384" t="n"/>
      <c r="B102" s="384" t="n"/>
      <c r="C102" s="385" t="inlineStr">
        <is>
          <t>CAC</t>
        </is>
      </c>
      <c r="D102" s="386" t="n"/>
      <c r="E102" s="882" t="n"/>
      <c r="F102" s="882" t="n"/>
      <c r="G102" s="882" t="n"/>
      <c r="H102" s="882" t="n"/>
      <c r="I102" s="882" t="n"/>
      <c r="J102" s="882" t="n"/>
      <c r="K102" s="882" t="n"/>
      <c r="L102" s="893">
        <f>L85+L89+L63+L71</f>
        <v/>
      </c>
      <c r="M102" s="893">
        <f>M85+M89+M63+M71</f>
        <v/>
      </c>
      <c r="N102" s="893">
        <f>N85+N89+N63+N71</f>
        <v/>
      </c>
      <c r="O102" s="893">
        <f>O85+O89+O63+O71</f>
        <v/>
      </c>
      <c r="P102" s="893">
        <f>P85+P89+P63+P71</f>
        <v/>
      </c>
      <c r="Q102" s="893">
        <f>Q85+Q89+Q63+Q71</f>
        <v/>
      </c>
      <c r="R102" s="893">
        <f>R85+R89+R63+R71</f>
        <v/>
      </c>
      <c r="S102" s="893">
        <f>S85+S89+S63+S71</f>
        <v/>
      </c>
      <c r="T102" s="893">
        <f>T85+T89+T63+T71</f>
        <v/>
      </c>
      <c r="U102" s="893">
        <f>U85+U89+U63+U71</f>
        <v/>
      </c>
      <c r="V102" s="893">
        <f>V85+V89+V63+V71</f>
        <v/>
      </c>
      <c r="W102" s="893">
        <f>W85+W89+W63+W71</f>
        <v/>
      </c>
      <c r="X102" s="893">
        <f>X85+X89+X63+X71</f>
        <v/>
      </c>
      <c r="Y102" s="893">
        <f>Y85+Y89+Y63+Y71</f>
        <v/>
      </c>
      <c r="Z102" s="893">
        <f>Z85+Z89+Z63+Z71</f>
        <v/>
      </c>
      <c r="AA102" s="893">
        <f>AA85+AA89+AA63+AA71</f>
        <v/>
      </c>
      <c r="AB102" s="893">
        <f>AB85+AB89+AB65+AB71</f>
        <v/>
      </c>
      <c r="AC102" s="893">
        <f>AC85+AC89+AC65+AC71</f>
        <v/>
      </c>
      <c r="AD102" s="893">
        <f>AD85+AD89+AD65+AD71</f>
        <v/>
      </c>
      <c r="AE102" s="893">
        <f>AE85+AE89+AE65+AE71</f>
        <v/>
      </c>
      <c r="AF102" s="893">
        <f>AF85+AF89+AF65+AF71</f>
        <v/>
      </c>
      <c r="AG102" s="893">
        <f>AG85+AG89+AG65+AG71</f>
        <v/>
      </c>
      <c r="AH102" s="893">
        <f>AH85+AH89+AH65+AH71</f>
        <v/>
      </c>
      <c r="AI102" s="893">
        <f>AI85+AI89+AI65+AI71</f>
        <v/>
      </c>
      <c r="AJ102" s="893">
        <f>AJ85+AJ89+AJ65+AJ71</f>
        <v/>
      </c>
      <c r="AK102" s="893">
        <f>AK85+AK89+AK65+AK71</f>
        <v/>
      </c>
      <c r="AL102" s="893">
        <f>AL85+AL89+AL65+AL71</f>
        <v/>
      </c>
      <c r="AM102" s="894">
        <f>AM85+AM89+AM65+AM71</f>
        <v/>
      </c>
      <c r="AN102" s="893">
        <f>AN85+AN89+AN65+AN71</f>
        <v/>
      </c>
      <c r="AO102" s="893">
        <f>AO85+AO89+AO65+AO71</f>
        <v/>
      </c>
      <c r="AP102" s="893">
        <f>AP85+AP89+AP65+AP71</f>
        <v/>
      </c>
      <c r="AQ102" s="893">
        <f>AQ85+AQ65+AQ71+SUM(AQ89:AQ91)</f>
        <v/>
      </c>
      <c r="AR102" s="893">
        <f>AR85+AR65+AR71+SUM(AR89:AR91)</f>
        <v/>
      </c>
      <c r="AS102" s="893">
        <f>AS85+AS65+AS71+SUM(AS89:AS91)</f>
        <v/>
      </c>
      <c r="AT102" s="893">
        <f>AT85+AT65+AT71+SUM(AT89:AT91)</f>
        <v/>
      </c>
      <c r="AU102" s="893">
        <f>AU85+AU65+AU71+SUM(AU89:AU91)</f>
        <v/>
      </c>
      <c r="AV102" s="893">
        <f>AV85+AV65+AV71+SUM(AV89:AV91)</f>
        <v/>
      </c>
      <c r="AW102" s="895">
        <f>AW85+AW65+AW71+SUM(AW89:AW91)</f>
        <v/>
      </c>
      <c r="AX102" s="896">
        <f>AX85+AX65+AX71+SUM(AX89:AX91)</f>
        <v/>
      </c>
      <c r="AY102" s="895">
        <f>AY85+AY65+AY71+SUM(AY89:AY91)</f>
        <v/>
      </c>
      <c r="AZ102" s="893">
        <f>AZ85+AZ65+AZ71+SUM(AZ89:AZ91)</f>
        <v/>
      </c>
      <c r="BA102" s="893">
        <f>BA85+BA65+BA71+SUM(BA89:BA91)</f>
        <v/>
      </c>
      <c r="BB102" s="893">
        <f>BB85+BB65+BB71+SUM(BB89:BB91)</f>
        <v/>
      </c>
      <c r="BC102" s="893">
        <f>BC85+BC65+BC71+SUM(BC89:BC91)</f>
        <v/>
      </c>
      <c r="BD102" s="893">
        <f>BD85+BD65+BD71+SUM(BD89:BD91)</f>
        <v/>
      </c>
      <c r="BE102" s="893">
        <f>BE85+BE65+BE71+SUM(BE89:BE91)</f>
        <v/>
      </c>
      <c r="BF102" s="893">
        <f>BF85+BF65+BF71+SUM(BF89:BF91)</f>
        <v/>
      </c>
      <c r="BG102" s="893">
        <f>BG85+BG65+BG71+SUM(BG89:BG91)</f>
        <v/>
      </c>
      <c r="BH102" s="893">
        <f>BH85+BH65+BH71+SUM(BH89:BH91)</f>
        <v/>
      </c>
      <c r="BI102" s="893">
        <f>BI85+BI65+BI71+SUM(BI89:BI91)</f>
        <v/>
      </c>
      <c r="BJ102" s="893">
        <f>BJ85+BJ65+BJ71+SUM(BJ89:BJ91)</f>
        <v/>
      </c>
      <c r="BK102" s="895">
        <f>BK85+BK65+BK71+SUM(BK89:BK91)</f>
        <v/>
      </c>
      <c r="BL102" s="893">
        <f>BL85+BL65+BL71+SUM(BL89:BL91)</f>
        <v/>
      </c>
      <c r="BM102" s="893">
        <f>BM85+BM65+BM71+SUM(BM89:BM91)</f>
        <v/>
      </c>
      <c r="BN102" s="893">
        <f>BN85+BN65+BN71+SUM(BN89:BN91)</f>
        <v/>
      </c>
      <c r="BO102" s="893">
        <f>BO85+BO65+BO71+SUM(BO89:BO91)</f>
        <v/>
      </c>
      <c r="BP102" s="893">
        <f>BP85+BP65+BP71+SUM(BP89:BP91)</f>
        <v/>
      </c>
      <c r="BQ102" s="893">
        <f>BQ85+BQ65+BQ71+SUM(BQ89:BQ91)</f>
        <v/>
      </c>
      <c r="BR102" s="893">
        <f>BR85+BR65+BR71+SUM(BR89:BR91)</f>
        <v/>
      </c>
      <c r="BS102" s="893">
        <f>BS85+BS65+BS71+SUM(BS89:BS91)</f>
        <v/>
      </c>
      <c r="BT102" s="893">
        <f>BT85+BT65+BT71+SUM(BT89:BT91)</f>
        <v/>
      </c>
      <c r="BU102" s="893">
        <f>BU85+BU65+BU71+SUM(BU89:BU91)</f>
        <v/>
      </c>
      <c r="BV102" s="893">
        <f>BV85+BV65+BV71+SUM(BV89:BV91)</f>
        <v/>
      </c>
      <c r="BW102" s="895">
        <f>BW85+BW65+BW71+SUM(BW89:BW91)</f>
        <v/>
      </c>
      <c r="BX102" s="893">
        <f>BX85+BX65+BX71+SUM(BX89:BX91)</f>
        <v/>
      </c>
      <c r="BY102" s="893">
        <f>BY85+BY65+BY71+SUM(BY89:BY91)</f>
        <v/>
      </c>
      <c r="BZ102" s="893">
        <f>BZ85+BZ65+BZ71+SUM(BZ89:BZ91)</f>
        <v/>
      </c>
      <c r="CA102" s="893">
        <f>CA85+CA65+CA71+SUM(CA89:CA91)</f>
        <v/>
      </c>
      <c r="CB102" s="893">
        <f>CB85+CB65+CB71+SUM(CB89:CB91)</f>
        <v/>
      </c>
      <c r="CC102" s="893">
        <f>CC85+CC65+CC71+SUM(CC89:CC91)</f>
        <v/>
      </c>
      <c r="CD102" s="893">
        <f>CD85+CD65+CD71+SUM(CD89:CD91)</f>
        <v/>
      </c>
      <c r="CE102" s="893">
        <f>CE85+CE65+CE71+SUM(CE89:CE91)</f>
        <v/>
      </c>
      <c r="CF102" s="893">
        <f>CF85+CF65+CF71+SUM(CF89:CF91)</f>
        <v/>
      </c>
      <c r="CG102" s="893">
        <f>CG85+CG65+CG71+SUM(CG89:CG91)</f>
        <v/>
      </c>
      <c r="CH102" s="893">
        <f>CH85+CH65+CH71+SUM(CH89:CH91)</f>
        <v/>
      </c>
      <c r="CI102" s="895">
        <f>CI85+CI65+CI71+SUM(CI89:CI91)</f>
        <v/>
      </c>
      <c r="CJ102" s="893">
        <f>CJ85+CJ65+CJ71+SUM(CJ89:CJ91)</f>
        <v/>
      </c>
      <c r="CK102" s="893">
        <f>CK85+CK65+CK71+SUM(CK89:CK91)</f>
        <v/>
      </c>
      <c r="CL102" s="893">
        <f>CL85+CL65+CL71+SUM(CL89:CL91)</f>
        <v/>
      </c>
      <c r="CM102" s="893">
        <f>CM85+CM65+CM71+SUM(CM89:CM91)</f>
        <v/>
      </c>
      <c r="CN102" s="893">
        <f>CN85+CN65+CN71+SUM(CN89:CN91)</f>
        <v/>
      </c>
      <c r="CO102" s="893">
        <f>CO85+CO65+CO71+SUM(CO89:CO91)</f>
        <v/>
      </c>
      <c r="CP102" s="893">
        <f>CP85+CP65+CP71+SUM(CP89:CP91)</f>
        <v/>
      </c>
      <c r="CQ102" s="893">
        <f>CQ85+CQ65+CQ71+SUM(CQ89:CQ91)</f>
        <v/>
      </c>
      <c r="CR102" s="893">
        <f>CR85+CR65+CR71+SUM(CR89:CR91)</f>
        <v/>
      </c>
      <c r="CS102" s="893">
        <f>CS85+CS65+CS71+SUM(CS89:CS91)</f>
        <v/>
      </c>
      <c r="CT102" s="893">
        <f>CT85+CT65+CT71+SUM(CT89:CT91)</f>
        <v/>
      </c>
      <c r="CU102" s="895">
        <f>CU85+CU65+CU71+SUM(CU89:CU91)</f>
        <v/>
      </c>
      <c r="CV102" s="893">
        <f>CV85+CV65+CV71+SUM(CV89:CV91)</f>
        <v/>
      </c>
      <c r="CW102" s="893">
        <f>CW85+CW65+CW71+SUM(CW89:CW91)</f>
        <v/>
      </c>
      <c r="CX102" s="893">
        <f>CX85+CX65+CX71+SUM(CX89:CX91)</f>
        <v/>
      </c>
      <c r="CY102" s="893">
        <f>CY85+CY65+CY71+SUM(CY89:CY91)</f>
        <v/>
      </c>
      <c r="CZ102" s="893">
        <f>CZ85+CZ65+CZ71+SUM(CZ89:CZ91)</f>
        <v/>
      </c>
      <c r="DA102" s="893">
        <f>DA85+DA65+DA71+SUM(DA89:DA91)</f>
        <v/>
      </c>
      <c r="DB102" s="893">
        <f>DB85+DB65+DB71+SUM(DB89:DB91)</f>
        <v/>
      </c>
      <c r="DC102" s="893">
        <f>DC85+DC65+DC71+SUM(DC89:DC91)</f>
        <v/>
      </c>
      <c r="DD102" s="893">
        <f>DD85+DD65+DD71+SUM(DD89:DD91)</f>
        <v/>
      </c>
      <c r="DE102" s="893">
        <f>DE85+DE65+DE71+SUM(DE89:DE91)</f>
        <v/>
      </c>
      <c r="DF102" s="893">
        <f>DF85+DF65+DF71+SUM(DF89:DF91)</f>
        <v/>
      </c>
      <c r="DG102" s="893">
        <f>DG85+DG65+DG71+SUM(DG89:DG91)</f>
        <v/>
      </c>
    </row>
    <row r="103">
      <c r="B103" s="1" t="inlineStr">
        <is>
          <t>Other Income</t>
        </is>
      </c>
      <c r="C103" s="1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G103" s="707" t="n">
        <v>25</v>
      </c>
      <c r="AW103" s="184" t="n"/>
      <c r="AY103" s="184" t="n"/>
      <c r="BK103" s="184" t="n"/>
      <c r="BW103" s="184" t="n"/>
      <c r="CI103" s="184" t="n"/>
      <c r="CU103" s="184" t="n"/>
    </row>
    <row r="104">
      <c r="B104" s="1" t="inlineStr">
        <is>
          <t xml:space="preserve">   Interest Income</t>
        </is>
      </c>
      <c r="C104" s="1" t="n"/>
      <c r="D104" s="707">
        <f>0</f>
        <v/>
      </c>
      <c r="E104" s="707">
        <f>0</f>
        <v/>
      </c>
      <c r="F104" s="707">
        <f>0</f>
        <v/>
      </c>
      <c r="G104" s="707">
        <f>0</f>
        <v/>
      </c>
      <c r="H104" s="707">
        <f>0</f>
        <v/>
      </c>
      <c r="I104" s="707">
        <f>0</f>
        <v/>
      </c>
      <c r="J104" s="707">
        <f>0</f>
        <v/>
      </c>
      <c r="K104" s="707" t="n">
        <v>0</v>
      </c>
      <c r="L104" s="707" t="n">
        <v>0</v>
      </c>
      <c r="M104" s="707" t="n">
        <v>0.02</v>
      </c>
      <c r="N104" s="707" t="n">
        <v>0.03</v>
      </c>
      <c r="O104" s="707" t="n">
        <v>0.01</v>
      </c>
      <c r="P104" s="707" t="n">
        <v>0</v>
      </c>
      <c r="Q104" s="707" t="n">
        <v>0</v>
      </c>
      <c r="R104" s="707" t="n">
        <v>0</v>
      </c>
      <c r="S104" s="707" t="n">
        <v>0.01</v>
      </c>
      <c r="T104" s="707" t="n">
        <v>0.01</v>
      </c>
      <c r="U104" s="707" t="n">
        <v>0.01</v>
      </c>
      <c r="V104" s="707" t="n">
        <v>0.03</v>
      </c>
      <c r="W104" s="707" t="n">
        <v>0.01</v>
      </c>
      <c r="X104" s="707" t="n">
        <v>0</v>
      </c>
      <c r="Y104" s="707" t="n">
        <v>0</v>
      </c>
      <c r="Z104" s="707" t="n">
        <v>0</v>
      </c>
      <c r="AA104" s="707" t="n">
        <v>0</v>
      </c>
      <c r="AB104" s="707" t="n"/>
      <c r="AC104" s="707" t="n"/>
      <c r="AD104" s="707" t="n"/>
      <c r="AE104" s="707" t="n"/>
      <c r="AF104" s="707" t="n"/>
      <c r="AG104" s="707" t="n">
        <v>0</v>
      </c>
      <c r="AH104" s="707" t="n"/>
      <c r="AI104" s="707" t="n">
        <v>0.43</v>
      </c>
      <c r="AJ104" s="707" t="n">
        <v>0.6899999999999999</v>
      </c>
      <c r="AK104" s="707" t="n">
        <v>1.74</v>
      </c>
      <c r="AL104" s="707" t="n">
        <v>2.41</v>
      </c>
      <c r="AM104" s="513" t="n">
        <v>0.08</v>
      </c>
      <c r="AN104" s="707" t="n">
        <v>0.01</v>
      </c>
      <c r="AO104" s="707" t="n">
        <v>0.01</v>
      </c>
      <c r="AP104" s="707" t="n">
        <v>0.01</v>
      </c>
      <c r="AQ104" s="707" t="n">
        <v>0.01</v>
      </c>
      <c r="AR104" s="707" t="n">
        <v>0.06</v>
      </c>
      <c r="AS104" s="707" t="n">
        <v>0.01</v>
      </c>
      <c r="AT104" s="707" t="n">
        <v>0.03</v>
      </c>
      <c r="AU104" s="707" t="n">
        <v>0.03</v>
      </c>
      <c r="AV104" s="707" t="n">
        <v>0.99</v>
      </c>
      <c r="AW104" s="708" t="n">
        <v>4.56</v>
      </c>
      <c r="AX104" s="287" t="n">
        <v>0</v>
      </c>
      <c r="AY104" s="708">
        <f>AX104</f>
        <v/>
      </c>
      <c r="AZ104" s="707">
        <f>AY104</f>
        <v/>
      </c>
      <c r="BA104" s="707">
        <f>AZ104</f>
        <v/>
      </c>
      <c r="BB104" s="707">
        <f>BA104</f>
        <v/>
      </c>
      <c r="BC104" s="707">
        <f>BB104</f>
        <v/>
      </c>
      <c r="BD104" s="707">
        <f>BC104</f>
        <v/>
      </c>
      <c r="BE104" s="707">
        <f>BD104</f>
        <v/>
      </c>
      <c r="BF104" s="707">
        <f>BE104</f>
        <v/>
      </c>
      <c r="BG104" s="707">
        <f>BF104</f>
        <v/>
      </c>
      <c r="BH104" s="707">
        <f>BG104</f>
        <v/>
      </c>
      <c r="BI104" s="707">
        <f>BH104</f>
        <v/>
      </c>
      <c r="BJ104" s="707">
        <f>BI104</f>
        <v/>
      </c>
      <c r="BK104" s="708">
        <f>BJ104</f>
        <v/>
      </c>
      <c r="BL104" s="707">
        <f>BK104</f>
        <v/>
      </c>
      <c r="BM104" s="707">
        <f>BL104</f>
        <v/>
      </c>
      <c r="BN104" s="707">
        <f>BM104</f>
        <v/>
      </c>
      <c r="BO104" s="707">
        <f>BN104</f>
        <v/>
      </c>
      <c r="BP104" s="707">
        <f>BO104</f>
        <v/>
      </c>
      <c r="BQ104" s="707">
        <f>BP104</f>
        <v/>
      </c>
      <c r="BR104" s="707">
        <f>BQ104</f>
        <v/>
      </c>
      <c r="BS104" s="707">
        <f>BR104</f>
        <v/>
      </c>
      <c r="BT104" s="707">
        <f>BS104</f>
        <v/>
      </c>
      <c r="BU104" s="707">
        <f>BT104</f>
        <v/>
      </c>
      <c r="BV104" s="707">
        <f>BU104</f>
        <v/>
      </c>
      <c r="BW104" s="708">
        <f>BV104</f>
        <v/>
      </c>
      <c r="BX104" s="707">
        <f>BW104</f>
        <v/>
      </c>
      <c r="BY104" s="707">
        <f>BX104</f>
        <v/>
      </c>
      <c r="BZ104" s="707">
        <f>BY104</f>
        <v/>
      </c>
      <c r="CA104" s="707">
        <f>BZ104</f>
        <v/>
      </c>
      <c r="CB104" s="707">
        <f>CA104</f>
        <v/>
      </c>
      <c r="CC104" s="707">
        <f>CB104</f>
        <v/>
      </c>
      <c r="CD104" s="707">
        <f>CC104</f>
        <v/>
      </c>
      <c r="CE104" s="707">
        <f>CD104</f>
        <v/>
      </c>
      <c r="CF104" s="707">
        <f>CE104</f>
        <v/>
      </c>
      <c r="CG104" s="707">
        <f>CF104</f>
        <v/>
      </c>
      <c r="CH104" s="707">
        <f>CG104</f>
        <v/>
      </c>
      <c r="CI104" s="708">
        <f>CH104</f>
        <v/>
      </c>
      <c r="CJ104" s="707">
        <f>CI104</f>
        <v/>
      </c>
      <c r="CK104" s="707">
        <f>CJ104</f>
        <v/>
      </c>
      <c r="CL104" s="707">
        <f>CK104</f>
        <v/>
      </c>
      <c r="CM104" s="707">
        <f>CL104</f>
        <v/>
      </c>
      <c r="CN104" s="707">
        <f>CM104</f>
        <v/>
      </c>
      <c r="CO104" s="707">
        <f>CN104</f>
        <v/>
      </c>
      <c r="CP104" s="707">
        <f>CO104</f>
        <v/>
      </c>
      <c r="CQ104" s="707">
        <f>CP104</f>
        <v/>
      </c>
      <c r="CR104" s="707">
        <f>CQ104</f>
        <v/>
      </c>
      <c r="CS104" s="707">
        <f>CR104</f>
        <v/>
      </c>
      <c r="CT104" s="707">
        <f>CS104</f>
        <v/>
      </c>
      <c r="CU104" s="708">
        <f>CT104</f>
        <v/>
      </c>
      <c r="CV104" s="707">
        <f>CU104</f>
        <v/>
      </c>
      <c r="CW104" s="707">
        <f>CV104</f>
        <v/>
      </c>
      <c r="CX104" s="707">
        <f>CW104</f>
        <v/>
      </c>
      <c r="CY104" s="707">
        <f>CX104</f>
        <v/>
      </c>
      <c r="CZ104" s="707">
        <f>CY104</f>
        <v/>
      </c>
      <c r="DA104" s="707">
        <f>CZ104</f>
        <v/>
      </c>
      <c r="DB104" s="707">
        <f>DA104</f>
        <v/>
      </c>
      <c r="DC104" s="707">
        <f>DB104</f>
        <v/>
      </c>
      <c r="DD104" s="707">
        <f>DC104</f>
        <v/>
      </c>
      <c r="DE104" s="707">
        <f>DD104</f>
        <v/>
      </c>
      <c r="DF104" s="707">
        <f>DE104</f>
        <v/>
      </c>
      <c r="DG104" s="707">
        <f>DF104</f>
        <v/>
      </c>
    </row>
    <row r="105">
      <c r="A105" s="5" t="n"/>
      <c r="B105" s="6" t="inlineStr">
        <is>
          <t>Total Other Income</t>
        </is>
      </c>
      <c r="C105" s="6" t="n"/>
      <c r="D105" s="822">
        <f>D104</f>
        <v/>
      </c>
      <c r="E105" s="822">
        <f>E104</f>
        <v/>
      </c>
      <c r="F105" s="822">
        <f>F104</f>
        <v/>
      </c>
      <c r="G105" s="822">
        <f>G104</f>
        <v/>
      </c>
      <c r="H105" s="822">
        <f>H104</f>
        <v/>
      </c>
      <c r="I105" s="822">
        <f>I104</f>
        <v/>
      </c>
      <c r="J105" s="822">
        <f>J104</f>
        <v/>
      </c>
      <c r="K105" s="822" t="n">
        <v>0</v>
      </c>
      <c r="L105" s="822" t="n">
        <v>0</v>
      </c>
      <c r="M105" s="897" t="n">
        <v>0.02</v>
      </c>
      <c r="N105" s="897">
        <f>N104</f>
        <v/>
      </c>
      <c r="O105" s="897">
        <f>O104</f>
        <v/>
      </c>
      <c r="P105" s="897">
        <f>P104</f>
        <v/>
      </c>
      <c r="Q105" s="897">
        <f>Q104</f>
        <v/>
      </c>
      <c r="R105" s="897">
        <f>R104</f>
        <v/>
      </c>
      <c r="S105" s="897">
        <f>S104</f>
        <v/>
      </c>
      <c r="T105" s="897">
        <f>T104</f>
        <v/>
      </c>
      <c r="U105" s="897">
        <f>U104</f>
        <v/>
      </c>
      <c r="V105" s="897">
        <f>V104</f>
        <v/>
      </c>
      <c r="W105" s="897">
        <f>W104</f>
        <v/>
      </c>
      <c r="X105" s="897">
        <f>X104</f>
        <v/>
      </c>
      <c r="Y105" s="897">
        <f>Y104</f>
        <v/>
      </c>
      <c r="Z105" s="897">
        <f>Z104</f>
        <v/>
      </c>
      <c r="AA105" s="897">
        <f>AA104</f>
        <v/>
      </c>
      <c r="AB105" s="897">
        <f>AB104</f>
        <v/>
      </c>
      <c r="AC105" s="897">
        <f>AC104</f>
        <v/>
      </c>
      <c r="AD105" s="897">
        <f>AD104</f>
        <v/>
      </c>
      <c r="AE105" s="897">
        <f>AE104</f>
        <v/>
      </c>
      <c r="AF105" s="897">
        <f>AF104</f>
        <v/>
      </c>
      <c r="AG105" s="897">
        <f>SUM(AG103:AG104)</f>
        <v/>
      </c>
      <c r="AH105" s="897">
        <f>AH104</f>
        <v/>
      </c>
      <c r="AI105" s="897">
        <f>AI104</f>
        <v/>
      </c>
      <c r="AJ105" s="897">
        <f>AJ104</f>
        <v/>
      </c>
      <c r="AK105" s="897">
        <f>AK104</f>
        <v/>
      </c>
      <c r="AL105" s="897">
        <f>AL104</f>
        <v/>
      </c>
      <c r="AM105" s="898">
        <f>AM104</f>
        <v/>
      </c>
      <c r="AN105" s="897">
        <f>AN104</f>
        <v/>
      </c>
      <c r="AO105" s="897">
        <f>AO104</f>
        <v/>
      </c>
      <c r="AP105" s="897">
        <f>AP104</f>
        <v/>
      </c>
      <c r="AQ105" s="897">
        <f>SUM(AQ103:AQ104)</f>
        <v/>
      </c>
      <c r="AR105" s="897">
        <f>AR104</f>
        <v/>
      </c>
      <c r="AS105" s="897">
        <f>AS104</f>
        <v/>
      </c>
      <c r="AT105" s="897">
        <f>AT104</f>
        <v/>
      </c>
      <c r="AU105" s="897">
        <f>AU104</f>
        <v/>
      </c>
      <c r="AV105" s="897">
        <f>AV104</f>
        <v/>
      </c>
      <c r="AW105" s="899">
        <f>AW104</f>
        <v/>
      </c>
      <c r="AX105" s="897">
        <f>AX104</f>
        <v/>
      </c>
      <c r="AY105" s="899">
        <f>AY104</f>
        <v/>
      </c>
      <c r="AZ105" s="897">
        <f>AZ104</f>
        <v/>
      </c>
      <c r="BA105" s="897">
        <f>BA104</f>
        <v/>
      </c>
      <c r="BB105" s="897">
        <f>BB104</f>
        <v/>
      </c>
      <c r="BC105" s="897">
        <f>BC104</f>
        <v/>
      </c>
      <c r="BD105" s="897">
        <f>BD104</f>
        <v/>
      </c>
      <c r="BE105" s="897">
        <f>BE104</f>
        <v/>
      </c>
      <c r="BF105" s="897">
        <f>BF104</f>
        <v/>
      </c>
      <c r="BG105" s="897">
        <f>BG104</f>
        <v/>
      </c>
      <c r="BH105" s="897">
        <f>BH104</f>
        <v/>
      </c>
      <c r="BI105" s="897">
        <f>BI104</f>
        <v/>
      </c>
      <c r="BJ105" s="897">
        <f>BJ104</f>
        <v/>
      </c>
      <c r="BK105" s="899">
        <f>BK104</f>
        <v/>
      </c>
      <c r="BL105" s="897">
        <f>BL104</f>
        <v/>
      </c>
      <c r="BM105" s="897">
        <f>BM104</f>
        <v/>
      </c>
      <c r="BN105" s="897">
        <f>BN104</f>
        <v/>
      </c>
      <c r="BO105" s="897">
        <f>BO104</f>
        <v/>
      </c>
      <c r="BP105" s="897">
        <f>BP104</f>
        <v/>
      </c>
      <c r="BQ105" s="897">
        <f>BQ104</f>
        <v/>
      </c>
      <c r="BR105" s="897">
        <f>BR104</f>
        <v/>
      </c>
      <c r="BS105" s="897">
        <f>BS104</f>
        <v/>
      </c>
      <c r="BT105" s="897">
        <f>BT104</f>
        <v/>
      </c>
      <c r="BU105" s="897">
        <f>BU104</f>
        <v/>
      </c>
      <c r="BV105" s="897">
        <f>BV104</f>
        <v/>
      </c>
      <c r="BW105" s="899">
        <f>BW104</f>
        <v/>
      </c>
      <c r="BX105" s="897">
        <f>BX104</f>
        <v/>
      </c>
      <c r="BY105" s="897">
        <f>BY104</f>
        <v/>
      </c>
      <c r="BZ105" s="897">
        <f>BZ104</f>
        <v/>
      </c>
      <c r="CA105" s="897">
        <f>CA104</f>
        <v/>
      </c>
      <c r="CB105" s="897">
        <f>CB104</f>
        <v/>
      </c>
      <c r="CC105" s="897">
        <f>CC104</f>
        <v/>
      </c>
      <c r="CD105" s="897">
        <f>CD104</f>
        <v/>
      </c>
      <c r="CE105" s="897">
        <f>CE104</f>
        <v/>
      </c>
      <c r="CF105" s="897">
        <f>CF104</f>
        <v/>
      </c>
      <c r="CG105" s="897">
        <f>CG104</f>
        <v/>
      </c>
      <c r="CH105" s="897">
        <f>CH104</f>
        <v/>
      </c>
      <c r="CI105" s="899">
        <f>CI104</f>
        <v/>
      </c>
      <c r="CJ105" s="897">
        <f>CJ104</f>
        <v/>
      </c>
      <c r="CK105" s="897">
        <f>CK104</f>
        <v/>
      </c>
      <c r="CL105" s="897">
        <f>CL104</f>
        <v/>
      </c>
      <c r="CM105" s="897">
        <f>CM104</f>
        <v/>
      </c>
      <c r="CN105" s="897">
        <f>CN104</f>
        <v/>
      </c>
      <c r="CO105" s="897">
        <f>CO104</f>
        <v/>
      </c>
      <c r="CP105" s="897">
        <f>CP104</f>
        <v/>
      </c>
      <c r="CQ105" s="897">
        <f>CQ104</f>
        <v/>
      </c>
      <c r="CR105" s="897">
        <f>CR104</f>
        <v/>
      </c>
      <c r="CS105" s="897">
        <f>CS104</f>
        <v/>
      </c>
      <c r="CT105" s="897">
        <f>CT104</f>
        <v/>
      </c>
      <c r="CU105" s="899">
        <f>CU104</f>
        <v/>
      </c>
      <c r="CV105" s="897">
        <f>CV104</f>
        <v/>
      </c>
      <c r="CW105" s="897">
        <f>CW104</f>
        <v/>
      </c>
      <c r="CX105" s="897">
        <f>CX104</f>
        <v/>
      </c>
      <c r="CY105" s="897">
        <f>CY104</f>
        <v/>
      </c>
      <c r="CZ105" s="897">
        <f>CZ104</f>
        <v/>
      </c>
      <c r="DA105" s="897">
        <f>DA104</f>
        <v/>
      </c>
      <c r="DB105" s="897">
        <f>DB104</f>
        <v/>
      </c>
      <c r="DC105" s="897">
        <f>DC104</f>
        <v/>
      </c>
      <c r="DD105" s="897">
        <f>DD104</f>
        <v/>
      </c>
      <c r="DE105" s="897">
        <f>DE104</f>
        <v/>
      </c>
      <c r="DF105" s="897">
        <f>DF104</f>
        <v/>
      </c>
      <c r="DG105" s="897">
        <f>DG104</f>
        <v/>
      </c>
    </row>
    <row r="106">
      <c r="B106" s="1" t="inlineStr">
        <is>
          <t>Other Expenses</t>
        </is>
      </c>
      <c r="C106" s="1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W106" s="184" t="n"/>
      <c r="AY106" s="184" t="n"/>
      <c r="BK106" s="184" t="n"/>
      <c r="BW106" s="184" t="n"/>
      <c r="CI106" s="184" t="n"/>
      <c r="CU106" s="184" t="n"/>
    </row>
    <row r="107">
      <c r="B107" s="1" t="inlineStr">
        <is>
          <t xml:space="preserve">   73000 Home Office Deduction</t>
        </is>
      </c>
      <c r="C107" s="1" t="n"/>
      <c r="D107" s="707">
        <f>0</f>
        <v/>
      </c>
      <c r="E107" s="707">
        <f>0</f>
        <v/>
      </c>
      <c r="F107" s="707">
        <f>0</f>
        <v/>
      </c>
      <c r="G107" s="707">
        <f>0</f>
        <v/>
      </c>
      <c r="H107" s="707">
        <f>0</f>
        <v/>
      </c>
      <c r="I107" s="707">
        <f>0</f>
        <v/>
      </c>
      <c r="J107" s="707">
        <f>0</f>
        <v/>
      </c>
      <c r="K107" s="707" t="n">
        <v>0</v>
      </c>
      <c r="L107" s="707" t="n">
        <v>0</v>
      </c>
      <c r="M107" s="707" t="n">
        <v>0</v>
      </c>
      <c r="N107" s="707" t="n">
        <v>0</v>
      </c>
      <c r="O107" s="707" t="n">
        <v>0</v>
      </c>
      <c r="P107" s="707" t="n">
        <v>0</v>
      </c>
      <c r="Q107" s="707" t="n">
        <v>0</v>
      </c>
      <c r="R107" s="707" t="n">
        <v>0</v>
      </c>
      <c r="S107" s="707" t="n">
        <v>0</v>
      </c>
      <c r="T107" s="707" t="n">
        <v>0</v>
      </c>
      <c r="U107" s="707" t="n">
        <v>0</v>
      </c>
      <c r="V107" s="707" t="n">
        <v>0</v>
      </c>
      <c r="W107" s="707" t="n">
        <v>0</v>
      </c>
      <c r="X107" s="707" t="n">
        <v>0</v>
      </c>
      <c r="Y107" s="707" t="n">
        <v>0</v>
      </c>
      <c r="Z107" s="707" t="n">
        <v>0</v>
      </c>
      <c r="AA107" s="707" t="n">
        <v>0</v>
      </c>
      <c r="AB107" s="707" t="n"/>
      <c r="AC107" s="707" t="n"/>
      <c r="AD107" s="707" t="n"/>
      <c r="AE107" s="707" t="n"/>
      <c r="AF107" s="707" t="n"/>
      <c r="AG107" s="707" t="n">
        <v>715.26</v>
      </c>
      <c r="AH107" s="707" t="n">
        <v>715.26</v>
      </c>
      <c r="AI107" s="707" t="n">
        <v>639.62</v>
      </c>
      <c r="AJ107" s="707" t="n">
        <v>719.87</v>
      </c>
      <c r="AK107" s="707" t="n">
        <v>733.37</v>
      </c>
      <c r="AL107" s="707" t="n">
        <v>735.08</v>
      </c>
      <c r="AM107" s="513" t="n">
        <v>790.12</v>
      </c>
      <c r="AN107" s="707" t="n">
        <v>821.85</v>
      </c>
      <c r="AO107" s="707" t="n">
        <v>775.58</v>
      </c>
      <c r="AP107" s="707" t="n">
        <v>757.9299999999999</v>
      </c>
      <c r="AQ107" s="707" t="n">
        <v>757.9299999999999</v>
      </c>
      <c r="AR107" s="707" t="n">
        <v>692.9299999999999</v>
      </c>
      <c r="AS107" s="707" t="n">
        <v>769.03</v>
      </c>
      <c r="AT107" s="707" t="n">
        <v>775.28</v>
      </c>
      <c r="AU107" s="707" t="n">
        <v>727.35</v>
      </c>
      <c r="AV107" s="707" t="n">
        <v>727.35</v>
      </c>
      <c r="AW107" s="708" t="n">
        <v>846.79</v>
      </c>
      <c r="AX107" s="287" t="n">
        <v>800</v>
      </c>
      <c r="AY107" s="708">
        <f>AX107</f>
        <v/>
      </c>
      <c r="AZ107" s="707">
        <f>AY107</f>
        <v/>
      </c>
      <c r="BA107" s="707">
        <f>AZ107</f>
        <v/>
      </c>
      <c r="BB107" s="707">
        <f>BA107</f>
        <v/>
      </c>
      <c r="BC107" s="707">
        <f>BB107</f>
        <v/>
      </c>
      <c r="BD107" s="707">
        <f>BC107</f>
        <v/>
      </c>
      <c r="BE107" s="707">
        <f>BD107</f>
        <v/>
      </c>
      <c r="BF107" s="707">
        <f>BE107</f>
        <v/>
      </c>
      <c r="BG107" s="707">
        <f>BF107</f>
        <v/>
      </c>
      <c r="BH107" s="707">
        <f>BG107</f>
        <v/>
      </c>
      <c r="BI107" s="707">
        <f>BH107</f>
        <v/>
      </c>
      <c r="BJ107" s="707">
        <f>BI107</f>
        <v/>
      </c>
      <c r="BK107" s="708">
        <f>BJ107</f>
        <v/>
      </c>
      <c r="BL107" s="707">
        <f>BK107</f>
        <v/>
      </c>
      <c r="BM107" s="707">
        <f>BL107</f>
        <v/>
      </c>
      <c r="BN107" s="707">
        <f>BM107</f>
        <v/>
      </c>
      <c r="BO107" s="707">
        <f>BN107</f>
        <v/>
      </c>
      <c r="BP107" s="707">
        <f>BO107</f>
        <v/>
      </c>
      <c r="BQ107" s="707">
        <f>BP107</f>
        <v/>
      </c>
      <c r="BR107" s="707">
        <f>BQ107</f>
        <v/>
      </c>
      <c r="BS107" s="707">
        <f>BR107</f>
        <v/>
      </c>
      <c r="BT107" s="707">
        <f>BS107</f>
        <v/>
      </c>
      <c r="BU107" s="707">
        <f>BT107</f>
        <v/>
      </c>
      <c r="BV107" s="707">
        <f>BU107</f>
        <v/>
      </c>
      <c r="BW107" s="708">
        <f>BV107</f>
        <v/>
      </c>
      <c r="BX107" s="707">
        <f>BW107</f>
        <v/>
      </c>
      <c r="BY107" s="707">
        <f>BX107</f>
        <v/>
      </c>
      <c r="BZ107" s="707">
        <f>BY107</f>
        <v/>
      </c>
      <c r="CA107" s="707">
        <f>BZ107</f>
        <v/>
      </c>
      <c r="CB107" s="707">
        <f>CA107</f>
        <v/>
      </c>
      <c r="CC107" s="707">
        <f>CB107</f>
        <v/>
      </c>
      <c r="CD107" s="707">
        <f>CC107</f>
        <v/>
      </c>
      <c r="CE107" s="707">
        <f>CD107</f>
        <v/>
      </c>
      <c r="CF107" s="707">
        <f>CE107</f>
        <v/>
      </c>
      <c r="CG107" s="707">
        <f>CF107</f>
        <v/>
      </c>
      <c r="CH107" s="707">
        <f>CG107</f>
        <v/>
      </c>
      <c r="CI107" s="708">
        <f>CH107</f>
        <v/>
      </c>
      <c r="CJ107" s="707">
        <f>CI107</f>
        <v/>
      </c>
      <c r="CK107" s="707">
        <f>CJ107</f>
        <v/>
      </c>
      <c r="CL107" s="707">
        <f>CK107</f>
        <v/>
      </c>
      <c r="CM107" s="707">
        <f>CL107</f>
        <v/>
      </c>
      <c r="CN107" s="707">
        <f>CM107</f>
        <v/>
      </c>
      <c r="CO107" s="707">
        <f>CN107</f>
        <v/>
      </c>
      <c r="CP107" s="707">
        <f>CO107</f>
        <v/>
      </c>
      <c r="CQ107" s="707">
        <f>CP107</f>
        <v/>
      </c>
      <c r="CR107" s="707">
        <f>CQ107</f>
        <v/>
      </c>
      <c r="CS107" s="707">
        <f>CR107</f>
        <v/>
      </c>
      <c r="CT107" s="707">
        <f>CS107</f>
        <v/>
      </c>
      <c r="CU107" s="708">
        <f>CT107</f>
        <v/>
      </c>
      <c r="CV107" s="707">
        <f>CU107</f>
        <v/>
      </c>
      <c r="CW107" s="707">
        <f>CV107</f>
        <v/>
      </c>
      <c r="CX107" s="707">
        <f>CW107</f>
        <v/>
      </c>
      <c r="CY107" s="707">
        <f>CX107</f>
        <v/>
      </c>
      <c r="CZ107" s="707">
        <f>CY107</f>
        <v/>
      </c>
      <c r="DA107" s="707">
        <f>CZ107</f>
        <v/>
      </c>
      <c r="DB107" s="707">
        <f>DA107</f>
        <v/>
      </c>
      <c r="DC107" s="707">
        <f>DB107</f>
        <v/>
      </c>
      <c r="DD107" s="707">
        <f>DC107</f>
        <v/>
      </c>
      <c r="DE107" s="707">
        <f>DD107</f>
        <v/>
      </c>
      <c r="DF107" s="707">
        <f>DE107</f>
        <v/>
      </c>
      <c r="DG107" s="707">
        <f>DF107</f>
        <v/>
      </c>
    </row>
    <row r="108">
      <c r="A108" s="5" t="n"/>
      <c r="B108" s="6" t="inlineStr">
        <is>
          <t>Total Other Expenses</t>
        </is>
      </c>
      <c r="C108" s="6" t="n"/>
      <c r="D108" s="822">
        <f>D107</f>
        <v/>
      </c>
      <c r="E108" s="822">
        <f>E107</f>
        <v/>
      </c>
      <c r="F108" s="822">
        <f>F107</f>
        <v/>
      </c>
      <c r="G108" s="822">
        <f>G107</f>
        <v/>
      </c>
      <c r="H108" s="822">
        <f>H107</f>
        <v/>
      </c>
      <c r="I108" s="822">
        <f>I107</f>
        <v/>
      </c>
      <c r="J108" s="822">
        <f>J107</f>
        <v/>
      </c>
      <c r="K108" s="822" t="n">
        <v>0</v>
      </c>
      <c r="L108" s="822" t="n">
        <v>0</v>
      </c>
      <c r="M108" s="897" t="n">
        <v>0</v>
      </c>
      <c r="N108" s="897">
        <f>N107</f>
        <v/>
      </c>
      <c r="O108" s="897">
        <f>O107</f>
        <v/>
      </c>
      <c r="P108" s="897">
        <f>P107</f>
        <v/>
      </c>
      <c r="Q108" s="897">
        <f>Q107</f>
        <v/>
      </c>
      <c r="R108" s="897">
        <f>R107</f>
        <v/>
      </c>
      <c r="S108" s="897">
        <f>S107</f>
        <v/>
      </c>
      <c r="T108" s="897">
        <f>T107</f>
        <v/>
      </c>
      <c r="U108" s="897">
        <f>U107</f>
        <v/>
      </c>
      <c r="V108" s="897">
        <f>V107</f>
        <v/>
      </c>
      <c r="W108" s="897">
        <f>W107</f>
        <v/>
      </c>
      <c r="X108" s="897">
        <f>X107</f>
        <v/>
      </c>
      <c r="Y108" s="897">
        <f>Y107</f>
        <v/>
      </c>
      <c r="Z108" s="897">
        <f>Z107</f>
        <v/>
      </c>
      <c r="AA108" s="897">
        <f>AA107</f>
        <v/>
      </c>
      <c r="AB108" s="897">
        <f>AB107</f>
        <v/>
      </c>
      <c r="AC108" s="897">
        <f>AC107</f>
        <v/>
      </c>
      <c r="AD108" s="897">
        <f>AD107</f>
        <v/>
      </c>
      <c r="AE108" s="897">
        <f>AE107</f>
        <v/>
      </c>
      <c r="AF108" s="897">
        <f>AF107</f>
        <v/>
      </c>
      <c r="AG108" s="897">
        <f>AG107</f>
        <v/>
      </c>
      <c r="AH108" s="897">
        <f>AH107</f>
        <v/>
      </c>
      <c r="AI108" s="897">
        <f>AI107</f>
        <v/>
      </c>
      <c r="AJ108" s="897">
        <f>AJ107</f>
        <v/>
      </c>
      <c r="AK108" s="897">
        <f>AK107</f>
        <v/>
      </c>
      <c r="AL108" s="897">
        <f>AL107</f>
        <v/>
      </c>
      <c r="AM108" s="898">
        <f>AM107</f>
        <v/>
      </c>
      <c r="AN108" s="897">
        <f>AN107</f>
        <v/>
      </c>
      <c r="AO108" s="897">
        <f>AO107</f>
        <v/>
      </c>
      <c r="AP108" s="897">
        <f>AP107</f>
        <v/>
      </c>
      <c r="AQ108" s="897">
        <f>AQ107</f>
        <v/>
      </c>
      <c r="AR108" s="897">
        <f>AR107</f>
        <v/>
      </c>
      <c r="AS108" s="897">
        <f>AS107</f>
        <v/>
      </c>
      <c r="AT108" s="897">
        <f>AT107</f>
        <v/>
      </c>
      <c r="AU108" s="897">
        <f>AU107</f>
        <v/>
      </c>
      <c r="AV108" s="897">
        <f>AV107</f>
        <v/>
      </c>
      <c r="AW108" s="899">
        <f>AW107</f>
        <v/>
      </c>
      <c r="AX108" s="897">
        <f>AX107</f>
        <v/>
      </c>
      <c r="AY108" s="899">
        <f>AY107</f>
        <v/>
      </c>
      <c r="AZ108" s="897">
        <f>AZ107</f>
        <v/>
      </c>
      <c r="BA108" s="897">
        <f>BA107</f>
        <v/>
      </c>
      <c r="BB108" s="897">
        <f>BB107</f>
        <v/>
      </c>
      <c r="BC108" s="897">
        <f>BC107</f>
        <v/>
      </c>
      <c r="BD108" s="897">
        <f>BD107</f>
        <v/>
      </c>
      <c r="BE108" s="897">
        <f>BE107</f>
        <v/>
      </c>
      <c r="BF108" s="897">
        <f>BF107</f>
        <v/>
      </c>
      <c r="BG108" s="897">
        <f>BG107</f>
        <v/>
      </c>
      <c r="BH108" s="897">
        <f>BH107</f>
        <v/>
      </c>
      <c r="BI108" s="897">
        <f>BI107</f>
        <v/>
      </c>
      <c r="BJ108" s="897">
        <f>BJ107</f>
        <v/>
      </c>
      <c r="BK108" s="899">
        <f>BK107</f>
        <v/>
      </c>
      <c r="BL108" s="897">
        <f>BL107</f>
        <v/>
      </c>
      <c r="BM108" s="897">
        <f>BM107</f>
        <v/>
      </c>
      <c r="BN108" s="897">
        <f>BN107</f>
        <v/>
      </c>
      <c r="BO108" s="897">
        <f>BO107</f>
        <v/>
      </c>
      <c r="BP108" s="897">
        <f>BP107</f>
        <v/>
      </c>
      <c r="BQ108" s="897">
        <f>BQ107</f>
        <v/>
      </c>
      <c r="BR108" s="897">
        <f>BR107</f>
        <v/>
      </c>
      <c r="BS108" s="897">
        <f>BS107</f>
        <v/>
      </c>
      <c r="BT108" s="897">
        <f>BT107</f>
        <v/>
      </c>
      <c r="BU108" s="897">
        <f>BU107</f>
        <v/>
      </c>
      <c r="BV108" s="897">
        <f>BV107</f>
        <v/>
      </c>
      <c r="BW108" s="899">
        <f>BW107</f>
        <v/>
      </c>
      <c r="BX108" s="897">
        <f>BX107</f>
        <v/>
      </c>
      <c r="BY108" s="897">
        <f>BY107</f>
        <v/>
      </c>
      <c r="BZ108" s="897">
        <f>BZ107</f>
        <v/>
      </c>
      <c r="CA108" s="897">
        <f>CA107</f>
        <v/>
      </c>
      <c r="CB108" s="897">
        <f>CB107</f>
        <v/>
      </c>
      <c r="CC108" s="897">
        <f>CC107</f>
        <v/>
      </c>
      <c r="CD108" s="897">
        <f>CD107</f>
        <v/>
      </c>
      <c r="CE108" s="897">
        <f>CE107</f>
        <v/>
      </c>
      <c r="CF108" s="897">
        <f>CF107</f>
        <v/>
      </c>
      <c r="CG108" s="897">
        <f>CG107</f>
        <v/>
      </c>
      <c r="CH108" s="897">
        <f>CH107</f>
        <v/>
      </c>
      <c r="CI108" s="899">
        <f>CI107</f>
        <v/>
      </c>
      <c r="CJ108" s="897">
        <f>CJ107</f>
        <v/>
      </c>
      <c r="CK108" s="897">
        <f>CK107</f>
        <v/>
      </c>
      <c r="CL108" s="897">
        <f>CL107</f>
        <v/>
      </c>
      <c r="CM108" s="897">
        <f>CM107</f>
        <v/>
      </c>
      <c r="CN108" s="897">
        <f>CN107</f>
        <v/>
      </c>
      <c r="CO108" s="897">
        <f>CO107</f>
        <v/>
      </c>
      <c r="CP108" s="897">
        <f>CP107</f>
        <v/>
      </c>
      <c r="CQ108" s="897">
        <f>CQ107</f>
        <v/>
      </c>
      <c r="CR108" s="897">
        <f>CR107</f>
        <v/>
      </c>
      <c r="CS108" s="897">
        <f>CS107</f>
        <v/>
      </c>
      <c r="CT108" s="897">
        <f>CT107</f>
        <v/>
      </c>
      <c r="CU108" s="899">
        <f>CU107</f>
        <v/>
      </c>
      <c r="CV108" s="897">
        <f>CV107</f>
        <v/>
      </c>
      <c r="CW108" s="897">
        <f>CW107</f>
        <v/>
      </c>
      <c r="CX108" s="897">
        <f>CX107</f>
        <v/>
      </c>
      <c r="CY108" s="897">
        <f>CY107</f>
        <v/>
      </c>
      <c r="CZ108" s="897">
        <f>CZ107</f>
        <v/>
      </c>
      <c r="DA108" s="897">
        <f>DA107</f>
        <v/>
      </c>
      <c r="DB108" s="897">
        <f>DB107</f>
        <v/>
      </c>
      <c r="DC108" s="897">
        <f>DC107</f>
        <v/>
      </c>
      <c r="DD108" s="897">
        <f>DD107</f>
        <v/>
      </c>
      <c r="DE108" s="897">
        <f>DE107</f>
        <v/>
      </c>
      <c r="DF108" s="897">
        <f>DF107</f>
        <v/>
      </c>
      <c r="DG108" s="897">
        <f>DG107</f>
        <v/>
      </c>
    </row>
    <row r="109">
      <c r="A109" s="5" t="n"/>
      <c r="B109" s="6" t="inlineStr">
        <is>
          <t>Net Other Income</t>
        </is>
      </c>
      <c r="C109" s="6" t="n"/>
      <c r="D109" s="822">
        <f>D105</f>
        <v/>
      </c>
      <c r="E109" s="822">
        <f>E105</f>
        <v/>
      </c>
      <c r="F109" s="822">
        <f>F105</f>
        <v/>
      </c>
      <c r="G109" s="822">
        <f>G105</f>
        <v/>
      </c>
      <c r="H109" s="822">
        <f>H105</f>
        <v/>
      </c>
      <c r="I109" s="822">
        <f>I105</f>
        <v/>
      </c>
      <c r="J109" s="822">
        <f>J105</f>
        <v/>
      </c>
      <c r="K109" s="822">
        <f>K105</f>
        <v/>
      </c>
      <c r="L109" s="822">
        <f>L105</f>
        <v/>
      </c>
      <c r="M109" s="897">
        <f>M105-M108</f>
        <v/>
      </c>
      <c r="N109" s="897">
        <f>N105-N108</f>
        <v/>
      </c>
      <c r="O109" s="897">
        <f>O105-O108</f>
        <v/>
      </c>
      <c r="P109" s="897">
        <f>P105-P108</f>
        <v/>
      </c>
      <c r="Q109" s="897">
        <f>Q105-Q108</f>
        <v/>
      </c>
      <c r="R109" s="897">
        <f>R105-R108</f>
        <v/>
      </c>
      <c r="S109" s="897">
        <f>S105-S108</f>
        <v/>
      </c>
      <c r="T109" s="897">
        <f>T105-T108</f>
        <v/>
      </c>
      <c r="U109" s="897">
        <f>U105-U108</f>
        <v/>
      </c>
      <c r="V109" s="897">
        <f>V105-V108</f>
        <v/>
      </c>
      <c r="W109" s="897">
        <f>W105-W108</f>
        <v/>
      </c>
      <c r="X109" s="897">
        <f>X105-X108</f>
        <v/>
      </c>
      <c r="Y109" s="897">
        <f>Y105-Y108</f>
        <v/>
      </c>
      <c r="Z109" s="897">
        <f>Z105-Z108</f>
        <v/>
      </c>
      <c r="AA109" s="897">
        <f>AA105-AA108</f>
        <v/>
      </c>
      <c r="AB109" s="897">
        <f>AB105-AB108</f>
        <v/>
      </c>
      <c r="AC109" s="897">
        <f>AC105-AC108</f>
        <v/>
      </c>
      <c r="AD109" s="897">
        <f>AD105-AD108</f>
        <v/>
      </c>
      <c r="AE109" s="897">
        <f>AE105-AE108</f>
        <v/>
      </c>
      <c r="AF109" s="897">
        <f>AF105-AF108</f>
        <v/>
      </c>
      <c r="AG109" s="897">
        <f>AG105-AG108</f>
        <v/>
      </c>
      <c r="AH109" s="897">
        <f>AH105-AH108</f>
        <v/>
      </c>
      <c r="AI109" s="897">
        <f>AI105-AI108</f>
        <v/>
      </c>
      <c r="AJ109" s="897">
        <f>AJ105-AJ108</f>
        <v/>
      </c>
      <c r="AK109" s="897">
        <f>AK105-AK108</f>
        <v/>
      </c>
      <c r="AL109" s="897">
        <f>AL105-AL108</f>
        <v/>
      </c>
      <c r="AM109" s="898">
        <f>AM105-AM108</f>
        <v/>
      </c>
      <c r="AN109" s="897">
        <f>AN105-AN108</f>
        <v/>
      </c>
      <c r="AO109" s="897">
        <f>AO105-AO108</f>
        <v/>
      </c>
      <c r="AP109" s="897">
        <f>AP105-AP108</f>
        <v/>
      </c>
      <c r="AQ109" s="897">
        <f>AQ105-AQ108</f>
        <v/>
      </c>
      <c r="AR109" s="897">
        <f>AR105-AR108</f>
        <v/>
      </c>
      <c r="AS109" s="897">
        <f>AS105-AS108</f>
        <v/>
      </c>
      <c r="AT109" s="897">
        <f>AT105-AT108</f>
        <v/>
      </c>
      <c r="AU109" s="897">
        <f>AU105-AU108</f>
        <v/>
      </c>
      <c r="AV109" s="897">
        <f>AV105-AV108</f>
        <v/>
      </c>
      <c r="AW109" s="899">
        <f>AW105-AW108</f>
        <v/>
      </c>
      <c r="AX109" s="897">
        <f>AX105-AX108</f>
        <v/>
      </c>
      <c r="AY109" s="899">
        <f>AY105-AY108</f>
        <v/>
      </c>
      <c r="AZ109" s="897">
        <f>AZ105-AZ108</f>
        <v/>
      </c>
      <c r="BA109" s="897">
        <f>BA105-BA108</f>
        <v/>
      </c>
      <c r="BB109" s="897">
        <f>BB105-BB108</f>
        <v/>
      </c>
      <c r="BC109" s="897">
        <f>BC105-BC108</f>
        <v/>
      </c>
      <c r="BD109" s="897">
        <f>BD105-BD108</f>
        <v/>
      </c>
      <c r="BE109" s="897">
        <f>BE105-BE108</f>
        <v/>
      </c>
      <c r="BF109" s="897">
        <f>BF105-BF108</f>
        <v/>
      </c>
      <c r="BG109" s="897">
        <f>BG105-BG108</f>
        <v/>
      </c>
      <c r="BH109" s="897">
        <f>BH105-BH108</f>
        <v/>
      </c>
      <c r="BI109" s="897">
        <f>BI105-BI108</f>
        <v/>
      </c>
      <c r="BJ109" s="897">
        <f>BJ105-BJ108</f>
        <v/>
      </c>
      <c r="BK109" s="899">
        <f>BK105-BK108</f>
        <v/>
      </c>
      <c r="BL109" s="897">
        <f>BL105-BL108</f>
        <v/>
      </c>
      <c r="BM109" s="897">
        <f>BM105-BM108</f>
        <v/>
      </c>
      <c r="BN109" s="897">
        <f>BN105-BN108</f>
        <v/>
      </c>
      <c r="BO109" s="897">
        <f>BO105-BO108</f>
        <v/>
      </c>
      <c r="BP109" s="897">
        <f>BP105-BP108</f>
        <v/>
      </c>
      <c r="BQ109" s="897">
        <f>BQ105-BQ108</f>
        <v/>
      </c>
      <c r="BR109" s="897">
        <f>BR105-BR108</f>
        <v/>
      </c>
      <c r="BS109" s="897">
        <f>BS105-BS108</f>
        <v/>
      </c>
      <c r="BT109" s="897">
        <f>BT105-BT108</f>
        <v/>
      </c>
      <c r="BU109" s="897">
        <f>BU105-BU108</f>
        <v/>
      </c>
      <c r="BV109" s="897">
        <f>BV105-BV108</f>
        <v/>
      </c>
      <c r="BW109" s="899">
        <f>BW105-BW108</f>
        <v/>
      </c>
      <c r="BX109" s="897">
        <f>BX105-BX108</f>
        <v/>
      </c>
      <c r="BY109" s="897">
        <f>BY105-BY108</f>
        <v/>
      </c>
      <c r="BZ109" s="897">
        <f>BZ105-BZ108</f>
        <v/>
      </c>
      <c r="CA109" s="897">
        <f>CA105-CA108</f>
        <v/>
      </c>
      <c r="CB109" s="897">
        <f>CB105-CB108</f>
        <v/>
      </c>
      <c r="CC109" s="897">
        <f>CC105-CC108</f>
        <v/>
      </c>
      <c r="CD109" s="897">
        <f>CD105-CD108</f>
        <v/>
      </c>
      <c r="CE109" s="897">
        <f>CE105-CE108</f>
        <v/>
      </c>
      <c r="CF109" s="897">
        <f>CF105-CF108</f>
        <v/>
      </c>
      <c r="CG109" s="897">
        <f>CG105-CG108</f>
        <v/>
      </c>
      <c r="CH109" s="897">
        <f>CH105-CH108</f>
        <v/>
      </c>
      <c r="CI109" s="899">
        <f>CI105-CI108</f>
        <v/>
      </c>
      <c r="CJ109" s="897">
        <f>CJ105-CJ108</f>
        <v/>
      </c>
      <c r="CK109" s="897">
        <f>CK105-CK108</f>
        <v/>
      </c>
      <c r="CL109" s="897">
        <f>CL105-CL108</f>
        <v/>
      </c>
      <c r="CM109" s="897">
        <f>CM105-CM108</f>
        <v/>
      </c>
      <c r="CN109" s="897">
        <f>CN105-CN108</f>
        <v/>
      </c>
      <c r="CO109" s="897">
        <f>CO105-CO108</f>
        <v/>
      </c>
      <c r="CP109" s="897">
        <f>CP105-CP108</f>
        <v/>
      </c>
      <c r="CQ109" s="897">
        <f>CQ105-CQ108</f>
        <v/>
      </c>
      <c r="CR109" s="897">
        <f>CR105-CR108</f>
        <v/>
      </c>
      <c r="CS109" s="897">
        <f>CS105-CS108</f>
        <v/>
      </c>
      <c r="CT109" s="897">
        <f>CT105-CT108</f>
        <v/>
      </c>
      <c r="CU109" s="899">
        <f>CU105-CU108</f>
        <v/>
      </c>
      <c r="CV109" s="897">
        <f>CV105-CV108</f>
        <v/>
      </c>
      <c r="CW109" s="897">
        <f>CW105-CW108</f>
        <v/>
      </c>
      <c r="CX109" s="897">
        <f>CX105-CX108</f>
        <v/>
      </c>
      <c r="CY109" s="897">
        <f>CY105-CY108</f>
        <v/>
      </c>
      <c r="CZ109" s="897">
        <f>CZ105-CZ108</f>
        <v/>
      </c>
      <c r="DA109" s="897">
        <f>DA105-DA108</f>
        <v/>
      </c>
      <c r="DB109" s="897">
        <f>DB105-DB108</f>
        <v/>
      </c>
      <c r="DC109" s="897">
        <f>DC105-DC108</f>
        <v/>
      </c>
      <c r="DD109" s="897">
        <f>DD105-DD108</f>
        <v/>
      </c>
      <c r="DE109" s="897">
        <f>DE105-DE108</f>
        <v/>
      </c>
      <c r="DF109" s="897">
        <f>DF105-DF108</f>
        <v/>
      </c>
      <c r="DG109" s="897">
        <f>DG105-DG108</f>
        <v/>
      </c>
    </row>
    <row r="110" customFormat="1" s="3">
      <c r="B110" s="4" t="inlineStr">
        <is>
          <t>Net Income</t>
        </is>
      </c>
      <c r="C110" s="4" t="n"/>
      <c r="D110" s="822">
        <f>D99+D109</f>
        <v/>
      </c>
      <c r="E110" s="822">
        <f>E99+E109</f>
        <v/>
      </c>
      <c r="F110" s="822">
        <f>F99+F109</f>
        <v/>
      </c>
      <c r="G110" s="822">
        <f>G99+G109</f>
        <v/>
      </c>
      <c r="H110" s="822">
        <f>H99+H109</f>
        <v/>
      </c>
      <c r="I110" s="822">
        <f>I99+I109</f>
        <v/>
      </c>
      <c r="J110" s="822">
        <f>J99+J109</f>
        <v/>
      </c>
      <c r="K110" s="822">
        <f>K99+K109</f>
        <v/>
      </c>
      <c r="L110" s="822">
        <f>L99+L109</f>
        <v/>
      </c>
      <c r="M110" s="822">
        <f>M99+M109</f>
        <v/>
      </c>
      <c r="N110" s="822">
        <f>N99+N109</f>
        <v/>
      </c>
      <c r="O110" s="822">
        <f>O99+O109</f>
        <v/>
      </c>
      <c r="P110" s="822">
        <f>P99+P109</f>
        <v/>
      </c>
      <c r="Q110" s="822">
        <f>Q99+Q109</f>
        <v/>
      </c>
      <c r="R110" s="822">
        <f>R99+R109</f>
        <v/>
      </c>
      <c r="S110" s="822">
        <f>S99+S109</f>
        <v/>
      </c>
      <c r="T110" s="822">
        <f>T99+T109</f>
        <v/>
      </c>
      <c r="U110" s="822">
        <f>U99+U109</f>
        <v/>
      </c>
      <c r="V110" s="822">
        <f>V99+V109</f>
        <v/>
      </c>
      <c r="W110" s="822">
        <f>W99+W109</f>
        <v/>
      </c>
      <c r="X110" s="822">
        <f>X99+X109</f>
        <v/>
      </c>
      <c r="Y110" s="822">
        <f>Y99+Y109</f>
        <v/>
      </c>
      <c r="Z110" s="822">
        <f>Z99+Z109</f>
        <v/>
      </c>
      <c r="AA110" s="822">
        <f>AA99+AA109</f>
        <v/>
      </c>
      <c r="AB110" s="822">
        <f>AB99+AB109</f>
        <v/>
      </c>
      <c r="AC110" s="822">
        <f>AC99+AC109</f>
        <v/>
      </c>
      <c r="AD110" s="822">
        <f>AD99+AD109</f>
        <v/>
      </c>
      <c r="AE110" s="822">
        <f>AE99+AE109</f>
        <v/>
      </c>
      <c r="AF110" s="822">
        <f>AF99+AF109</f>
        <v/>
      </c>
      <c r="AG110" s="822">
        <f>AG99+AG109</f>
        <v/>
      </c>
      <c r="AH110" s="822">
        <f>AH99+AH109</f>
        <v/>
      </c>
      <c r="AI110" s="822">
        <f>AI99+AI109</f>
        <v/>
      </c>
      <c r="AJ110" s="822">
        <f>AJ99+AJ109</f>
        <v/>
      </c>
      <c r="AK110" s="822">
        <f>AK99+AK109</f>
        <v/>
      </c>
      <c r="AL110" s="822">
        <f>AL99+AL109</f>
        <v/>
      </c>
      <c r="AM110" s="823">
        <f>AM99+AM109</f>
        <v/>
      </c>
      <c r="AN110" s="822">
        <f>AN99+AN109</f>
        <v/>
      </c>
      <c r="AO110" s="822">
        <f>AO99+AO109</f>
        <v/>
      </c>
      <c r="AP110" s="822">
        <f>AP99+AP109</f>
        <v/>
      </c>
      <c r="AQ110" s="822">
        <f>AQ99+AQ109</f>
        <v/>
      </c>
      <c r="AR110" s="822">
        <f>AR99+AR109</f>
        <v/>
      </c>
      <c r="AS110" s="822">
        <f>AS99+AS109</f>
        <v/>
      </c>
      <c r="AT110" s="822">
        <f>AT99+AT109</f>
        <v/>
      </c>
      <c r="AU110" s="822">
        <f>AU99+AU109</f>
        <v/>
      </c>
      <c r="AV110" s="822">
        <f>AV99+AV109</f>
        <v/>
      </c>
      <c r="AW110" s="829">
        <f>AW99+AW109</f>
        <v/>
      </c>
      <c r="AX110" s="822">
        <f>AX99+AX109</f>
        <v/>
      </c>
      <c r="AY110" s="829">
        <f>AY99+AY109</f>
        <v/>
      </c>
      <c r="AZ110" s="822">
        <f>AZ99+AZ109</f>
        <v/>
      </c>
      <c r="BA110" s="822">
        <f>BA99+BA109</f>
        <v/>
      </c>
      <c r="BB110" s="822">
        <f>BB99+BB109</f>
        <v/>
      </c>
      <c r="BC110" s="822">
        <f>BC99+BC109</f>
        <v/>
      </c>
      <c r="BD110" s="822">
        <f>BD99+BD109</f>
        <v/>
      </c>
      <c r="BE110" s="822">
        <f>BE99+BE109</f>
        <v/>
      </c>
      <c r="BF110" s="822">
        <f>BF99+BF109</f>
        <v/>
      </c>
      <c r="BG110" s="822">
        <f>BG99+BG109</f>
        <v/>
      </c>
      <c r="BH110" s="822">
        <f>BH99+BH109</f>
        <v/>
      </c>
      <c r="BI110" s="822">
        <f>BI99+BI109</f>
        <v/>
      </c>
      <c r="BJ110" s="822">
        <f>BJ99+BJ109</f>
        <v/>
      </c>
      <c r="BK110" s="829">
        <f>BK99+BK109</f>
        <v/>
      </c>
      <c r="BL110" s="822">
        <f>BL99+BL109</f>
        <v/>
      </c>
      <c r="BM110" s="822">
        <f>BM99+BM109</f>
        <v/>
      </c>
      <c r="BN110" s="822">
        <f>BN99+BN109</f>
        <v/>
      </c>
      <c r="BO110" s="822">
        <f>BO99+BO109</f>
        <v/>
      </c>
      <c r="BP110" s="822">
        <f>BP99+BP109</f>
        <v/>
      </c>
      <c r="BQ110" s="822">
        <f>BQ99+BQ109</f>
        <v/>
      </c>
      <c r="BR110" s="822">
        <f>BR99+BR109</f>
        <v/>
      </c>
      <c r="BS110" s="822">
        <f>BS99+BS109</f>
        <v/>
      </c>
      <c r="BT110" s="822">
        <f>BT99+BT109</f>
        <v/>
      </c>
      <c r="BU110" s="822">
        <f>BU99+BU109</f>
        <v/>
      </c>
      <c r="BV110" s="822">
        <f>BV99+BV109</f>
        <v/>
      </c>
      <c r="BW110" s="829">
        <f>BW99+BW109</f>
        <v/>
      </c>
      <c r="BX110" s="822">
        <f>BX99+BX109</f>
        <v/>
      </c>
      <c r="BY110" s="822">
        <f>BY99+BY109</f>
        <v/>
      </c>
      <c r="BZ110" s="822">
        <f>BZ99+BZ109</f>
        <v/>
      </c>
      <c r="CA110" s="822">
        <f>CA99+CA109</f>
        <v/>
      </c>
      <c r="CB110" s="822">
        <f>CB99+CB109</f>
        <v/>
      </c>
      <c r="CC110" s="822">
        <f>CC99+CC109</f>
        <v/>
      </c>
      <c r="CD110" s="822">
        <f>CD99+CD109</f>
        <v/>
      </c>
      <c r="CE110" s="822">
        <f>CE99+CE109</f>
        <v/>
      </c>
      <c r="CF110" s="822">
        <f>CF99+CF109</f>
        <v/>
      </c>
      <c r="CG110" s="822">
        <f>CG99+CG109</f>
        <v/>
      </c>
      <c r="CH110" s="822">
        <f>CH99+CH109</f>
        <v/>
      </c>
      <c r="CI110" s="829">
        <f>CI99+CI109</f>
        <v/>
      </c>
      <c r="CJ110" s="822">
        <f>CJ99+CJ109</f>
        <v/>
      </c>
      <c r="CK110" s="822">
        <f>CK99+CK109</f>
        <v/>
      </c>
      <c r="CL110" s="822">
        <f>CL99+CL109</f>
        <v/>
      </c>
      <c r="CM110" s="822">
        <f>CM99+CM109</f>
        <v/>
      </c>
      <c r="CN110" s="822">
        <f>CN99+CN109</f>
        <v/>
      </c>
      <c r="CO110" s="822">
        <f>CO99+CO109</f>
        <v/>
      </c>
      <c r="CP110" s="822">
        <f>CP99+CP109</f>
        <v/>
      </c>
      <c r="CQ110" s="822">
        <f>CQ99+CQ109</f>
        <v/>
      </c>
      <c r="CR110" s="822">
        <f>CR99+CR109</f>
        <v/>
      </c>
      <c r="CS110" s="822">
        <f>CS99+CS109</f>
        <v/>
      </c>
      <c r="CT110" s="822">
        <f>CT99+CT109</f>
        <v/>
      </c>
      <c r="CU110" s="829">
        <f>CU99+CU109</f>
        <v/>
      </c>
      <c r="CV110" s="822">
        <f>CV99+CV109</f>
        <v/>
      </c>
      <c r="CW110" s="822">
        <f>CW99+CW109</f>
        <v/>
      </c>
      <c r="CX110" s="822">
        <f>CX99+CX109</f>
        <v/>
      </c>
      <c r="CY110" s="822">
        <f>CY99+CY109</f>
        <v/>
      </c>
      <c r="CZ110" s="822">
        <f>CZ99+CZ109</f>
        <v/>
      </c>
      <c r="DA110" s="822">
        <f>DA99+DA109</f>
        <v/>
      </c>
      <c r="DB110" s="822">
        <f>DB99+DB109</f>
        <v/>
      </c>
      <c r="DC110" s="822">
        <f>DC99+DC109</f>
        <v/>
      </c>
      <c r="DD110" s="822">
        <f>DD99+DD109</f>
        <v/>
      </c>
      <c r="DE110" s="822">
        <f>DE99+DE109</f>
        <v/>
      </c>
      <c r="DF110" s="822">
        <f>DF99+DF109</f>
        <v/>
      </c>
      <c r="DG110" s="822">
        <f>DG99+DG109</f>
        <v/>
      </c>
    </row>
    <row r="111">
      <c r="B111" s="1" t="n"/>
      <c r="C111" s="1" t="n"/>
      <c r="D111" s="831" t="n"/>
      <c r="E111" s="831" t="n"/>
      <c r="F111" s="831" t="n"/>
      <c r="G111" s="831" t="n"/>
      <c r="H111" s="831" t="n"/>
      <c r="I111" s="831" t="n"/>
      <c r="J111" s="831" t="n"/>
      <c r="K111" s="831" t="n"/>
      <c r="L111" s="831" t="n"/>
      <c r="M111" s="831" t="n"/>
      <c r="N111" s="831" t="n"/>
      <c r="O111" s="831" t="n"/>
      <c r="P111" s="831" t="n"/>
      <c r="Q111" s="831" t="n"/>
      <c r="R111" s="831" t="n"/>
      <c r="S111" s="831" t="n"/>
      <c r="T111" s="831" t="n"/>
      <c r="U111" s="831" t="n"/>
      <c r="V111" s="831" t="n"/>
      <c r="W111" s="831" t="n"/>
      <c r="X111" s="831" t="n"/>
      <c r="Y111" s="831" t="n"/>
      <c r="Z111" s="831" t="n"/>
      <c r="AA111" s="831" t="n"/>
      <c r="AB111" s="831" t="n"/>
      <c r="AC111" s="831" t="n"/>
      <c r="AD111" s="831" t="n"/>
      <c r="AE111" s="831" t="n"/>
      <c r="AF111" s="831" t="n"/>
      <c r="AG111" s="831" t="n"/>
      <c r="AH111" s="831" t="n"/>
      <c r="AI111" s="831" t="n"/>
      <c r="AJ111" s="831" t="n"/>
      <c r="AK111" s="831" t="n"/>
      <c r="AL111" s="831" t="n"/>
      <c r="AM111" s="832" t="n"/>
      <c r="AN111" s="831" t="n"/>
      <c r="AO111" s="831" t="n"/>
      <c r="AP111" s="831" t="n"/>
      <c r="AQ111" s="831" t="n"/>
      <c r="AR111" s="831" t="n"/>
      <c r="AS111" s="831" t="n"/>
      <c r="AT111" s="831" t="n"/>
      <c r="AU111" s="831" t="n"/>
      <c r="AV111" s="831" t="n"/>
      <c r="AW111" s="833" t="n"/>
      <c r="AX111" s="831" t="n"/>
      <c r="AY111" s="833" t="n"/>
      <c r="AZ111" s="831" t="n"/>
      <c r="BA111" s="831" t="n"/>
      <c r="BB111" s="831" t="n"/>
      <c r="BC111" s="831" t="n"/>
      <c r="BD111" s="831" t="n"/>
      <c r="BE111" s="831" t="n"/>
      <c r="BF111" s="831" t="n"/>
      <c r="BG111" s="831" t="n"/>
      <c r="BH111" s="831" t="n"/>
      <c r="BI111" s="831" t="n"/>
      <c r="BJ111" s="831" t="n"/>
      <c r="BK111" s="833" t="n"/>
      <c r="BL111" s="831" t="n"/>
      <c r="BM111" s="831" t="n"/>
      <c r="BN111" s="831" t="n"/>
      <c r="BO111" s="831" t="n"/>
      <c r="BP111" s="831" t="n"/>
      <c r="BQ111" s="831" t="n"/>
      <c r="BR111" s="831" t="n"/>
      <c r="BS111" s="831" t="n"/>
      <c r="BT111" s="831" t="n"/>
      <c r="BU111" s="831" t="n"/>
      <c r="BV111" s="831" t="n"/>
      <c r="BW111" s="833" t="n"/>
      <c r="BX111" s="831" t="n"/>
      <c r="BY111" s="831" t="n"/>
      <c r="BZ111" s="831" t="n"/>
      <c r="CA111" s="831" t="n"/>
      <c r="CB111" s="831" t="n"/>
      <c r="CC111" s="831" t="n"/>
      <c r="CD111" s="831" t="n"/>
      <c r="CE111" s="831" t="n"/>
      <c r="CF111" s="831" t="n"/>
      <c r="CG111" s="831" t="n"/>
      <c r="CH111" s="831" t="n"/>
      <c r="CI111" s="833" t="n"/>
      <c r="CJ111" s="831" t="n"/>
      <c r="CK111" s="831" t="n"/>
      <c r="CL111" s="831" t="n"/>
      <c r="CM111" s="831" t="n"/>
      <c r="CN111" s="831" t="n"/>
      <c r="CO111" s="831" t="n"/>
      <c r="CP111" s="831" t="n"/>
      <c r="CQ111" s="831" t="n"/>
      <c r="CR111" s="831" t="n"/>
      <c r="CS111" s="831" t="n"/>
      <c r="CT111" s="831" t="n"/>
      <c r="CU111" s="833" t="n"/>
      <c r="CV111" s="831" t="n"/>
      <c r="CW111" s="831" t="n"/>
      <c r="CX111" s="831" t="n"/>
      <c r="CY111" s="831" t="n"/>
      <c r="CZ111" s="831" t="n"/>
      <c r="DA111" s="831" t="n"/>
      <c r="DB111" s="831" t="n"/>
      <c r="DC111" s="831" t="n"/>
      <c r="DD111" s="831" t="n"/>
      <c r="DE111" s="831" t="n"/>
      <c r="DF111" s="831" t="n"/>
      <c r="DG111" s="831" t="n"/>
    </row>
    <row r="112">
      <c r="A112" s="29" t="n"/>
      <c r="B112" s="66" t="n"/>
      <c r="C112" s="66" t="n"/>
      <c r="D112" s="900" t="n"/>
      <c r="E112" s="900" t="n"/>
      <c r="F112" s="900" t="n"/>
      <c r="G112" s="900" t="n"/>
      <c r="H112" s="900" t="n"/>
      <c r="I112" s="900" t="n"/>
      <c r="J112" s="900" t="n"/>
      <c r="K112" s="900" t="n"/>
      <c r="L112" s="900" t="n"/>
      <c r="M112" s="900" t="n"/>
      <c r="N112" s="900" t="n"/>
      <c r="O112" s="900" t="n"/>
      <c r="P112" s="900" t="n"/>
      <c r="Q112" s="900" t="n"/>
      <c r="R112" s="900" t="n"/>
      <c r="S112" s="900" t="n"/>
      <c r="T112" s="900" t="n"/>
      <c r="U112" s="900" t="n"/>
      <c r="V112" s="900" t="n"/>
      <c r="W112" s="900" t="n"/>
      <c r="X112" s="900" t="n"/>
      <c r="Y112" s="900" t="n"/>
      <c r="Z112" s="900" t="n"/>
      <c r="AA112" s="900" t="n"/>
      <c r="AB112" s="900" t="n"/>
      <c r="AC112" s="900" t="n"/>
      <c r="AD112" s="900" t="n"/>
      <c r="AE112" s="900" t="n"/>
      <c r="AF112" s="900" t="n"/>
      <c r="AG112" s="900" t="n"/>
      <c r="AH112" s="900" t="n"/>
      <c r="AI112" s="900" t="n"/>
      <c r="AJ112" s="900" t="n"/>
      <c r="AK112" s="900" t="n"/>
      <c r="AL112" s="900" t="n"/>
      <c r="AM112" s="901" t="n"/>
      <c r="AN112" s="900" t="n"/>
      <c r="AO112" s="900" t="n"/>
      <c r="AP112" s="900" t="n"/>
      <c r="AQ112" s="900" t="n"/>
      <c r="AR112" s="900" t="n"/>
      <c r="AS112" s="900" t="n"/>
      <c r="AT112" s="900" t="n"/>
      <c r="AU112" s="900" t="n"/>
      <c r="AV112" s="900" t="n"/>
      <c r="AW112" s="902" t="n"/>
      <c r="AX112" s="900" t="n"/>
      <c r="AY112" s="902" t="n"/>
      <c r="AZ112" s="900" t="n"/>
      <c r="BA112" s="900" t="n"/>
      <c r="BB112" s="900" t="n"/>
      <c r="BC112" s="900" t="n"/>
      <c r="BD112" s="900" t="n"/>
      <c r="BE112" s="900" t="n"/>
      <c r="BF112" s="900" t="n"/>
      <c r="BG112" s="900" t="n"/>
      <c r="BH112" s="900" t="n"/>
      <c r="BI112" s="900" t="n"/>
      <c r="BJ112" s="900" t="n"/>
      <c r="BK112" s="902" t="n"/>
      <c r="BL112" s="900" t="n"/>
      <c r="BM112" s="900" t="n"/>
      <c r="BN112" s="900" t="n"/>
      <c r="BO112" s="900" t="n"/>
      <c r="BP112" s="900" t="n"/>
      <c r="BQ112" s="900" t="n"/>
      <c r="BR112" s="900" t="n"/>
      <c r="BS112" s="900" t="n"/>
      <c r="BT112" s="900" t="n"/>
      <c r="BU112" s="900" t="n"/>
      <c r="BV112" s="900" t="n"/>
      <c r="BW112" s="902" t="n"/>
      <c r="BX112" s="900" t="n"/>
      <c r="BY112" s="900" t="n"/>
      <c r="BZ112" s="900" t="n"/>
      <c r="CA112" s="900" t="n"/>
      <c r="CB112" s="900" t="n"/>
      <c r="CC112" s="900" t="n"/>
      <c r="CD112" s="900" t="n"/>
      <c r="CE112" s="900" t="n"/>
      <c r="CF112" s="900" t="n"/>
      <c r="CG112" s="900" t="n"/>
      <c r="CH112" s="900" t="n"/>
      <c r="CI112" s="902" t="n"/>
      <c r="CJ112" s="900" t="n"/>
      <c r="CK112" s="900" t="n"/>
      <c r="CL112" s="900" t="n"/>
      <c r="CM112" s="900" t="n"/>
      <c r="CN112" s="900" t="n"/>
      <c r="CO112" s="900" t="n"/>
      <c r="CP112" s="900" t="n"/>
      <c r="CQ112" s="900" t="n"/>
      <c r="CR112" s="900" t="n"/>
      <c r="CS112" s="900" t="n"/>
      <c r="CT112" s="900" t="n"/>
      <c r="CU112" s="902" t="n"/>
      <c r="CV112" s="900" t="n"/>
      <c r="CW112" s="900" t="n"/>
      <c r="CX112" s="900" t="n"/>
      <c r="CY112" s="900" t="n"/>
      <c r="CZ112" s="900" t="n"/>
      <c r="DA112" s="900" t="n"/>
      <c r="DB112" s="900" t="n"/>
      <c r="DC112" s="900" t="n"/>
      <c r="DD112" s="900" t="n"/>
      <c r="DE112" s="900" t="n"/>
      <c r="DF112" s="900" t="n"/>
      <c r="DG112" s="900" t="n"/>
    </row>
    <row r="113" customFormat="1" s="5">
      <c r="B113" s="1" t="n"/>
      <c r="C113" s="1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O113" s="2" t="n"/>
      <c r="P113" s="2" t="n"/>
      <c r="Q113" s="2" t="n"/>
      <c r="R113" s="2" t="n"/>
      <c r="AM113" s="97" t="n"/>
      <c r="AW113" s="184" t="n"/>
      <c r="AY113" s="184" t="n"/>
      <c r="BK113" s="184" t="n"/>
      <c r="BW113" s="184" t="n"/>
      <c r="CI113" s="184" t="n"/>
      <c r="CU113" s="184" t="n"/>
    </row>
    <row r="114" customFormat="1" s="64">
      <c r="B114" s="1" t="inlineStr">
        <is>
          <t>ASSETS</t>
        </is>
      </c>
      <c r="C114" s="1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O114" s="2" t="n"/>
      <c r="P114" s="2" t="n"/>
      <c r="Q114" s="2" t="n"/>
      <c r="R114" s="2" t="n"/>
      <c r="AM114" s="97" t="n"/>
      <c r="AW114" s="184" t="n"/>
      <c r="AY114" s="184" t="n"/>
      <c r="BK114" s="184" t="n"/>
      <c r="BW114" s="184" t="n"/>
      <c r="CI114" s="184" t="n"/>
      <c r="CU114" s="184" t="n"/>
    </row>
    <row r="115">
      <c r="B115" s="1" t="inlineStr">
        <is>
          <t xml:space="preserve">   Current Assets</t>
        </is>
      </c>
      <c r="C115" s="1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O115" s="2" t="n"/>
      <c r="P115" s="2" t="n"/>
      <c r="Q115" s="2" t="n"/>
      <c r="R115" s="2" t="n"/>
      <c r="AW115" s="184" t="n"/>
      <c r="AY115" s="184" t="n"/>
      <c r="BK115" s="184" t="n"/>
      <c r="BW115" s="184" t="n"/>
      <c r="CI115" s="184" t="n"/>
      <c r="CU115" s="184" t="n"/>
    </row>
    <row r="116">
      <c r="B116" s="1" t="inlineStr">
        <is>
          <t xml:space="preserve">      Bank Accounts</t>
        </is>
      </c>
      <c r="C116" s="1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O116" s="2" t="n"/>
      <c r="P116" s="2" t="n"/>
      <c r="Q116" s="2" t="n"/>
      <c r="R116" s="2" t="n"/>
      <c r="AW116" s="184" t="n"/>
      <c r="AY116" s="184" t="n"/>
      <c r="BK116" s="184" t="n"/>
      <c r="BW116" s="184" t="n"/>
      <c r="CI116" s="184" t="n"/>
      <c r="CU116" s="184" t="n"/>
    </row>
    <row r="117" customFormat="1" s="3">
      <c r="B117" s="1" t="inlineStr">
        <is>
          <t xml:space="preserve">         10100 Operating - 5974</t>
        </is>
      </c>
      <c r="C117" s="1" t="n"/>
      <c r="D117" s="707">
        <f>0</f>
        <v/>
      </c>
      <c r="E117" s="707">
        <f>0</f>
        <v/>
      </c>
      <c r="F117" s="707">
        <f>0</f>
        <v/>
      </c>
      <c r="G117" s="707">
        <f>0</f>
        <v/>
      </c>
      <c r="H117" s="707">
        <f>0</f>
        <v/>
      </c>
      <c r="I117" s="707">
        <f>0</f>
        <v/>
      </c>
      <c r="J117" s="707" t="n">
        <v>0</v>
      </c>
      <c r="K117" s="707" t="n">
        <v>250</v>
      </c>
      <c r="L117" s="707" t="n">
        <v>473</v>
      </c>
      <c r="M117" s="707" t="n">
        <v>2717.22</v>
      </c>
      <c r="N117" t="n">
        <v>857.37</v>
      </c>
      <c r="O117" t="n">
        <v>-60.91</v>
      </c>
      <c r="P117" s="707" t="n">
        <v>114.95</v>
      </c>
      <c r="Q117" s="707" t="n">
        <v>182.94</v>
      </c>
      <c r="R117" s="707" t="n">
        <v>51.39</v>
      </c>
      <c r="S117" s="707" t="n">
        <v>320.41</v>
      </c>
      <c r="T117" s="707" t="n">
        <v>175.2</v>
      </c>
      <c r="U117" s="707" t="n">
        <v>328.56</v>
      </c>
      <c r="V117" s="707" t="n">
        <v>261.7</v>
      </c>
      <c r="W117" s="707" t="n">
        <v>148.44</v>
      </c>
      <c r="X117" s="707" t="n">
        <v>286.17</v>
      </c>
      <c r="Y117" s="707" t="n">
        <v>648.29</v>
      </c>
      <c r="Z117" s="707" t="n">
        <v>622.49</v>
      </c>
      <c r="AA117" s="707" t="n">
        <v>192.02</v>
      </c>
      <c r="AB117" s="707" t="n">
        <v>286.78</v>
      </c>
      <c r="AC117" s="707" t="n">
        <v>546.3200000000001</v>
      </c>
      <c r="AD117" s="707" t="n">
        <v>222.79</v>
      </c>
      <c r="AE117" s="707" t="n">
        <v>1387.99</v>
      </c>
      <c r="AF117" s="707" t="n">
        <v>1058.09</v>
      </c>
      <c r="AG117" s="707" t="n">
        <v>871.9</v>
      </c>
      <c r="AH117" s="707" t="n">
        <v>1738.98</v>
      </c>
      <c r="AI117" s="707" t="n">
        <v>272.18</v>
      </c>
      <c r="AJ117" s="707" t="n">
        <v>1816.83</v>
      </c>
      <c r="AK117" s="707" t="n">
        <v>1507.93</v>
      </c>
      <c r="AL117" s="707" t="n">
        <v>456.99</v>
      </c>
      <c r="AM117" s="513" t="n">
        <v>287.75</v>
      </c>
      <c r="AN117" s="707" t="n">
        <v>3818.59</v>
      </c>
      <c r="AO117" s="707" t="n">
        <v>489.25</v>
      </c>
      <c r="AP117" s="707" t="n">
        <v>980.1900000000001</v>
      </c>
      <c r="AQ117" s="707" t="n">
        <v>1325.53</v>
      </c>
      <c r="AR117" s="707" t="n">
        <v>352.03</v>
      </c>
      <c r="AS117" s="707" t="n">
        <v>1054.45</v>
      </c>
      <c r="AT117" s="707" t="n">
        <v>2153.78</v>
      </c>
      <c r="AU117" s="707" t="n">
        <v>1994.42</v>
      </c>
      <c r="AV117" s="707">
        <f>2127.22</f>
        <v/>
      </c>
      <c r="AW117" s="708">
        <f>4252.4</f>
        <v/>
      </c>
      <c r="AY117" s="184" t="n"/>
      <c r="BK117" s="184" t="n"/>
      <c r="BW117" s="184" t="n"/>
      <c r="CI117" s="184" t="n"/>
      <c r="CU117" s="184" t="n"/>
    </row>
    <row r="118">
      <c r="B118" s="1" t="inlineStr">
        <is>
          <t xml:space="preserve">         10200 MM - 6659</t>
        </is>
      </c>
      <c r="C118" s="1" t="n"/>
      <c r="D118" s="707">
        <f>0</f>
        <v/>
      </c>
      <c r="E118" s="707">
        <f>0</f>
        <v/>
      </c>
      <c r="F118" s="707">
        <f>0</f>
        <v/>
      </c>
      <c r="G118" s="707">
        <f>0</f>
        <v/>
      </c>
      <c r="H118" s="707">
        <f>0</f>
        <v/>
      </c>
      <c r="I118" s="707">
        <f>0</f>
        <v/>
      </c>
      <c r="J118" s="707" t="n">
        <v>0</v>
      </c>
      <c r="K118" s="707" t="n">
        <v>0</v>
      </c>
      <c r="L118" s="707" t="n">
        <v>0</v>
      </c>
      <c r="M118" s="707" t="n">
        <v>50</v>
      </c>
      <c r="N118" t="n">
        <v>0</v>
      </c>
      <c r="O118" t="n">
        <v>0</v>
      </c>
      <c r="P118" s="707" t="n">
        <v>50</v>
      </c>
      <c r="Q118" s="707" t="n">
        <v>25</v>
      </c>
      <c r="R118" s="707" t="n">
        <v>21</v>
      </c>
      <c r="S118" s="707" t="n">
        <v>70</v>
      </c>
      <c r="T118" s="707" t="n">
        <v>70</v>
      </c>
      <c r="U118" s="707" t="n">
        <v>50</v>
      </c>
      <c r="V118" s="707" t="n">
        <v>100</v>
      </c>
      <c r="W118" s="707" t="n">
        <v>350</v>
      </c>
      <c r="X118" s="707" t="n">
        <v>450</v>
      </c>
      <c r="Y118" s="707" t="n">
        <v>0</v>
      </c>
      <c r="Z118" s="707" t="n">
        <v>100</v>
      </c>
      <c r="AA118" s="707" t="n">
        <v>800</v>
      </c>
      <c r="AB118" s="707" t="n">
        <v>1000</v>
      </c>
      <c r="AC118" s="707" t="n">
        <v>0</v>
      </c>
      <c r="AD118" s="707" t="n">
        <v>0</v>
      </c>
      <c r="AE118" s="707" t="n">
        <v>0</v>
      </c>
      <c r="AF118" s="707" t="n">
        <v>300</v>
      </c>
      <c r="AG118" s="707" t="n">
        <v>823.8</v>
      </c>
      <c r="AH118" s="707" t="n">
        <v>1500</v>
      </c>
      <c r="AI118" s="707" t="n">
        <v>3000.42</v>
      </c>
      <c r="AJ118" s="707" t="n">
        <v>2500.69</v>
      </c>
      <c r="AK118" s="707" t="n">
        <v>4001.74</v>
      </c>
      <c r="AL118" s="707" t="n">
        <v>3252.41</v>
      </c>
      <c r="AM118" s="513" t="n">
        <v>0.08</v>
      </c>
      <c r="AN118" s="707" t="n">
        <v>0</v>
      </c>
      <c r="AO118" s="707" t="n">
        <v>0</v>
      </c>
      <c r="AP118" s="707" t="n">
        <v>0</v>
      </c>
      <c r="AQ118" s="707" t="n">
        <v>0</v>
      </c>
      <c r="AR118" s="707" t="n">
        <v>200</v>
      </c>
      <c r="AS118" s="707" t="n">
        <v>0</v>
      </c>
      <c r="AT118" s="707" t="n">
        <v>1000</v>
      </c>
      <c r="AU118" s="707" t="n">
        <v>2000</v>
      </c>
      <c r="AV118" s="707">
        <f>4000.93</f>
        <v/>
      </c>
      <c r="AW118" s="708">
        <f>6005.42</f>
        <v/>
      </c>
      <c r="AY118" s="184" t="n"/>
      <c r="BK118" s="184" t="n"/>
      <c r="BW118" s="184" t="n"/>
      <c r="CI118" s="184" t="n"/>
      <c r="CU118" s="184" t="n"/>
    </row>
    <row r="119">
      <c r="B119" s="1" t="inlineStr">
        <is>
          <t xml:space="preserve">         10300 Savings - 6634</t>
        </is>
      </c>
      <c r="C119" s="1" t="n"/>
      <c r="D119" s="707">
        <f>0</f>
        <v/>
      </c>
      <c r="E119" s="707">
        <f>0</f>
        <v/>
      </c>
      <c r="F119" s="707">
        <f>0</f>
        <v/>
      </c>
      <c r="G119" s="707">
        <f>0</f>
        <v/>
      </c>
      <c r="H119" s="707">
        <f>0</f>
        <v/>
      </c>
      <c r="I119" s="707">
        <f>0</f>
        <v/>
      </c>
      <c r="J119" s="707" t="n">
        <v>0</v>
      </c>
      <c r="K119" s="707" t="n">
        <v>5</v>
      </c>
      <c r="L119" s="707" t="n">
        <v>5</v>
      </c>
      <c r="M119" s="707" t="n">
        <v>105.01</v>
      </c>
      <c r="N119" t="n">
        <v>5.03</v>
      </c>
      <c r="O119" t="n">
        <v>5.01</v>
      </c>
      <c r="P119" s="707" t="n">
        <v>5.01</v>
      </c>
      <c r="Q119" s="707" t="n">
        <v>5.01</v>
      </c>
      <c r="R119" s="707" t="n">
        <v>55</v>
      </c>
      <c r="S119" s="707" t="n">
        <v>5.01</v>
      </c>
      <c r="T119" s="707" t="n">
        <v>55.01</v>
      </c>
      <c r="U119" s="707" t="n">
        <v>55.01</v>
      </c>
      <c r="V119" s="707" t="n">
        <v>205.03</v>
      </c>
      <c r="W119" s="707" t="n">
        <v>5.01</v>
      </c>
      <c r="X119" s="707" t="n">
        <v>5.01</v>
      </c>
      <c r="Y119" s="707" t="n">
        <v>5.01</v>
      </c>
      <c r="Z119" s="707" t="n">
        <v>5</v>
      </c>
      <c r="AA119" s="707" t="n">
        <v>5</v>
      </c>
      <c r="AB119" s="707" t="n">
        <v>5</v>
      </c>
      <c r="AC119" s="707" t="n">
        <v>5</v>
      </c>
      <c r="AD119" s="707" t="n">
        <v>5</v>
      </c>
      <c r="AE119" s="707" t="n">
        <v>5</v>
      </c>
      <c r="AF119" s="707" t="n">
        <v>5</v>
      </c>
      <c r="AG119" s="707" t="n">
        <v>5</v>
      </c>
      <c r="AH119" s="707" t="n">
        <v>5</v>
      </c>
      <c r="AI119" s="707" t="n">
        <v>5</v>
      </c>
      <c r="AJ119" s="707" t="n">
        <v>5</v>
      </c>
      <c r="AK119" s="707" t="n">
        <v>5</v>
      </c>
      <c r="AL119" s="707" t="n">
        <v>5</v>
      </c>
      <c r="AM119" s="513" t="n">
        <v>5</v>
      </c>
      <c r="AN119" s="707" t="n">
        <v>5</v>
      </c>
      <c r="AO119" s="707" t="n">
        <v>5</v>
      </c>
      <c r="AP119" s="707" t="n">
        <v>5</v>
      </c>
      <c r="AQ119" s="707" t="n">
        <v>6</v>
      </c>
      <c r="AR119" s="707" t="n">
        <v>5.05</v>
      </c>
      <c r="AS119" s="707" t="n">
        <v>5.05</v>
      </c>
      <c r="AT119" s="707" t="n">
        <v>5.05</v>
      </c>
      <c r="AU119" s="707" t="n">
        <v>5.05</v>
      </c>
      <c r="AV119" s="707">
        <f>AU119</f>
        <v/>
      </c>
      <c r="AW119" s="708">
        <f>AV119</f>
        <v/>
      </c>
      <c r="AY119" s="184" t="n"/>
      <c r="BK119" s="184" t="n"/>
      <c r="BW119" s="184" t="n"/>
      <c r="CI119" s="184" t="n"/>
      <c r="CU119" s="184" t="n"/>
    </row>
    <row r="120">
      <c r="B120" s="1" t="inlineStr">
        <is>
          <t xml:space="preserve">         10400 Cash In Transit</t>
        </is>
      </c>
      <c r="C120" s="1" t="n"/>
      <c r="D120" s="707">
        <f>0</f>
        <v/>
      </c>
      <c r="E120" s="707">
        <f>0</f>
        <v/>
      </c>
      <c r="F120" s="707">
        <f>0</f>
        <v/>
      </c>
      <c r="G120" s="707">
        <f>0</f>
        <v/>
      </c>
      <c r="H120" s="707">
        <f>0</f>
        <v/>
      </c>
      <c r="I120" s="707">
        <f>0</f>
        <v/>
      </c>
      <c r="J120" s="707" t="n">
        <v>0</v>
      </c>
      <c r="K120" s="707" t="n">
        <v>0</v>
      </c>
      <c r="L120" s="707" t="n">
        <v>0</v>
      </c>
      <c r="M120" s="707" t="n">
        <v>-1851.87</v>
      </c>
      <c r="N120" t="n">
        <v>0</v>
      </c>
      <c r="O120" t="n">
        <v>0</v>
      </c>
      <c r="P120" s="707" t="n">
        <v>0</v>
      </c>
      <c r="Q120" s="707" t="n">
        <v>0</v>
      </c>
      <c r="R120" s="707" t="n">
        <v>0</v>
      </c>
      <c r="S120" s="707" t="n">
        <v>0</v>
      </c>
      <c r="T120" s="707" t="n">
        <v>0</v>
      </c>
      <c r="U120" s="707" t="n">
        <v>0</v>
      </c>
      <c r="V120" s="707" t="n">
        <v>0</v>
      </c>
      <c r="W120" s="707" t="n">
        <v>0</v>
      </c>
      <c r="X120" s="707" t="n">
        <v>0</v>
      </c>
      <c r="Y120" s="707" t="n">
        <v>0</v>
      </c>
      <c r="Z120" s="707" t="n">
        <v>0</v>
      </c>
      <c r="AA120" s="707" t="n">
        <v>0</v>
      </c>
      <c r="AB120" s="707" t="n">
        <v>0</v>
      </c>
      <c r="AC120" s="707" t="n">
        <v>0</v>
      </c>
      <c r="AD120" s="707" t="n">
        <v>0</v>
      </c>
      <c r="AE120" s="707" t="n">
        <v>0</v>
      </c>
      <c r="AF120" s="707" t="n">
        <v>0</v>
      </c>
      <c r="AG120" s="707" t="n">
        <v>0</v>
      </c>
      <c r="AH120" s="707" t="n">
        <v>0</v>
      </c>
      <c r="AI120" s="707" t="n">
        <v>0</v>
      </c>
      <c r="AJ120" s="707" t="n">
        <v>0</v>
      </c>
      <c r="AK120" s="707" t="n">
        <v>0</v>
      </c>
      <c r="AL120" s="707" t="n">
        <v>0</v>
      </c>
      <c r="AM120" s="513" t="n">
        <v>0</v>
      </c>
      <c r="AN120" s="707" t="n">
        <v>0</v>
      </c>
      <c r="AO120" s="707" t="n">
        <v>0</v>
      </c>
      <c r="AP120" s="707" t="n">
        <v>0</v>
      </c>
      <c r="AQ120" s="707" t="n">
        <v>0</v>
      </c>
      <c r="AR120" s="707" t="n">
        <v>0</v>
      </c>
      <c r="AS120" s="707" t="n">
        <v>0</v>
      </c>
      <c r="AT120" s="707" t="n">
        <v>0</v>
      </c>
      <c r="AU120" s="707" t="n">
        <v>0</v>
      </c>
      <c r="AV120" s="707" t="n">
        <v>0</v>
      </c>
      <c r="AW120" s="708" t="n">
        <v>0</v>
      </c>
      <c r="AY120" s="184" t="n"/>
      <c r="BK120" s="184" t="n"/>
      <c r="BW120" s="184" t="n"/>
      <c r="CI120" s="184" t="n"/>
      <c r="CU120" s="184" t="n"/>
    </row>
    <row r="121">
      <c r="B121" s="1" t="inlineStr">
        <is>
          <t xml:space="preserve">         10500 Scholarship Fund</t>
        </is>
      </c>
      <c r="C121" s="1" t="n"/>
      <c r="D121" s="707" t="n"/>
      <c r="E121" s="707" t="n"/>
      <c r="F121" s="707" t="n"/>
      <c r="G121" s="707" t="n"/>
      <c r="H121" s="707" t="n"/>
      <c r="I121" s="707" t="n"/>
      <c r="J121" s="707" t="n"/>
      <c r="K121" s="707" t="n"/>
      <c r="L121" s="707" t="n"/>
      <c r="M121" s="707" t="n"/>
      <c r="P121" s="707" t="n"/>
      <c r="Q121" s="707" t="n">
        <v>0</v>
      </c>
      <c r="R121" s="707" t="n">
        <v>0</v>
      </c>
      <c r="S121" s="707" t="n">
        <v>0</v>
      </c>
      <c r="T121" s="707" t="n">
        <v>0</v>
      </c>
      <c r="U121" s="707" t="n">
        <v>0</v>
      </c>
      <c r="V121" s="707" t="n">
        <v>0</v>
      </c>
      <c r="W121" s="707" t="n">
        <v>0</v>
      </c>
      <c r="X121" s="707" t="n">
        <v>0</v>
      </c>
      <c r="Y121" s="707" t="n">
        <v>0</v>
      </c>
      <c r="Z121" s="707" t="n">
        <v>0</v>
      </c>
      <c r="AA121" s="707" t="n">
        <v>0</v>
      </c>
      <c r="AB121" s="707" t="n"/>
      <c r="AC121" s="707" t="n">
        <v>0</v>
      </c>
      <c r="AD121" s="707" t="n">
        <v>-50</v>
      </c>
      <c r="AE121" s="707" t="n">
        <v>-50</v>
      </c>
      <c r="AF121" s="707" t="n">
        <v>-85</v>
      </c>
      <c r="AG121" s="707" t="n">
        <v>-85</v>
      </c>
      <c r="AH121" s="707" t="n">
        <v>-85</v>
      </c>
      <c r="AI121" s="707" t="n">
        <v>-85</v>
      </c>
      <c r="AJ121" s="707" t="n">
        <v>-85</v>
      </c>
      <c r="AK121" s="707" t="n">
        <v>-85</v>
      </c>
      <c r="AL121" s="707" t="n">
        <v>0</v>
      </c>
      <c r="AM121" s="513" t="n">
        <v>0</v>
      </c>
      <c r="AN121" s="707" t="n">
        <v>0</v>
      </c>
      <c r="AO121" s="707" t="n">
        <v>0</v>
      </c>
      <c r="AP121" s="707" t="n">
        <v>0</v>
      </c>
      <c r="AQ121" s="707" t="n">
        <v>0</v>
      </c>
      <c r="AR121" s="707" t="n">
        <v>0</v>
      </c>
      <c r="AS121" s="707" t="n">
        <v>0</v>
      </c>
      <c r="AT121" s="707" t="n">
        <v>0</v>
      </c>
      <c r="AU121" s="707" t="n">
        <v>0</v>
      </c>
      <c r="AV121" s="707" t="n">
        <v>0</v>
      </c>
      <c r="AW121" s="708" t="n">
        <v>0</v>
      </c>
      <c r="AY121" s="184" t="n"/>
      <c r="BK121" s="184" t="n"/>
      <c r="BW121" s="184" t="n"/>
      <c r="CI121" s="184" t="n"/>
      <c r="CU121" s="184" t="n"/>
    </row>
    <row r="122">
      <c r="A122" s="3" t="n"/>
      <c r="B122" s="4" t="inlineStr">
        <is>
          <t xml:space="preserve">      Total Bank Accounts</t>
        </is>
      </c>
      <c r="C122" s="4" t="n"/>
      <c r="D122" s="822">
        <f>(((D117)+(D118))+(D119))+(D120)</f>
        <v/>
      </c>
      <c r="E122" s="822">
        <f>(((E117)+(E118))+(E119))+(E120)</f>
        <v/>
      </c>
      <c r="F122" s="822">
        <f>(((F117)+(F118))+(F119))+(F120)</f>
        <v/>
      </c>
      <c r="G122" s="822">
        <f>(((G117)+(G118))+(G119))+(G120)</f>
        <v/>
      </c>
      <c r="H122" s="822">
        <f>(((H117)+(H118))+(H119))+(H120)</f>
        <v/>
      </c>
      <c r="I122" s="822">
        <f>(((I117)+(I118))+(I119))+(I120)</f>
        <v/>
      </c>
      <c r="J122" s="822">
        <f>SUM(J117:J120)</f>
        <v/>
      </c>
      <c r="K122" s="822">
        <f>SUM(K117:K120)</f>
        <v/>
      </c>
      <c r="L122" s="822">
        <f>SUM(L117:L120)</f>
        <v/>
      </c>
      <c r="M122" s="822">
        <f>SUM(M117:M120)</f>
        <v/>
      </c>
      <c r="N122" s="822">
        <f>SUM(N117:N120)</f>
        <v/>
      </c>
      <c r="O122" s="822">
        <f>SUM(O117:O120)</f>
        <v/>
      </c>
      <c r="P122" s="822">
        <f>SUM(P117:P120)</f>
        <v/>
      </c>
      <c r="Q122" s="822">
        <f>SUM(Q117:Q120)</f>
        <v/>
      </c>
      <c r="R122" s="822">
        <f>SUM(R117:R120)</f>
        <v/>
      </c>
      <c r="S122" s="822">
        <f>SUM(S117:S120)</f>
        <v/>
      </c>
      <c r="T122" s="822">
        <f>SUM(T117:T120)</f>
        <v/>
      </c>
      <c r="U122" s="822">
        <f>SUM(U117:U120)</f>
        <v/>
      </c>
      <c r="V122" s="822">
        <f>SUM(V117:V120)</f>
        <v/>
      </c>
      <c r="W122" s="822">
        <f>SUM(W117:W120)</f>
        <v/>
      </c>
      <c r="X122" s="822">
        <f>SUM(X117:X120)</f>
        <v/>
      </c>
      <c r="Y122" s="822">
        <f>SUM(Y117:Y121)</f>
        <v/>
      </c>
      <c r="Z122" s="822">
        <f>SUM(Z117:Z121)</f>
        <v/>
      </c>
      <c r="AA122" s="822">
        <f>SUM(AA117:AA121)</f>
        <v/>
      </c>
      <c r="AB122" s="822">
        <f>SUM(AB117:AB121)</f>
        <v/>
      </c>
      <c r="AC122" s="822">
        <f>SUM(AC117:AC121)</f>
        <v/>
      </c>
      <c r="AD122" s="822">
        <f>SUM(AD117:AD121)</f>
        <v/>
      </c>
      <c r="AE122" s="822">
        <f>SUM(AE117:AE121)</f>
        <v/>
      </c>
      <c r="AF122" s="822">
        <f>SUM(AF117:AF121)</f>
        <v/>
      </c>
      <c r="AG122" s="822">
        <f>SUM(AG117:AG121)</f>
        <v/>
      </c>
      <c r="AH122" s="822">
        <f>SUM(AH117:AH121)</f>
        <v/>
      </c>
      <c r="AI122" s="822">
        <f>SUM(AI117:AI121)</f>
        <v/>
      </c>
      <c r="AJ122" s="822">
        <f>SUM(AJ117:AJ121)</f>
        <v/>
      </c>
      <c r="AK122" s="822">
        <f>SUM(AK117:AK121)</f>
        <v/>
      </c>
      <c r="AL122" s="822">
        <f>SUM(AL117:AL121)</f>
        <v/>
      </c>
      <c r="AM122" s="823">
        <f>SUM(AM117:AM121)</f>
        <v/>
      </c>
      <c r="AN122" s="822">
        <f>SUM(AN117:AN121)</f>
        <v/>
      </c>
      <c r="AO122" s="822">
        <f>SUM(AO117:AO121)</f>
        <v/>
      </c>
      <c r="AP122" s="822">
        <f>SUM(AP117:AP121)</f>
        <v/>
      </c>
      <c r="AQ122" s="822">
        <f>SUM(AQ117:AQ121)</f>
        <v/>
      </c>
      <c r="AR122" s="822">
        <f>SUM(AR117:AR121)</f>
        <v/>
      </c>
      <c r="AS122" s="822">
        <f>SUM(AS117:AS121)</f>
        <v/>
      </c>
      <c r="AT122" s="822">
        <f>SUM(AT117:AT121)</f>
        <v/>
      </c>
      <c r="AU122" s="822">
        <f>SUM(AU117:AU121)</f>
        <v/>
      </c>
      <c r="AV122" s="822">
        <f>SUM(AV117:AV121)</f>
        <v/>
      </c>
      <c r="AW122" s="829">
        <f>SUM(AW117:AW121)</f>
        <v/>
      </c>
      <c r="AX122" s="822">
        <f>AW122+AX171</f>
        <v/>
      </c>
      <c r="AY122" s="829">
        <f>AX122+AY171</f>
        <v/>
      </c>
      <c r="AZ122" s="822">
        <f>AY122+AZ171</f>
        <v/>
      </c>
      <c r="BA122" s="822">
        <f>AZ122+BA171</f>
        <v/>
      </c>
      <c r="BB122" s="822">
        <f>BA122+BB171</f>
        <v/>
      </c>
      <c r="BC122" s="822">
        <f>BB122+BC171</f>
        <v/>
      </c>
      <c r="BD122" s="822">
        <f>BC122+BD171</f>
        <v/>
      </c>
      <c r="BE122" s="822">
        <f>BD122+BE171</f>
        <v/>
      </c>
      <c r="BF122" s="822">
        <f>BE122+BF171</f>
        <v/>
      </c>
      <c r="BG122" s="822">
        <f>BF122+BG171</f>
        <v/>
      </c>
      <c r="BH122" s="822">
        <f>BG122+BH171</f>
        <v/>
      </c>
      <c r="BI122" s="822">
        <f>BH122+BI171</f>
        <v/>
      </c>
      <c r="BJ122" s="822">
        <f>BI122+BJ171</f>
        <v/>
      </c>
      <c r="BK122" s="829">
        <f>BJ122+BK171</f>
        <v/>
      </c>
      <c r="BL122" s="822">
        <f>BK122+BL171</f>
        <v/>
      </c>
      <c r="BM122" s="822">
        <f>BL122+BM171</f>
        <v/>
      </c>
      <c r="BN122" s="822">
        <f>BM122+BN171</f>
        <v/>
      </c>
      <c r="BO122" s="822">
        <f>BN122+BO171</f>
        <v/>
      </c>
      <c r="BP122" s="822">
        <f>BO122+BP171</f>
        <v/>
      </c>
      <c r="BQ122" s="822">
        <f>BP122+BQ171</f>
        <v/>
      </c>
      <c r="BR122" s="822">
        <f>BQ122+BR171</f>
        <v/>
      </c>
      <c r="BS122" s="822">
        <f>BR122+BS171</f>
        <v/>
      </c>
      <c r="BT122" s="822">
        <f>BS122+BT171</f>
        <v/>
      </c>
      <c r="BU122" s="822">
        <f>BT122+BU171</f>
        <v/>
      </c>
      <c r="BV122" s="822">
        <f>BU122+BV171</f>
        <v/>
      </c>
      <c r="BW122" s="829">
        <f>BV122+BW171</f>
        <v/>
      </c>
      <c r="BX122" s="822">
        <f>BW122+BX171</f>
        <v/>
      </c>
      <c r="BY122" s="822">
        <f>BX122+BY171</f>
        <v/>
      </c>
      <c r="BZ122" s="822">
        <f>BY122+BZ171</f>
        <v/>
      </c>
      <c r="CA122" s="822">
        <f>BZ122+CA171</f>
        <v/>
      </c>
      <c r="CB122" s="822">
        <f>CA122+CB171</f>
        <v/>
      </c>
      <c r="CC122" s="822">
        <f>CB122+CC171</f>
        <v/>
      </c>
      <c r="CD122" s="822">
        <f>CC122+CD171</f>
        <v/>
      </c>
      <c r="CE122" s="822">
        <f>CD122+CE171</f>
        <v/>
      </c>
      <c r="CF122" s="822">
        <f>CE122+CF171</f>
        <v/>
      </c>
      <c r="CG122" s="822">
        <f>CF122+CG171</f>
        <v/>
      </c>
      <c r="CH122" s="822">
        <f>CG122+CH171</f>
        <v/>
      </c>
      <c r="CI122" s="829">
        <f>CH122+CI171</f>
        <v/>
      </c>
      <c r="CJ122" s="822">
        <f>CI122+CJ171</f>
        <v/>
      </c>
      <c r="CK122" s="822">
        <f>CJ122+CK171</f>
        <v/>
      </c>
      <c r="CL122" s="822">
        <f>CK122+CL171</f>
        <v/>
      </c>
      <c r="CM122" s="822">
        <f>CL122+CM171</f>
        <v/>
      </c>
      <c r="CN122" s="822">
        <f>CM122+CN171</f>
        <v/>
      </c>
      <c r="CO122" s="822">
        <f>CN122+CO171</f>
        <v/>
      </c>
      <c r="CP122" s="822">
        <f>CO122+CP171</f>
        <v/>
      </c>
      <c r="CQ122" s="822">
        <f>CP122+CQ171</f>
        <v/>
      </c>
      <c r="CR122" s="822">
        <f>CQ122+CR171</f>
        <v/>
      </c>
      <c r="CS122" s="822">
        <f>CR122+CS171</f>
        <v/>
      </c>
      <c r="CT122" s="822">
        <f>CS122+CT171</f>
        <v/>
      </c>
      <c r="CU122" s="829">
        <f>CT122+CU171</f>
        <v/>
      </c>
      <c r="CV122" s="822">
        <f>CU122+CV171</f>
        <v/>
      </c>
      <c r="CW122" s="822">
        <f>CV122+CW171</f>
        <v/>
      </c>
      <c r="CX122" s="822">
        <f>CW122+CX171</f>
        <v/>
      </c>
      <c r="CY122" s="822">
        <f>CX122+CY171</f>
        <v/>
      </c>
      <c r="CZ122" s="822">
        <f>CY122+CZ171</f>
        <v/>
      </c>
      <c r="DA122" s="822">
        <f>CZ122+DA171</f>
        <v/>
      </c>
      <c r="DB122" s="822">
        <f>DA122+DB171</f>
        <v/>
      </c>
      <c r="DC122" s="822">
        <f>DB122+DC171</f>
        <v/>
      </c>
      <c r="DD122" s="822">
        <f>DC122+DD171</f>
        <v/>
      </c>
      <c r="DE122" s="822">
        <f>DD122+DE171</f>
        <v/>
      </c>
      <c r="DF122" s="822">
        <f>DE122+DF171</f>
        <v/>
      </c>
      <c r="DG122" s="822">
        <f>DF122+DG171</f>
        <v/>
      </c>
    </row>
    <row r="123">
      <c r="B123" s="1" t="inlineStr">
        <is>
          <t xml:space="preserve">      Accounts Receivable</t>
        </is>
      </c>
      <c r="C123" s="1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AW123" s="184" t="n"/>
      <c r="AY123" s="184" t="n"/>
      <c r="BK123" s="184" t="n"/>
      <c r="BW123" s="184" t="n"/>
      <c r="CI123" s="184" t="n"/>
      <c r="CU123" s="184" t="n"/>
    </row>
    <row r="124">
      <c r="B124" s="1" t="inlineStr">
        <is>
          <t xml:space="preserve">         20100 Accounts Receivable</t>
        </is>
      </c>
      <c r="C124" s="1" t="n"/>
      <c r="D124" s="707">
        <f>0</f>
        <v/>
      </c>
      <c r="E124" s="707">
        <f>0</f>
        <v/>
      </c>
      <c r="F124" s="707">
        <f>0</f>
        <v/>
      </c>
      <c r="G124" s="707">
        <f>0</f>
        <v/>
      </c>
      <c r="H124" s="707">
        <f>0</f>
        <v/>
      </c>
      <c r="I124" s="707">
        <f>0</f>
        <v/>
      </c>
      <c r="J124" s="707" t="n">
        <v>0</v>
      </c>
      <c r="K124" s="707" t="n">
        <v>375</v>
      </c>
      <c r="L124" s="707" t="n">
        <v>1200</v>
      </c>
      <c r="M124" s="707" t="n">
        <v>2365</v>
      </c>
      <c r="N124" s="707" t="n">
        <v>960</v>
      </c>
      <c r="O124" s="707" t="n">
        <v>900</v>
      </c>
      <c r="P124" s="707" t="n">
        <v>60</v>
      </c>
      <c r="Q124" s="707" t="n">
        <v>69</v>
      </c>
      <c r="R124" s="707" t="n">
        <v>75</v>
      </c>
      <c r="S124" s="707" t="n">
        <v>187.5</v>
      </c>
      <c r="T124" s="707" t="n">
        <v>35.93</v>
      </c>
      <c r="U124" s="707" t="n">
        <v>390</v>
      </c>
      <c r="V124" s="707" t="n">
        <v>270</v>
      </c>
      <c r="W124" s="707" t="n">
        <v>90</v>
      </c>
      <c r="X124" s="707" t="n">
        <v>1112</v>
      </c>
      <c r="Y124" s="707" t="n">
        <v>300</v>
      </c>
      <c r="Z124" s="707" t="n">
        <v>160</v>
      </c>
      <c r="AA124" s="707" t="n">
        <v>60</v>
      </c>
      <c r="AB124" s="707" t="n">
        <v>240</v>
      </c>
      <c r="AC124" s="707" t="n">
        <v>435</v>
      </c>
      <c r="AD124" s="707" t="n">
        <v>75</v>
      </c>
      <c r="AE124" s="707" t="n">
        <v>457.5</v>
      </c>
      <c r="AF124" s="707" t="n">
        <v>995</v>
      </c>
      <c r="AG124" s="707" t="n">
        <v>725.01</v>
      </c>
      <c r="AH124" s="707" t="n">
        <v>2460.01</v>
      </c>
      <c r="AI124" s="707" t="n">
        <v>3316.89</v>
      </c>
      <c r="AJ124" s="707" t="n">
        <v>3162.5</v>
      </c>
      <c r="AK124" s="707" t="n">
        <v>3155</v>
      </c>
      <c r="AL124" s="707" t="n">
        <v>3395</v>
      </c>
      <c r="AM124" s="513" t="n">
        <v>3370</v>
      </c>
      <c r="AN124" s="707" t="n">
        <v>2263.75</v>
      </c>
      <c r="AO124" s="707" t="n">
        <v>2736.75</v>
      </c>
      <c r="AP124" s="707" t="n">
        <v>1437.5</v>
      </c>
      <c r="AQ124" s="707" t="n">
        <v>752.5</v>
      </c>
      <c r="AR124" s="707" t="n">
        <v>2214.75</v>
      </c>
      <c r="AS124" s="707" t="n">
        <v>3207.25</v>
      </c>
      <c r="AT124" s="707" t="n">
        <v>4196.25</v>
      </c>
      <c r="AU124" s="707" t="n">
        <v>4147.5</v>
      </c>
      <c r="AV124" s="707">
        <f>11337.5</f>
        <v/>
      </c>
      <c r="AW124" s="708">
        <f>20771.25</f>
        <v/>
      </c>
      <c r="AX124" s="707">
        <f>(AX126*AX14)/30.4333</f>
        <v/>
      </c>
      <c r="AY124" s="708">
        <f>(AY126*AY14)/30.4333</f>
        <v/>
      </c>
      <c r="AZ124" s="707">
        <f>(AZ126*AZ14)/30.4333</f>
        <v/>
      </c>
      <c r="BA124" s="707">
        <f>(BA126*BA14)/30.4333</f>
        <v/>
      </c>
      <c r="BB124" s="707">
        <f>(BB126*BB14)/30.4333</f>
        <v/>
      </c>
      <c r="BC124" s="707">
        <f>(BC126*BC14)/30.4333</f>
        <v/>
      </c>
      <c r="BD124" s="707">
        <f>(BD126*BD14)/30.4333</f>
        <v/>
      </c>
      <c r="BE124" s="707">
        <f>(BE126*BE14)/30.4333</f>
        <v/>
      </c>
      <c r="BF124" s="707">
        <f>(BF126*BF14)/30.4333</f>
        <v/>
      </c>
      <c r="BG124" s="707">
        <f>(BG126*BG14)/30.4333</f>
        <v/>
      </c>
      <c r="BH124" s="707">
        <f>(BH126*BH14)/30.4333</f>
        <v/>
      </c>
      <c r="BI124" s="707">
        <f>(BI126*BI14)/30.4333</f>
        <v/>
      </c>
      <c r="BJ124" s="707">
        <f>(BJ126*BJ14)/30.4333</f>
        <v/>
      </c>
      <c r="BK124" s="708">
        <f>(BK126*BK14)/30.4333</f>
        <v/>
      </c>
      <c r="BL124" s="707">
        <f>(BL126*BL14)/30.4333</f>
        <v/>
      </c>
      <c r="BM124" s="707">
        <f>(BM126*BM14)/30.4333</f>
        <v/>
      </c>
      <c r="BN124" s="707">
        <f>(BN126*BN14)/30.4333</f>
        <v/>
      </c>
      <c r="BO124" s="707">
        <f>(BO126*BO14)/30.4333</f>
        <v/>
      </c>
      <c r="BP124" s="707">
        <f>(BP126*BP14)/30.4333</f>
        <v/>
      </c>
      <c r="BQ124" s="707">
        <f>(BQ126*BQ14)/30.4333</f>
        <v/>
      </c>
      <c r="BR124" s="707">
        <f>(BR126*BR14)/30.4333</f>
        <v/>
      </c>
      <c r="BS124" s="707">
        <f>(BS126*BS14)/30.4333</f>
        <v/>
      </c>
      <c r="BT124" s="707">
        <f>(BT126*BT14)/30.4333</f>
        <v/>
      </c>
      <c r="BU124" s="707">
        <f>(BU126*BU14)/30.4333</f>
        <v/>
      </c>
      <c r="BV124" s="707">
        <f>(BV126*BV14)/30.4333</f>
        <v/>
      </c>
      <c r="BW124" s="708">
        <f>(BW126*BW14)/30.4333</f>
        <v/>
      </c>
      <c r="BX124" s="707">
        <f>(BX126*BX14)/30.4333</f>
        <v/>
      </c>
      <c r="BY124" s="707">
        <f>(BY126*BY14)/30.4333</f>
        <v/>
      </c>
      <c r="BZ124" s="707">
        <f>(BZ126*BZ14)/30.4333</f>
        <v/>
      </c>
      <c r="CA124" s="707">
        <f>(CA126*CA14)/30.4333</f>
        <v/>
      </c>
      <c r="CB124" s="707">
        <f>(CB126*CB14)/30.4333</f>
        <v/>
      </c>
      <c r="CC124" s="707">
        <f>(CC126*CC14)/30.4333</f>
        <v/>
      </c>
      <c r="CD124" s="707">
        <f>(CD126*CD14)/30.4333</f>
        <v/>
      </c>
      <c r="CE124" s="707">
        <f>(CE126*CE14)/30.4333</f>
        <v/>
      </c>
      <c r="CF124" s="707">
        <f>(CF126*CF14)/30.4333</f>
        <v/>
      </c>
      <c r="CG124" s="707">
        <f>(CG126*CG14)/30.4333</f>
        <v/>
      </c>
      <c r="CH124" s="707">
        <f>(CH126*CH14)/30.4333</f>
        <v/>
      </c>
      <c r="CI124" s="708">
        <f>(CI126*CI14)/30.4333</f>
        <v/>
      </c>
      <c r="CJ124" s="707">
        <f>(CJ126*CJ14)/30.4333</f>
        <v/>
      </c>
      <c r="CK124" s="707">
        <f>(CK126*CK14)/30.4333</f>
        <v/>
      </c>
      <c r="CL124" s="707">
        <f>(CL126*CL14)/30.4333</f>
        <v/>
      </c>
      <c r="CM124" s="707">
        <f>(CM126*CM14)/30.4333</f>
        <v/>
      </c>
      <c r="CN124" s="707">
        <f>(CN126*CN14)/30.4333</f>
        <v/>
      </c>
      <c r="CO124" s="707">
        <f>(CO126*CO14)/30.4333</f>
        <v/>
      </c>
      <c r="CP124" s="707">
        <f>(CP126*CP14)/30.4333</f>
        <v/>
      </c>
      <c r="CQ124" s="707">
        <f>(CQ126*CQ14)/30.4333</f>
        <v/>
      </c>
      <c r="CR124" s="707">
        <f>(CR126*CR14)/30.4333</f>
        <v/>
      </c>
      <c r="CS124" s="707">
        <f>(CS126*CS14)/30.4333</f>
        <v/>
      </c>
      <c r="CT124" s="707">
        <f>(CT126*CT14)/30.4333</f>
        <v/>
      </c>
      <c r="CU124" s="708">
        <f>(CU126*CU14)/30.4333</f>
        <v/>
      </c>
      <c r="CV124" s="707">
        <f>(CV126*CV14)/30.4333</f>
        <v/>
      </c>
      <c r="CW124" s="707">
        <f>(CW126*CW14)/30.4333</f>
        <v/>
      </c>
      <c r="CX124" s="707">
        <f>(CX126*CX14)/30.4333</f>
        <v/>
      </c>
      <c r="CY124" s="707">
        <f>(CY126*CY14)/30.4333</f>
        <v/>
      </c>
      <c r="CZ124" s="707">
        <f>(CZ126*CZ14)/30.4333</f>
        <v/>
      </c>
      <c r="DA124" s="707">
        <f>(DA126*DA14)/30.4333</f>
        <v/>
      </c>
      <c r="DB124" s="707">
        <f>(DB126*DB14)/30.4333</f>
        <v/>
      </c>
      <c r="DC124" s="707">
        <f>(DC126*DC14)/30.4333</f>
        <v/>
      </c>
      <c r="DD124" s="707">
        <f>(DD126*DD14)/30.4333</f>
        <v/>
      </c>
      <c r="DE124" s="707">
        <f>(DE126*DE14)/30.4333</f>
        <v/>
      </c>
      <c r="DF124" s="707">
        <f>(DF126*DF14)/30.4333</f>
        <v/>
      </c>
      <c r="DG124" s="707">
        <f>(DG126*DG14)/30.4333</f>
        <v/>
      </c>
    </row>
    <row r="125">
      <c r="A125" s="5" t="n"/>
      <c r="B125" s="6" t="inlineStr">
        <is>
          <t xml:space="preserve">      Total Accounts Receivable</t>
        </is>
      </c>
      <c r="C125" s="6" t="n"/>
      <c r="D125" s="897">
        <f>D124</f>
        <v/>
      </c>
      <c r="E125" s="897">
        <f>E124</f>
        <v/>
      </c>
      <c r="F125" s="897">
        <f>F124</f>
        <v/>
      </c>
      <c r="G125" s="897">
        <f>G124</f>
        <v/>
      </c>
      <c r="H125" s="897">
        <f>H124</f>
        <v/>
      </c>
      <c r="I125" s="897">
        <f>I124</f>
        <v/>
      </c>
      <c r="J125" s="897">
        <f>J124</f>
        <v/>
      </c>
      <c r="K125" s="897">
        <f>K124</f>
        <v/>
      </c>
      <c r="L125" s="897">
        <f>L124</f>
        <v/>
      </c>
      <c r="M125" s="897">
        <f>M124</f>
        <v/>
      </c>
      <c r="N125" s="897">
        <f>N124</f>
        <v/>
      </c>
      <c r="O125" s="897">
        <f>O124</f>
        <v/>
      </c>
      <c r="P125" s="897">
        <f>P124</f>
        <v/>
      </c>
      <c r="Q125" s="897">
        <f>Q124</f>
        <v/>
      </c>
      <c r="R125" s="897">
        <f>R124</f>
        <v/>
      </c>
      <c r="S125" s="897">
        <f>S124</f>
        <v/>
      </c>
      <c r="T125" s="897">
        <f>T124</f>
        <v/>
      </c>
      <c r="U125" s="897">
        <f>U124</f>
        <v/>
      </c>
      <c r="V125" s="897">
        <f>V124</f>
        <v/>
      </c>
      <c r="W125" s="897">
        <f>W124</f>
        <v/>
      </c>
      <c r="X125" s="897">
        <f>X124</f>
        <v/>
      </c>
      <c r="Y125" s="897">
        <f>Y124</f>
        <v/>
      </c>
      <c r="Z125" s="897">
        <f>Z124</f>
        <v/>
      </c>
      <c r="AA125" s="897">
        <f>AA124</f>
        <v/>
      </c>
      <c r="AB125" s="897">
        <f>AB124</f>
        <v/>
      </c>
      <c r="AC125" s="897">
        <f>AC124</f>
        <v/>
      </c>
      <c r="AD125" s="897">
        <f>AD124</f>
        <v/>
      </c>
      <c r="AE125" s="897">
        <f>AE124</f>
        <v/>
      </c>
      <c r="AF125" s="897">
        <f>AF124</f>
        <v/>
      </c>
      <c r="AG125" s="897">
        <f>AG124</f>
        <v/>
      </c>
      <c r="AH125" s="897">
        <f>AH124</f>
        <v/>
      </c>
      <c r="AI125" s="897">
        <f>AI124</f>
        <v/>
      </c>
      <c r="AJ125" s="897">
        <f>AJ124</f>
        <v/>
      </c>
      <c r="AK125" s="897">
        <f>AK124</f>
        <v/>
      </c>
      <c r="AL125" s="897">
        <f>AL124</f>
        <v/>
      </c>
      <c r="AM125" s="898">
        <f>AM124</f>
        <v/>
      </c>
      <c r="AN125" s="897">
        <f>AN124</f>
        <v/>
      </c>
      <c r="AO125" s="897">
        <f>AO124</f>
        <v/>
      </c>
      <c r="AP125" s="897">
        <f>AP124</f>
        <v/>
      </c>
      <c r="AQ125" s="897">
        <f>AQ124</f>
        <v/>
      </c>
      <c r="AR125" s="897">
        <f>AR124</f>
        <v/>
      </c>
      <c r="AS125" s="897">
        <f>AS124</f>
        <v/>
      </c>
      <c r="AT125" s="897">
        <f>AT124</f>
        <v/>
      </c>
      <c r="AU125" s="897">
        <f>AU124</f>
        <v/>
      </c>
      <c r="AV125" s="897">
        <f>AV124</f>
        <v/>
      </c>
      <c r="AW125" s="899">
        <f>AW124</f>
        <v/>
      </c>
      <c r="AX125" s="897">
        <f>AX124</f>
        <v/>
      </c>
      <c r="AY125" s="899">
        <f>AY124</f>
        <v/>
      </c>
      <c r="AZ125" s="897">
        <f>AZ124</f>
        <v/>
      </c>
      <c r="BA125" s="897">
        <f>BA124</f>
        <v/>
      </c>
      <c r="BB125" s="897">
        <f>BB124</f>
        <v/>
      </c>
      <c r="BC125" s="897">
        <f>BC124</f>
        <v/>
      </c>
      <c r="BD125" s="897">
        <f>BD124</f>
        <v/>
      </c>
      <c r="BE125" s="897">
        <f>BE124</f>
        <v/>
      </c>
      <c r="BF125" s="897">
        <f>BF124</f>
        <v/>
      </c>
      <c r="BG125" s="897">
        <f>BG124</f>
        <v/>
      </c>
      <c r="BH125" s="897">
        <f>BH124</f>
        <v/>
      </c>
      <c r="BI125" s="897">
        <f>BI124</f>
        <v/>
      </c>
      <c r="BJ125" s="897">
        <f>BJ124</f>
        <v/>
      </c>
      <c r="BK125" s="899">
        <f>BK124</f>
        <v/>
      </c>
      <c r="BL125" s="897">
        <f>BL124</f>
        <v/>
      </c>
      <c r="BM125" s="897">
        <f>BM124</f>
        <v/>
      </c>
      <c r="BN125" s="897">
        <f>BN124</f>
        <v/>
      </c>
      <c r="BO125" s="897">
        <f>BO124</f>
        <v/>
      </c>
      <c r="BP125" s="897">
        <f>BP124</f>
        <v/>
      </c>
      <c r="BQ125" s="897">
        <f>BQ124</f>
        <v/>
      </c>
      <c r="BR125" s="897">
        <f>BR124</f>
        <v/>
      </c>
      <c r="BS125" s="897">
        <f>BS124</f>
        <v/>
      </c>
      <c r="BT125" s="897">
        <f>BT124</f>
        <v/>
      </c>
      <c r="BU125" s="897">
        <f>BU124</f>
        <v/>
      </c>
      <c r="BV125" s="897">
        <f>BV124</f>
        <v/>
      </c>
      <c r="BW125" s="899">
        <f>BW124</f>
        <v/>
      </c>
      <c r="BX125" s="897">
        <f>BX124</f>
        <v/>
      </c>
      <c r="BY125" s="897">
        <f>BY124</f>
        <v/>
      </c>
      <c r="BZ125" s="897">
        <f>BZ124</f>
        <v/>
      </c>
      <c r="CA125" s="897">
        <f>CA124</f>
        <v/>
      </c>
      <c r="CB125" s="897">
        <f>CB124</f>
        <v/>
      </c>
      <c r="CC125" s="897">
        <f>CC124</f>
        <v/>
      </c>
      <c r="CD125" s="897">
        <f>CD124</f>
        <v/>
      </c>
      <c r="CE125" s="897">
        <f>CE124</f>
        <v/>
      </c>
      <c r="CF125" s="897">
        <f>CF124</f>
        <v/>
      </c>
      <c r="CG125" s="897">
        <f>CG124</f>
        <v/>
      </c>
      <c r="CH125" s="897">
        <f>CH124</f>
        <v/>
      </c>
      <c r="CI125" s="899">
        <f>CI124</f>
        <v/>
      </c>
      <c r="CJ125" s="897">
        <f>CJ124</f>
        <v/>
      </c>
      <c r="CK125" s="897">
        <f>CK124</f>
        <v/>
      </c>
      <c r="CL125" s="897">
        <f>CL124</f>
        <v/>
      </c>
      <c r="CM125" s="897">
        <f>CM124</f>
        <v/>
      </c>
      <c r="CN125" s="897">
        <f>CN124</f>
        <v/>
      </c>
      <c r="CO125" s="897">
        <f>CO124</f>
        <v/>
      </c>
      <c r="CP125" s="897">
        <f>CP124</f>
        <v/>
      </c>
      <c r="CQ125" s="897">
        <f>CQ124</f>
        <v/>
      </c>
      <c r="CR125" s="897">
        <f>CR124</f>
        <v/>
      </c>
      <c r="CS125" s="897">
        <f>CS124</f>
        <v/>
      </c>
      <c r="CT125" s="897">
        <f>CT124</f>
        <v/>
      </c>
      <c r="CU125" s="899">
        <f>CU124</f>
        <v/>
      </c>
      <c r="CV125" s="897">
        <f>CV124</f>
        <v/>
      </c>
      <c r="CW125" s="897">
        <f>CW124</f>
        <v/>
      </c>
      <c r="CX125" s="897">
        <f>CX124</f>
        <v/>
      </c>
      <c r="CY125" s="897">
        <f>CY124</f>
        <v/>
      </c>
      <c r="CZ125" s="897">
        <f>CZ124</f>
        <v/>
      </c>
      <c r="DA125" s="897">
        <f>DA124</f>
        <v/>
      </c>
      <c r="DB125" s="897">
        <f>DB124</f>
        <v/>
      </c>
      <c r="DC125" s="897">
        <f>DC124</f>
        <v/>
      </c>
      <c r="DD125" s="897">
        <f>DD124</f>
        <v/>
      </c>
      <c r="DE125" s="897">
        <f>DE124</f>
        <v/>
      </c>
      <c r="DF125" s="897">
        <f>DF124</f>
        <v/>
      </c>
      <c r="DG125" s="897">
        <f>DG124</f>
        <v/>
      </c>
    </row>
    <row r="126">
      <c r="A126" s="64" t="n"/>
      <c r="B126" s="61" t="n"/>
      <c r="C126" s="62" t="inlineStr">
        <is>
          <t>AR Days</t>
        </is>
      </c>
      <c r="D126" s="63" t="n">
        <v>0</v>
      </c>
      <c r="E126" s="63">
        <f>IFERROR(AVERAGE(D124:E124)/(E14/30.4333), 0)</f>
        <v/>
      </c>
      <c r="F126" s="63">
        <f>IFERROR(AVERAGE(E124:F124)/(F14/30.4333), 0)</f>
        <v/>
      </c>
      <c r="G126" s="63">
        <f>IFERROR(AVERAGE(F124:G124)/(G14/30.4333), 0)</f>
        <v/>
      </c>
      <c r="H126" s="63">
        <f>IFERROR(AVERAGE(G124:H124)/(H14/30.4333), 0)</f>
        <v/>
      </c>
      <c r="I126" s="63">
        <f>IFERROR(AVERAGE(H124:I124)/(I14/30.4333), 0)</f>
        <v/>
      </c>
      <c r="J126" s="63">
        <f>IFERROR(AVERAGE(I124:J124)/(J14/30.4333), 0)</f>
        <v/>
      </c>
      <c r="K126" s="63">
        <f>IFERROR(AVERAGE(J124:K124)/(K14/30.4333), 0)</f>
        <v/>
      </c>
      <c r="L126" s="63">
        <f>IFERROR(AVERAGE(K124:L124)/(L14/30.4333), 0)</f>
        <v/>
      </c>
      <c r="M126" s="63">
        <f>IFERROR(AVERAGE(L124:M124)/(M14/30.4333), 0)</f>
        <v/>
      </c>
      <c r="N126" s="63">
        <f>IFERROR(AVERAGE(M124:N124)/(N14/30.4333), 0)</f>
        <v/>
      </c>
      <c r="O126" s="63">
        <f>IFERROR(AVERAGE(N124:O124)/(O14/30.4333), 0)</f>
        <v/>
      </c>
      <c r="P126" s="63">
        <f>IFERROR(AVERAGE(O124:P124)/(P14/30.4333), 0)</f>
        <v/>
      </c>
      <c r="Q126" s="63">
        <f>IFERROR(AVERAGE(P124:Q124)/(Q14/30.4333), 0)</f>
        <v/>
      </c>
      <c r="R126" s="63">
        <f>IFERROR(AVERAGE(Q124:R124)/(R14/30.4333), 0)</f>
        <v/>
      </c>
      <c r="S126" s="63">
        <f>IFERROR(AVERAGE(R124:S124)/(S14/30.4333), 0)</f>
        <v/>
      </c>
      <c r="T126" s="63">
        <f>IFERROR(AVERAGE(S124:T124)/(T14/30.4333), 0)</f>
        <v/>
      </c>
      <c r="U126" s="63">
        <f>IFERROR(AVERAGE(T124:U124)/(U14/30.4333), 0)</f>
        <v/>
      </c>
      <c r="V126" s="63">
        <f>IFERROR(AVERAGE(U124:V124)/(V14/30.4333), 0)</f>
        <v/>
      </c>
      <c r="W126" s="63">
        <f>IFERROR(AVERAGE(V124:W124)/(W14/30.4333), 0)</f>
        <v/>
      </c>
      <c r="X126" s="63">
        <f>IFERROR(AVERAGE(W124:X124)/(X14/30.4333), 0)</f>
        <v/>
      </c>
      <c r="Y126" s="63">
        <f>IFERROR(AVERAGE(X124:Y124)/(Y14/30.4333), 0)</f>
        <v/>
      </c>
      <c r="Z126" s="63">
        <f>IFERROR(AVERAGE(Y124:Z124)/(Z14/30.4333), 0)</f>
        <v/>
      </c>
      <c r="AA126" s="63">
        <f>IFERROR(AVERAGE(Z124:AA124)/(AA14/30.4333), 0)</f>
        <v/>
      </c>
      <c r="AB126" s="63">
        <f>IFERROR(AVERAGE(AA124:AB124)/(AB14/30.4333), 0)</f>
        <v/>
      </c>
      <c r="AC126" s="63">
        <f>IFERROR(AVERAGE(AB124:AC124)/(AC14/30.4333), 0)</f>
        <v/>
      </c>
      <c r="AD126" s="63">
        <f>IFERROR(AVERAGE(AC124:AD124)/(AD14/30.4333), 0)</f>
        <v/>
      </c>
      <c r="AE126" s="63">
        <f>IFERROR(AVERAGE(AD124:AE124)/(AE14/30.4333), 0)</f>
        <v/>
      </c>
      <c r="AF126" s="63">
        <f>IFERROR(AVERAGE(AE124:AF124)/(AF14/30.4333), 0)</f>
        <v/>
      </c>
      <c r="AG126" s="63">
        <f>IFERROR(AVERAGE(AF124:AG124)/(AG14/30.4333), 0)</f>
        <v/>
      </c>
      <c r="AH126" s="63">
        <f>IFERROR(AVERAGE(AG124:AH124)/(AH14/30.4333), 0)</f>
        <v/>
      </c>
      <c r="AI126" s="63">
        <f>IFERROR(AVERAGE(AH124:AI124)/(AI14/30.4333), 0)</f>
        <v/>
      </c>
      <c r="AJ126" s="63">
        <f>IFERROR(AVERAGE(AI124:AJ124)/(AJ14/30.4333), 0)</f>
        <v/>
      </c>
      <c r="AK126" s="63">
        <f>IFERROR(AVERAGE(AJ124:AK124)/(AK14/30.4333), 0)</f>
        <v/>
      </c>
      <c r="AL126" s="63">
        <f>IFERROR(AVERAGE(AK124:AL124)/(AL14/30.4333), 0)</f>
        <v/>
      </c>
      <c r="AM126" s="568">
        <f>IFERROR(AVERAGE(AL124:AM124)/(AM14/30.4333), 0)</f>
        <v/>
      </c>
      <c r="AN126" s="63">
        <f>IFERROR(AVERAGE(AM124:AN124)/(AN14/30.4333), 0)</f>
        <v/>
      </c>
      <c r="AO126" s="63">
        <f>IFERROR(AVERAGE(AN124:AO124)/(AO14/30.4333), 0)</f>
        <v/>
      </c>
      <c r="AP126" s="63">
        <f>IFERROR(AVERAGE(AO124:AP124)/(AP14/30.4333), 0)</f>
        <v/>
      </c>
      <c r="AQ126" s="63">
        <f>IFERROR(AVERAGE(AP124:AQ124)/(AQ14/30.4333), 0)</f>
        <v/>
      </c>
      <c r="AR126" s="63">
        <f>IFERROR(AVERAGE(AQ124:AR124)/(AR14/30.4333), 0)</f>
        <v/>
      </c>
      <c r="AS126" s="63">
        <f>IFERROR(AVERAGE(AR124:AS124)/(AS14/30.4333), 0)</f>
        <v/>
      </c>
      <c r="AT126" s="63">
        <f>IFERROR(AVERAGE(AS124:AT124)/(AT14/30.4333), 0)</f>
        <v/>
      </c>
      <c r="AU126" s="63">
        <f>IFERROR(AVERAGE(AT124:AU124)/(AU14/30.4333), 0)</f>
        <v/>
      </c>
      <c r="AV126" s="63">
        <f>IFERROR(AVERAGE(AU124:AV124)/(AV14/30.4333), 0)</f>
        <v/>
      </c>
      <c r="AW126" s="309">
        <f>IFERROR(AVERAGE(AV124:AW124)/(AW14/30.4333), 0)</f>
        <v/>
      </c>
      <c r="AX126" s="287" t="n">
        <v>5</v>
      </c>
      <c r="AY126" s="309">
        <f>AX126</f>
        <v/>
      </c>
      <c r="AZ126" s="63">
        <f>AY126</f>
        <v/>
      </c>
      <c r="BA126" s="63">
        <f>AZ126</f>
        <v/>
      </c>
      <c r="BB126" s="63">
        <f>BA126</f>
        <v/>
      </c>
      <c r="BC126" s="63">
        <f>BB126</f>
        <v/>
      </c>
      <c r="BD126" s="63">
        <f>BC126</f>
        <v/>
      </c>
      <c r="BE126" s="63">
        <f>BD126</f>
        <v/>
      </c>
      <c r="BF126" s="63">
        <f>BE126</f>
        <v/>
      </c>
      <c r="BG126" s="63">
        <f>BF126</f>
        <v/>
      </c>
      <c r="BH126" s="63">
        <f>BG126</f>
        <v/>
      </c>
      <c r="BI126" s="63">
        <f>BH126</f>
        <v/>
      </c>
      <c r="BJ126" s="63">
        <f>BI126</f>
        <v/>
      </c>
      <c r="BK126" s="309">
        <f>BJ126</f>
        <v/>
      </c>
      <c r="BL126" s="63">
        <f>BK126</f>
        <v/>
      </c>
      <c r="BM126" s="63">
        <f>BL126</f>
        <v/>
      </c>
      <c r="BN126" s="63">
        <f>BM126</f>
        <v/>
      </c>
      <c r="BO126" s="63">
        <f>BN126</f>
        <v/>
      </c>
      <c r="BP126" s="63">
        <f>BO126</f>
        <v/>
      </c>
      <c r="BQ126" s="63">
        <f>BP126</f>
        <v/>
      </c>
      <c r="BR126" s="63">
        <f>BQ126</f>
        <v/>
      </c>
      <c r="BS126" s="63">
        <f>BR126</f>
        <v/>
      </c>
      <c r="BT126" s="63">
        <f>BS126</f>
        <v/>
      </c>
      <c r="BU126" s="63">
        <f>BT126</f>
        <v/>
      </c>
      <c r="BV126" s="63">
        <f>BU126</f>
        <v/>
      </c>
      <c r="BW126" s="309">
        <f>BV126</f>
        <v/>
      </c>
      <c r="BX126" s="63">
        <f>BW126</f>
        <v/>
      </c>
      <c r="BY126" s="63">
        <f>BX126</f>
        <v/>
      </c>
      <c r="BZ126" s="63">
        <f>BY126</f>
        <v/>
      </c>
      <c r="CA126" s="63">
        <f>BZ126</f>
        <v/>
      </c>
      <c r="CB126" s="63">
        <f>CA126</f>
        <v/>
      </c>
      <c r="CC126" s="63">
        <f>CB126</f>
        <v/>
      </c>
      <c r="CD126" s="63">
        <f>CC126</f>
        <v/>
      </c>
      <c r="CE126" s="63">
        <f>CD126</f>
        <v/>
      </c>
      <c r="CF126" s="63">
        <f>CE126</f>
        <v/>
      </c>
      <c r="CG126" s="63">
        <f>CF126</f>
        <v/>
      </c>
      <c r="CH126" s="63">
        <f>CG126</f>
        <v/>
      </c>
      <c r="CI126" s="309">
        <f>CH126</f>
        <v/>
      </c>
      <c r="CJ126" s="63">
        <f>CI126</f>
        <v/>
      </c>
      <c r="CK126" s="63">
        <f>CJ126</f>
        <v/>
      </c>
      <c r="CL126" s="63">
        <f>CK126</f>
        <v/>
      </c>
      <c r="CM126" s="63">
        <f>CL126</f>
        <v/>
      </c>
      <c r="CN126" s="63">
        <f>CM126</f>
        <v/>
      </c>
      <c r="CO126" s="63">
        <f>CN126</f>
        <v/>
      </c>
      <c r="CP126" s="63">
        <f>CO126</f>
        <v/>
      </c>
      <c r="CQ126" s="63">
        <f>CP126</f>
        <v/>
      </c>
      <c r="CR126" s="63">
        <f>CQ126</f>
        <v/>
      </c>
      <c r="CS126" s="63">
        <f>CR126</f>
        <v/>
      </c>
      <c r="CT126" s="63">
        <f>CS126</f>
        <v/>
      </c>
      <c r="CU126" s="309">
        <f>CT126</f>
        <v/>
      </c>
      <c r="CV126" s="63">
        <f>CU126</f>
        <v/>
      </c>
      <c r="CW126" s="63">
        <f>CV126</f>
        <v/>
      </c>
      <c r="CX126" s="63">
        <f>CW126</f>
        <v/>
      </c>
      <c r="CY126" s="63">
        <f>CX126</f>
        <v/>
      </c>
      <c r="CZ126" s="63">
        <f>CY126</f>
        <v/>
      </c>
      <c r="DA126" s="63">
        <f>CZ126</f>
        <v/>
      </c>
      <c r="DB126" s="63">
        <f>DA126</f>
        <v/>
      </c>
      <c r="DC126" s="63">
        <f>DB126</f>
        <v/>
      </c>
      <c r="DD126" s="63">
        <f>DC126</f>
        <v/>
      </c>
      <c r="DE126" s="63">
        <f>DD126</f>
        <v/>
      </c>
      <c r="DF126" s="63">
        <f>DE126</f>
        <v/>
      </c>
      <c r="DG126" s="63">
        <f>DF126</f>
        <v/>
      </c>
    </row>
    <row r="127">
      <c r="B127" s="1" t="inlineStr">
        <is>
          <t xml:space="preserve">   Other Current Assets</t>
        </is>
      </c>
      <c r="C127" s="1" t="n"/>
      <c r="D127" s="831" t="n"/>
      <c r="E127" s="831" t="n"/>
      <c r="F127" s="831" t="n"/>
      <c r="G127" s="831" t="n"/>
      <c r="H127" s="831" t="n"/>
      <c r="I127" s="831" t="n"/>
      <c r="J127" s="831" t="n"/>
      <c r="K127" s="831" t="n"/>
      <c r="L127" s="831" t="n"/>
      <c r="M127" s="831" t="inlineStr">
        <is>
          <t xml:space="preserve"> </t>
        </is>
      </c>
      <c r="O127" s="903" t="n"/>
      <c r="P127" s="903" t="n"/>
      <c r="Q127" s="903" t="n"/>
      <c r="R127" s="903" t="n"/>
      <c r="S127" s="903" t="n"/>
      <c r="T127" s="903" t="n"/>
      <c r="U127" s="903" t="n"/>
      <c r="V127" s="903" t="n"/>
      <c r="W127" s="903" t="n"/>
      <c r="X127" s="903" t="n"/>
      <c r="Y127" s="903" t="n"/>
      <c r="Z127" s="903" t="n"/>
      <c r="AA127" s="903" t="n"/>
      <c r="AB127" s="903" t="n"/>
      <c r="AC127" s="903" t="n"/>
      <c r="AD127" s="903" t="n"/>
      <c r="AE127" s="903" t="n"/>
      <c r="AF127" s="903" t="n"/>
      <c r="AG127" s="903" t="n"/>
      <c r="AH127" s="903" t="n"/>
      <c r="AI127" s="903" t="n"/>
      <c r="AJ127" s="903" t="n"/>
      <c r="AK127" s="903" t="n"/>
      <c r="AL127" s="903" t="n"/>
      <c r="AM127" s="904" t="n"/>
      <c r="AN127" s="903" t="n"/>
      <c r="AO127" s="903" t="n"/>
      <c r="AP127" s="903" t="n"/>
      <c r="AQ127" s="903" t="n"/>
      <c r="AR127" s="903" t="n"/>
      <c r="AS127" s="903" t="n"/>
      <c r="AT127" s="903" t="n"/>
      <c r="AU127" s="903" t="n"/>
      <c r="AV127" s="903" t="n"/>
      <c r="AW127" s="905" t="n"/>
      <c r="AY127" s="184" t="n"/>
      <c r="BK127" s="184" t="n"/>
      <c r="BW127" s="184" t="n"/>
      <c r="CI127" s="184" t="n"/>
      <c r="CU127" s="184" t="n"/>
    </row>
    <row r="128">
      <c r="B128" s="1" t="inlineStr">
        <is>
          <t xml:space="preserve">         30100 Cash in Transit</t>
        </is>
      </c>
      <c r="C128" s="1" t="n"/>
      <c r="D128" s="831" t="n"/>
      <c r="E128" s="831" t="n"/>
      <c r="F128" s="831" t="n"/>
      <c r="G128" s="831" t="n"/>
      <c r="H128" s="831" t="n"/>
      <c r="I128" s="831" t="n"/>
      <c r="J128" s="831" t="n"/>
      <c r="K128" s="831" t="n"/>
      <c r="L128" s="831" t="n"/>
      <c r="M128" s="831" t="n"/>
      <c r="O128" s="903" t="n"/>
      <c r="P128" s="707" t="n"/>
      <c r="Q128" s="707" t="n"/>
      <c r="R128" s="707" t="n"/>
      <c r="S128" s="707" t="n"/>
      <c r="T128" s="707" t="n"/>
      <c r="U128" s="707" t="n"/>
      <c r="V128" s="707" t="n"/>
      <c r="W128" s="707" t="n"/>
      <c r="X128" s="707" t="n"/>
      <c r="Y128" s="707" t="n"/>
      <c r="Z128" s="707" t="n"/>
      <c r="AA128" s="707" t="n"/>
      <c r="AB128" s="707" t="n"/>
      <c r="AC128" s="707" t="n"/>
      <c r="AD128" s="707" t="n"/>
      <c r="AE128" s="707" t="n"/>
      <c r="AF128" s="707" t="n"/>
      <c r="AG128" s="707" t="n"/>
      <c r="AH128" s="707" t="n"/>
      <c r="AI128" s="707" t="n"/>
      <c r="AJ128" s="707" t="n"/>
      <c r="AK128" s="707" t="n"/>
      <c r="AL128" s="707" t="n"/>
      <c r="AM128" s="513" t="n">
        <v>0</v>
      </c>
      <c r="AN128" s="707" t="n"/>
      <c r="AO128" s="707" t="n"/>
      <c r="AP128" s="707" t="n"/>
      <c r="AQ128" s="707" t="n"/>
      <c r="AR128" s="707" t="n"/>
      <c r="AS128" s="707" t="n"/>
      <c r="AT128" s="707" t="n"/>
      <c r="AU128" s="707" t="n"/>
      <c r="AV128" s="707" t="n"/>
      <c r="AW128" s="708" t="n"/>
      <c r="AX128" s="707" t="n"/>
      <c r="AY128" s="708" t="n"/>
      <c r="AZ128" s="707" t="n"/>
      <c r="BA128" s="707" t="n"/>
      <c r="BB128" s="707" t="n"/>
      <c r="BC128" s="707" t="n"/>
      <c r="BD128" s="707" t="n"/>
      <c r="BE128" s="707" t="n"/>
      <c r="BF128" s="707" t="n"/>
      <c r="BG128" s="707" t="n"/>
      <c r="BH128" s="707" t="n"/>
      <c r="BI128" s="707" t="n"/>
      <c r="BJ128" s="707" t="n"/>
      <c r="BK128" s="708" t="n"/>
      <c r="BL128" s="707" t="n"/>
      <c r="BM128" s="707" t="n"/>
      <c r="BN128" s="707" t="n"/>
      <c r="BO128" s="707" t="n"/>
      <c r="BP128" s="707" t="n"/>
      <c r="BQ128" s="707" t="n"/>
      <c r="BR128" s="707" t="n"/>
      <c r="BS128" s="707" t="n"/>
      <c r="BT128" s="707" t="n"/>
      <c r="BU128" s="707" t="n"/>
      <c r="BV128" s="707" t="n"/>
      <c r="BW128" s="708" t="n"/>
      <c r="BX128" s="707" t="n"/>
      <c r="BY128" s="707" t="n"/>
      <c r="BZ128" s="707" t="n"/>
      <c r="CA128" s="707" t="n"/>
      <c r="CB128" s="707" t="n"/>
      <c r="CC128" s="707" t="n"/>
      <c r="CD128" s="707" t="n"/>
      <c r="CE128" s="707" t="n"/>
      <c r="CF128" s="707" t="n"/>
      <c r="CG128" s="707" t="n"/>
      <c r="CH128" s="707" t="n"/>
      <c r="CI128" s="708" t="n"/>
      <c r="CJ128" s="707" t="n"/>
      <c r="CK128" s="707" t="n"/>
      <c r="CL128" s="707" t="n"/>
      <c r="CM128" s="707" t="n"/>
      <c r="CN128" s="707" t="n"/>
      <c r="CO128" s="707" t="n"/>
      <c r="CP128" s="707" t="n"/>
      <c r="CQ128" s="707" t="n"/>
      <c r="CR128" s="707" t="n"/>
      <c r="CS128" s="707" t="n"/>
      <c r="CT128" s="707" t="n"/>
      <c r="CU128" s="708" t="n"/>
      <c r="CV128" s="707" t="n"/>
      <c r="CW128" s="707" t="n"/>
      <c r="CX128" s="707" t="n"/>
      <c r="CY128" s="707" t="n"/>
      <c r="CZ128" s="707" t="n"/>
      <c r="DA128" s="707" t="n"/>
      <c r="DB128" s="707" t="n"/>
      <c r="DC128" s="707" t="n"/>
      <c r="DD128" s="707" t="n"/>
      <c r="DE128" s="707" t="n"/>
      <c r="DF128" s="707" t="n"/>
      <c r="DG128" s="707" t="n"/>
    </row>
    <row r="129">
      <c r="B129" s="1" t="inlineStr">
        <is>
          <t xml:space="preserve">         30200 Contractor Receivable</t>
        </is>
      </c>
      <c r="C129" s="1" t="n"/>
      <c r="D129" s="831" t="n"/>
      <c r="E129" s="831" t="n"/>
      <c r="F129" s="831" t="n"/>
      <c r="G129" s="831" t="n"/>
      <c r="H129" s="831" t="n"/>
      <c r="I129" s="831" t="n"/>
      <c r="J129" s="831" t="n"/>
      <c r="K129" s="831" t="n"/>
      <c r="L129" s="831" t="n"/>
      <c r="M129" s="831" t="n"/>
      <c r="O129" s="903" t="n"/>
      <c r="P129" s="707" t="n"/>
      <c r="Q129" s="707" t="n"/>
      <c r="R129" s="707" t="n"/>
      <c r="S129" s="707" t="n"/>
      <c r="T129" s="707" t="n"/>
      <c r="U129" s="707" t="n"/>
      <c r="V129" s="707" t="n"/>
      <c r="W129" s="707" t="n"/>
      <c r="X129" s="707" t="n"/>
      <c r="Y129" s="707" t="n"/>
      <c r="Z129" s="707" t="n"/>
      <c r="AA129" s="707" t="n"/>
      <c r="AB129" s="707" t="n"/>
      <c r="AC129" s="707" t="n"/>
      <c r="AD129" s="707" t="n"/>
      <c r="AE129" s="707" t="n"/>
      <c r="AF129" s="707" t="n"/>
      <c r="AG129" s="707" t="n"/>
      <c r="AH129" s="707" t="n"/>
      <c r="AI129" s="707" t="n"/>
      <c r="AJ129" s="707" t="n"/>
      <c r="AK129" s="707" t="n"/>
      <c r="AL129" s="707" t="n"/>
      <c r="AM129" s="513" t="n">
        <v>0</v>
      </c>
      <c r="AN129" s="707" t="n"/>
      <c r="AO129" s="707" t="n">
        <v>37.5</v>
      </c>
      <c r="AP129" s="707" t="n">
        <v>112.5</v>
      </c>
      <c r="AQ129" s="707" t="n">
        <v>112.5</v>
      </c>
      <c r="AR129" s="707" t="n">
        <v>0</v>
      </c>
      <c r="AS129" s="707" t="n">
        <v>0</v>
      </c>
      <c r="AT129" s="707" t="n">
        <v>0</v>
      </c>
      <c r="AU129" s="707" t="n">
        <v>0</v>
      </c>
      <c r="AV129" s="707" t="n">
        <v>0</v>
      </c>
      <c r="AW129" s="708" t="n">
        <v>0</v>
      </c>
      <c r="AX129" s="707" t="n"/>
      <c r="AY129" s="708" t="n"/>
      <c r="AZ129" s="707" t="n"/>
      <c r="BA129" s="707" t="n"/>
      <c r="BB129" s="707" t="n"/>
      <c r="BC129" s="707" t="n"/>
      <c r="BD129" s="707" t="n"/>
      <c r="BE129" s="707" t="n"/>
      <c r="BF129" s="707" t="n"/>
      <c r="BG129" s="707" t="n"/>
      <c r="BH129" s="707" t="n"/>
      <c r="BI129" s="707" t="n"/>
      <c r="BJ129" s="707" t="n"/>
      <c r="BK129" s="708" t="n"/>
      <c r="BL129" s="707" t="n"/>
      <c r="BM129" s="707" t="n"/>
      <c r="BN129" s="707" t="n"/>
      <c r="BO129" s="707" t="n"/>
      <c r="BP129" s="707" t="n"/>
      <c r="BQ129" s="707" t="n"/>
      <c r="BR129" s="707" t="n"/>
      <c r="BS129" s="707" t="n"/>
      <c r="BT129" s="707" t="n"/>
      <c r="BU129" s="707" t="n"/>
      <c r="BV129" s="707" t="n"/>
      <c r="BW129" s="708" t="n"/>
      <c r="BX129" s="707" t="n"/>
      <c r="BY129" s="707" t="n"/>
      <c r="BZ129" s="707" t="n"/>
      <c r="CA129" s="707" t="n"/>
      <c r="CB129" s="707" t="n"/>
      <c r="CC129" s="707" t="n"/>
      <c r="CD129" s="707" t="n"/>
      <c r="CE129" s="707" t="n"/>
      <c r="CF129" s="707" t="n"/>
      <c r="CG129" s="707" t="n"/>
      <c r="CH129" s="707" t="n"/>
      <c r="CI129" s="708" t="n"/>
      <c r="CJ129" s="707" t="n"/>
      <c r="CK129" s="707" t="n"/>
      <c r="CL129" s="707" t="n"/>
      <c r="CM129" s="707" t="n"/>
      <c r="CN129" s="707" t="n"/>
      <c r="CO129" s="707" t="n"/>
      <c r="CP129" s="707" t="n"/>
      <c r="CQ129" s="707" t="n"/>
      <c r="CR129" s="707" t="n"/>
      <c r="CS129" s="707" t="n"/>
      <c r="CT129" s="707" t="n"/>
      <c r="CU129" s="708" t="n"/>
      <c r="CV129" s="707" t="n"/>
      <c r="CW129" s="707" t="n"/>
      <c r="CX129" s="707" t="n"/>
      <c r="CY129" s="707" t="n"/>
      <c r="CZ129" s="707" t="n"/>
      <c r="DA129" s="707" t="n"/>
      <c r="DB129" s="707" t="n"/>
      <c r="DC129" s="707" t="n"/>
      <c r="DD129" s="707" t="n"/>
      <c r="DE129" s="707" t="n"/>
      <c r="DF129" s="707" t="n"/>
      <c r="DG129" s="707" t="n"/>
    </row>
    <row r="130">
      <c r="B130" s="1" t="inlineStr">
        <is>
          <t xml:space="preserve">         Prepaid Expenses</t>
        </is>
      </c>
      <c r="C130" s="1" t="n"/>
      <c r="D130" s="831" t="n"/>
      <c r="E130" s="831" t="n"/>
      <c r="F130" s="831" t="n"/>
      <c r="G130" s="831" t="n"/>
      <c r="H130" s="831" t="n"/>
      <c r="I130" s="831" t="n"/>
      <c r="J130" s="831" t="n"/>
      <c r="K130" s="831" t="n"/>
      <c r="L130" s="831" t="n"/>
      <c r="M130" s="831" t="n"/>
      <c r="O130" s="903" t="n"/>
      <c r="P130" s="707" t="n">
        <v>0</v>
      </c>
      <c r="Q130" s="707" t="n">
        <v>0</v>
      </c>
      <c r="R130" s="707" t="n">
        <v>-44.05</v>
      </c>
      <c r="S130" s="707" t="n">
        <v>0</v>
      </c>
      <c r="T130" s="707" t="n">
        <v>0</v>
      </c>
      <c r="U130" s="707" t="n">
        <v>0</v>
      </c>
      <c r="V130" s="707" t="n">
        <v>0</v>
      </c>
      <c r="W130" s="707" t="n">
        <v>0</v>
      </c>
      <c r="X130" s="707" t="n">
        <v>0</v>
      </c>
      <c r="Y130" s="707" t="n">
        <v>0</v>
      </c>
      <c r="Z130" s="707" t="n">
        <v>0</v>
      </c>
      <c r="AA130" s="707" t="n">
        <v>0</v>
      </c>
      <c r="AB130" s="707" t="n"/>
      <c r="AC130" s="707" t="n">
        <v>0</v>
      </c>
      <c r="AD130" s="707" t="n">
        <v>0</v>
      </c>
      <c r="AE130" s="707" t="n">
        <v>0</v>
      </c>
      <c r="AF130" s="707" t="n">
        <v>0</v>
      </c>
      <c r="AG130" s="707" t="n">
        <v>0</v>
      </c>
      <c r="AH130" s="707" t="n">
        <v>0</v>
      </c>
      <c r="AI130" s="707" t="n">
        <v>0</v>
      </c>
      <c r="AJ130" s="707" t="n">
        <v>0</v>
      </c>
      <c r="AK130" s="707" t="n">
        <v>308</v>
      </c>
      <c r="AL130" s="707" t="n">
        <v>280</v>
      </c>
      <c r="AM130" s="513" t="n">
        <v>252</v>
      </c>
      <c r="AN130" s="707" t="n">
        <v>224</v>
      </c>
      <c r="AO130" s="707" t="n">
        <v>196</v>
      </c>
      <c r="AP130" s="707" t="n">
        <v>168</v>
      </c>
      <c r="AQ130" s="707" t="n">
        <v>140</v>
      </c>
      <c r="AR130" s="707" t="n">
        <v>112</v>
      </c>
      <c r="AS130" s="707" t="n">
        <v>84</v>
      </c>
      <c r="AT130" s="707" t="n">
        <v>56</v>
      </c>
      <c r="AU130" s="707" t="n">
        <v>28</v>
      </c>
      <c r="AV130" s="707" t="n">
        <v>0</v>
      </c>
      <c r="AW130" s="708" t="n">
        <v>0</v>
      </c>
      <c r="AX130" s="707" t="n">
        <v>308</v>
      </c>
      <c r="AY130" s="708">
        <f>AX130</f>
        <v/>
      </c>
      <c r="AZ130" s="707">
        <f>AY130</f>
        <v/>
      </c>
      <c r="BA130" s="707">
        <f>AZ130</f>
        <v/>
      </c>
      <c r="BB130" s="707">
        <f>BA130</f>
        <v/>
      </c>
      <c r="BC130" s="707">
        <f>BB130</f>
        <v/>
      </c>
      <c r="BD130" s="707">
        <f>BC130</f>
        <v/>
      </c>
      <c r="BE130" s="707">
        <f>BD130</f>
        <v/>
      </c>
      <c r="BF130" s="707">
        <f>BE130</f>
        <v/>
      </c>
      <c r="BG130" s="707">
        <f>BF130</f>
        <v/>
      </c>
      <c r="BH130" s="707">
        <f>BG130</f>
        <v/>
      </c>
      <c r="BI130" s="707">
        <f>BH130</f>
        <v/>
      </c>
      <c r="BJ130" s="707">
        <f>BI130</f>
        <v/>
      </c>
      <c r="BK130" s="708">
        <f>BJ130</f>
        <v/>
      </c>
      <c r="BL130" s="707">
        <f>BK130</f>
        <v/>
      </c>
      <c r="BM130" s="707">
        <f>BL130</f>
        <v/>
      </c>
      <c r="BN130" s="707">
        <f>BM130</f>
        <v/>
      </c>
      <c r="BO130" s="707">
        <f>BN130</f>
        <v/>
      </c>
      <c r="BP130" s="707">
        <f>BO130</f>
        <v/>
      </c>
      <c r="BQ130" s="707">
        <f>BP130</f>
        <v/>
      </c>
      <c r="BR130" s="707">
        <f>BQ130</f>
        <v/>
      </c>
      <c r="BS130" s="707">
        <f>BR130</f>
        <v/>
      </c>
      <c r="BT130" s="707">
        <f>BS130</f>
        <v/>
      </c>
      <c r="BU130" s="707">
        <f>BT130</f>
        <v/>
      </c>
      <c r="BV130" s="707">
        <f>BU130</f>
        <v/>
      </c>
      <c r="BW130" s="708">
        <f>BV130</f>
        <v/>
      </c>
      <c r="BX130" s="707">
        <f>BW130</f>
        <v/>
      </c>
      <c r="BY130" s="707">
        <f>BX130</f>
        <v/>
      </c>
      <c r="BZ130" s="707">
        <f>BY130</f>
        <v/>
      </c>
      <c r="CA130" s="707">
        <f>BZ130</f>
        <v/>
      </c>
      <c r="CB130" s="707">
        <f>CA130</f>
        <v/>
      </c>
      <c r="CC130" s="707">
        <f>CB130</f>
        <v/>
      </c>
      <c r="CD130" s="707">
        <f>CC130</f>
        <v/>
      </c>
      <c r="CE130" s="707">
        <f>CD130</f>
        <v/>
      </c>
      <c r="CF130" s="707">
        <f>CE130</f>
        <v/>
      </c>
      <c r="CG130" s="707">
        <f>CF130</f>
        <v/>
      </c>
      <c r="CH130" s="707">
        <f>CG130</f>
        <v/>
      </c>
      <c r="CI130" s="708">
        <f>CH130</f>
        <v/>
      </c>
      <c r="CJ130" s="707">
        <f>CI130</f>
        <v/>
      </c>
      <c r="CK130" s="707">
        <f>CJ130</f>
        <v/>
      </c>
      <c r="CL130" s="707">
        <f>CK130</f>
        <v/>
      </c>
      <c r="CM130" s="707">
        <f>CL130</f>
        <v/>
      </c>
      <c r="CN130" s="707">
        <f>CM130</f>
        <v/>
      </c>
      <c r="CO130" s="707">
        <f>CN130</f>
        <v/>
      </c>
      <c r="CP130" s="707">
        <f>CO130</f>
        <v/>
      </c>
      <c r="CQ130" s="707">
        <f>CP130</f>
        <v/>
      </c>
      <c r="CR130" s="707">
        <f>CQ130</f>
        <v/>
      </c>
      <c r="CS130" s="707">
        <f>CR130</f>
        <v/>
      </c>
      <c r="CT130" s="707">
        <f>CS130</f>
        <v/>
      </c>
      <c r="CU130" s="708">
        <f>CT130</f>
        <v/>
      </c>
      <c r="CV130" s="707">
        <f>CU130</f>
        <v/>
      </c>
      <c r="CW130" s="707">
        <f>CV130</f>
        <v/>
      </c>
      <c r="CX130" s="707">
        <f>CW130</f>
        <v/>
      </c>
      <c r="CY130" s="707">
        <f>CX130</f>
        <v/>
      </c>
      <c r="CZ130" s="707">
        <f>CY130</f>
        <v/>
      </c>
      <c r="DA130" s="707">
        <f>CZ130</f>
        <v/>
      </c>
      <c r="DB130" s="707">
        <f>DA130</f>
        <v/>
      </c>
      <c r="DC130" s="707">
        <f>DB130</f>
        <v/>
      </c>
      <c r="DD130" s="707">
        <f>DC130</f>
        <v/>
      </c>
      <c r="DE130" s="707">
        <f>DD130</f>
        <v/>
      </c>
      <c r="DF130" s="707">
        <f>DE130</f>
        <v/>
      </c>
      <c r="DG130" s="707">
        <f>DF130</f>
        <v/>
      </c>
    </row>
    <row r="131">
      <c r="B131" s="1" t="inlineStr">
        <is>
          <t xml:space="preserve">         Undeposited Funds</t>
        </is>
      </c>
      <c r="C131" s="1" t="n"/>
      <c r="D131" s="831" t="n"/>
      <c r="E131" s="831" t="n"/>
      <c r="F131" s="831" t="n"/>
      <c r="G131" s="831" t="n"/>
      <c r="H131" s="831" t="n"/>
      <c r="I131" s="831" t="n"/>
      <c r="J131" s="831" t="n"/>
      <c r="K131" s="831" t="n"/>
      <c r="L131" s="831" t="n"/>
      <c r="M131" s="831" t="n"/>
      <c r="O131" s="903" t="n"/>
      <c r="P131" s="707" t="n">
        <v>0</v>
      </c>
      <c r="Q131" s="707" t="n">
        <v>0</v>
      </c>
      <c r="R131" s="707" t="n">
        <v>0</v>
      </c>
      <c r="S131" s="707" t="n">
        <v>60</v>
      </c>
      <c r="T131" s="707" t="n">
        <v>86.25</v>
      </c>
      <c r="U131" s="707" t="n">
        <v>0</v>
      </c>
      <c r="V131" s="707" t="n">
        <v>0</v>
      </c>
      <c r="W131" s="707" t="n">
        <v>140</v>
      </c>
      <c r="X131" s="707" t="n">
        <v>240</v>
      </c>
      <c r="Y131" s="707" t="n">
        <v>0</v>
      </c>
      <c r="Z131" s="707" t="n">
        <v>172.5</v>
      </c>
      <c r="AA131" s="707" t="n">
        <v>0</v>
      </c>
      <c r="AB131" s="707" t="n">
        <v>60</v>
      </c>
      <c r="AC131" s="707" t="n">
        <v>60</v>
      </c>
      <c r="AD131" s="707" t="n">
        <v>222.5</v>
      </c>
      <c r="AE131" s="707" t="n">
        <v>60</v>
      </c>
      <c r="AF131" s="707" t="n">
        <v>135</v>
      </c>
      <c r="AG131" s="707" t="n">
        <v>78.75</v>
      </c>
      <c r="AH131" s="707" t="n">
        <v>187.5</v>
      </c>
      <c r="AI131" s="707" t="n">
        <v>322.5</v>
      </c>
      <c r="AJ131" s="707" t="n">
        <v>75</v>
      </c>
      <c r="AK131" s="707" t="n">
        <v>537.5</v>
      </c>
      <c r="AL131" s="707" t="n">
        <v>300</v>
      </c>
      <c r="AM131" s="513" t="n">
        <v>0</v>
      </c>
      <c r="AN131" s="707" t="n">
        <v>0</v>
      </c>
      <c r="AO131" s="707" t="n">
        <v>0</v>
      </c>
      <c r="AP131" s="707" t="n">
        <v>0</v>
      </c>
      <c r="AQ131" s="707" t="n">
        <v>0</v>
      </c>
      <c r="AR131" s="707" t="n">
        <v>0</v>
      </c>
      <c r="AS131" s="707" t="n">
        <v>0</v>
      </c>
      <c r="AT131" s="707" t="n">
        <v>225</v>
      </c>
      <c r="AU131" s="707" t="n">
        <v>0</v>
      </c>
      <c r="AV131" s="707" t="n">
        <v>0</v>
      </c>
      <c r="AW131" s="708" t="n">
        <v>0</v>
      </c>
      <c r="AX131" s="707" t="n">
        <v>0</v>
      </c>
      <c r="AY131" s="708" t="n">
        <v>0</v>
      </c>
      <c r="AZ131" s="707" t="n">
        <v>0</v>
      </c>
      <c r="BA131" s="707" t="n">
        <v>0</v>
      </c>
      <c r="BB131" s="707" t="n">
        <v>0</v>
      </c>
      <c r="BC131" s="707" t="n">
        <v>0</v>
      </c>
      <c r="BD131" s="707" t="n">
        <v>0</v>
      </c>
      <c r="BE131" s="707" t="n">
        <v>0</v>
      </c>
      <c r="BF131" s="707" t="n">
        <v>0</v>
      </c>
      <c r="BG131" s="707" t="n">
        <v>0</v>
      </c>
      <c r="BH131" s="707" t="n">
        <v>0</v>
      </c>
      <c r="BI131" s="707" t="n">
        <v>0</v>
      </c>
      <c r="BJ131" s="707" t="n">
        <v>0</v>
      </c>
      <c r="BK131" s="708" t="n">
        <v>0</v>
      </c>
      <c r="BL131" s="707" t="n">
        <v>0</v>
      </c>
      <c r="BM131" s="707" t="n">
        <v>0</v>
      </c>
      <c r="BN131" s="707" t="n">
        <v>0</v>
      </c>
      <c r="BO131" s="707" t="n">
        <v>0</v>
      </c>
      <c r="BP131" s="707" t="n">
        <v>0</v>
      </c>
      <c r="BQ131" s="707" t="n">
        <v>0</v>
      </c>
      <c r="BR131" s="707" t="n">
        <v>0</v>
      </c>
      <c r="BS131" s="707" t="n">
        <v>0</v>
      </c>
      <c r="BT131" s="707" t="n">
        <v>0</v>
      </c>
      <c r="BU131" s="707" t="n">
        <v>0</v>
      </c>
      <c r="BV131" s="707" t="n">
        <v>0</v>
      </c>
      <c r="BW131" s="708" t="n">
        <v>0</v>
      </c>
      <c r="BX131" s="707" t="n">
        <v>0</v>
      </c>
      <c r="BY131" s="707" t="n">
        <v>0</v>
      </c>
      <c r="BZ131" s="707" t="n">
        <v>0</v>
      </c>
      <c r="CA131" s="707" t="n">
        <v>0</v>
      </c>
      <c r="CB131" s="707" t="n">
        <v>0</v>
      </c>
      <c r="CC131" s="707" t="n">
        <v>0</v>
      </c>
      <c r="CD131" s="707" t="n">
        <v>0</v>
      </c>
      <c r="CE131" s="707" t="n">
        <v>0</v>
      </c>
      <c r="CF131" s="707" t="n">
        <v>0</v>
      </c>
      <c r="CG131" s="707" t="n">
        <v>0</v>
      </c>
      <c r="CH131" s="707" t="n">
        <v>0</v>
      </c>
      <c r="CI131" s="708" t="n">
        <v>0</v>
      </c>
      <c r="CJ131" s="707" t="n">
        <v>0</v>
      </c>
      <c r="CK131" s="707" t="n">
        <v>0</v>
      </c>
      <c r="CL131" s="707" t="n">
        <v>0</v>
      </c>
      <c r="CM131" s="707" t="n">
        <v>0</v>
      </c>
      <c r="CN131" s="707" t="n">
        <v>0</v>
      </c>
      <c r="CO131" s="707" t="n">
        <v>0</v>
      </c>
      <c r="CP131" s="707" t="n">
        <v>0</v>
      </c>
      <c r="CQ131" s="707" t="n">
        <v>0</v>
      </c>
      <c r="CR131" s="707" t="n">
        <v>0</v>
      </c>
      <c r="CS131" s="707" t="n">
        <v>0</v>
      </c>
      <c r="CT131" s="707" t="n">
        <v>0</v>
      </c>
      <c r="CU131" s="708" t="n">
        <v>0</v>
      </c>
      <c r="CV131" s="707" t="n">
        <v>0</v>
      </c>
      <c r="CW131" s="707" t="n">
        <v>0</v>
      </c>
      <c r="CX131" s="707" t="n">
        <v>0</v>
      </c>
      <c r="CY131" s="707" t="n">
        <v>0</v>
      </c>
      <c r="CZ131" s="707" t="n">
        <v>0</v>
      </c>
      <c r="DA131" s="707" t="n">
        <v>0</v>
      </c>
      <c r="DB131" s="707" t="n">
        <v>0</v>
      </c>
      <c r="DC131" s="707" t="n">
        <v>0</v>
      </c>
      <c r="DD131" s="707" t="n">
        <v>0</v>
      </c>
      <c r="DE131" s="707" t="n">
        <v>0</v>
      </c>
      <c r="DF131" s="707" t="n">
        <v>0</v>
      </c>
      <c r="DG131" s="707" t="n">
        <v>0</v>
      </c>
    </row>
    <row r="132" customFormat="1" s="822">
      <c r="B132" s="822" t="inlineStr">
        <is>
          <t xml:space="preserve">   Total Other Current Assets</t>
        </is>
      </c>
      <c r="P132" s="822">
        <f>+SUM(P130:P131)</f>
        <v/>
      </c>
      <c r="Q132" s="822">
        <f>+SUM(Q130:Q131)</f>
        <v/>
      </c>
      <c r="R132" s="822">
        <f>+SUM(R130:R131)</f>
        <v/>
      </c>
      <c r="S132" s="822">
        <f>+SUM(S130:S131)</f>
        <v/>
      </c>
      <c r="T132" s="822">
        <f>+SUM(T130:T131)</f>
        <v/>
      </c>
      <c r="U132" s="822">
        <f>+SUM(U130:U131)</f>
        <v/>
      </c>
      <c r="V132" s="822">
        <f>+SUM(V130:V131)</f>
        <v/>
      </c>
      <c r="W132" s="822">
        <f>+SUM(W130:W131)</f>
        <v/>
      </c>
      <c r="X132" s="822">
        <f>+SUM(X130:X131)</f>
        <v/>
      </c>
      <c r="Y132" s="822">
        <f>+SUM(Y130:Y131)</f>
        <v/>
      </c>
      <c r="Z132" s="822">
        <f>+SUM(Z130:Z131)</f>
        <v/>
      </c>
      <c r="AA132" s="822">
        <f>+SUM(AA130:AA131)</f>
        <v/>
      </c>
      <c r="AB132" s="822">
        <f>SUM(AB128:AB131)</f>
        <v/>
      </c>
      <c r="AC132" s="822">
        <f>SUM(AC128:AC131)</f>
        <v/>
      </c>
      <c r="AD132" s="822">
        <f>SUM(AD128:AD131)</f>
        <v/>
      </c>
      <c r="AE132" s="822">
        <f>SUM(AE128:AE131)</f>
        <v/>
      </c>
      <c r="AF132" s="822">
        <f>SUM(AF128:AF131)</f>
        <v/>
      </c>
      <c r="AG132" s="822">
        <f>SUM(AG128:AG131)</f>
        <v/>
      </c>
      <c r="AH132" s="822">
        <f>SUM(AH128:AH131)</f>
        <v/>
      </c>
      <c r="AI132" s="822">
        <f>SUM(AI128:AI131)</f>
        <v/>
      </c>
      <c r="AJ132" s="822">
        <f>SUM(AJ128:AJ131)</f>
        <v/>
      </c>
      <c r="AK132" s="822">
        <f>SUM(AK128:AK131)</f>
        <v/>
      </c>
      <c r="AL132" s="822">
        <f>SUM(AL128:AL131)</f>
        <v/>
      </c>
      <c r="AM132" s="823">
        <f>SUM(AM128:AM131)</f>
        <v/>
      </c>
      <c r="AN132" s="822">
        <f>SUM(AN128:AN131)</f>
        <v/>
      </c>
      <c r="AO132" s="822">
        <f>SUM(AO128:AO131)</f>
        <v/>
      </c>
      <c r="AP132" s="822">
        <f>SUM(AP128:AP131)</f>
        <v/>
      </c>
      <c r="AQ132" s="822">
        <f>SUM(AQ128:AQ131)</f>
        <v/>
      </c>
      <c r="AR132" s="822">
        <f>SUM(AR128:AR131)</f>
        <v/>
      </c>
      <c r="AS132" s="822">
        <f>SUM(AS128:AS131)</f>
        <v/>
      </c>
      <c r="AT132" s="822">
        <f>SUM(AT128:AT131)</f>
        <v/>
      </c>
      <c r="AU132" s="822">
        <f>SUM(AU128:AU131)</f>
        <v/>
      </c>
      <c r="AV132" s="822">
        <f>SUM(AV128:AV131)</f>
        <v/>
      </c>
      <c r="AW132" s="829">
        <f>SUM(AW128:AW131)</f>
        <v/>
      </c>
      <c r="AX132" s="822">
        <f>SUM(AX128:AX131)</f>
        <v/>
      </c>
      <c r="AY132" s="829">
        <f>SUM(AY128:AY131)</f>
        <v/>
      </c>
      <c r="AZ132" s="822">
        <f>SUM(AZ128:AZ131)</f>
        <v/>
      </c>
      <c r="BA132" s="822">
        <f>SUM(BA128:BA131)</f>
        <v/>
      </c>
      <c r="BB132" s="822">
        <f>SUM(BB128:BB131)</f>
        <v/>
      </c>
      <c r="BC132" s="822">
        <f>SUM(BC128:BC131)</f>
        <v/>
      </c>
      <c r="BD132" s="822">
        <f>SUM(BD128:BD131)</f>
        <v/>
      </c>
      <c r="BE132" s="822">
        <f>SUM(BE128:BE131)</f>
        <v/>
      </c>
      <c r="BF132" s="822">
        <f>SUM(BF128:BF131)</f>
        <v/>
      </c>
      <c r="BG132" s="822">
        <f>SUM(BG128:BG131)</f>
        <v/>
      </c>
      <c r="BH132" s="822">
        <f>SUM(BH128:BH131)</f>
        <v/>
      </c>
      <c r="BI132" s="822">
        <f>SUM(BI128:BI131)</f>
        <v/>
      </c>
      <c r="BJ132" s="822">
        <f>SUM(BJ128:BJ131)</f>
        <v/>
      </c>
      <c r="BK132" s="829">
        <f>SUM(BK128:BK131)</f>
        <v/>
      </c>
      <c r="BL132" s="822">
        <f>SUM(BL128:BL131)</f>
        <v/>
      </c>
      <c r="BM132" s="822">
        <f>SUM(BM128:BM131)</f>
        <v/>
      </c>
      <c r="BN132" s="822">
        <f>SUM(BN128:BN131)</f>
        <v/>
      </c>
      <c r="BO132" s="822">
        <f>SUM(BO128:BO131)</f>
        <v/>
      </c>
      <c r="BP132" s="822">
        <f>SUM(BP128:BP131)</f>
        <v/>
      </c>
      <c r="BQ132" s="822">
        <f>SUM(BQ128:BQ131)</f>
        <v/>
      </c>
      <c r="BR132" s="822">
        <f>SUM(BR128:BR131)</f>
        <v/>
      </c>
      <c r="BS132" s="822">
        <f>SUM(BS128:BS131)</f>
        <v/>
      </c>
      <c r="BT132" s="822">
        <f>SUM(BT128:BT131)</f>
        <v/>
      </c>
      <c r="BU132" s="822">
        <f>SUM(BU128:BU131)</f>
        <v/>
      </c>
      <c r="BV132" s="822">
        <f>SUM(BV128:BV131)</f>
        <v/>
      </c>
      <c r="BW132" s="829">
        <f>SUM(BW128:BW131)</f>
        <v/>
      </c>
      <c r="BX132" s="822">
        <f>SUM(BX128:BX131)</f>
        <v/>
      </c>
      <c r="BY132" s="822">
        <f>SUM(BY128:BY131)</f>
        <v/>
      </c>
      <c r="BZ132" s="822">
        <f>SUM(BZ128:BZ131)</f>
        <v/>
      </c>
      <c r="CA132" s="822">
        <f>SUM(CA128:CA131)</f>
        <v/>
      </c>
      <c r="CB132" s="822">
        <f>SUM(CB128:CB131)</f>
        <v/>
      </c>
      <c r="CC132" s="822">
        <f>SUM(CC128:CC131)</f>
        <v/>
      </c>
      <c r="CD132" s="822">
        <f>SUM(CD128:CD131)</f>
        <v/>
      </c>
      <c r="CE132" s="822">
        <f>SUM(CE128:CE131)</f>
        <v/>
      </c>
      <c r="CF132" s="822">
        <f>SUM(CF128:CF131)</f>
        <v/>
      </c>
      <c r="CG132" s="822">
        <f>SUM(CG128:CG131)</f>
        <v/>
      </c>
      <c r="CH132" s="822">
        <f>SUM(CH128:CH131)</f>
        <v/>
      </c>
      <c r="CI132" s="829">
        <f>SUM(CI128:CI131)</f>
        <v/>
      </c>
      <c r="CJ132" s="822">
        <f>SUM(CJ128:CJ131)</f>
        <v/>
      </c>
      <c r="CK132" s="822">
        <f>SUM(CK128:CK131)</f>
        <v/>
      </c>
      <c r="CL132" s="822">
        <f>SUM(CL128:CL131)</f>
        <v/>
      </c>
      <c r="CM132" s="822">
        <f>SUM(CM128:CM131)</f>
        <v/>
      </c>
      <c r="CN132" s="822">
        <f>SUM(CN128:CN131)</f>
        <v/>
      </c>
      <c r="CO132" s="822">
        <f>SUM(CO128:CO131)</f>
        <v/>
      </c>
      <c r="CP132" s="822">
        <f>SUM(CP128:CP131)</f>
        <v/>
      </c>
      <c r="CQ132" s="822">
        <f>SUM(CQ128:CQ131)</f>
        <v/>
      </c>
      <c r="CR132" s="822">
        <f>SUM(CR128:CR131)</f>
        <v/>
      </c>
      <c r="CS132" s="822">
        <f>SUM(CS128:CS131)</f>
        <v/>
      </c>
      <c r="CT132" s="822">
        <f>SUM(CT128:CT131)</f>
        <v/>
      </c>
      <c r="CU132" s="829">
        <f>SUM(CU128:CU131)</f>
        <v/>
      </c>
      <c r="CV132" s="822">
        <f>SUM(CV128:CV131)</f>
        <v/>
      </c>
      <c r="CW132" s="822">
        <f>SUM(CW128:CW131)</f>
        <v/>
      </c>
      <c r="CX132" s="822">
        <f>SUM(CX128:CX131)</f>
        <v/>
      </c>
      <c r="CY132" s="822">
        <f>SUM(CY128:CY131)</f>
        <v/>
      </c>
      <c r="CZ132" s="822">
        <f>SUM(CZ128:CZ131)</f>
        <v/>
      </c>
      <c r="DA132" s="822">
        <f>SUM(DA128:DA131)</f>
        <v/>
      </c>
      <c r="DB132" s="822">
        <f>SUM(DB128:DB131)</f>
        <v/>
      </c>
      <c r="DC132" s="822">
        <f>SUM(DC128:DC131)</f>
        <v/>
      </c>
      <c r="DD132" s="822">
        <f>SUM(DD128:DD131)</f>
        <v/>
      </c>
      <c r="DE132" s="822">
        <f>SUM(DE128:DE131)</f>
        <v/>
      </c>
      <c r="DF132" s="822">
        <f>SUM(DF128:DF131)</f>
        <v/>
      </c>
      <c r="DG132" s="822">
        <f>SUM(DG128:DG131)</f>
        <v/>
      </c>
    </row>
    <row r="133" customFormat="1" s="5">
      <c r="B133" s="1" t="inlineStr">
        <is>
          <t xml:space="preserve">   Total Current Assets</t>
        </is>
      </c>
      <c r="C133" s="1" t="n"/>
      <c r="D133" s="906">
        <f>(D122)+(D125)</f>
        <v/>
      </c>
      <c r="E133" s="906">
        <f>(E122)+(E125)</f>
        <v/>
      </c>
      <c r="F133" s="906">
        <f>(F122)+(F125)</f>
        <v/>
      </c>
      <c r="G133" s="906">
        <f>(G122)+(G125)</f>
        <v/>
      </c>
      <c r="H133" s="906">
        <f>(H122)+(H125)</f>
        <v/>
      </c>
      <c r="I133" s="906">
        <f>(I122)+(I125)</f>
        <v/>
      </c>
      <c r="J133" s="906">
        <f>(J122)+(J125)</f>
        <v/>
      </c>
      <c r="K133" s="906">
        <f>K125+K122</f>
        <v/>
      </c>
      <c r="L133" s="906">
        <f>L125+L122</f>
        <v/>
      </c>
      <c r="M133" s="906">
        <f>M125+M122</f>
        <v/>
      </c>
      <c r="N133" s="831">
        <f>N125+N122</f>
        <v/>
      </c>
      <c r="O133" s="831">
        <f>O125+O122</f>
        <v/>
      </c>
      <c r="P133" s="831">
        <f>P125+P122+P132</f>
        <v/>
      </c>
      <c r="Q133" s="831">
        <f>Q125+Q122+Q132</f>
        <v/>
      </c>
      <c r="R133" s="831">
        <f>R125+R122+R132</f>
        <v/>
      </c>
      <c r="S133" s="831">
        <f>S125+S122+S132</f>
        <v/>
      </c>
      <c r="T133" s="831">
        <f>T125+T122+T132</f>
        <v/>
      </c>
      <c r="U133" s="831">
        <f>U125+U122+U132</f>
        <v/>
      </c>
      <c r="V133" s="831">
        <f>V125+V122+V132</f>
        <v/>
      </c>
      <c r="W133" s="831">
        <f>W125+W122+W132</f>
        <v/>
      </c>
      <c r="X133" s="831">
        <f>X125+X122+X132</f>
        <v/>
      </c>
      <c r="Y133" s="831">
        <f>Y125+Y122+Y132</f>
        <v/>
      </c>
      <c r="Z133" s="831">
        <f>Z125+Z122+Z132</f>
        <v/>
      </c>
      <c r="AA133" s="831">
        <f>AA125+AA122+AA132</f>
        <v/>
      </c>
      <c r="AB133" s="831">
        <f>AB125+AB122+AB132</f>
        <v/>
      </c>
      <c r="AC133" s="831">
        <f>AC125+AC122+AC132</f>
        <v/>
      </c>
      <c r="AD133" s="831">
        <f>AD125+AD122+AD132</f>
        <v/>
      </c>
      <c r="AE133" s="831">
        <f>AE125+AE122+AE132</f>
        <v/>
      </c>
      <c r="AF133" s="831">
        <f>AF125+AF122+AF132</f>
        <v/>
      </c>
      <c r="AG133" s="831">
        <f>AG125+AG122+AG132</f>
        <v/>
      </c>
      <c r="AH133" s="831">
        <f>AH125+AH122+AH132</f>
        <v/>
      </c>
      <c r="AI133" s="831">
        <f>AI125+AI122+AI132</f>
        <v/>
      </c>
      <c r="AJ133" s="831">
        <f>AJ125+AJ122+AJ132</f>
        <v/>
      </c>
      <c r="AK133" s="831">
        <f>AK125+AK122+AK132</f>
        <v/>
      </c>
      <c r="AL133" s="831">
        <f>AL125+AL122+AL132</f>
        <v/>
      </c>
      <c r="AM133" s="832">
        <f>AM125+AM122+AM132</f>
        <v/>
      </c>
      <c r="AN133" s="831">
        <f>AN125+AN122+AN132</f>
        <v/>
      </c>
      <c r="AO133" s="831">
        <f>AO125+AO122+AO132</f>
        <v/>
      </c>
      <c r="AP133" s="831">
        <f>AP125+AP122+AP132</f>
        <v/>
      </c>
      <c r="AQ133" s="831">
        <f>AQ125+AQ122+AQ132</f>
        <v/>
      </c>
      <c r="AR133" s="831">
        <f>AR125+AR122+AR132</f>
        <v/>
      </c>
      <c r="AS133" s="831">
        <f>AS125+AS122+AS132</f>
        <v/>
      </c>
      <c r="AT133" s="831">
        <f>AT125+AT122+AT132</f>
        <v/>
      </c>
      <c r="AU133" s="831">
        <f>AU125+AU122+AU132</f>
        <v/>
      </c>
      <c r="AV133" s="831">
        <f>AV125+AV122+AV132</f>
        <v/>
      </c>
      <c r="AW133" s="833">
        <f>AW125+AW122+AW132</f>
        <v/>
      </c>
      <c r="AX133" s="831">
        <f>AX125+AX122+AX132</f>
        <v/>
      </c>
      <c r="AY133" s="833">
        <f>AY125+AY122+AY132</f>
        <v/>
      </c>
      <c r="AZ133" s="831">
        <f>AZ125+AZ122+AZ132</f>
        <v/>
      </c>
      <c r="BA133" s="831">
        <f>BA125+BA122+BA132</f>
        <v/>
      </c>
      <c r="BB133" s="831">
        <f>BB125+BB122+BB132</f>
        <v/>
      </c>
      <c r="BC133" s="831">
        <f>BC125+BC122+BC132</f>
        <v/>
      </c>
      <c r="BD133" s="831">
        <f>BD125+BD122+BD132</f>
        <v/>
      </c>
      <c r="BE133" s="831">
        <f>BE125+BE122+BE132</f>
        <v/>
      </c>
      <c r="BF133" s="831">
        <f>BF125+BF122+BF132</f>
        <v/>
      </c>
      <c r="BG133" s="831">
        <f>BG125+BG122+BG132</f>
        <v/>
      </c>
      <c r="BH133" s="831">
        <f>BH125+BH122+BH132</f>
        <v/>
      </c>
      <c r="BI133" s="831">
        <f>BI125+BI122+BI132</f>
        <v/>
      </c>
      <c r="BJ133" s="831">
        <f>BJ125+BJ122+BJ132</f>
        <v/>
      </c>
      <c r="BK133" s="833">
        <f>BK125+BK122+BK132</f>
        <v/>
      </c>
      <c r="BL133" s="831">
        <f>BL125+BL122+BL132</f>
        <v/>
      </c>
      <c r="BM133" s="831">
        <f>BM125+BM122+BM132</f>
        <v/>
      </c>
      <c r="BN133" s="831">
        <f>BN125+BN122+BN132</f>
        <v/>
      </c>
      <c r="BO133" s="831">
        <f>BO125+BO122+BO132</f>
        <v/>
      </c>
      <c r="BP133" s="831">
        <f>BP125+BP122+BP132</f>
        <v/>
      </c>
      <c r="BQ133" s="831">
        <f>BQ125+BQ122+BQ132</f>
        <v/>
      </c>
      <c r="BR133" s="831">
        <f>BR125+BR122+BR132</f>
        <v/>
      </c>
      <c r="BS133" s="831">
        <f>BS125+BS122+BS132</f>
        <v/>
      </c>
      <c r="BT133" s="831">
        <f>BT125+BT122+BT132</f>
        <v/>
      </c>
      <c r="BU133" s="831">
        <f>BU125+BU122+BU132</f>
        <v/>
      </c>
      <c r="BV133" s="831">
        <f>BV125+BV122+BV132</f>
        <v/>
      </c>
      <c r="BW133" s="833">
        <f>BW125+BW122+BW132</f>
        <v/>
      </c>
      <c r="BX133" s="831">
        <f>BX125+BX122+BX132</f>
        <v/>
      </c>
      <c r="BY133" s="831">
        <f>BY125+BY122+BY132</f>
        <v/>
      </c>
      <c r="BZ133" s="831">
        <f>BZ125+BZ122+BZ132</f>
        <v/>
      </c>
      <c r="CA133" s="831">
        <f>CA125+CA122+CA132</f>
        <v/>
      </c>
      <c r="CB133" s="831">
        <f>CB125+CB122+CB132</f>
        <v/>
      </c>
      <c r="CC133" s="831">
        <f>CC125+CC122+CC132</f>
        <v/>
      </c>
      <c r="CD133" s="831">
        <f>CD125+CD122+CD132</f>
        <v/>
      </c>
      <c r="CE133" s="831">
        <f>CE125+CE122+CE132</f>
        <v/>
      </c>
      <c r="CF133" s="831">
        <f>CF125+CF122+CF132</f>
        <v/>
      </c>
      <c r="CG133" s="831">
        <f>CG125+CG122+CG132</f>
        <v/>
      </c>
      <c r="CH133" s="831">
        <f>CH125+CH122+CH132</f>
        <v/>
      </c>
      <c r="CI133" s="833">
        <f>CI125+CI122+CI132</f>
        <v/>
      </c>
      <c r="CJ133" s="831">
        <f>CJ125+CJ122+CJ132</f>
        <v/>
      </c>
      <c r="CK133" s="831">
        <f>CK125+CK122+CK132</f>
        <v/>
      </c>
      <c r="CL133" s="831">
        <f>CL125+CL122+CL132</f>
        <v/>
      </c>
      <c r="CM133" s="831">
        <f>CM125+CM122+CM132</f>
        <v/>
      </c>
      <c r="CN133" s="831">
        <f>CN125+CN122+CN132</f>
        <v/>
      </c>
      <c r="CO133" s="831">
        <f>CO125+CO122+CO132</f>
        <v/>
      </c>
      <c r="CP133" s="831">
        <f>CP125+CP122+CP132</f>
        <v/>
      </c>
      <c r="CQ133" s="831">
        <f>CQ125+CQ122+CQ132</f>
        <v/>
      </c>
      <c r="CR133" s="831">
        <f>CR125+CR122+CR132</f>
        <v/>
      </c>
      <c r="CS133" s="831">
        <f>CS125+CS122+CS132</f>
        <v/>
      </c>
      <c r="CT133" s="831">
        <f>CT125+CT122+CT132</f>
        <v/>
      </c>
      <c r="CU133" s="833">
        <f>CU125+CU122+CU132</f>
        <v/>
      </c>
      <c r="CV133" s="831">
        <f>CV125+CV122+CV132</f>
        <v/>
      </c>
      <c r="CW133" s="831">
        <f>CW125+CW122+CW132</f>
        <v/>
      </c>
      <c r="CX133" s="831">
        <f>CX125+CX122+CX132</f>
        <v/>
      </c>
      <c r="CY133" s="831">
        <f>CY125+CY122+CY132</f>
        <v/>
      </c>
      <c r="CZ133" s="831">
        <f>CZ125+CZ122+CZ132</f>
        <v/>
      </c>
      <c r="DA133" s="831">
        <f>DA125+DA122+DA132</f>
        <v/>
      </c>
      <c r="DB133" s="831">
        <f>DB125+DB122+DB132</f>
        <v/>
      </c>
      <c r="DC133" s="831">
        <f>DC125+DC122+DC132</f>
        <v/>
      </c>
      <c r="DD133" s="831">
        <f>DD125+DD122+DD132</f>
        <v/>
      </c>
      <c r="DE133" s="831">
        <f>DE125+DE122+DE132</f>
        <v/>
      </c>
      <c r="DF133" s="831">
        <f>DF125+DF122+DF132</f>
        <v/>
      </c>
      <c r="DG133" s="831">
        <f>DG125+DG122+DG132</f>
        <v/>
      </c>
    </row>
    <row r="134" customFormat="1" s="822">
      <c r="B134" s="822" t="inlineStr">
        <is>
          <t>TOTAL ASSETS</t>
        </is>
      </c>
      <c r="D134" s="822">
        <f>D133</f>
        <v/>
      </c>
      <c r="E134" s="822">
        <f>E133</f>
        <v/>
      </c>
      <c r="F134" s="822">
        <f>F133</f>
        <v/>
      </c>
      <c r="G134" s="822">
        <f>G133</f>
        <v/>
      </c>
      <c r="H134" s="822">
        <f>H133</f>
        <v/>
      </c>
      <c r="I134" s="822">
        <f>I133</f>
        <v/>
      </c>
      <c r="J134" s="822">
        <f>J133</f>
        <v/>
      </c>
      <c r="K134" s="822">
        <f>K133</f>
        <v/>
      </c>
      <c r="L134" s="822">
        <f>L133</f>
        <v/>
      </c>
      <c r="M134" s="822">
        <f>M133</f>
        <v/>
      </c>
      <c r="N134" s="822">
        <f>N133</f>
        <v/>
      </c>
      <c r="O134" s="822">
        <f>O133</f>
        <v/>
      </c>
      <c r="P134" s="822">
        <f>P133</f>
        <v/>
      </c>
      <c r="Q134" s="822">
        <f>Q133</f>
        <v/>
      </c>
      <c r="R134" s="822">
        <f>R133</f>
        <v/>
      </c>
      <c r="S134" s="822">
        <f>S133</f>
        <v/>
      </c>
      <c r="T134" s="822">
        <f>T133</f>
        <v/>
      </c>
      <c r="U134" s="822">
        <f>U133</f>
        <v/>
      </c>
      <c r="V134" s="822">
        <f>V133</f>
        <v/>
      </c>
      <c r="W134" s="822">
        <f>W133</f>
        <v/>
      </c>
      <c r="X134" s="822">
        <f>X133</f>
        <v/>
      </c>
      <c r="Y134" s="822">
        <f>Y133</f>
        <v/>
      </c>
      <c r="Z134" s="822">
        <f>Z133</f>
        <v/>
      </c>
      <c r="AA134" s="822">
        <f>AA133</f>
        <v/>
      </c>
      <c r="AB134" s="822">
        <f>AB133</f>
        <v/>
      </c>
      <c r="AC134" s="822">
        <f>AC133</f>
        <v/>
      </c>
      <c r="AD134" s="822">
        <f>AD133</f>
        <v/>
      </c>
      <c r="AE134" s="822">
        <f>AE133</f>
        <v/>
      </c>
      <c r="AF134" s="822">
        <f>AF133</f>
        <v/>
      </c>
      <c r="AG134" s="822">
        <f>AG133</f>
        <v/>
      </c>
      <c r="AH134" s="822">
        <f>AH133</f>
        <v/>
      </c>
      <c r="AI134" s="822">
        <f>AI133</f>
        <v/>
      </c>
      <c r="AJ134" s="822">
        <f>AJ133</f>
        <v/>
      </c>
      <c r="AK134" s="822">
        <f>AK133</f>
        <v/>
      </c>
      <c r="AL134" s="822">
        <f>AL133</f>
        <v/>
      </c>
      <c r="AM134" s="823">
        <f>AM133</f>
        <v/>
      </c>
      <c r="AN134" s="822">
        <f>AN133</f>
        <v/>
      </c>
      <c r="AO134" s="822">
        <f>AO133</f>
        <v/>
      </c>
      <c r="AP134" s="822">
        <f>AP133</f>
        <v/>
      </c>
      <c r="AQ134" s="822">
        <f>AQ133</f>
        <v/>
      </c>
      <c r="AR134" s="822">
        <f>AR133</f>
        <v/>
      </c>
      <c r="AS134" s="822">
        <f>AS133</f>
        <v/>
      </c>
      <c r="AT134" s="822">
        <f>AT133</f>
        <v/>
      </c>
      <c r="AU134" s="822">
        <f>AU133</f>
        <v/>
      </c>
      <c r="AV134" s="822">
        <f>AV133</f>
        <v/>
      </c>
      <c r="AW134" s="829">
        <f>AW133</f>
        <v/>
      </c>
      <c r="AX134" s="822">
        <f>AX133</f>
        <v/>
      </c>
      <c r="AY134" s="829">
        <f>AY133</f>
        <v/>
      </c>
      <c r="AZ134" s="822">
        <f>AZ133</f>
        <v/>
      </c>
      <c r="BA134" s="822">
        <f>BA133</f>
        <v/>
      </c>
      <c r="BB134" s="822">
        <f>BB133</f>
        <v/>
      </c>
      <c r="BC134" s="822">
        <f>BC133</f>
        <v/>
      </c>
      <c r="BD134" s="822">
        <f>BD133</f>
        <v/>
      </c>
      <c r="BE134" s="822">
        <f>BE133</f>
        <v/>
      </c>
      <c r="BF134" s="822">
        <f>BF133</f>
        <v/>
      </c>
      <c r="BG134" s="822">
        <f>BG133</f>
        <v/>
      </c>
      <c r="BH134" s="822">
        <f>BH133</f>
        <v/>
      </c>
      <c r="BI134" s="822">
        <f>BI133</f>
        <v/>
      </c>
      <c r="BJ134" s="822">
        <f>BJ133</f>
        <v/>
      </c>
      <c r="BK134" s="829">
        <f>BK133</f>
        <v/>
      </c>
      <c r="BL134" s="822">
        <f>BL133</f>
        <v/>
      </c>
      <c r="BM134" s="822">
        <f>BM133</f>
        <v/>
      </c>
      <c r="BN134" s="822">
        <f>BN133</f>
        <v/>
      </c>
      <c r="BO134" s="822">
        <f>BO133</f>
        <v/>
      </c>
      <c r="BP134" s="822">
        <f>BP133</f>
        <v/>
      </c>
      <c r="BQ134" s="822">
        <f>BQ133</f>
        <v/>
      </c>
      <c r="BR134" s="822">
        <f>BR133</f>
        <v/>
      </c>
      <c r="BS134" s="822">
        <f>BS133</f>
        <v/>
      </c>
      <c r="BT134" s="822">
        <f>BT133</f>
        <v/>
      </c>
      <c r="BU134" s="822">
        <f>BU133</f>
        <v/>
      </c>
      <c r="BV134" s="822">
        <f>BV133</f>
        <v/>
      </c>
      <c r="BW134" s="829">
        <f>BW133</f>
        <v/>
      </c>
      <c r="BX134" s="822">
        <f>BX133</f>
        <v/>
      </c>
      <c r="BY134" s="822">
        <f>BY133</f>
        <v/>
      </c>
      <c r="BZ134" s="822">
        <f>BZ133</f>
        <v/>
      </c>
      <c r="CA134" s="822">
        <f>CA133</f>
        <v/>
      </c>
      <c r="CB134" s="822">
        <f>CB133</f>
        <v/>
      </c>
      <c r="CC134" s="822">
        <f>CC133</f>
        <v/>
      </c>
      <c r="CD134" s="822">
        <f>CD133</f>
        <v/>
      </c>
      <c r="CE134" s="822">
        <f>CE133</f>
        <v/>
      </c>
      <c r="CF134" s="822">
        <f>CF133</f>
        <v/>
      </c>
      <c r="CG134" s="822">
        <f>CG133</f>
        <v/>
      </c>
      <c r="CH134" s="822">
        <f>CH133</f>
        <v/>
      </c>
      <c r="CI134" s="829">
        <f>CI133</f>
        <v/>
      </c>
      <c r="CJ134" s="822">
        <f>CJ133</f>
        <v/>
      </c>
      <c r="CK134" s="822">
        <f>CK133</f>
        <v/>
      </c>
      <c r="CL134" s="822">
        <f>CL133</f>
        <v/>
      </c>
      <c r="CM134" s="822">
        <f>CM133</f>
        <v/>
      </c>
      <c r="CN134" s="822">
        <f>CN133</f>
        <v/>
      </c>
      <c r="CO134" s="822">
        <f>CO133</f>
        <v/>
      </c>
      <c r="CP134" s="822">
        <f>CP133</f>
        <v/>
      </c>
      <c r="CQ134" s="822">
        <f>CQ133</f>
        <v/>
      </c>
      <c r="CR134" s="822">
        <f>CR133</f>
        <v/>
      </c>
      <c r="CS134" s="822">
        <f>CS133</f>
        <v/>
      </c>
      <c r="CT134" s="822">
        <f>CT133</f>
        <v/>
      </c>
      <c r="CU134" s="829">
        <f>CU133</f>
        <v/>
      </c>
      <c r="CV134" s="822">
        <f>CV133</f>
        <v/>
      </c>
      <c r="CW134" s="822">
        <f>CW133</f>
        <v/>
      </c>
      <c r="CX134" s="822">
        <f>CX133</f>
        <v/>
      </c>
      <c r="CY134" s="822">
        <f>CY133</f>
        <v/>
      </c>
      <c r="CZ134" s="822">
        <f>CZ133</f>
        <v/>
      </c>
      <c r="DA134" s="822">
        <f>DA133</f>
        <v/>
      </c>
      <c r="DB134" s="822">
        <f>DB133</f>
        <v/>
      </c>
      <c r="DC134" s="822">
        <f>DC133</f>
        <v/>
      </c>
      <c r="DD134" s="822">
        <f>DD133</f>
        <v/>
      </c>
      <c r="DE134" s="822">
        <f>DE133</f>
        <v/>
      </c>
      <c r="DF134" s="822">
        <f>DF133</f>
        <v/>
      </c>
      <c r="DG134" s="822">
        <f>DG133</f>
        <v/>
      </c>
    </row>
    <row r="135">
      <c r="B135" s="1" t="inlineStr">
        <is>
          <t>LIABILITIES AND EQUITY</t>
        </is>
      </c>
      <c r="C135" s="1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570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597" t="n"/>
      <c r="AY135" s="184" t="n"/>
      <c r="BK135" s="184" t="n"/>
      <c r="BW135" s="184" t="n"/>
      <c r="CI135" s="184" t="n"/>
      <c r="CU135" s="184" t="n"/>
    </row>
    <row r="136">
      <c r="B136" s="1" t="inlineStr">
        <is>
          <t xml:space="preserve">   Liabilities</t>
        </is>
      </c>
      <c r="C136" s="1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570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597" t="n"/>
      <c r="AY136" s="184" t="n"/>
      <c r="BK136" s="184" t="n"/>
      <c r="BW136" s="184" t="n"/>
      <c r="CI136" s="184" t="n"/>
      <c r="CU136" s="184" t="n"/>
    </row>
    <row r="137" customFormat="1" s="29">
      <c r="B137" s="1" t="inlineStr">
        <is>
          <t xml:space="preserve">      70100 Accounts Payable</t>
        </is>
      </c>
      <c r="C137" s="1" t="n"/>
      <c r="D137" s="2" t="n"/>
      <c r="E137" s="2" t="n"/>
      <c r="F137" s="2" t="n"/>
      <c r="G137" s="2" t="n"/>
      <c r="H137" s="2" t="n"/>
      <c r="I137" s="2" t="n"/>
      <c r="J137" s="707" t="n">
        <v>0</v>
      </c>
      <c r="K137" s="707" t="n">
        <v>0</v>
      </c>
      <c r="L137" s="707" t="n">
        <v>0</v>
      </c>
      <c r="M137" s="707" t="n">
        <v>0</v>
      </c>
      <c r="N137" s="707" t="n">
        <v>0</v>
      </c>
      <c r="O137" s="707" t="n">
        <v>0</v>
      </c>
      <c r="P137" s="707" t="n">
        <v>75</v>
      </c>
      <c r="Q137" s="707" t="n">
        <v>75</v>
      </c>
      <c r="R137" s="707" t="n">
        <v>0</v>
      </c>
      <c r="S137" s="707" t="n">
        <v>75</v>
      </c>
      <c r="T137" s="707" t="n">
        <v>0</v>
      </c>
      <c r="U137" s="707" t="n">
        <v>225</v>
      </c>
      <c r="V137" s="707" t="n">
        <v>300</v>
      </c>
      <c r="W137" s="707" t="n">
        <v>375</v>
      </c>
      <c r="X137" s="707" t="n">
        <v>225</v>
      </c>
      <c r="Y137" s="707" t="n">
        <v>75</v>
      </c>
      <c r="Z137" s="707" t="n">
        <v>150</v>
      </c>
      <c r="AA137" s="707" t="n">
        <v>225</v>
      </c>
      <c r="AB137" s="707" t="n">
        <v>75</v>
      </c>
      <c r="AC137" s="707" t="n">
        <v>112.5</v>
      </c>
      <c r="AD137" s="707" t="n">
        <v>225</v>
      </c>
      <c r="AE137" s="707" t="n">
        <v>300</v>
      </c>
      <c r="AF137" s="707" t="n">
        <v>217.47</v>
      </c>
      <c r="AG137" s="707" t="n">
        <v>940.26</v>
      </c>
      <c r="AH137" s="707" t="n">
        <v>1632.37</v>
      </c>
      <c r="AI137" s="707" t="n">
        <v>1297.12</v>
      </c>
      <c r="AJ137" s="707" t="n">
        <v>1225.47</v>
      </c>
      <c r="AK137" s="707" t="n">
        <v>1524.87</v>
      </c>
      <c r="AL137" s="707" t="n">
        <v>933.28</v>
      </c>
      <c r="AM137" s="513" t="n">
        <v>1426.37</v>
      </c>
      <c r="AN137" s="707" t="n">
        <v>1310.25</v>
      </c>
      <c r="AO137" s="707" t="n">
        <v>712.5</v>
      </c>
      <c r="AP137" s="707" t="n">
        <v>465.73</v>
      </c>
      <c r="AQ137" s="707" t="n">
        <v>880.73</v>
      </c>
      <c r="AR137" s="707" t="n">
        <v>771.25</v>
      </c>
      <c r="AS137" s="707" t="n">
        <v>281.25</v>
      </c>
      <c r="AT137" s="707" t="n">
        <v>450</v>
      </c>
      <c r="AU137" s="707" t="n">
        <v>453.75</v>
      </c>
      <c r="AV137" s="707" t="n">
        <v>337.5</v>
      </c>
      <c r="AW137" s="708">
        <f>581.25</f>
        <v/>
      </c>
      <c r="AX137" s="907" t="n">
        <v>415</v>
      </c>
      <c r="AY137" s="908">
        <f>AX137</f>
        <v/>
      </c>
      <c r="AZ137" s="782">
        <f>AY137</f>
        <v/>
      </c>
      <c r="BA137" s="782">
        <f>AZ137</f>
        <v/>
      </c>
      <c r="BB137" s="782">
        <f>BA137</f>
        <v/>
      </c>
      <c r="BC137" s="782">
        <f>BB137</f>
        <v/>
      </c>
      <c r="BD137" s="782">
        <f>BC137</f>
        <v/>
      </c>
      <c r="BE137" s="782">
        <f>BD137</f>
        <v/>
      </c>
      <c r="BF137" s="782">
        <f>BE137</f>
        <v/>
      </c>
      <c r="BG137" s="782">
        <f>BF137</f>
        <v/>
      </c>
      <c r="BH137" s="782">
        <f>BG137</f>
        <v/>
      </c>
      <c r="BI137" s="782">
        <f>BH137</f>
        <v/>
      </c>
      <c r="BJ137" s="782">
        <f>BI137</f>
        <v/>
      </c>
      <c r="BK137" s="908">
        <f>BJ137</f>
        <v/>
      </c>
      <c r="BL137" s="782">
        <f>BK137</f>
        <v/>
      </c>
      <c r="BM137" s="782">
        <f>BL137</f>
        <v/>
      </c>
      <c r="BN137" s="782">
        <f>BM137</f>
        <v/>
      </c>
      <c r="BO137" s="782">
        <f>BN137</f>
        <v/>
      </c>
      <c r="BP137" s="782">
        <f>BO137</f>
        <v/>
      </c>
      <c r="BQ137" s="782">
        <f>BP137</f>
        <v/>
      </c>
      <c r="BR137" s="782">
        <f>BQ137</f>
        <v/>
      </c>
      <c r="BS137" s="782">
        <f>BR137</f>
        <v/>
      </c>
      <c r="BT137" s="782">
        <f>BS137</f>
        <v/>
      </c>
      <c r="BU137" s="782">
        <f>BT137</f>
        <v/>
      </c>
      <c r="BV137" s="782">
        <f>BU137</f>
        <v/>
      </c>
      <c r="BW137" s="908">
        <f>BV137</f>
        <v/>
      </c>
      <c r="BX137" s="782">
        <f>BW137</f>
        <v/>
      </c>
      <c r="BY137" s="782">
        <f>BX137</f>
        <v/>
      </c>
      <c r="BZ137" s="782">
        <f>BY137</f>
        <v/>
      </c>
      <c r="CA137" s="782">
        <f>BZ137</f>
        <v/>
      </c>
      <c r="CB137" s="782">
        <f>CA137</f>
        <v/>
      </c>
      <c r="CC137" s="782">
        <f>CB137</f>
        <v/>
      </c>
      <c r="CD137" s="782">
        <f>CC137</f>
        <v/>
      </c>
      <c r="CE137" s="782">
        <f>CD137</f>
        <v/>
      </c>
      <c r="CF137" s="782">
        <f>CE137</f>
        <v/>
      </c>
      <c r="CG137" s="782">
        <f>CF137</f>
        <v/>
      </c>
      <c r="CH137" s="782">
        <f>CG137</f>
        <v/>
      </c>
      <c r="CI137" s="908">
        <f>CH137</f>
        <v/>
      </c>
      <c r="CJ137" s="782">
        <f>CI137</f>
        <v/>
      </c>
      <c r="CK137" s="782">
        <f>CJ137</f>
        <v/>
      </c>
      <c r="CL137" s="782">
        <f>CK137</f>
        <v/>
      </c>
      <c r="CM137" s="782">
        <f>CL137</f>
        <v/>
      </c>
      <c r="CN137" s="782">
        <f>CM137</f>
        <v/>
      </c>
      <c r="CO137" s="782">
        <f>CN137</f>
        <v/>
      </c>
      <c r="CP137" s="782">
        <f>CO137</f>
        <v/>
      </c>
      <c r="CQ137" s="782">
        <f>CP137</f>
        <v/>
      </c>
      <c r="CR137" s="782">
        <f>CQ137</f>
        <v/>
      </c>
      <c r="CS137" s="782">
        <f>CR137</f>
        <v/>
      </c>
      <c r="CT137" s="782">
        <f>CS137</f>
        <v/>
      </c>
      <c r="CU137" s="908">
        <f>CT137</f>
        <v/>
      </c>
      <c r="CV137" s="782">
        <f>CU137</f>
        <v/>
      </c>
      <c r="CW137" s="782">
        <f>CV137</f>
        <v/>
      </c>
      <c r="CX137" s="782">
        <f>CW137</f>
        <v/>
      </c>
      <c r="CY137" s="782">
        <f>CX137</f>
        <v/>
      </c>
      <c r="CZ137" s="782">
        <f>CY137</f>
        <v/>
      </c>
      <c r="DA137" s="782">
        <f>CZ137</f>
        <v/>
      </c>
      <c r="DB137" s="782">
        <f>DA137</f>
        <v/>
      </c>
      <c r="DC137" s="782">
        <f>DB137</f>
        <v/>
      </c>
      <c r="DD137" s="782">
        <f>DC137</f>
        <v/>
      </c>
      <c r="DE137" s="782">
        <f>DD137</f>
        <v/>
      </c>
      <c r="DF137" s="782">
        <f>DE137</f>
        <v/>
      </c>
      <c r="DG137" s="782">
        <f>DF137</f>
        <v/>
      </c>
    </row>
    <row r="138">
      <c r="A138" s="5" t="n"/>
      <c r="B138" s="6" t="inlineStr">
        <is>
          <t xml:space="preserve">     Total Accounts Payable</t>
        </is>
      </c>
      <c r="C138" s="6" t="n"/>
      <c r="D138" s="897" t="n"/>
      <c r="E138" s="897" t="n"/>
      <c r="F138" s="897" t="n"/>
      <c r="G138" s="897" t="n"/>
      <c r="H138" s="897" t="n"/>
      <c r="I138" s="897" t="n"/>
      <c r="J138" s="897" t="n"/>
      <c r="K138" s="897" t="n"/>
      <c r="L138" s="897" t="n"/>
      <c r="M138" s="897" t="n"/>
      <c r="N138" s="897" t="n"/>
      <c r="O138" s="897" t="n"/>
      <c r="P138" s="897" t="n"/>
      <c r="Q138" s="897" t="n"/>
      <c r="R138" s="897" t="n"/>
      <c r="S138" s="897" t="n"/>
      <c r="T138" s="897" t="n"/>
      <c r="U138" s="897" t="n"/>
      <c r="V138" s="897" t="n"/>
      <c r="W138" s="897" t="n"/>
      <c r="X138" s="897" t="n"/>
      <c r="Y138" s="897" t="n"/>
      <c r="Z138" s="897" t="n"/>
      <c r="AA138" s="897" t="n"/>
      <c r="AB138" s="897" t="n"/>
      <c r="AC138" s="897" t="n"/>
      <c r="AD138" s="897" t="n"/>
      <c r="AE138" s="897" t="n"/>
      <c r="AF138" s="897" t="n"/>
      <c r="AG138" s="897" t="n"/>
      <c r="AH138" s="897">
        <f>SUM(AH137)</f>
        <v/>
      </c>
      <c r="AI138" s="897">
        <f>SUM(AI137)</f>
        <v/>
      </c>
      <c r="AJ138" s="897">
        <f>SUM(AJ137)</f>
        <v/>
      </c>
      <c r="AK138" s="897">
        <f>SUM(AK137)</f>
        <v/>
      </c>
      <c r="AL138" s="897">
        <f>SUM(AL137)</f>
        <v/>
      </c>
      <c r="AM138" s="898">
        <f>SUM(AM137)</f>
        <v/>
      </c>
      <c r="AN138" s="897">
        <f>SUM(AN137)</f>
        <v/>
      </c>
      <c r="AO138" s="897">
        <f>SUM(AO137)</f>
        <v/>
      </c>
      <c r="AP138" s="897">
        <f>SUM(AP137)</f>
        <v/>
      </c>
      <c r="AQ138" s="897">
        <f>SUM(AQ137)</f>
        <v/>
      </c>
      <c r="AR138" s="897">
        <f>SUM(AR137)</f>
        <v/>
      </c>
      <c r="AS138" s="897">
        <f>SUM(AS137)</f>
        <v/>
      </c>
      <c r="AT138" s="897">
        <f>SUM(AT137)</f>
        <v/>
      </c>
      <c r="AU138" s="897">
        <f>SUM(AU137)</f>
        <v/>
      </c>
      <c r="AV138" s="897">
        <f>SUM(AV137)</f>
        <v/>
      </c>
      <c r="AW138" s="899">
        <f>SUM(AW137)</f>
        <v/>
      </c>
      <c r="AX138" s="897">
        <f>SUM(AX137)</f>
        <v/>
      </c>
      <c r="AY138" s="899">
        <f>SUM(AY137)</f>
        <v/>
      </c>
      <c r="AZ138" s="897">
        <f>SUM(AZ137)</f>
        <v/>
      </c>
      <c r="BA138" s="897">
        <f>SUM(BA137)</f>
        <v/>
      </c>
      <c r="BB138" s="897">
        <f>SUM(BB137)</f>
        <v/>
      </c>
      <c r="BC138" s="897">
        <f>SUM(BC137)</f>
        <v/>
      </c>
      <c r="BD138" s="897">
        <f>SUM(BD137)</f>
        <v/>
      </c>
      <c r="BE138" s="897">
        <f>SUM(BE137)</f>
        <v/>
      </c>
      <c r="BF138" s="897">
        <f>SUM(BF137)</f>
        <v/>
      </c>
      <c r="BG138" s="897">
        <f>SUM(BG137)</f>
        <v/>
      </c>
      <c r="BH138" s="897">
        <f>SUM(BH137)</f>
        <v/>
      </c>
      <c r="BI138" s="897">
        <f>SUM(BI137)</f>
        <v/>
      </c>
      <c r="BJ138" s="897">
        <f>SUM(BJ137)</f>
        <v/>
      </c>
      <c r="BK138" s="899">
        <f>SUM(BK137)</f>
        <v/>
      </c>
      <c r="BL138" s="897">
        <f>SUM(BL137)</f>
        <v/>
      </c>
      <c r="BM138" s="897">
        <f>SUM(BM137)</f>
        <v/>
      </c>
      <c r="BN138" s="897">
        <f>SUM(BN137)</f>
        <v/>
      </c>
      <c r="BO138" s="897">
        <f>SUM(BO137)</f>
        <v/>
      </c>
      <c r="BP138" s="897">
        <f>SUM(BP137)</f>
        <v/>
      </c>
      <c r="BQ138" s="897">
        <f>SUM(BQ137)</f>
        <v/>
      </c>
      <c r="BR138" s="897">
        <f>SUM(BR137)</f>
        <v/>
      </c>
      <c r="BS138" s="897">
        <f>SUM(BS137)</f>
        <v/>
      </c>
      <c r="BT138" s="897">
        <f>SUM(BT137)</f>
        <v/>
      </c>
      <c r="BU138" s="897">
        <f>SUM(BU137)</f>
        <v/>
      </c>
      <c r="BV138" s="897">
        <f>SUM(BV137)</f>
        <v/>
      </c>
      <c r="BW138" s="899">
        <f>SUM(BW137)</f>
        <v/>
      </c>
      <c r="BX138" s="897">
        <f>SUM(BX137)</f>
        <v/>
      </c>
      <c r="BY138" s="897">
        <f>SUM(BY137)</f>
        <v/>
      </c>
      <c r="BZ138" s="897">
        <f>SUM(BZ137)</f>
        <v/>
      </c>
      <c r="CA138" s="897">
        <f>SUM(CA137)</f>
        <v/>
      </c>
      <c r="CB138" s="897">
        <f>SUM(CB137)</f>
        <v/>
      </c>
      <c r="CC138" s="897">
        <f>SUM(CC137)</f>
        <v/>
      </c>
      <c r="CD138" s="897">
        <f>SUM(CD137)</f>
        <v/>
      </c>
      <c r="CE138" s="897">
        <f>SUM(CE137)</f>
        <v/>
      </c>
      <c r="CF138" s="897">
        <f>SUM(CF137)</f>
        <v/>
      </c>
      <c r="CG138" s="897">
        <f>SUM(CG137)</f>
        <v/>
      </c>
      <c r="CH138" s="897">
        <f>SUM(CH137)</f>
        <v/>
      </c>
      <c r="CI138" s="899">
        <f>SUM(CI137)</f>
        <v/>
      </c>
      <c r="CJ138" s="897">
        <f>SUM(CJ137)</f>
        <v/>
      </c>
      <c r="CK138" s="897">
        <f>SUM(CK137)</f>
        <v/>
      </c>
      <c r="CL138" s="897">
        <f>SUM(CL137)</f>
        <v/>
      </c>
      <c r="CM138" s="897">
        <f>SUM(CM137)</f>
        <v/>
      </c>
      <c r="CN138" s="897">
        <f>SUM(CN137)</f>
        <v/>
      </c>
      <c r="CO138" s="897">
        <f>SUM(CO137)</f>
        <v/>
      </c>
      <c r="CP138" s="897">
        <f>SUM(CP137)</f>
        <v/>
      </c>
      <c r="CQ138" s="897">
        <f>SUM(CQ137)</f>
        <v/>
      </c>
      <c r="CR138" s="897">
        <f>SUM(CR137)</f>
        <v/>
      </c>
      <c r="CS138" s="897">
        <f>SUM(CS137)</f>
        <v/>
      </c>
      <c r="CT138" s="897">
        <f>SUM(CT137)</f>
        <v/>
      </c>
      <c r="CU138" s="899">
        <f>SUM(CU137)</f>
        <v/>
      </c>
      <c r="CV138" s="897">
        <f>SUM(CV137)</f>
        <v/>
      </c>
      <c r="CW138" s="897">
        <f>SUM(CW137)</f>
        <v/>
      </c>
      <c r="CX138" s="897">
        <f>SUM(CX137)</f>
        <v/>
      </c>
      <c r="CY138" s="897">
        <f>SUM(CY137)</f>
        <v/>
      </c>
      <c r="CZ138" s="897">
        <f>SUM(CZ137)</f>
        <v/>
      </c>
      <c r="DA138" s="897">
        <f>SUM(DA137)</f>
        <v/>
      </c>
      <c r="DB138" s="897">
        <f>SUM(DB137)</f>
        <v/>
      </c>
      <c r="DC138" s="897">
        <f>SUM(DC137)</f>
        <v/>
      </c>
      <c r="DD138" s="897">
        <f>SUM(DD137)</f>
        <v/>
      </c>
      <c r="DE138" s="897">
        <f>SUM(DE137)</f>
        <v/>
      </c>
      <c r="DF138" s="897">
        <f>SUM(DF137)</f>
        <v/>
      </c>
      <c r="DG138" s="897">
        <f>SUM(DG137)</f>
        <v/>
      </c>
    </row>
    <row r="139" customFormat="1" s="29">
      <c r="B139" s="1" t="inlineStr">
        <is>
          <t xml:space="preserve">         Other Current Liabilities</t>
        </is>
      </c>
      <c r="C139" s="1" t="n"/>
      <c r="D139" s="2" t="n"/>
      <c r="E139" s="2" t="n"/>
      <c r="F139" s="2" t="n"/>
      <c r="G139" s="2" t="n"/>
      <c r="H139" s="2" t="n"/>
      <c r="I139" s="2" t="n"/>
      <c r="J139" s="707" t="n"/>
      <c r="K139" s="707" t="n"/>
      <c r="L139" s="707" t="n"/>
      <c r="M139" s="707" t="n"/>
      <c r="N139" s="707" t="n"/>
      <c r="O139" s="707" t="n"/>
      <c r="P139" s="707" t="n"/>
      <c r="Q139" s="707" t="n"/>
      <c r="R139" s="707" t="n"/>
      <c r="S139" s="707" t="n"/>
      <c r="T139" s="707" t="n"/>
      <c r="U139" s="707" t="n"/>
      <c r="V139" s="707" t="n"/>
      <c r="W139" s="707" t="n"/>
      <c r="X139" s="707" t="n"/>
      <c r="Y139" s="707" t="n"/>
      <c r="Z139" s="707" t="n"/>
      <c r="AA139" s="707" t="n"/>
      <c r="AB139" s="707" t="n"/>
      <c r="AC139" s="707" t="n"/>
      <c r="AD139" s="707" t="n"/>
      <c r="AE139" s="707" t="n"/>
      <c r="AF139" s="707" t="n"/>
      <c r="AG139" s="707" t="n"/>
      <c r="AH139" s="707" t="n"/>
      <c r="AI139" s="707" t="n"/>
      <c r="AJ139" s="707" t="n"/>
      <c r="AK139" s="707" t="n"/>
      <c r="AL139" s="707" t="n"/>
      <c r="AM139" s="513" t="n"/>
      <c r="AN139" s="707" t="n"/>
      <c r="AO139" s="707" t="n"/>
      <c r="AP139" s="707" t="n"/>
      <c r="AQ139" s="707" t="n"/>
      <c r="AR139" s="707" t="n"/>
      <c r="AS139" s="707" t="n"/>
      <c r="AT139" s="707" t="n"/>
      <c r="AU139" s="707" t="n"/>
      <c r="AV139" s="707" t="n"/>
      <c r="AW139" s="708" t="n"/>
      <c r="AX139" s="907" t="n"/>
      <c r="AY139" s="908" t="n"/>
      <c r="AZ139" s="782" t="n"/>
      <c r="BA139" s="782" t="n"/>
      <c r="BB139" s="782" t="n"/>
      <c r="BC139" s="782" t="n"/>
      <c r="BD139" s="782" t="n"/>
      <c r="BE139" s="782" t="n"/>
      <c r="BF139" s="782" t="n"/>
      <c r="BG139" s="782" t="n"/>
      <c r="BH139" s="782" t="n"/>
      <c r="BI139" s="782" t="n"/>
      <c r="BJ139" s="782" t="n"/>
      <c r="BK139" s="908" t="n"/>
      <c r="BL139" s="782" t="n"/>
      <c r="BM139" s="782" t="n"/>
      <c r="BN139" s="782" t="n"/>
      <c r="BO139" s="782" t="n"/>
      <c r="BP139" s="782" t="n"/>
      <c r="BQ139" s="782" t="n"/>
      <c r="BR139" s="782" t="n"/>
      <c r="BS139" s="782" t="n"/>
      <c r="BT139" s="782" t="n"/>
      <c r="BU139" s="782" t="n"/>
      <c r="BV139" s="782" t="n"/>
      <c r="BW139" s="908" t="n"/>
      <c r="BX139" s="782" t="n"/>
      <c r="BY139" s="782" t="n"/>
      <c r="BZ139" s="782" t="n"/>
      <c r="CA139" s="782" t="n"/>
      <c r="CB139" s="782" t="n"/>
      <c r="CC139" s="782" t="n"/>
      <c r="CD139" s="782" t="n"/>
      <c r="CE139" s="782" t="n"/>
      <c r="CF139" s="782" t="n"/>
      <c r="CG139" s="782" t="n"/>
      <c r="CH139" s="782" t="n"/>
      <c r="CI139" s="908" t="n"/>
      <c r="CJ139" s="782" t="n"/>
      <c r="CK139" s="782" t="n"/>
      <c r="CL139" s="782" t="n"/>
      <c r="CM139" s="782" t="n"/>
      <c r="CN139" s="782" t="n"/>
      <c r="CO139" s="782" t="n"/>
      <c r="CP139" s="782" t="n"/>
      <c r="CQ139" s="782" t="n"/>
      <c r="CR139" s="782" t="n"/>
      <c r="CS139" s="782" t="n"/>
      <c r="CT139" s="782" t="n"/>
      <c r="CU139" s="908" t="n"/>
      <c r="CV139" s="782" t="n"/>
      <c r="CW139" s="782" t="n"/>
      <c r="CX139" s="782" t="n"/>
      <c r="CY139" s="782" t="n"/>
      <c r="CZ139" s="782" t="n"/>
      <c r="DA139" s="782" t="n"/>
      <c r="DB139" s="782" t="n"/>
      <c r="DC139" s="782" t="n"/>
      <c r="DD139" s="782" t="n"/>
      <c r="DE139" s="782" t="n"/>
      <c r="DF139" s="782" t="n"/>
      <c r="DG139" s="782" t="n"/>
    </row>
    <row r="140" customFormat="1" s="29">
      <c r="B140" s="1" t="inlineStr">
        <is>
          <t xml:space="preserve">            90000 Payroll Liablities</t>
        </is>
      </c>
      <c r="C140" s="1" t="n"/>
      <c r="D140" s="2" t="n"/>
      <c r="E140" s="2" t="n"/>
      <c r="F140" s="2" t="n"/>
      <c r="G140" s="2" t="n"/>
      <c r="H140" s="2" t="n"/>
      <c r="I140" s="2" t="n"/>
      <c r="J140" s="707" t="n"/>
      <c r="K140" s="707" t="n"/>
      <c r="L140" s="707" t="n"/>
      <c r="M140" s="707" t="n"/>
      <c r="N140" s="707" t="n"/>
      <c r="O140" s="707" t="n"/>
      <c r="P140" s="707" t="n"/>
      <c r="Q140" s="707" t="n"/>
      <c r="R140" s="707" t="n"/>
      <c r="S140" s="707" t="n"/>
      <c r="T140" s="707" t="n"/>
      <c r="U140" s="707" t="n"/>
      <c r="V140" s="707" t="n"/>
      <c r="W140" s="707" t="n"/>
      <c r="X140" s="707" t="n"/>
      <c r="Y140" s="707" t="n"/>
      <c r="Z140" s="707" t="n"/>
      <c r="AA140" s="707" t="n"/>
      <c r="AB140" s="707" t="n"/>
      <c r="AC140" s="707" t="n"/>
      <c r="AD140" s="707" t="n"/>
      <c r="AE140" s="707" t="n"/>
      <c r="AF140" s="707" t="n"/>
      <c r="AG140" s="707" t="n"/>
      <c r="AH140" s="707" t="n"/>
      <c r="AI140" s="707" t="n"/>
      <c r="AJ140" s="707" t="n"/>
      <c r="AK140" s="707" t="n"/>
      <c r="AL140" s="707" t="n"/>
      <c r="AM140" s="513" t="n"/>
      <c r="AN140" s="707" t="n"/>
      <c r="AO140" s="707" t="n"/>
      <c r="AP140" s="707" t="n"/>
      <c r="AQ140" s="707" t="n"/>
      <c r="AR140" s="707" t="n"/>
      <c r="AS140" s="707" t="n"/>
      <c r="AT140" s="707" t="n"/>
      <c r="AU140" s="707" t="n"/>
      <c r="AV140" s="707" t="n"/>
      <c r="AW140" s="708" t="n"/>
      <c r="AX140" s="907" t="n"/>
      <c r="AY140" s="908" t="n"/>
      <c r="AZ140" s="782" t="n"/>
      <c r="BA140" s="782" t="n"/>
      <c r="BB140" s="782" t="n"/>
      <c r="BC140" s="782" t="n"/>
      <c r="BD140" s="782" t="n"/>
      <c r="BE140" s="782" t="n"/>
      <c r="BF140" s="782" t="n"/>
      <c r="BG140" s="782" t="n"/>
      <c r="BH140" s="782" t="n"/>
      <c r="BI140" s="782" t="n"/>
      <c r="BJ140" s="782" t="n"/>
      <c r="BK140" s="908" t="n"/>
      <c r="BL140" s="782" t="n"/>
      <c r="BM140" s="782" t="n"/>
      <c r="BN140" s="782" t="n"/>
      <c r="BO140" s="782" t="n"/>
      <c r="BP140" s="782" t="n"/>
      <c r="BQ140" s="782" t="n"/>
      <c r="BR140" s="782" t="n"/>
      <c r="BS140" s="782" t="n"/>
      <c r="BT140" s="782" t="n"/>
      <c r="BU140" s="782" t="n"/>
      <c r="BV140" s="782" t="n"/>
      <c r="BW140" s="908" t="n"/>
      <c r="BX140" s="782" t="n"/>
      <c r="BY140" s="782" t="n"/>
      <c r="BZ140" s="782" t="n"/>
      <c r="CA140" s="782" t="n"/>
      <c r="CB140" s="782" t="n"/>
      <c r="CC140" s="782" t="n"/>
      <c r="CD140" s="782" t="n"/>
      <c r="CE140" s="782" t="n"/>
      <c r="CF140" s="782" t="n"/>
      <c r="CG140" s="782" t="n"/>
      <c r="CH140" s="782" t="n"/>
      <c r="CI140" s="908" t="n"/>
      <c r="CJ140" s="782" t="n"/>
      <c r="CK140" s="782" t="n"/>
      <c r="CL140" s="782" t="n"/>
      <c r="CM140" s="782" t="n"/>
      <c r="CN140" s="782" t="n"/>
      <c r="CO140" s="782" t="n"/>
      <c r="CP140" s="782" t="n"/>
      <c r="CQ140" s="782" t="n"/>
      <c r="CR140" s="782" t="n"/>
      <c r="CS140" s="782" t="n"/>
      <c r="CT140" s="782" t="n"/>
      <c r="CU140" s="908" t="n"/>
      <c r="CV140" s="782" t="n"/>
      <c r="CW140" s="782" t="n"/>
      <c r="CX140" s="782" t="n"/>
      <c r="CY140" s="782" t="n"/>
      <c r="CZ140" s="782" t="n"/>
      <c r="DA140" s="782" t="n"/>
      <c r="DB140" s="782" t="n"/>
      <c r="DC140" s="782" t="n"/>
      <c r="DD140" s="782" t="n"/>
      <c r="DE140" s="782" t="n"/>
      <c r="DF140" s="782" t="n"/>
      <c r="DG140" s="782" t="n"/>
    </row>
    <row r="141" customFormat="1" s="29">
      <c r="B141" s="1" t="inlineStr">
        <is>
          <t xml:space="preserve">               90100 Payroll Wages Payable</t>
        </is>
      </c>
      <c r="C141" s="1" t="n"/>
      <c r="D141" s="2" t="n"/>
      <c r="E141" s="2" t="n"/>
      <c r="F141" s="2" t="n"/>
      <c r="G141" s="2" t="n"/>
      <c r="H141" s="2" t="n"/>
      <c r="I141" s="2" t="n"/>
      <c r="J141" s="707" t="n"/>
      <c r="K141" s="707" t="n"/>
      <c r="L141" s="707" t="n"/>
      <c r="M141" s="707" t="n"/>
      <c r="N141" s="707" t="n"/>
      <c r="O141" s="707" t="n"/>
      <c r="P141" s="707" t="n"/>
      <c r="Q141" s="707" t="n"/>
      <c r="R141" s="707" t="n"/>
      <c r="S141" s="707" t="n"/>
      <c r="T141" s="707" t="n"/>
      <c r="U141" s="707" t="n"/>
      <c r="V141" s="707" t="n"/>
      <c r="W141" s="707" t="n"/>
      <c r="X141" s="707" t="n"/>
      <c r="Y141" s="707" t="n"/>
      <c r="Z141" s="707" t="n"/>
      <c r="AA141" s="707" t="n"/>
      <c r="AB141" s="707" t="n"/>
      <c r="AC141" s="707" t="n"/>
      <c r="AD141" s="707" t="n"/>
      <c r="AE141" s="707" t="n"/>
      <c r="AF141" s="707" t="n"/>
      <c r="AG141" s="707" t="n"/>
      <c r="AH141" s="707" t="n"/>
      <c r="AI141" s="707" t="n"/>
      <c r="AJ141" s="707" t="n"/>
      <c r="AK141" s="707" t="n"/>
      <c r="AL141" s="707" t="n"/>
      <c r="AM141" s="513" t="n"/>
      <c r="AN141" s="707" t="n">
        <v>1275</v>
      </c>
      <c r="AO141" s="707" t="n">
        <v>0</v>
      </c>
      <c r="AP141" s="707" t="n">
        <v>0</v>
      </c>
      <c r="AQ141" s="707" t="n">
        <v>0</v>
      </c>
      <c r="AR141" s="707" t="n">
        <v>0</v>
      </c>
      <c r="AS141" s="707" t="n">
        <v>0</v>
      </c>
      <c r="AT141" s="707" t="n">
        <v>0</v>
      </c>
      <c r="AU141" s="707" t="n">
        <v>0</v>
      </c>
      <c r="AV141" s="707" t="n">
        <v>0</v>
      </c>
      <c r="AW141" s="708" t="n">
        <v>0</v>
      </c>
      <c r="AX141" s="907" t="n">
        <v>0</v>
      </c>
      <c r="AY141" s="908">
        <f>+AX141</f>
        <v/>
      </c>
      <c r="AZ141" s="782">
        <f>+AY141</f>
        <v/>
      </c>
      <c r="BA141" s="782">
        <f>+AZ141</f>
        <v/>
      </c>
      <c r="BB141" s="782">
        <f>+BA141</f>
        <v/>
      </c>
      <c r="BC141" s="782">
        <f>+BB141</f>
        <v/>
      </c>
      <c r="BD141" s="782">
        <f>+BC141</f>
        <v/>
      </c>
      <c r="BE141" s="782">
        <f>+BD141</f>
        <v/>
      </c>
      <c r="BF141" s="782">
        <f>+BE141</f>
        <v/>
      </c>
      <c r="BG141" s="782">
        <f>+BF141</f>
        <v/>
      </c>
      <c r="BH141" s="782">
        <f>+BG141</f>
        <v/>
      </c>
      <c r="BI141" s="782">
        <f>+BH141</f>
        <v/>
      </c>
      <c r="BJ141" s="782">
        <f>+BI141</f>
        <v/>
      </c>
      <c r="BK141" s="908">
        <f>+BJ141</f>
        <v/>
      </c>
      <c r="BL141" s="782">
        <f>+BK141</f>
        <v/>
      </c>
      <c r="BM141" s="782">
        <f>+BL141</f>
        <v/>
      </c>
      <c r="BN141" s="782">
        <f>+BM141</f>
        <v/>
      </c>
      <c r="BO141" s="782">
        <f>+BN141</f>
        <v/>
      </c>
      <c r="BP141" s="782">
        <f>+BO141</f>
        <v/>
      </c>
      <c r="BQ141" s="782">
        <f>+BP141</f>
        <v/>
      </c>
      <c r="BR141" s="782">
        <f>+BQ141</f>
        <v/>
      </c>
      <c r="BS141" s="782">
        <f>+BR141</f>
        <v/>
      </c>
      <c r="BT141" s="782">
        <f>+BS141</f>
        <v/>
      </c>
      <c r="BU141" s="782">
        <f>+BT141</f>
        <v/>
      </c>
      <c r="BV141" s="782">
        <f>+BU141</f>
        <v/>
      </c>
      <c r="BW141" s="908">
        <f>+BV141</f>
        <v/>
      </c>
      <c r="BX141" s="782">
        <f>+BW141</f>
        <v/>
      </c>
      <c r="BY141" s="782">
        <f>+BX141</f>
        <v/>
      </c>
      <c r="BZ141" s="782">
        <f>+BY141</f>
        <v/>
      </c>
      <c r="CA141" s="782">
        <f>+BZ141</f>
        <v/>
      </c>
      <c r="CB141" s="782">
        <f>+CA141</f>
        <v/>
      </c>
      <c r="CC141" s="782">
        <f>+CB141</f>
        <v/>
      </c>
      <c r="CD141" s="782">
        <f>+CC141</f>
        <v/>
      </c>
      <c r="CE141" s="782">
        <f>+CD141</f>
        <v/>
      </c>
      <c r="CF141" s="782">
        <f>+CE141</f>
        <v/>
      </c>
      <c r="CG141" s="782">
        <f>+CF141</f>
        <v/>
      </c>
      <c r="CH141" s="782">
        <f>+CG141</f>
        <v/>
      </c>
      <c r="CI141" s="908">
        <f>+CH141</f>
        <v/>
      </c>
      <c r="CJ141" s="782">
        <f>+CI141</f>
        <v/>
      </c>
      <c r="CK141" s="782">
        <f>+CJ141</f>
        <v/>
      </c>
      <c r="CL141" s="782">
        <f>+CK141</f>
        <v/>
      </c>
      <c r="CM141" s="782">
        <f>+CL141</f>
        <v/>
      </c>
      <c r="CN141" s="782">
        <f>+CM141</f>
        <v/>
      </c>
      <c r="CO141" s="782">
        <f>+CN141</f>
        <v/>
      </c>
      <c r="CP141" s="782">
        <f>+CO141</f>
        <v/>
      </c>
      <c r="CQ141" s="782">
        <f>+CP141</f>
        <v/>
      </c>
      <c r="CR141" s="782">
        <f>+CQ141</f>
        <v/>
      </c>
      <c r="CS141" s="782">
        <f>+CR141</f>
        <v/>
      </c>
      <c r="CT141" s="782">
        <f>+CS141</f>
        <v/>
      </c>
      <c r="CU141" s="908">
        <f>+CT141</f>
        <v/>
      </c>
      <c r="CV141" s="782">
        <f>+CU141</f>
        <v/>
      </c>
      <c r="CW141" s="782">
        <f>+CV141</f>
        <v/>
      </c>
      <c r="CX141" s="782">
        <f>+CW141</f>
        <v/>
      </c>
      <c r="CY141" s="782">
        <f>+CX141</f>
        <v/>
      </c>
      <c r="CZ141" s="782">
        <f>+CY141</f>
        <v/>
      </c>
      <c r="DA141" s="782">
        <f>+CZ141</f>
        <v/>
      </c>
      <c r="DB141" s="782">
        <f>+DA141</f>
        <v/>
      </c>
      <c r="DC141" s="782">
        <f>+DB141</f>
        <v/>
      </c>
      <c r="DD141" s="782">
        <f>+DC141</f>
        <v/>
      </c>
      <c r="DE141" s="782">
        <f>+DD141</f>
        <v/>
      </c>
      <c r="DF141" s="782">
        <f>+DE141</f>
        <v/>
      </c>
      <c r="DG141" s="782">
        <f>+DF141</f>
        <v/>
      </c>
    </row>
    <row r="142" customFormat="1" s="29">
      <c r="B142" s="1" t="inlineStr">
        <is>
          <t xml:space="preserve">               90120 Payroll Taxes Payable</t>
        </is>
      </c>
      <c r="C142" s="1" t="n"/>
      <c r="D142" s="2" t="n"/>
      <c r="E142" s="2" t="n"/>
      <c r="F142" s="2" t="n"/>
      <c r="G142" s="2" t="n"/>
      <c r="H142" s="2" t="n"/>
      <c r="I142" s="2" t="n"/>
      <c r="J142" s="707" t="n"/>
      <c r="K142" s="707" t="n"/>
      <c r="L142" s="707" t="n"/>
      <c r="M142" s="707" t="n"/>
      <c r="N142" s="707" t="n"/>
      <c r="O142" s="707" t="n"/>
      <c r="P142" s="707" t="n"/>
      <c r="Q142" s="707" t="n"/>
      <c r="R142" s="707" t="n"/>
      <c r="S142" s="707" t="n"/>
      <c r="T142" s="707" t="n"/>
      <c r="U142" s="707" t="n"/>
      <c r="V142" s="707" t="n"/>
      <c r="W142" s="707" t="n"/>
      <c r="X142" s="707" t="n"/>
      <c r="Y142" s="707" t="n"/>
      <c r="Z142" s="707" t="n"/>
      <c r="AA142" s="707" t="n"/>
      <c r="AB142" s="707" t="n"/>
      <c r="AC142" s="707" t="n"/>
      <c r="AD142" s="707" t="n"/>
      <c r="AE142" s="707" t="n"/>
      <c r="AF142" s="707" t="n"/>
      <c r="AG142" s="707" t="n"/>
      <c r="AH142" s="707" t="n"/>
      <c r="AI142" s="707" t="n"/>
      <c r="AJ142" s="707" t="n"/>
      <c r="AK142" s="707" t="n"/>
      <c r="AL142" s="707" t="n"/>
      <c r="AM142" s="513" t="n"/>
      <c r="AN142" s="707" t="n">
        <v>137.07</v>
      </c>
      <c r="AO142" s="707" t="n">
        <v>0</v>
      </c>
      <c r="AP142" s="707" t="n">
        <v>0</v>
      </c>
      <c r="AQ142" s="707" t="n">
        <v>0</v>
      </c>
      <c r="AR142" s="707" t="n">
        <v>0</v>
      </c>
      <c r="AS142" s="707" t="n">
        <v>0</v>
      </c>
      <c r="AT142" s="707" t="n">
        <v>0</v>
      </c>
      <c r="AU142" s="707" t="n">
        <v>0</v>
      </c>
      <c r="AV142" s="707" t="n">
        <v>0</v>
      </c>
      <c r="AW142" s="708" t="n">
        <v>0</v>
      </c>
      <c r="AX142" s="907" t="n">
        <v>0</v>
      </c>
      <c r="AY142" s="908">
        <f>+AX142</f>
        <v/>
      </c>
      <c r="AZ142" s="782">
        <f>+AY142</f>
        <v/>
      </c>
      <c r="BA142" s="782">
        <f>+AZ142</f>
        <v/>
      </c>
      <c r="BB142" s="782">
        <f>+BA142</f>
        <v/>
      </c>
      <c r="BC142" s="782">
        <f>+BB142</f>
        <v/>
      </c>
      <c r="BD142" s="782">
        <f>+BC142</f>
        <v/>
      </c>
      <c r="BE142" s="782">
        <f>+BD142</f>
        <v/>
      </c>
      <c r="BF142" s="782">
        <f>+BE142</f>
        <v/>
      </c>
      <c r="BG142" s="782">
        <f>+BF142</f>
        <v/>
      </c>
      <c r="BH142" s="782">
        <f>+BG142</f>
        <v/>
      </c>
      <c r="BI142" s="782">
        <f>+BH142</f>
        <v/>
      </c>
      <c r="BJ142" s="782">
        <f>+BI142</f>
        <v/>
      </c>
      <c r="BK142" s="908">
        <f>+BJ142</f>
        <v/>
      </c>
      <c r="BL142" s="782">
        <f>+BK142</f>
        <v/>
      </c>
      <c r="BM142" s="782">
        <f>+BL142</f>
        <v/>
      </c>
      <c r="BN142" s="782">
        <f>+BM142</f>
        <v/>
      </c>
      <c r="BO142" s="782">
        <f>+BN142</f>
        <v/>
      </c>
      <c r="BP142" s="782">
        <f>+BO142</f>
        <v/>
      </c>
      <c r="BQ142" s="782">
        <f>+BP142</f>
        <v/>
      </c>
      <c r="BR142" s="782">
        <f>+BQ142</f>
        <v/>
      </c>
      <c r="BS142" s="782">
        <f>+BR142</f>
        <v/>
      </c>
      <c r="BT142" s="782">
        <f>+BS142</f>
        <v/>
      </c>
      <c r="BU142" s="782">
        <f>+BT142</f>
        <v/>
      </c>
      <c r="BV142" s="782">
        <f>+BU142</f>
        <v/>
      </c>
      <c r="BW142" s="908">
        <f>+BV142</f>
        <v/>
      </c>
      <c r="BX142" s="782">
        <f>+BW142</f>
        <v/>
      </c>
      <c r="BY142" s="782">
        <f>+BX142</f>
        <v/>
      </c>
      <c r="BZ142" s="782">
        <f>+BY142</f>
        <v/>
      </c>
      <c r="CA142" s="782">
        <f>+BZ142</f>
        <v/>
      </c>
      <c r="CB142" s="782">
        <f>+CA142</f>
        <v/>
      </c>
      <c r="CC142" s="782">
        <f>+CB142</f>
        <v/>
      </c>
      <c r="CD142" s="782">
        <f>+CC142</f>
        <v/>
      </c>
      <c r="CE142" s="782">
        <f>+CD142</f>
        <v/>
      </c>
      <c r="CF142" s="782">
        <f>+CE142</f>
        <v/>
      </c>
      <c r="CG142" s="782">
        <f>+CF142</f>
        <v/>
      </c>
      <c r="CH142" s="782">
        <f>+CG142</f>
        <v/>
      </c>
      <c r="CI142" s="908">
        <f>+CH142</f>
        <v/>
      </c>
      <c r="CJ142" s="782">
        <f>+CI142</f>
        <v/>
      </c>
      <c r="CK142" s="782">
        <f>+CJ142</f>
        <v/>
      </c>
      <c r="CL142" s="782">
        <f>+CK142</f>
        <v/>
      </c>
      <c r="CM142" s="782">
        <f>+CL142</f>
        <v/>
      </c>
      <c r="CN142" s="782">
        <f>+CM142</f>
        <v/>
      </c>
      <c r="CO142" s="782">
        <f>+CN142</f>
        <v/>
      </c>
      <c r="CP142" s="782">
        <f>+CO142</f>
        <v/>
      </c>
      <c r="CQ142" s="782">
        <f>+CP142</f>
        <v/>
      </c>
      <c r="CR142" s="782">
        <f>+CQ142</f>
        <v/>
      </c>
      <c r="CS142" s="782">
        <f>+CR142</f>
        <v/>
      </c>
      <c r="CT142" s="782">
        <f>+CS142</f>
        <v/>
      </c>
      <c r="CU142" s="908">
        <f>+CT142</f>
        <v/>
      </c>
      <c r="CV142" s="782">
        <f>+CU142</f>
        <v/>
      </c>
      <c r="CW142" s="782">
        <f>+CV142</f>
        <v/>
      </c>
      <c r="CX142" s="782">
        <f>+CW142</f>
        <v/>
      </c>
      <c r="CY142" s="782">
        <f>+CX142</f>
        <v/>
      </c>
      <c r="CZ142" s="782">
        <f>+CY142</f>
        <v/>
      </c>
      <c r="DA142" s="782">
        <f>+CZ142</f>
        <v/>
      </c>
      <c r="DB142" s="782">
        <f>+DA142</f>
        <v/>
      </c>
      <c r="DC142" s="782">
        <f>+DB142</f>
        <v/>
      </c>
      <c r="DD142" s="782">
        <f>+DC142</f>
        <v/>
      </c>
      <c r="DE142" s="782">
        <f>+DD142</f>
        <v/>
      </c>
      <c r="DF142" s="782">
        <f>+DE142</f>
        <v/>
      </c>
      <c r="DG142" s="782">
        <f>+DF142</f>
        <v/>
      </c>
    </row>
    <row r="143" customFormat="1" s="29">
      <c r="B143" s="1" t="inlineStr">
        <is>
          <t xml:space="preserve">               90140 Reimbursements Payable</t>
        </is>
      </c>
      <c r="C143" s="1" t="n"/>
      <c r="D143" s="2" t="n"/>
      <c r="E143" s="2" t="n"/>
      <c r="F143" s="2" t="n"/>
      <c r="G143" s="2" t="n"/>
      <c r="H143" s="2" t="n"/>
      <c r="I143" s="2" t="n"/>
      <c r="J143" s="707" t="n"/>
      <c r="K143" s="707" t="n"/>
      <c r="L143" s="707" t="n"/>
      <c r="M143" s="707" t="n"/>
      <c r="N143" s="707" t="n"/>
      <c r="O143" s="707" t="n"/>
      <c r="P143" s="707" t="n"/>
      <c r="Q143" s="707" t="n"/>
      <c r="R143" s="707" t="n"/>
      <c r="S143" s="707" t="n"/>
      <c r="T143" s="707" t="n"/>
      <c r="U143" s="707" t="n"/>
      <c r="V143" s="707" t="n"/>
      <c r="W143" s="707" t="n"/>
      <c r="X143" s="707" t="n"/>
      <c r="Y143" s="707" t="n"/>
      <c r="Z143" s="707" t="n"/>
      <c r="AA143" s="707" t="n"/>
      <c r="AB143" s="707" t="n"/>
      <c r="AC143" s="707" t="n"/>
      <c r="AD143" s="707" t="n"/>
      <c r="AE143" s="707" t="n"/>
      <c r="AF143" s="707" t="n"/>
      <c r="AG143" s="707" t="n"/>
      <c r="AH143" s="707" t="n"/>
      <c r="AI143" s="707" t="n"/>
      <c r="AJ143" s="707" t="n"/>
      <c r="AK143" s="707" t="n"/>
      <c r="AL143" s="707" t="n"/>
      <c r="AM143" s="513" t="n"/>
      <c r="AN143" s="707" t="n">
        <v>1717.2</v>
      </c>
      <c r="AO143" s="707" t="n">
        <v>692.9299999999999</v>
      </c>
      <c r="AP143" s="707" t="n">
        <v>692.9299999999999</v>
      </c>
      <c r="AQ143" s="707" t="n">
        <v>692.9299999999999</v>
      </c>
      <c r="AR143" s="707" t="n">
        <v>692.9299999999999</v>
      </c>
      <c r="AS143" s="707" t="n">
        <v>0</v>
      </c>
      <c r="AT143" s="707" t="n">
        <v>0</v>
      </c>
      <c r="AU143" s="707" t="n">
        <v>0</v>
      </c>
      <c r="AV143" s="707" t="n">
        <v>0</v>
      </c>
      <c r="AW143" s="708" t="n">
        <v>0</v>
      </c>
      <c r="AX143" s="907" t="n">
        <v>0</v>
      </c>
      <c r="AY143" s="908">
        <f>+AX143</f>
        <v/>
      </c>
      <c r="AZ143" s="782">
        <f>+AY143</f>
        <v/>
      </c>
      <c r="BA143" s="782">
        <f>+AZ143</f>
        <v/>
      </c>
      <c r="BB143" s="782">
        <f>+BA143</f>
        <v/>
      </c>
      <c r="BC143" s="782">
        <f>+BB143</f>
        <v/>
      </c>
      <c r="BD143" s="782">
        <f>+BC143</f>
        <v/>
      </c>
      <c r="BE143" s="782">
        <f>+BD143</f>
        <v/>
      </c>
      <c r="BF143" s="782">
        <f>+BE143</f>
        <v/>
      </c>
      <c r="BG143" s="782">
        <f>+BF143</f>
        <v/>
      </c>
      <c r="BH143" s="782">
        <f>+BG143</f>
        <v/>
      </c>
      <c r="BI143" s="782">
        <f>+BH143</f>
        <v/>
      </c>
      <c r="BJ143" s="782">
        <f>+BI143</f>
        <v/>
      </c>
      <c r="BK143" s="908">
        <f>+BJ143</f>
        <v/>
      </c>
      <c r="BL143" s="782">
        <f>+BK143</f>
        <v/>
      </c>
      <c r="BM143" s="782">
        <f>+BL143</f>
        <v/>
      </c>
      <c r="BN143" s="782">
        <f>+BM143</f>
        <v/>
      </c>
      <c r="BO143" s="782">
        <f>+BN143</f>
        <v/>
      </c>
      <c r="BP143" s="782">
        <f>+BO143</f>
        <v/>
      </c>
      <c r="BQ143" s="782">
        <f>+BP143</f>
        <v/>
      </c>
      <c r="BR143" s="782">
        <f>+BQ143</f>
        <v/>
      </c>
      <c r="BS143" s="782">
        <f>+BR143</f>
        <v/>
      </c>
      <c r="BT143" s="782">
        <f>+BS143</f>
        <v/>
      </c>
      <c r="BU143" s="782">
        <f>+BT143</f>
        <v/>
      </c>
      <c r="BV143" s="782">
        <f>+BU143</f>
        <v/>
      </c>
      <c r="BW143" s="908">
        <f>+BV143</f>
        <v/>
      </c>
      <c r="BX143" s="782">
        <f>+BW143</f>
        <v/>
      </c>
      <c r="BY143" s="782">
        <f>+BX143</f>
        <v/>
      </c>
      <c r="BZ143" s="782">
        <f>+BY143</f>
        <v/>
      </c>
      <c r="CA143" s="782">
        <f>+BZ143</f>
        <v/>
      </c>
      <c r="CB143" s="782">
        <f>+CA143</f>
        <v/>
      </c>
      <c r="CC143" s="782">
        <f>+CB143</f>
        <v/>
      </c>
      <c r="CD143" s="782">
        <f>+CC143</f>
        <v/>
      </c>
      <c r="CE143" s="782">
        <f>+CD143</f>
        <v/>
      </c>
      <c r="CF143" s="782">
        <f>+CE143</f>
        <v/>
      </c>
      <c r="CG143" s="782">
        <f>+CF143</f>
        <v/>
      </c>
      <c r="CH143" s="782">
        <f>+CG143</f>
        <v/>
      </c>
      <c r="CI143" s="908">
        <f>+CH143</f>
        <v/>
      </c>
      <c r="CJ143" s="782">
        <f>+CI143</f>
        <v/>
      </c>
      <c r="CK143" s="782">
        <f>+CJ143</f>
        <v/>
      </c>
      <c r="CL143" s="782">
        <f>+CK143</f>
        <v/>
      </c>
      <c r="CM143" s="782">
        <f>+CL143</f>
        <v/>
      </c>
      <c r="CN143" s="782">
        <f>+CM143</f>
        <v/>
      </c>
      <c r="CO143" s="782">
        <f>+CN143</f>
        <v/>
      </c>
      <c r="CP143" s="782">
        <f>+CO143</f>
        <v/>
      </c>
      <c r="CQ143" s="782">
        <f>+CP143</f>
        <v/>
      </c>
      <c r="CR143" s="782">
        <f>+CQ143</f>
        <v/>
      </c>
      <c r="CS143" s="782">
        <f>+CR143</f>
        <v/>
      </c>
      <c r="CT143" s="782">
        <f>+CS143</f>
        <v/>
      </c>
      <c r="CU143" s="908">
        <f>+CT143</f>
        <v/>
      </c>
      <c r="CV143" s="782">
        <f>+CU143</f>
        <v/>
      </c>
      <c r="CW143" s="782">
        <f>+CV143</f>
        <v/>
      </c>
      <c r="CX143" s="782">
        <f>+CW143</f>
        <v/>
      </c>
      <c r="CY143" s="782">
        <f>+CX143</f>
        <v/>
      </c>
      <c r="CZ143" s="782">
        <f>+CY143</f>
        <v/>
      </c>
      <c r="DA143" s="782">
        <f>+CZ143</f>
        <v/>
      </c>
      <c r="DB143" s="782">
        <f>+DA143</f>
        <v/>
      </c>
      <c r="DC143" s="782">
        <f>+DB143</f>
        <v/>
      </c>
      <c r="DD143" s="782">
        <f>+DC143</f>
        <v/>
      </c>
      <c r="DE143" s="782">
        <f>+DD143</f>
        <v/>
      </c>
      <c r="DF143" s="782">
        <f>+DE143</f>
        <v/>
      </c>
      <c r="DG143" s="782">
        <f>+DF143</f>
        <v/>
      </c>
    </row>
    <row r="144">
      <c r="A144" s="5" t="n"/>
      <c r="B144" s="6" t="inlineStr">
        <is>
          <t xml:space="preserve">            Total 90000 Payroll Liablities</t>
        </is>
      </c>
      <c r="C144" s="6" t="n"/>
      <c r="D144" s="897" t="n"/>
      <c r="E144" s="897" t="n"/>
      <c r="F144" s="897" t="n"/>
      <c r="G144" s="897" t="n"/>
      <c r="H144" s="897" t="n"/>
      <c r="I144" s="897" t="n"/>
      <c r="J144" s="897" t="n"/>
      <c r="K144" s="897" t="n"/>
      <c r="L144" s="897" t="n"/>
      <c r="M144" s="897" t="n"/>
      <c r="N144" s="897" t="n"/>
      <c r="O144" s="897" t="n"/>
      <c r="P144" s="897" t="n"/>
      <c r="Q144" s="897" t="n"/>
      <c r="R144" s="897" t="n"/>
      <c r="S144" s="897" t="n"/>
      <c r="T144" s="897" t="n"/>
      <c r="U144" s="897" t="n"/>
      <c r="V144" s="897" t="n"/>
      <c r="W144" s="897" t="n"/>
      <c r="X144" s="897" t="n"/>
      <c r="Y144" s="897" t="n"/>
      <c r="Z144" s="897" t="n"/>
      <c r="AA144" s="897" t="n"/>
      <c r="AB144" s="897" t="n"/>
      <c r="AC144" s="897" t="n"/>
      <c r="AD144" s="897" t="n"/>
      <c r="AE144" s="897" t="n"/>
      <c r="AF144" s="897" t="n"/>
      <c r="AG144" s="897" t="n"/>
      <c r="AH144" s="897">
        <f>SUM(AH141:AH143)</f>
        <v/>
      </c>
      <c r="AI144" s="897">
        <f>SUM(AI141:AI143)</f>
        <v/>
      </c>
      <c r="AJ144" s="897">
        <f>SUM(AJ141:AJ143)</f>
        <v/>
      </c>
      <c r="AK144" s="897">
        <f>SUM(AK141:AK143)</f>
        <v/>
      </c>
      <c r="AL144" s="897">
        <f>SUM(AL141:AL143)</f>
        <v/>
      </c>
      <c r="AM144" s="898">
        <f>SUM(AM141:AM143)</f>
        <v/>
      </c>
      <c r="AN144" s="897">
        <f>SUM(AN141:AN143)</f>
        <v/>
      </c>
      <c r="AO144" s="897">
        <f>SUM(AO141:AO143)</f>
        <v/>
      </c>
      <c r="AP144" s="897">
        <f>SUM(AP141:AP143)</f>
        <v/>
      </c>
      <c r="AQ144" s="897">
        <f>SUM(AQ141:AQ143)</f>
        <v/>
      </c>
      <c r="AR144" s="897">
        <f>SUM(AR141:AR143)</f>
        <v/>
      </c>
      <c r="AS144" s="897">
        <f>SUM(AS141:AS143)</f>
        <v/>
      </c>
      <c r="AT144" s="897">
        <f>SUM(AT140:AT143)</f>
        <v/>
      </c>
      <c r="AU144" s="897">
        <f>SUM(AU140:AU143)</f>
        <v/>
      </c>
      <c r="AV144" s="897">
        <f>SUM(AV140:AV143)</f>
        <v/>
      </c>
      <c r="AW144" s="899">
        <f>SUM(AW140:AW143)</f>
        <v/>
      </c>
      <c r="AX144" s="897">
        <f>SUM(AX141:AX143)</f>
        <v/>
      </c>
      <c r="AY144" s="899">
        <f>SUM(AY141:AY143)</f>
        <v/>
      </c>
      <c r="AZ144" s="897">
        <f>SUM(AZ141:AZ143)</f>
        <v/>
      </c>
      <c r="BA144" s="897">
        <f>SUM(BA141:BA143)</f>
        <v/>
      </c>
      <c r="BB144" s="897">
        <f>SUM(BB141:BB143)</f>
        <v/>
      </c>
      <c r="BC144" s="897">
        <f>SUM(BC141:BC143)</f>
        <v/>
      </c>
      <c r="BD144" s="897">
        <f>SUM(BD141:BD143)</f>
        <v/>
      </c>
      <c r="BE144" s="897">
        <f>SUM(BE141:BE143)</f>
        <v/>
      </c>
      <c r="BF144" s="897">
        <f>SUM(BF141:BF143)</f>
        <v/>
      </c>
      <c r="BG144" s="897">
        <f>SUM(BG141:BG143)</f>
        <v/>
      </c>
      <c r="BH144" s="897">
        <f>SUM(BH141:BH143)</f>
        <v/>
      </c>
      <c r="BI144" s="897">
        <f>SUM(BI141:BI143)</f>
        <v/>
      </c>
      <c r="BJ144" s="897">
        <f>SUM(BJ141:BJ143)</f>
        <v/>
      </c>
      <c r="BK144" s="899">
        <f>SUM(BK141:BK143)</f>
        <v/>
      </c>
      <c r="BL144" s="897">
        <f>SUM(BL141:BL143)</f>
        <v/>
      </c>
      <c r="BM144" s="897">
        <f>SUM(BM141:BM143)</f>
        <v/>
      </c>
      <c r="BN144" s="897">
        <f>SUM(BN141:BN143)</f>
        <v/>
      </c>
      <c r="BO144" s="897">
        <f>SUM(BO141:BO143)</f>
        <v/>
      </c>
      <c r="BP144" s="897">
        <f>SUM(BP141:BP143)</f>
        <v/>
      </c>
      <c r="BQ144" s="897">
        <f>SUM(BQ141:BQ143)</f>
        <v/>
      </c>
      <c r="BR144" s="897">
        <f>SUM(BR141:BR143)</f>
        <v/>
      </c>
      <c r="BS144" s="897">
        <f>SUM(BS141:BS143)</f>
        <v/>
      </c>
      <c r="BT144" s="897">
        <f>SUM(BT141:BT143)</f>
        <v/>
      </c>
      <c r="BU144" s="897">
        <f>SUM(BU141:BU143)</f>
        <v/>
      </c>
      <c r="BV144" s="897">
        <f>SUM(BV141:BV143)</f>
        <v/>
      </c>
      <c r="BW144" s="899">
        <f>SUM(BW141:BW143)</f>
        <v/>
      </c>
      <c r="BX144" s="897">
        <f>SUM(BX141:BX143)</f>
        <v/>
      </c>
      <c r="BY144" s="897">
        <f>SUM(BY141:BY143)</f>
        <v/>
      </c>
      <c r="BZ144" s="897">
        <f>SUM(BZ141:BZ143)</f>
        <v/>
      </c>
      <c r="CA144" s="897">
        <f>SUM(CA141:CA143)</f>
        <v/>
      </c>
      <c r="CB144" s="897">
        <f>SUM(CB141:CB143)</f>
        <v/>
      </c>
      <c r="CC144" s="897">
        <f>SUM(CC141:CC143)</f>
        <v/>
      </c>
      <c r="CD144" s="897">
        <f>SUM(CD141:CD143)</f>
        <v/>
      </c>
      <c r="CE144" s="897">
        <f>SUM(CE141:CE143)</f>
        <v/>
      </c>
      <c r="CF144" s="897">
        <f>SUM(CF141:CF143)</f>
        <v/>
      </c>
      <c r="CG144" s="897">
        <f>SUM(CG141:CG143)</f>
        <v/>
      </c>
      <c r="CH144" s="897">
        <f>SUM(CH141:CH143)</f>
        <v/>
      </c>
      <c r="CI144" s="899">
        <f>SUM(CI141:CI143)</f>
        <v/>
      </c>
      <c r="CJ144" s="897">
        <f>SUM(CJ141:CJ143)</f>
        <v/>
      </c>
      <c r="CK144" s="897">
        <f>SUM(CK141:CK143)</f>
        <v/>
      </c>
      <c r="CL144" s="897">
        <f>SUM(CL141:CL143)</f>
        <v/>
      </c>
      <c r="CM144" s="897">
        <f>SUM(CM141:CM143)</f>
        <v/>
      </c>
      <c r="CN144" s="897">
        <f>SUM(CN141:CN143)</f>
        <v/>
      </c>
      <c r="CO144" s="897">
        <f>SUM(CO141:CO143)</f>
        <v/>
      </c>
      <c r="CP144" s="897">
        <f>SUM(CP141:CP143)</f>
        <v/>
      </c>
      <c r="CQ144" s="897">
        <f>SUM(CQ141:CQ143)</f>
        <v/>
      </c>
      <c r="CR144" s="897">
        <f>SUM(CR141:CR143)</f>
        <v/>
      </c>
      <c r="CS144" s="897">
        <f>SUM(CS141:CS143)</f>
        <v/>
      </c>
      <c r="CT144" s="897">
        <f>SUM(CT141:CT143)</f>
        <v/>
      </c>
      <c r="CU144" s="899">
        <f>SUM(CU141:CU143)</f>
        <v/>
      </c>
      <c r="CV144" s="897">
        <f>SUM(CV141:CV143)</f>
        <v/>
      </c>
      <c r="CW144" s="897">
        <f>SUM(CW141:CW143)</f>
        <v/>
      </c>
      <c r="CX144" s="897">
        <f>SUM(CX141:CX143)</f>
        <v/>
      </c>
      <c r="CY144" s="897">
        <f>SUM(CY141:CY143)</f>
        <v/>
      </c>
      <c r="CZ144" s="897">
        <f>SUM(CZ141:CZ143)</f>
        <v/>
      </c>
      <c r="DA144" s="897">
        <f>SUM(DA141:DA143)</f>
        <v/>
      </c>
      <c r="DB144" s="897">
        <f>SUM(DB141:DB143)</f>
        <v/>
      </c>
      <c r="DC144" s="897">
        <f>SUM(DC141:DC143)</f>
        <v/>
      </c>
      <c r="DD144" s="897">
        <f>SUM(DD141:DD143)</f>
        <v/>
      </c>
      <c r="DE144" s="897">
        <f>SUM(DE141:DE143)</f>
        <v/>
      </c>
      <c r="DF144" s="897">
        <f>SUM(DF141:DF143)</f>
        <v/>
      </c>
      <c r="DG144" s="897">
        <f>SUM(DG141:DG143)</f>
        <v/>
      </c>
    </row>
    <row r="145">
      <c r="A145" s="5" t="n"/>
      <c r="B145" s="6" t="inlineStr">
        <is>
          <t xml:space="preserve">            90900 Accrued Expenses</t>
        </is>
      </c>
      <c r="C145" s="6" t="n"/>
      <c r="D145" s="897" t="n"/>
      <c r="E145" s="897" t="n"/>
      <c r="F145" s="897" t="n"/>
      <c r="G145" s="897" t="n"/>
      <c r="H145" s="897" t="n"/>
      <c r="I145" s="897" t="n"/>
      <c r="J145" s="897" t="n"/>
      <c r="K145" s="897" t="n"/>
      <c r="L145" s="897" t="n"/>
      <c r="M145" s="897" t="n"/>
      <c r="N145" s="897" t="n"/>
      <c r="O145" s="897" t="n"/>
      <c r="P145" s="897" t="n"/>
      <c r="Q145" s="897" t="n"/>
      <c r="R145" s="897" t="n"/>
      <c r="S145" s="897" t="n"/>
      <c r="T145" s="897" t="n"/>
      <c r="U145" s="897" t="n"/>
      <c r="V145" s="897" t="n"/>
      <c r="W145" s="897" t="n"/>
      <c r="X145" s="897" t="n"/>
      <c r="Y145" s="897" t="n"/>
      <c r="Z145" s="897" t="n"/>
      <c r="AA145" s="897" t="n"/>
      <c r="AB145" s="897" t="n"/>
      <c r="AC145" s="897" t="n"/>
      <c r="AD145" s="897" t="n"/>
      <c r="AE145" s="897" t="n"/>
      <c r="AF145" s="897" t="n"/>
      <c r="AG145" s="897" t="n"/>
      <c r="AH145" s="897" t="n"/>
      <c r="AI145" s="897" t="n"/>
      <c r="AJ145" s="897" t="n"/>
      <c r="AK145" s="897" t="n"/>
      <c r="AL145" s="897" t="n"/>
      <c r="AM145" s="898" t="n"/>
      <c r="AN145" s="897" t="n"/>
      <c r="AO145" s="897" t="n"/>
      <c r="AP145" s="897" t="n"/>
      <c r="AQ145" s="897" t="n"/>
      <c r="AR145" s="897" t="n"/>
      <c r="AS145" s="897" t="n"/>
      <c r="AT145" s="707" t="n">
        <v>862.5</v>
      </c>
      <c r="AU145" s="707" t="n"/>
      <c r="AV145" s="707" t="n"/>
      <c r="AW145" s="708" t="n"/>
      <c r="AX145" s="897" t="n"/>
      <c r="AY145" s="899" t="n"/>
      <c r="AZ145" s="897" t="n"/>
      <c r="BA145" s="897" t="n"/>
      <c r="BB145" s="897" t="n"/>
      <c r="BC145" s="897" t="n"/>
      <c r="BD145" s="897" t="n"/>
      <c r="BE145" s="897" t="n"/>
      <c r="BF145" s="897" t="n"/>
      <c r="BG145" s="897" t="n"/>
      <c r="BH145" s="897" t="n"/>
      <c r="BI145" s="897" t="n"/>
      <c r="BJ145" s="897" t="n"/>
      <c r="BK145" s="899" t="n"/>
      <c r="BL145" s="897" t="n"/>
      <c r="BM145" s="897" t="n"/>
      <c r="BN145" s="897" t="n"/>
      <c r="BO145" s="897" t="n"/>
      <c r="BP145" s="897" t="n"/>
      <c r="BQ145" s="897" t="n"/>
      <c r="BR145" s="897" t="n"/>
      <c r="BS145" s="897" t="n"/>
      <c r="BT145" s="897" t="n"/>
      <c r="BU145" s="897" t="n"/>
      <c r="BV145" s="897" t="n"/>
      <c r="BW145" s="899" t="n"/>
      <c r="BX145" s="897" t="n"/>
      <c r="BY145" s="897" t="n"/>
      <c r="BZ145" s="897" t="n"/>
      <c r="CA145" s="897" t="n"/>
      <c r="CB145" s="897" t="n"/>
      <c r="CC145" s="897" t="n"/>
      <c r="CD145" s="897" t="n"/>
      <c r="CE145" s="897" t="n"/>
      <c r="CF145" s="897" t="n"/>
      <c r="CG145" s="897" t="n"/>
      <c r="CH145" s="897" t="n"/>
      <c r="CI145" s="899" t="n"/>
      <c r="CJ145" s="897" t="n"/>
      <c r="CK145" s="897" t="n"/>
      <c r="CL145" s="897" t="n"/>
      <c r="CM145" s="897" t="n"/>
      <c r="CN145" s="897" t="n"/>
      <c r="CO145" s="897" t="n"/>
      <c r="CP145" s="897" t="n"/>
      <c r="CQ145" s="897" t="n"/>
      <c r="CR145" s="897" t="n"/>
      <c r="CS145" s="897" t="n"/>
      <c r="CT145" s="897" t="n"/>
      <c r="CU145" s="899" t="n"/>
      <c r="CV145" s="897" t="n"/>
      <c r="CW145" s="897" t="n"/>
      <c r="CX145" s="897" t="n"/>
      <c r="CY145" s="897" t="n"/>
      <c r="CZ145" s="897" t="n"/>
      <c r="DA145" s="897" t="n"/>
      <c r="DB145" s="897" t="n"/>
      <c r="DC145" s="897" t="n"/>
      <c r="DD145" s="897" t="n"/>
      <c r="DE145" s="897" t="n"/>
      <c r="DF145" s="897" t="n"/>
      <c r="DG145" s="897" t="n"/>
    </row>
    <row r="146">
      <c r="A146" s="5" t="n"/>
      <c r="B146" s="6" t="inlineStr">
        <is>
          <t xml:space="preserve">         Total Other Current Liabilities</t>
        </is>
      </c>
      <c r="C146" s="6" t="n"/>
      <c r="D146" s="897" t="n"/>
      <c r="E146" s="897" t="n"/>
      <c r="F146" s="897" t="n"/>
      <c r="G146" s="897" t="n"/>
      <c r="H146" s="897" t="n"/>
      <c r="I146" s="897" t="n"/>
      <c r="J146" s="897" t="n"/>
      <c r="K146" s="897" t="n"/>
      <c r="L146" s="897" t="n"/>
      <c r="M146" s="897" t="n"/>
      <c r="N146" s="897" t="n"/>
      <c r="O146" s="897" t="n"/>
      <c r="P146" s="897" t="n"/>
      <c r="Q146" s="897" t="n"/>
      <c r="R146" s="897" t="n"/>
      <c r="S146" s="897" t="n"/>
      <c r="T146" s="897" t="n"/>
      <c r="U146" s="897" t="n"/>
      <c r="V146" s="897" t="n"/>
      <c r="W146" s="897" t="n"/>
      <c r="X146" s="897" t="n"/>
      <c r="Y146" s="897" t="n"/>
      <c r="Z146" s="897" t="n"/>
      <c r="AA146" s="897" t="n"/>
      <c r="AB146" s="897" t="n"/>
      <c r="AC146" s="897" t="n"/>
      <c r="AD146" s="897" t="n"/>
      <c r="AE146" s="897" t="n"/>
      <c r="AF146" s="897" t="n"/>
      <c r="AG146" s="897" t="n"/>
      <c r="AH146" s="897">
        <f>SUM(AH144)</f>
        <v/>
      </c>
      <c r="AI146" s="897">
        <f>SUM(AI144)</f>
        <v/>
      </c>
      <c r="AJ146" s="897">
        <f>SUM(AJ144)</f>
        <v/>
      </c>
      <c r="AK146" s="897">
        <f>SUM(AK144)</f>
        <v/>
      </c>
      <c r="AL146" s="897">
        <f>SUM(AL144)</f>
        <v/>
      </c>
      <c r="AM146" s="898">
        <f>SUM(AM144)</f>
        <v/>
      </c>
      <c r="AN146" s="897">
        <f>SUM(AN144)</f>
        <v/>
      </c>
      <c r="AO146" s="897">
        <f>SUM(AO144)</f>
        <v/>
      </c>
      <c r="AP146" s="897">
        <f>SUM(AP144)</f>
        <v/>
      </c>
      <c r="AQ146" s="897">
        <f>SUM(AQ144)</f>
        <v/>
      </c>
      <c r="AR146" s="897">
        <f>SUM(AR144)</f>
        <v/>
      </c>
      <c r="AS146" s="897">
        <f>SUM(AS144)</f>
        <v/>
      </c>
      <c r="AT146" s="897">
        <f>SUM(AT144:AT145)</f>
        <v/>
      </c>
      <c r="AU146" s="897">
        <f>SUM(AU144:AU145)</f>
        <v/>
      </c>
      <c r="AV146" s="897">
        <f>SUM(AV144:AV145)</f>
        <v/>
      </c>
      <c r="AW146" s="899">
        <f>SUM(AW144:AW145)</f>
        <v/>
      </c>
      <c r="AX146" s="897">
        <f>SUM(AX144:AX145)</f>
        <v/>
      </c>
      <c r="AY146" s="899">
        <f>SUM(AY144:AY145)</f>
        <v/>
      </c>
      <c r="AZ146" s="897">
        <f>SUM(AZ144:AZ145)</f>
        <v/>
      </c>
      <c r="BA146" s="897">
        <f>SUM(BA144:BA145)</f>
        <v/>
      </c>
      <c r="BB146" s="897">
        <f>SUM(BB144:BB145)</f>
        <v/>
      </c>
      <c r="BC146" s="897">
        <f>SUM(BC144:BC145)</f>
        <v/>
      </c>
      <c r="BD146" s="897">
        <f>SUM(BD144:BD145)</f>
        <v/>
      </c>
      <c r="BE146" s="897">
        <f>SUM(BE144:BE145)</f>
        <v/>
      </c>
      <c r="BF146" s="897">
        <f>SUM(BF144:BF145)</f>
        <v/>
      </c>
      <c r="BG146" s="897">
        <f>SUM(BG144:BG145)</f>
        <v/>
      </c>
      <c r="BH146" s="897">
        <f>SUM(BH144:BH145)</f>
        <v/>
      </c>
      <c r="BI146" s="897">
        <f>SUM(BI144:BI145)</f>
        <v/>
      </c>
      <c r="BJ146" s="897">
        <f>SUM(BJ144:BJ145)</f>
        <v/>
      </c>
      <c r="BK146" s="899">
        <f>SUM(BK144:BK145)</f>
        <v/>
      </c>
      <c r="BL146" s="897">
        <f>SUM(BL144:BL145)</f>
        <v/>
      </c>
      <c r="BM146" s="897">
        <f>SUM(BM144:BM145)</f>
        <v/>
      </c>
      <c r="BN146" s="897">
        <f>SUM(BN144:BN145)</f>
        <v/>
      </c>
      <c r="BO146" s="897">
        <f>SUM(BO144:BO145)</f>
        <v/>
      </c>
      <c r="BP146" s="897">
        <f>SUM(BP144:BP145)</f>
        <v/>
      </c>
      <c r="BQ146" s="897">
        <f>SUM(BQ144:BQ145)</f>
        <v/>
      </c>
      <c r="BR146" s="897">
        <f>SUM(BR144:BR145)</f>
        <v/>
      </c>
      <c r="BS146" s="897">
        <f>SUM(BS144:BS145)</f>
        <v/>
      </c>
      <c r="BT146" s="897">
        <f>SUM(BT144:BT145)</f>
        <v/>
      </c>
      <c r="BU146" s="897">
        <f>SUM(BU144:BU145)</f>
        <v/>
      </c>
      <c r="BV146" s="897">
        <f>SUM(BV144:BV145)</f>
        <v/>
      </c>
      <c r="BW146" s="899">
        <f>SUM(BW144:BW145)</f>
        <v/>
      </c>
      <c r="BX146" s="897">
        <f>SUM(BX144:BX145)</f>
        <v/>
      </c>
      <c r="BY146" s="897">
        <f>SUM(BY144:BY145)</f>
        <v/>
      </c>
      <c r="BZ146" s="897">
        <f>SUM(BZ144:BZ145)</f>
        <v/>
      </c>
      <c r="CA146" s="897">
        <f>SUM(CA144:CA145)</f>
        <v/>
      </c>
      <c r="CB146" s="897">
        <f>SUM(CB144:CB145)</f>
        <v/>
      </c>
      <c r="CC146" s="897">
        <f>SUM(CC144:CC145)</f>
        <v/>
      </c>
      <c r="CD146" s="897">
        <f>SUM(CD144:CD145)</f>
        <v/>
      </c>
      <c r="CE146" s="897">
        <f>SUM(CE144:CE145)</f>
        <v/>
      </c>
      <c r="CF146" s="897">
        <f>SUM(CF144:CF145)</f>
        <v/>
      </c>
      <c r="CG146" s="897">
        <f>SUM(CG144:CG145)</f>
        <v/>
      </c>
      <c r="CH146" s="897">
        <f>SUM(CH144:CH145)</f>
        <v/>
      </c>
      <c r="CI146" s="899">
        <f>SUM(CI144:CI145)</f>
        <v/>
      </c>
      <c r="CJ146" s="897">
        <f>SUM(CJ144:CJ145)</f>
        <v/>
      </c>
      <c r="CK146" s="897">
        <f>SUM(CK144:CK145)</f>
        <v/>
      </c>
      <c r="CL146" s="897">
        <f>SUM(CL144:CL145)</f>
        <v/>
      </c>
      <c r="CM146" s="897">
        <f>SUM(CM144:CM145)</f>
        <v/>
      </c>
      <c r="CN146" s="897">
        <f>SUM(CN144:CN145)</f>
        <v/>
      </c>
      <c r="CO146" s="897">
        <f>SUM(CO144:CO145)</f>
        <v/>
      </c>
      <c r="CP146" s="897">
        <f>SUM(CP144:CP145)</f>
        <v/>
      </c>
      <c r="CQ146" s="897">
        <f>SUM(CQ144:CQ145)</f>
        <v/>
      </c>
      <c r="CR146" s="897">
        <f>SUM(CR144:CR145)</f>
        <v/>
      </c>
      <c r="CS146" s="897">
        <f>SUM(CS144:CS145)</f>
        <v/>
      </c>
      <c r="CT146" s="897">
        <f>SUM(CT144:CT145)</f>
        <v/>
      </c>
      <c r="CU146" s="899">
        <f>SUM(CU144:CU145)</f>
        <v/>
      </c>
      <c r="CV146" s="897">
        <f>SUM(CV144:CV145)</f>
        <v/>
      </c>
      <c r="CW146" s="897">
        <f>SUM(CW144:CW145)</f>
        <v/>
      </c>
      <c r="CX146" s="897">
        <f>SUM(CX144:CX145)</f>
        <v/>
      </c>
      <c r="CY146" s="897">
        <f>SUM(CY144:CY145)</f>
        <v/>
      </c>
      <c r="CZ146" s="897">
        <f>SUM(CZ144:CZ145)</f>
        <v/>
      </c>
      <c r="DA146" s="897">
        <f>SUM(DA144:DA145)</f>
        <v/>
      </c>
      <c r="DB146" s="897">
        <f>SUM(DB144:DB145)</f>
        <v/>
      </c>
      <c r="DC146" s="897">
        <f>SUM(DC144:DC145)</f>
        <v/>
      </c>
      <c r="DD146" s="897">
        <f>SUM(DD144:DD145)</f>
        <v/>
      </c>
      <c r="DE146" s="897">
        <f>SUM(DE144:DE145)</f>
        <v/>
      </c>
      <c r="DF146" s="897">
        <f>SUM(DF144:DF145)</f>
        <v/>
      </c>
      <c r="DG146" s="897">
        <f>SUM(DG144:DG145)</f>
        <v/>
      </c>
    </row>
    <row r="147">
      <c r="B147" s="1" t="inlineStr">
        <is>
          <t xml:space="preserve">   Total Liabilities</t>
        </is>
      </c>
      <c r="C147" s="1" t="n"/>
      <c r="D147" s="2" t="n"/>
      <c r="E147" s="2" t="n"/>
      <c r="F147" s="2" t="n"/>
      <c r="G147" s="2" t="n"/>
      <c r="H147" s="2" t="n"/>
      <c r="I147" s="2" t="n"/>
      <c r="J147" s="897">
        <f>SUM(J137)</f>
        <v/>
      </c>
      <c r="K147" s="897">
        <f>SUM(K137)</f>
        <v/>
      </c>
      <c r="L147" s="897">
        <f>SUM(L137)</f>
        <v/>
      </c>
      <c r="M147" s="897">
        <f>SUM(M137)</f>
        <v/>
      </c>
      <c r="N147" s="897">
        <f>SUM(N137)</f>
        <v/>
      </c>
      <c r="O147" s="897">
        <f>SUM(O137)</f>
        <v/>
      </c>
      <c r="P147" s="897">
        <f>SUM(P137)</f>
        <v/>
      </c>
      <c r="Q147" s="897">
        <f>SUM(Q137)</f>
        <v/>
      </c>
      <c r="R147" s="897">
        <f>SUM(R137)</f>
        <v/>
      </c>
      <c r="S147" s="897">
        <f>SUM(S137)</f>
        <v/>
      </c>
      <c r="T147" s="897">
        <f>SUM(T137)</f>
        <v/>
      </c>
      <c r="U147" s="897">
        <f>SUM(U137)</f>
        <v/>
      </c>
      <c r="V147" s="897">
        <f>SUM(V137)</f>
        <v/>
      </c>
      <c r="W147" s="897">
        <f>SUM(W137)</f>
        <v/>
      </c>
      <c r="X147" s="897">
        <f>SUM(X137)</f>
        <v/>
      </c>
      <c r="Y147" s="897">
        <f>SUM(Y137)</f>
        <v/>
      </c>
      <c r="Z147" s="897">
        <f>SUM(Z137)</f>
        <v/>
      </c>
      <c r="AA147" s="897">
        <f>SUM(AA137)</f>
        <v/>
      </c>
      <c r="AB147" s="897">
        <f>SUM(AB137)</f>
        <v/>
      </c>
      <c r="AC147" s="897">
        <f>SUM(AC137)</f>
        <v/>
      </c>
      <c r="AD147" s="897">
        <f>SUM(AD137)</f>
        <v/>
      </c>
      <c r="AE147" s="897">
        <f>SUM(AE137)</f>
        <v/>
      </c>
      <c r="AF147" s="897">
        <f>SUM(AF137)</f>
        <v/>
      </c>
      <c r="AG147" s="897">
        <f>SUM(AG137)</f>
        <v/>
      </c>
      <c r="AH147" s="897">
        <f>SUM(AH137,AH146)</f>
        <v/>
      </c>
      <c r="AI147" s="897">
        <f>SUM(AI137,AI146)</f>
        <v/>
      </c>
      <c r="AJ147" s="897">
        <f>SUM(AJ137,AJ146)</f>
        <v/>
      </c>
      <c r="AK147" s="897">
        <f>SUM(AK137,AK146)</f>
        <v/>
      </c>
      <c r="AL147" s="897">
        <f>SUM(AL137,AL146)</f>
        <v/>
      </c>
      <c r="AM147" s="898">
        <f>SUM(AM137,AM146)</f>
        <v/>
      </c>
      <c r="AN147" s="897">
        <f>SUM(AN137,AN146)</f>
        <v/>
      </c>
      <c r="AO147" s="897">
        <f>SUM(AO137,AO146)</f>
        <v/>
      </c>
      <c r="AP147" s="897">
        <f>SUM(AP137,AP146)</f>
        <v/>
      </c>
      <c r="AQ147" s="897">
        <f>SUM(AQ137,AQ146)</f>
        <v/>
      </c>
      <c r="AR147" s="897">
        <f>SUM(AR137,AR146)</f>
        <v/>
      </c>
      <c r="AS147" s="897">
        <f>SUM(AS137,AS146)</f>
        <v/>
      </c>
      <c r="AT147" s="897">
        <f>SUM(AT137,AT146)</f>
        <v/>
      </c>
      <c r="AU147" s="897">
        <f>SUM(AU137,AU146)</f>
        <v/>
      </c>
      <c r="AV147" s="897">
        <f>SUM(AV137,AV146)</f>
        <v/>
      </c>
      <c r="AW147" s="899">
        <f>SUM(AW137,AW146)</f>
        <v/>
      </c>
      <c r="AX147" s="897">
        <f>SUM(AX137,AX146)</f>
        <v/>
      </c>
      <c r="AY147" s="899">
        <f>SUM(AY137,AY146)</f>
        <v/>
      </c>
      <c r="AZ147" s="897">
        <f>SUM(AZ137,AZ146)</f>
        <v/>
      </c>
      <c r="BA147" s="897">
        <f>SUM(BA137,BA146)</f>
        <v/>
      </c>
      <c r="BB147" s="897">
        <f>SUM(BB137,BB146)</f>
        <v/>
      </c>
      <c r="BC147" s="897">
        <f>SUM(BC137,BC146)</f>
        <v/>
      </c>
      <c r="BD147" s="897">
        <f>SUM(BD137,BD146)</f>
        <v/>
      </c>
      <c r="BE147" s="897">
        <f>SUM(BE137,BE146)</f>
        <v/>
      </c>
      <c r="BF147" s="897">
        <f>SUM(BF137,BF146)</f>
        <v/>
      </c>
      <c r="BG147" s="897">
        <f>SUM(BG137,BG146)</f>
        <v/>
      </c>
      <c r="BH147" s="897">
        <f>SUM(BH137,BH146)</f>
        <v/>
      </c>
      <c r="BI147" s="897">
        <f>SUM(BI137,BI146)</f>
        <v/>
      </c>
      <c r="BJ147" s="897">
        <f>SUM(BJ137,BJ146)</f>
        <v/>
      </c>
      <c r="BK147" s="899">
        <f>SUM(BK137,BK146)</f>
        <v/>
      </c>
      <c r="BL147" s="897">
        <f>SUM(BL137,BL146)</f>
        <v/>
      </c>
      <c r="BM147" s="897">
        <f>SUM(BM137,BM146)</f>
        <v/>
      </c>
      <c r="BN147" s="897">
        <f>SUM(BN137,BN146)</f>
        <v/>
      </c>
      <c r="BO147" s="897">
        <f>SUM(BO137,BO146)</f>
        <v/>
      </c>
      <c r="BP147" s="897">
        <f>SUM(BP137,BP146)</f>
        <v/>
      </c>
      <c r="BQ147" s="897">
        <f>SUM(BQ137,BQ146)</f>
        <v/>
      </c>
      <c r="BR147" s="897">
        <f>SUM(BR137,BR146)</f>
        <v/>
      </c>
      <c r="BS147" s="897">
        <f>SUM(BS137,BS146)</f>
        <v/>
      </c>
      <c r="BT147" s="897">
        <f>SUM(BT137,BT146)</f>
        <v/>
      </c>
      <c r="BU147" s="897">
        <f>SUM(BU137,BU146)</f>
        <v/>
      </c>
      <c r="BV147" s="897">
        <f>SUM(BV137,BV146)</f>
        <v/>
      </c>
      <c r="BW147" s="899">
        <f>SUM(BW137,BW146)</f>
        <v/>
      </c>
      <c r="BX147" s="897">
        <f>SUM(BX137,BX146)</f>
        <v/>
      </c>
      <c r="BY147" s="897">
        <f>SUM(BY137,BY146)</f>
        <v/>
      </c>
      <c r="BZ147" s="897">
        <f>SUM(BZ137,BZ146)</f>
        <v/>
      </c>
      <c r="CA147" s="897">
        <f>SUM(CA137,CA146)</f>
        <v/>
      </c>
      <c r="CB147" s="897">
        <f>SUM(CB137,CB146)</f>
        <v/>
      </c>
      <c r="CC147" s="897">
        <f>SUM(CC137,CC146)</f>
        <v/>
      </c>
      <c r="CD147" s="897">
        <f>SUM(CD137,CD146)</f>
        <v/>
      </c>
      <c r="CE147" s="897">
        <f>SUM(CE137,CE146)</f>
        <v/>
      </c>
      <c r="CF147" s="897">
        <f>SUM(CF137,CF146)</f>
        <v/>
      </c>
      <c r="CG147" s="897">
        <f>SUM(CG137,CG146)</f>
        <v/>
      </c>
      <c r="CH147" s="897">
        <f>SUM(CH137,CH146)</f>
        <v/>
      </c>
      <c r="CI147" s="899">
        <f>SUM(CI137,CI146)</f>
        <v/>
      </c>
      <c r="CJ147" s="897">
        <f>SUM(CJ137,CJ146)</f>
        <v/>
      </c>
      <c r="CK147" s="897">
        <f>SUM(CK137,CK146)</f>
        <v/>
      </c>
      <c r="CL147" s="897">
        <f>SUM(CL137,CL146)</f>
        <v/>
      </c>
      <c r="CM147" s="897">
        <f>SUM(CM137,CM146)</f>
        <v/>
      </c>
      <c r="CN147" s="897">
        <f>SUM(CN137,CN146)</f>
        <v/>
      </c>
      <c r="CO147" s="897">
        <f>SUM(CO137,CO146)</f>
        <v/>
      </c>
      <c r="CP147" s="897">
        <f>SUM(CP137,CP146)</f>
        <v/>
      </c>
      <c r="CQ147" s="897">
        <f>SUM(CQ137,CQ146)</f>
        <v/>
      </c>
      <c r="CR147" s="897">
        <f>SUM(CR137,CR146)</f>
        <v/>
      </c>
      <c r="CS147" s="897">
        <f>SUM(CS137,CS146)</f>
        <v/>
      </c>
      <c r="CT147" s="897">
        <f>SUM(CT137,CT146)</f>
        <v/>
      </c>
      <c r="CU147" s="899">
        <f>SUM(CU137,CU146)</f>
        <v/>
      </c>
      <c r="CV147" s="897">
        <f>SUM(CV137,CV146)</f>
        <v/>
      </c>
      <c r="CW147" s="897">
        <f>SUM(CW137,CW146)</f>
        <v/>
      </c>
      <c r="CX147" s="897">
        <f>SUM(CX137,CX146)</f>
        <v/>
      </c>
      <c r="CY147" s="897">
        <f>SUM(CY137,CY146)</f>
        <v/>
      </c>
      <c r="CZ147" s="897">
        <f>SUM(CZ137,CZ146)</f>
        <v/>
      </c>
      <c r="DA147" s="897">
        <f>SUM(DA137,DA146)</f>
        <v/>
      </c>
      <c r="DB147" s="897">
        <f>SUM(DB137,DB146)</f>
        <v/>
      </c>
      <c r="DC147" s="897">
        <f>SUM(DC137,DC146)</f>
        <v/>
      </c>
      <c r="DD147" s="897">
        <f>SUM(DD137,DD146)</f>
        <v/>
      </c>
      <c r="DE147" s="897">
        <f>SUM(DE137,DE146)</f>
        <v/>
      </c>
      <c r="DF147" s="897">
        <f>SUM(DF137,DF146)</f>
        <v/>
      </c>
      <c r="DG147" s="897">
        <f>SUM(DG137,DG146)</f>
        <v/>
      </c>
    </row>
    <row r="148">
      <c r="B148" s="1" t="inlineStr">
        <is>
          <t xml:space="preserve">   Equity</t>
        </is>
      </c>
      <c r="C148" s="1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163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570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597" t="n"/>
      <c r="AY148" s="184" t="n"/>
      <c r="BK148" s="184" t="n"/>
      <c r="BW148" s="184" t="n"/>
      <c r="CI148" s="184" t="n"/>
      <c r="CU148" s="184" t="n"/>
    </row>
    <row r="149">
      <c r="B149" s="1" t="inlineStr">
        <is>
          <t xml:space="preserve">      40100 Owner Contributions</t>
        </is>
      </c>
      <c r="C149" s="1" t="n"/>
      <c r="D149" s="707">
        <f>0</f>
        <v/>
      </c>
      <c r="E149" s="707">
        <f>0</f>
        <v/>
      </c>
      <c r="F149" s="707">
        <f>0</f>
        <v/>
      </c>
      <c r="G149" s="707">
        <f>0</f>
        <v/>
      </c>
      <c r="H149" s="707">
        <f>0</f>
        <v/>
      </c>
      <c r="I149" s="707">
        <f>0</f>
        <v/>
      </c>
      <c r="J149" s="707" t="n">
        <v>0</v>
      </c>
      <c r="K149" s="707" t="n">
        <v>255</v>
      </c>
      <c r="L149" s="707" t="n">
        <v>255</v>
      </c>
      <c r="M149" s="707" t="n">
        <v>344</v>
      </c>
      <c r="N149" s="707" t="n">
        <v>344</v>
      </c>
      <c r="O149" s="707" t="n">
        <v>344</v>
      </c>
      <c r="P149" s="707" t="n">
        <v>344</v>
      </c>
      <c r="Q149" s="707" t="n">
        <v>344</v>
      </c>
      <c r="R149" s="707" t="n">
        <v>344</v>
      </c>
      <c r="S149" s="707" t="n">
        <v>344</v>
      </c>
      <c r="T149" s="707" t="n">
        <v>662.53</v>
      </c>
      <c r="U149" s="707" t="n">
        <v>712.53</v>
      </c>
      <c r="V149" s="707" t="n">
        <v>712.53</v>
      </c>
      <c r="W149" s="707" t="n">
        <v>712.53</v>
      </c>
      <c r="X149" s="707" t="n">
        <v>712.53</v>
      </c>
      <c r="Y149" s="707" t="n">
        <v>773.75</v>
      </c>
      <c r="Z149" s="707" t="n">
        <v>873.75</v>
      </c>
      <c r="AA149" s="707" t="n">
        <v>873.75</v>
      </c>
      <c r="AB149" s="707" t="n">
        <v>873.75</v>
      </c>
      <c r="AC149" s="707" t="n">
        <v>873.75</v>
      </c>
      <c r="AD149" s="707" t="n">
        <v>873.75</v>
      </c>
      <c r="AE149" s="707" t="n">
        <v>3273.75</v>
      </c>
      <c r="AF149" s="707" t="n">
        <v>3273.75</v>
      </c>
      <c r="AG149" s="707" t="n">
        <v>3273.75</v>
      </c>
      <c r="AH149" s="707" t="n">
        <v>3273.75</v>
      </c>
      <c r="AI149" s="707" t="n">
        <v>3273.75</v>
      </c>
      <c r="AJ149" s="707" t="n">
        <v>3273.75</v>
      </c>
      <c r="AK149" s="707" t="n">
        <v>3273.75</v>
      </c>
      <c r="AL149" s="707" t="n">
        <v>3273.75</v>
      </c>
      <c r="AM149" s="513" t="n">
        <v>3273.75</v>
      </c>
      <c r="AN149" s="707" t="n">
        <v>3273.75</v>
      </c>
      <c r="AO149" s="707" t="n">
        <v>3273.75</v>
      </c>
      <c r="AP149" s="707" t="n">
        <v>3273.75</v>
      </c>
      <c r="AQ149" s="707" t="n">
        <v>23948.75</v>
      </c>
      <c r="AR149" s="707" t="n">
        <v>31669.75</v>
      </c>
      <c r="AS149" s="707" t="n">
        <v>31669.75</v>
      </c>
      <c r="AT149" s="707" t="n">
        <v>31919.75</v>
      </c>
      <c r="AU149" s="707" t="n">
        <v>31919.75</v>
      </c>
      <c r="AV149" s="707">
        <f>33919.75</f>
        <v/>
      </c>
      <c r="AW149" s="708">
        <f>33919.75</f>
        <v/>
      </c>
      <c r="AX149" s="720">
        <f>AW149</f>
        <v/>
      </c>
      <c r="AY149" s="708">
        <f>AX149</f>
        <v/>
      </c>
      <c r="AZ149" s="707">
        <f>AY149</f>
        <v/>
      </c>
      <c r="BA149" s="707">
        <f>AZ149</f>
        <v/>
      </c>
      <c r="BB149" s="707">
        <f>BA149</f>
        <v/>
      </c>
      <c r="BC149" s="707">
        <f>BB149</f>
        <v/>
      </c>
      <c r="BD149" s="707">
        <f>BC149</f>
        <v/>
      </c>
      <c r="BE149" s="707">
        <f>BD149</f>
        <v/>
      </c>
      <c r="BF149" s="707">
        <f>BE149</f>
        <v/>
      </c>
      <c r="BG149" s="707">
        <f>BF149</f>
        <v/>
      </c>
      <c r="BH149" s="707">
        <f>BG149</f>
        <v/>
      </c>
      <c r="BI149" s="707">
        <f>BH149</f>
        <v/>
      </c>
      <c r="BJ149" s="707">
        <f>BI149</f>
        <v/>
      </c>
      <c r="BK149" s="708">
        <f>BJ149</f>
        <v/>
      </c>
      <c r="BL149" s="707">
        <f>BK149</f>
        <v/>
      </c>
      <c r="BM149" s="707">
        <f>BL149</f>
        <v/>
      </c>
      <c r="BN149" s="707">
        <f>BM149</f>
        <v/>
      </c>
      <c r="BO149" s="707">
        <f>BN149</f>
        <v/>
      </c>
      <c r="BP149" s="707">
        <f>BO149</f>
        <v/>
      </c>
      <c r="BQ149" s="707">
        <f>BP149</f>
        <v/>
      </c>
      <c r="BR149" s="707">
        <f>BQ149</f>
        <v/>
      </c>
      <c r="BS149" s="707">
        <f>BR149</f>
        <v/>
      </c>
      <c r="BT149" s="707">
        <f>BS149</f>
        <v/>
      </c>
      <c r="BU149" s="707">
        <f>BT149</f>
        <v/>
      </c>
      <c r="BV149" s="707">
        <f>BU149</f>
        <v/>
      </c>
      <c r="BW149" s="708">
        <f>BV149</f>
        <v/>
      </c>
      <c r="BX149" s="707">
        <f>BW149</f>
        <v/>
      </c>
      <c r="BY149" s="707">
        <f>BX149</f>
        <v/>
      </c>
      <c r="BZ149" s="707">
        <f>BY149</f>
        <v/>
      </c>
      <c r="CA149" s="707">
        <f>BZ149</f>
        <v/>
      </c>
      <c r="CB149" s="707">
        <f>CA149</f>
        <v/>
      </c>
      <c r="CC149" s="707">
        <f>CB149</f>
        <v/>
      </c>
      <c r="CD149" s="707">
        <f>CC149</f>
        <v/>
      </c>
      <c r="CE149" s="707">
        <f>CD149</f>
        <v/>
      </c>
      <c r="CF149" s="707">
        <f>CE149</f>
        <v/>
      </c>
      <c r="CG149" s="707">
        <f>CF149</f>
        <v/>
      </c>
      <c r="CH149" s="707">
        <f>CG149</f>
        <v/>
      </c>
      <c r="CI149" s="708">
        <f>CH149</f>
        <v/>
      </c>
      <c r="CJ149" s="707">
        <f>CI149</f>
        <v/>
      </c>
      <c r="CK149" s="707">
        <f>CJ149</f>
        <v/>
      </c>
      <c r="CL149" s="707">
        <f>CK149</f>
        <v/>
      </c>
      <c r="CM149" s="707">
        <f>CL149</f>
        <v/>
      </c>
      <c r="CN149" s="707">
        <f>CM149</f>
        <v/>
      </c>
      <c r="CO149" s="707">
        <f>CN149</f>
        <v/>
      </c>
      <c r="CP149" s="707">
        <f>CO149</f>
        <v/>
      </c>
      <c r="CQ149" s="707">
        <f>CP149</f>
        <v/>
      </c>
      <c r="CR149" s="707">
        <f>CQ149</f>
        <v/>
      </c>
      <c r="CS149" s="707">
        <f>CR149</f>
        <v/>
      </c>
      <c r="CT149" s="707">
        <f>CS149</f>
        <v/>
      </c>
      <c r="CU149" s="708">
        <f>CT149</f>
        <v/>
      </c>
      <c r="CV149" s="707">
        <f>CU149</f>
        <v/>
      </c>
      <c r="CW149" s="707">
        <f>CV149</f>
        <v/>
      </c>
      <c r="CX149" s="707">
        <f>CW149</f>
        <v/>
      </c>
      <c r="CY149" s="707">
        <f>CX149</f>
        <v/>
      </c>
      <c r="CZ149" s="707">
        <f>CY149</f>
        <v/>
      </c>
      <c r="DA149" s="707">
        <f>CZ149</f>
        <v/>
      </c>
      <c r="DB149" s="707">
        <f>DA149</f>
        <v/>
      </c>
      <c r="DC149" s="707">
        <f>DB149</f>
        <v/>
      </c>
      <c r="DD149" s="707">
        <f>DC149</f>
        <v/>
      </c>
      <c r="DE149" s="707">
        <f>DD149</f>
        <v/>
      </c>
      <c r="DF149" s="707">
        <f>DE149</f>
        <v/>
      </c>
      <c r="DG149" s="707">
        <f>DF149</f>
        <v/>
      </c>
    </row>
    <row r="150">
      <c r="B150" s="1" t="inlineStr">
        <is>
          <t xml:space="preserve">      40200 Owner Distributions</t>
        </is>
      </c>
      <c r="C150" s="1" t="n"/>
      <c r="D150" s="707">
        <f>0</f>
        <v/>
      </c>
      <c r="E150" s="707">
        <f>0</f>
        <v/>
      </c>
      <c r="F150" s="707">
        <f>0</f>
        <v/>
      </c>
      <c r="G150" s="707">
        <f>0</f>
        <v/>
      </c>
      <c r="H150" s="707">
        <f>0</f>
        <v/>
      </c>
      <c r="I150" s="707">
        <f>0</f>
        <v/>
      </c>
      <c r="J150" s="707" t="n">
        <v>0</v>
      </c>
      <c r="K150" s="707" t="n">
        <v>0</v>
      </c>
      <c r="L150" s="707" t="n">
        <v>0</v>
      </c>
      <c r="M150" s="707" t="n">
        <v>-350</v>
      </c>
      <c r="N150" s="707" t="n">
        <v>-3530.76</v>
      </c>
      <c r="O150" s="707" t="n">
        <v>-6379.47</v>
      </c>
      <c r="P150" s="707" t="n">
        <v>-8379.469999999999</v>
      </c>
      <c r="Q150" s="707" t="n">
        <v>-9429.469999999999</v>
      </c>
      <c r="R150" s="707" t="n">
        <v>-10579.47</v>
      </c>
      <c r="S150" s="707" t="n">
        <v>-11854.47</v>
      </c>
      <c r="T150" s="707" t="n">
        <v>-14254.47</v>
      </c>
      <c r="U150" s="707" t="n">
        <v>-15524.47</v>
      </c>
      <c r="V150" s="707" t="n">
        <v>-17989.08</v>
      </c>
      <c r="W150" s="707" t="n">
        <v>-24394.08</v>
      </c>
      <c r="X150" s="707" t="n">
        <v>-29994.08</v>
      </c>
      <c r="Y150" s="707" t="n">
        <v>-37894.08</v>
      </c>
      <c r="Z150" s="707" t="n">
        <v>-41994.08</v>
      </c>
      <c r="AA150" s="707" t="n">
        <v>-43419.08</v>
      </c>
      <c r="AB150" s="707" t="n">
        <v>-45319.08</v>
      </c>
      <c r="AC150" s="707" t="n">
        <v>-48644.08</v>
      </c>
      <c r="AD150" s="707" t="n">
        <v>-51864.08</v>
      </c>
      <c r="AE150" s="707" t="n">
        <v>-54189.08</v>
      </c>
      <c r="AF150" s="707" t="n">
        <v>-58289.08</v>
      </c>
      <c r="AG150" s="707" t="n">
        <v>-61039.08</v>
      </c>
      <c r="AH150" s="707" t="n">
        <v>-63943.03</v>
      </c>
      <c r="AI150" s="707" t="n">
        <v>-73718.03</v>
      </c>
      <c r="AJ150" s="707" t="n">
        <v>-80485.53</v>
      </c>
      <c r="AK150" s="707" t="n">
        <v>-92985.53</v>
      </c>
      <c r="AL150" s="707" t="n">
        <v>-100765.53</v>
      </c>
      <c r="AM150" s="513" t="n">
        <v>-108217.94</v>
      </c>
      <c r="AN150" s="707" t="n">
        <v>-110367.94</v>
      </c>
      <c r="AO150" s="707" t="n">
        <v>-110367.94</v>
      </c>
      <c r="AP150" s="707" t="n">
        <v>-110367.94</v>
      </c>
      <c r="AQ150" s="707" t="n">
        <v>-110367.94</v>
      </c>
      <c r="AR150" s="707" t="n">
        <v>-118835.43</v>
      </c>
      <c r="AS150" s="707" t="n">
        <v>-118142.5</v>
      </c>
      <c r="AT150" s="707" t="n">
        <v>-119200.28</v>
      </c>
      <c r="AU150" s="707" t="n">
        <v>-119200.28</v>
      </c>
      <c r="AV150" s="707">
        <f>-121774.5</f>
        <v/>
      </c>
      <c r="AW150" s="708">
        <f>-121774.5</f>
        <v/>
      </c>
      <c r="AX150" s="720">
        <f>AW150+AX157</f>
        <v/>
      </c>
      <c r="AY150" s="708">
        <f>AX150+AY157</f>
        <v/>
      </c>
      <c r="AZ150" s="707">
        <f>AY150+AZ157</f>
        <v/>
      </c>
      <c r="BA150" s="707">
        <f>AZ150+BA157</f>
        <v/>
      </c>
      <c r="BB150" s="707">
        <f>BA150+BB157</f>
        <v/>
      </c>
      <c r="BC150" s="707">
        <f>BB150+BC157</f>
        <v/>
      </c>
      <c r="BD150" s="707">
        <f>BC150+BD157</f>
        <v/>
      </c>
      <c r="BE150" s="707">
        <f>BD150+BE157</f>
        <v/>
      </c>
      <c r="BF150" s="707">
        <f>BE150+BF157</f>
        <v/>
      </c>
      <c r="BG150" s="707">
        <f>BF150+BG157</f>
        <v/>
      </c>
      <c r="BH150" s="707">
        <f>BG150+BH157</f>
        <v/>
      </c>
      <c r="BI150" s="707">
        <f>BH150+BI157</f>
        <v/>
      </c>
      <c r="BJ150" s="707">
        <f>BI150+BJ157</f>
        <v/>
      </c>
      <c r="BK150" s="708">
        <f>BJ150+BK157</f>
        <v/>
      </c>
      <c r="BL150" s="707">
        <f>BK150+BL157</f>
        <v/>
      </c>
      <c r="BM150" s="707">
        <f>BL150+BM157</f>
        <v/>
      </c>
      <c r="BN150" s="707">
        <f>BM150+BN157</f>
        <v/>
      </c>
      <c r="BO150" s="707">
        <f>BN150+BO157</f>
        <v/>
      </c>
      <c r="BP150" s="707">
        <f>BO150+BP157</f>
        <v/>
      </c>
      <c r="BQ150" s="707">
        <f>BP150+BQ157</f>
        <v/>
      </c>
      <c r="BR150" s="707">
        <f>BQ150+BR157</f>
        <v/>
      </c>
      <c r="BS150" s="707">
        <f>BR150+BS157</f>
        <v/>
      </c>
      <c r="BT150" s="707">
        <f>BS150+BT157</f>
        <v/>
      </c>
      <c r="BU150" s="707">
        <f>BT150+BU157</f>
        <v/>
      </c>
      <c r="BV150" s="707">
        <f>BU150+BV157</f>
        <v/>
      </c>
      <c r="BW150" s="708">
        <f>BV150+BW157</f>
        <v/>
      </c>
      <c r="BX150" s="707">
        <f>BW150+BX157</f>
        <v/>
      </c>
      <c r="BY150" s="707">
        <f>BX150+BY157</f>
        <v/>
      </c>
      <c r="BZ150" s="707">
        <f>BY150+BZ157</f>
        <v/>
      </c>
      <c r="CA150" s="707">
        <f>BZ150+CA157</f>
        <v/>
      </c>
      <c r="CB150" s="707">
        <f>CA150+CB157</f>
        <v/>
      </c>
      <c r="CC150" s="707">
        <f>CB150+CC157</f>
        <v/>
      </c>
      <c r="CD150" s="707">
        <f>CC150+CD157</f>
        <v/>
      </c>
      <c r="CE150" s="707">
        <f>CD150+CE157</f>
        <v/>
      </c>
      <c r="CF150" s="707">
        <f>CE150+CF157</f>
        <v/>
      </c>
      <c r="CG150" s="707">
        <f>CF150+CG157</f>
        <v/>
      </c>
      <c r="CH150" s="707">
        <f>CG150+CH157</f>
        <v/>
      </c>
      <c r="CI150" s="708">
        <f>CH150+CI157</f>
        <v/>
      </c>
      <c r="CJ150" s="707">
        <f>CI150+CJ157</f>
        <v/>
      </c>
      <c r="CK150" s="707">
        <f>CJ150+CK157</f>
        <v/>
      </c>
      <c r="CL150" s="707">
        <f>CK150+CL157</f>
        <v/>
      </c>
      <c r="CM150" s="707">
        <f>CL150+CM157</f>
        <v/>
      </c>
      <c r="CN150" s="707">
        <f>CM150+CN157</f>
        <v/>
      </c>
      <c r="CO150" s="707">
        <f>CN150+CO157</f>
        <v/>
      </c>
      <c r="CP150" s="707">
        <f>CO150+CP157</f>
        <v/>
      </c>
      <c r="CQ150" s="707">
        <f>CP150+CQ157</f>
        <v/>
      </c>
      <c r="CR150" s="707">
        <f>CQ150+CR157</f>
        <v/>
      </c>
      <c r="CS150" s="707">
        <f>CR150+CS157</f>
        <v/>
      </c>
      <c r="CT150" s="707">
        <f>CS150+CT157</f>
        <v/>
      </c>
      <c r="CU150" s="708">
        <f>CT150+CU157</f>
        <v/>
      </c>
      <c r="CV150" s="707">
        <f>CU150+CV157</f>
        <v/>
      </c>
      <c r="CW150" s="707">
        <f>CV150+CW157</f>
        <v/>
      </c>
      <c r="CX150" s="707">
        <f>CW150+CX157</f>
        <v/>
      </c>
      <c r="CY150" s="707">
        <f>CX150+CY157</f>
        <v/>
      </c>
      <c r="CZ150" s="707">
        <f>CY150+CZ157</f>
        <v/>
      </c>
      <c r="DA150" s="707">
        <f>CZ150+DA157</f>
        <v/>
      </c>
      <c r="DB150" s="707">
        <f>DA150+DB157</f>
        <v/>
      </c>
      <c r="DC150" s="707">
        <f>DB150+DC157</f>
        <v/>
      </c>
      <c r="DD150" s="707">
        <f>DC150+DD157</f>
        <v/>
      </c>
      <c r="DE150" s="707">
        <f>DD150+DE157</f>
        <v/>
      </c>
      <c r="DF150" s="707">
        <f>DE150+DF157</f>
        <v/>
      </c>
      <c r="DG150" s="707">
        <f>DF150+DG157</f>
        <v/>
      </c>
    </row>
    <row r="151" customFormat="1" s="3">
      <c r="B151" s="1" t="inlineStr">
        <is>
          <t xml:space="preserve">      40300 Retained Earnings</t>
        </is>
      </c>
      <c r="C151" s="1" t="n"/>
      <c r="D151" s="707">
        <f>0</f>
        <v/>
      </c>
      <c r="E151" s="707">
        <f>0</f>
        <v/>
      </c>
      <c r="F151" s="707">
        <f>0</f>
        <v/>
      </c>
      <c r="G151" s="707">
        <f>0</f>
        <v/>
      </c>
      <c r="H151" s="707">
        <f>0</f>
        <v/>
      </c>
      <c r="I151" s="707">
        <f>0</f>
        <v/>
      </c>
      <c r="J151" s="707" t="n">
        <v>0</v>
      </c>
      <c r="K151" s="707" t="n">
        <v>0</v>
      </c>
      <c r="L151" s="707" t="n">
        <v>0</v>
      </c>
      <c r="M151" s="707" t="n">
        <v>0</v>
      </c>
      <c r="N151" s="707" t="n">
        <v>0</v>
      </c>
      <c r="O151" s="707" t="n">
        <v>0</v>
      </c>
      <c r="P151" s="707" t="n">
        <v>6879.57</v>
      </c>
      <c r="Q151" s="707" t="n">
        <v>6879.57</v>
      </c>
      <c r="R151" s="707" t="n">
        <v>6879.57</v>
      </c>
      <c r="S151" s="707" t="n">
        <v>6879.57</v>
      </c>
      <c r="T151" s="707" t="n">
        <v>6879.57</v>
      </c>
      <c r="U151" s="707" t="n">
        <v>6879.57</v>
      </c>
      <c r="V151" s="707" t="n">
        <v>6879.57</v>
      </c>
      <c r="W151" s="707" t="n">
        <v>6879.57</v>
      </c>
      <c r="X151" s="707" t="n">
        <v>6879.57</v>
      </c>
      <c r="Y151" s="707" t="n">
        <v>6879.57</v>
      </c>
      <c r="Z151" s="707" t="n">
        <v>6879.57</v>
      </c>
      <c r="AA151" s="707" t="n">
        <v>6879.57</v>
      </c>
      <c r="AB151" s="707" t="n">
        <v>43377.35</v>
      </c>
      <c r="AC151" s="707" t="n">
        <v>43377.35</v>
      </c>
      <c r="AD151" s="707" t="n">
        <v>43377.35</v>
      </c>
      <c r="AE151" s="707" t="n">
        <v>43377.35</v>
      </c>
      <c r="AF151" s="707" t="n">
        <v>43377.35</v>
      </c>
      <c r="AG151" s="707" t="n">
        <v>43377.35</v>
      </c>
      <c r="AH151" s="707">
        <f>AG151</f>
        <v/>
      </c>
      <c r="AI151" s="707">
        <f>AH151</f>
        <v/>
      </c>
      <c r="AJ151" s="707">
        <f>AI151</f>
        <v/>
      </c>
      <c r="AK151" s="707">
        <f>AJ151</f>
        <v/>
      </c>
      <c r="AL151" s="707">
        <f>AK151</f>
        <v/>
      </c>
      <c r="AM151" s="513">
        <f>AL151</f>
        <v/>
      </c>
      <c r="AN151" s="707">
        <f>+AM151+AM154</f>
        <v/>
      </c>
      <c r="AO151" s="707">
        <f>+AN151</f>
        <v/>
      </c>
      <c r="AP151" s="707">
        <f>+AO151</f>
        <v/>
      </c>
      <c r="AQ151" s="707">
        <f>+AP151</f>
        <v/>
      </c>
      <c r="AR151" s="707">
        <f>+AQ151</f>
        <v/>
      </c>
      <c r="AS151" s="707">
        <f>+AR151</f>
        <v/>
      </c>
      <c r="AT151" s="707">
        <f>+AS151</f>
        <v/>
      </c>
      <c r="AU151" s="707">
        <f>+AT151</f>
        <v/>
      </c>
      <c r="AV151" s="707">
        <f>+AU151</f>
        <v/>
      </c>
      <c r="AW151" s="708">
        <f>+AV151</f>
        <v/>
      </c>
      <c r="AX151" s="907">
        <f>AW151+AW154</f>
        <v/>
      </c>
      <c r="AY151" s="708">
        <f>AX151</f>
        <v/>
      </c>
      <c r="AZ151" s="907">
        <f>AY151+AY154</f>
        <v/>
      </c>
      <c r="BA151" s="707">
        <f>AZ151</f>
        <v/>
      </c>
      <c r="BB151" s="707">
        <f>BA151</f>
        <v/>
      </c>
      <c r="BC151" s="707">
        <f>BB151</f>
        <v/>
      </c>
      <c r="BD151" s="707">
        <f>BC151</f>
        <v/>
      </c>
      <c r="BE151" s="707">
        <f>BD151</f>
        <v/>
      </c>
      <c r="BF151" s="707">
        <f>BE151</f>
        <v/>
      </c>
      <c r="BG151" s="707">
        <f>BF151</f>
        <v/>
      </c>
      <c r="BH151" s="707">
        <f>BG151</f>
        <v/>
      </c>
      <c r="BI151" s="707">
        <f>BH151</f>
        <v/>
      </c>
      <c r="BJ151" s="707">
        <f>BI151</f>
        <v/>
      </c>
      <c r="BK151" s="708">
        <f>BJ151</f>
        <v/>
      </c>
      <c r="BL151" s="907">
        <f>BK151+BK154</f>
        <v/>
      </c>
      <c r="BM151" s="707">
        <f>BL151</f>
        <v/>
      </c>
      <c r="BN151" s="707">
        <f>BM151</f>
        <v/>
      </c>
      <c r="BO151" s="707">
        <f>BN151</f>
        <v/>
      </c>
      <c r="BP151" s="707">
        <f>BO151</f>
        <v/>
      </c>
      <c r="BQ151" s="707">
        <f>BP151</f>
        <v/>
      </c>
      <c r="BR151" s="707">
        <f>BQ151</f>
        <v/>
      </c>
      <c r="BS151" s="707">
        <f>BR151</f>
        <v/>
      </c>
      <c r="BT151" s="707">
        <f>BS151</f>
        <v/>
      </c>
      <c r="BU151" s="707">
        <f>BT151</f>
        <v/>
      </c>
      <c r="BV151" s="707">
        <f>BU151</f>
        <v/>
      </c>
      <c r="BW151" s="708">
        <f>BV151</f>
        <v/>
      </c>
      <c r="BX151" s="907">
        <f>BW151+BW154</f>
        <v/>
      </c>
      <c r="BY151" s="707">
        <f>BX151</f>
        <v/>
      </c>
      <c r="BZ151" s="707">
        <f>BY151</f>
        <v/>
      </c>
      <c r="CA151" s="707">
        <f>BZ151</f>
        <v/>
      </c>
      <c r="CB151" s="707">
        <f>CA151</f>
        <v/>
      </c>
      <c r="CC151" s="707">
        <f>CB151</f>
        <v/>
      </c>
      <c r="CD151" s="707">
        <f>CC151</f>
        <v/>
      </c>
      <c r="CE151" s="707">
        <f>CD151</f>
        <v/>
      </c>
      <c r="CF151" s="707">
        <f>CE151</f>
        <v/>
      </c>
      <c r="CG151" s="707">
        <f>CF151</f>
        <v/>
      </c>
      <c r="CH151" s="707">
        <f>CG151</f>
        <v/>
      </c>
      <c r="CI151" s="708">
        <f>CH151</f>
        <v/>
      </c>
      <c r="CJ151" s="907">
        <f>CI151+CI154</f>
        <v/>
      </c>
      <c r="CK151" s="707">
        <f>CJ151</f>
        <v/>
      </c>
      <c r="CL151" s="707">
        <f>CK151</f>
        <v/>
      </c>
      <c r="CM151" s="707">
        <f>CL151</f>
        <v/>
      </c>
      <c r="CN151" s="707">
        <f>CM151</f>
        <v/>
      </c>
      <c r="CO151" s="707">
        <f>CN151</f>
        <v/>
      </c>
      <c r="CP151" s="707">
        <f>CO151</f>
        <v/>
      </c>
      <c r="CQ151" s="707">
        <f>CP151</f>
        <v/>
      </c>
      <c r="CR151" s="707">
        <f>CQ151</f>
        <v/>
      </c>
      <c r="CS151" s="707">
        <f>CR151</f>
        <v/>
      </c>
      <c r="CT151" s="707">
        <f>CS151</f>
        <v/>
      </c>
      <c r="CU151" s="708">
        <f>CT151</f>
        <v/>
      </c>
      <c r="CV151" s="907">
        <f>CU151+CU154</f>
        <v/>
      </c>
      <c r="CW151" s="707">
        <f>CV151</f>
        <v/>
      </c>
      <c r="CX151" s="707">
        <f>CW151</f>
        <v/>
      </c>
      <c r="CY151" s="707">
        <f>CX151</f>
        <v/>
      </c>
      <c r="CZ151" s="707">
        <f>CY151</f>
        <v/>
      </c>
      <c r="DA151" s="707">
        <f>CZ151</f>
        <v/>
      </c>
      <c r="DB151" s="707">
        <f>DA151</f>
        <v/>
      </c>
      <c r="DC151" s="707">
        <f>DB151</f>
        <v/>
      </c>
      <c r="DD151" s="707">
        <f>DC151</f>
        <v/>
      </c>
      <c r="DE151" s="707">
        <f>DD151</f>
        <v/>
      </c>
      <c r="DF151" s="707">
        <f>DE151</f>
        <v/>
      </c>
      <c r="DG151" s="707">
        <f>DF151</f>
        <v/>
      </c>
    </row>
    <row r="152">
      <c r="B152" s="1" t="inlineStr">
        <is>
          <t xml:space="preserve">         40210 Owners Federal Taxes</t>
        </is>
      </c>
      <c r="C152" s="1" t="n"/>
      <c r="D152" s="707" t="n"/>
      <c r="E152" s="707" t="n"/>
      <c r="F152" s="707" t="n"/>
      <c r="G152" s="707" t="n"/>
      <c r="H152" s="707" t="n"/>
      <c r="I152" s="707" t="n"/>
      <c r="J152" s="707" t="n"/>
      <c r="K152" s="707" t="n"/>
      <c r="L152" s="707" t="n"/>
      <c r="M152" s="707" t="n"/>
      <c r="N152" s="707" t="n"/>
      <c r="O152" s="707" t="n"/>
      <c r="P152" s="707" t="n"/>
      <c r="Q152" s="707" t="n"/>
      <c r="R152" s="707" t="n"/>
      <c r="S152" s="707" t="n"/>
      <c r="T152" s="707" t="n"/>
      <c r="U152" s="707" t="n"/>
      <c r="V152" s="707" t="n"/>
      <c r="W152" s="707" t="n"/>
      <c r="X152" s="707" t="n"/>
      <c r="Y152" s="707" t="n"/>
      <c r="Z152" s="707" t="n"/>
      <c r="AA152" s="707" t="n"/>
      <c r="AB152" s="707" t="n"/>
      <c r="AC152" s="707" t="n"/>
      <c r="AD152" s="707" t="n"/>
      <c r="AE152" s="707" t="n"/>
      <c r="AF152" s="707" t="n"/>
      <c r="AG152" s="707" t="n"/>
      <c r="AH152" s="707" t="n"/>
      <c r="AI152" s="707" t="n"/>
      <c r="AJ152" s="707" t="n"/>
      <c r="AK152" s="707" t="n"/>
      <c r="AL152" s="707" t="n"/>
      <c r="AM152" s="513" t="n"/>
      <c r="AN152" s="707" t="n"/>
      <c r="AO152" s="707" t="n"/>
      <c r="AP152" s="707" t="n"/>
      <c r="AQ152" s="707" t="n">
        <v>-11813</v>
      </c>
      <c r="AR152" s="707" t="n">
        <v>-11813</v>
      </c>
      <c r="AS152" s="707" t="n">
        <v>-11813</v>
      </c>
      <c r="AT152" s="707" t="n">
        <v>-11813</v>
      </c>
      <c r="AU152" s="707" t="n">
        <v>-11813</v>
      </c>
      <c r="AV152" s="707" t="n">
        <v>-11813</v>
      </c>
      <c r="AW152" s="708" t="n">
        <v>-11813</v>
      </c>
      <c r="AX152" s="907">
        <f>+AW152</f>
        <v/>
      </c>
      <c r="AY152" s="708">
        <f>+AX152</f>
        <v/>
      </c>
      <c r="AZ152" s="907">
        <f>+AY152</f>
        <v/>
      </c>
      <c r="BA152" s="707">
        <f>+AZ152</f>
        <v/>
      </c>
      <c r="BB152" s="707">
        <f>+BA152</f>
        <v/>
      </c>
      <c r="BC152" s="707">
        <f>+BB152</f>
        <v/>
      </c>
      <c r="BD152" s="707">
        <f>+BC152</f>
        <v/>
      </c>
      <c r="BE152" s="707">
        <f>+BD152</f>
        <v/>
      </c>
      <c r="BF152" s="707">
        <f>+BE152</f>
        <v/>
      </c>
      <c r="BG152" s="707">
        <f>+BF152</f>
        <v/>
      </c>
      <c r="BH152" s="707">
        <f>+BG152</f>
        <v/>
      </c>
      <c r="BI152" s="707">
        <f>+BH152</f>
        <v/>
      </c>
      <c r="BJ152" s="707">
        <f>+BI152</f>
        <v/>
      </c>
      <c r="BK152" s="708">
        <f>+BJ152</f>
        <v/>
      </c>
      <c r="BL152" s="907">
        <f>+BK152</f>
        <v/>
      </c>
      <c r="BM152" s="707">
        <f>+BL152</f>
        <v/>
      </c>
      <c r="BN152" s="707">
        <f>+BM152</f>
        <v/>
      </c>
      <c r="BO152" s="707">
        <f>+BN152</f>
        <v/>
      </c>
      <c r="BP152" s="707">
        <f>+BO152</f>
        <v/>
      </c>
      <c r="BQ152" s="707">
        <f>+BP152</f>
        <v/>
      </c>
      <c r="BR152" s="707">
        <f>+BQ152</f>
        <v/>
      </c>
      <c r="BS152" s="707">
        <f>+BR152</f>
        <v/>
      </c>
      <c r="BT152" s="707">
        <f>+BS152</f>
        <v/>
      </c>
      <c r="BU152" s="707">
        <f>+BT152</f>
        <v/>
      </c>
      <c r="BV152" s="707">
        <f>+BU152</f>
        <v/>
      </c>
      <c r="BW152" s="708">
        <f>+BV152</f>
        <v/>
      </c>
      <c r="BX152" s="907">
        <f>+BW152</f>
        <v/>
      </c>
      <c r="BY152" s="707">
        <f>+BX152</f>
        <v/>
      </c>
      <c r="BZ152" s="707">
        <f>+BY152</f>
        <v/>
      </c>
      <c r="CA152" s="707">
        <f>+BZ152</f>
        <v/>
      </c>
      <c r="CB152" s="707">
        <f>+CA152</f>
        <v/>
      </c>
      <c r="CC152" s="707">
        <f>+CB152</f>
        <v/>
      </c>
      <c r="CD152" s="707">
        <f>+CC152</f>
        <v/>
      </c>
      <c r="CE152" s="707">
        <f>+CD152</f>
        <v/>
      </c>
      <c r="CF152" s="707">
        <f>+CE152</f>
        <v/>
      </c>
      <c r="CG152" s="707">
        <f>+CF152</f>
        <v/>
      </c>
      <c r="CH152" s="707">
        <f>+CG152</f>
        <v/>
      </c>
      <c r="CI152" s="708">
        <f>+CH152</f>
        <v/>
      </c>
      <c r="CJ152" s="907">
        <f>+CI152</f>
        <v/>
      </c>
      <c r="CK152" s="707">
        <f>+CJ152</f>
        <v/>
      </c>
      <c r="CL152" s="707">
        <f>+CK152</f>
        <v/>
      </c>
      <c r="CM152" s="707">
        <f>+CL152</f>
        <v/>
      </c>
      <c r="CN152" s="707">
        <f>+CM152</f>
        <v/>
      </c>
      <c r="CO152" s="707">
        <f>+CN152</f>
        <v/>
      </c>
      <c r="CP152" s="707">
        <f>+CO152</f>
        <v/>
      </c>
      <c r="CQ152" s="707">
        <f>+CP152</f>
        <v/>
      </c>
      <c r="CR152" s="707">
        <f>+CQ152</f>
        <v/>
      </c>
      <c r="CS152" s="707">
        <f>+CR152</f>
        <v/>
      </c>
      <c r="CT152" s="707">
        <f>+CS152</f>
        <v/>
      </c>
      <c r="CU152" s="708">
        <f>+CT152</f>
        <v/>
      </c>
      <c r="CV152" s="907">
        <f>+CU152</f>
        <v/>
      </c>
      <c r="CW152" s="707">
        <f>+CV152</f>
        <v/>
      </c>
      <c r="CX152" s="707">
        <f>+CW152</f>
        <v/>
      </c>
      <c r="CY152" s="707">
        <f>+CX152</f>
        <v/>
      </c>
      <c r="CZ152" s="707">
        <f>+CY152</f>
        <v/>
      </c>
      <c r="DA152" s="707">
        <f>+CZ152</f>
        <v/>
      </c>
      <c r="DB152" s="707">
        <f>+DA152</f>
        <v/>
      </c>
      <c r="DC152" s="707">
        <f>+DB152</f>
        <v/>
      </c>
      <c r="DD152" s="707">
        <f>+DC152</f>
        <v/>
      </c>
      <c r="DE152" s="707">
        <f>+DD152</f>
        <v/>
      </c>
      <c r="DF152" s="707">
        <f>+DE152</f>
        <v/>
      </c>
      <c r="DG152" s="707">
        <f>+DF152</f>
        <v/>
      </c>
    </row>
    <row r="153">
      <c r="B153" s="1" t="inlineStr">
        <is>
          <t xml:space="preserve">         40220 Owners State Taxes</t>
        </is>
      </c>
      <c r="C153" s="1" t="n"/>
      <c r="D153" s="707" t="n"/>
      <c r="E153" s="707" t="n"/>
      <c r="F153" s="707" t="n"/>
      <c r="G153" s="707" t="n"/>
      <c r="H153" s="707" t="n"/>
      <c r="I153" s="707" t="n"/>
      <c r="J153" s="707" t="n"/>
      <c r="K153" s="707" t="n"/>
      <c r="L153" s="707" t="n"/>
      <c r="M153" s="707" t="n"/>
      <c r="N153" s="707" t="n"/>
      <c r="O153" s="707" t="n"/>
      <c r="P153" s="707" t="n"/>
      <c r="Q153" s="707" t="n"/>
      <c r="R153" s="707" t="n"/>
      <c r="S153" s="707" t="n"/>
      <c r="T153" s="707" t="n"/>
      <c r="U153" s="707" t="n"/>
      <c r="V153" s="707" t="n"/>
      <c r="W153" s="707" t="n"/>
      <c r="X153" s="707" t="n"/>
      <c r="Y153" s="707" t="n"/>
      <c r="Z153" s="707" t="n"/>
      <c r="AA153" s="707" t="n"/>
      <c r="AB153" s="707" t="n"/>
      <c r="AC153" s="707" t="n"/>
      <c r="AD153" s="707" t="n"/>
      <c r="AE153" s="707" t="n"/>
      <c r="AF153" s="707" t="n"/>
      <c r="AG153" s="707" t="n"/>
      <c r="AH153" s="707" t="n"/>
      <c r="AI153" s="707" t="n"/>
      <c r="AJ153" s="707" t="n"/>
      <c r="AK153" s="707" t="n"/>
      <c r="AL153" s="707" t="n"/>
      <c r="AM153" s="513" t="n"/>
      <c r="AN153" s="707" t="n"/>
      <c r="AO153" s="707" t="n"/>
      <c r="AP153" s="707" t="n"/>
      <c r="AQ153" s="707" t="n">
        <v>-8861</v>
      </c>
      <c r="AR153" s="707" t="n">
        <v>-8861</v>
      </c>
      <c r="AS153" s="707" t="n">
        <v>-8898.68</v>
      </c>
      <c r="AT153" s="707" t="n">
        <v>-8898.68</v>
      </c>
      <c r="AU153" s="707" t="n">
        <v>-8898.68</v>
      </c>
      <c r="AV153" s="707" t="n">
        <v>-8898.68</v>
      </c>
      <c r="AW153" s="708" t="n">
        <v>-8898.68</v>
      </c>
      <c r="AX153" s="907">
        <f>+AW153</f>
        <v/>
      </c>
      <c r="AY153" s="708">
        <f>+AX153</f>
        <v/>
      </c>
      <c r="AZ153" s="907">
        <f>+AY153</f>
        <v/>
      </c>
      <c r="BA153" s="707">
        <f>+AZ153</f>
        <v/>
      </c>
      <c r="BB153" s="707">
        <f>+BA153</f>
        <v/>
      </c>
      <c r="BC153" s="707">
        <f>+BB153</f>
        <v/>
      </c>
      <c r="BD153" s="707">
        <f>+BC153</f>
        <v/>
      </c>
      <c r="BE153" s="707">
        <f>+BD153</f>
        <v/>
      </c>
      <c r="BF153" s="707">
        <f>+BE153</f>
        <v/>
      </c>
      <c r="BG153" s="707">
        <f>+BF153</f>
        <v/>
      </c>
      <c r="BH153" s="707">
        <f>+BG153</f>
        <v/>
      </c>
      <c r="BI153" s="707">
        <f>+BH153</f>
        <v/>
      </c>
      <c r="BJ153" s="707">
        <f>+BI153</f>
        <v/>
      </c>
      <c r="BK153" s="708">
        <f>+BJ153</f>
        <v/>
      </c>
      <c r="BL153" s="907">
        <f>+BK153</f>
        <v/>
      </c>
      <c r="BM153" s="707">
        <f>+BL153</f>
        <v/>
      </c>
      <c r="BN153" s="707">
        <f>+BM153</f>
        <v/>
      </c>
      <c r="BO153" s="707">
        <f>+BN153</f>
        <v/>
      </c>
      <c r="BP153" s="707">
        <f>+BO153</f>
        <v/>
      </c>
      <c r="BQ153" s="707">
        <f>+BP153</f>
        <v/>
      </c>
      <c r="BR153" s="707">
        <f>+BQ153</f>
        <v/>
      </c>
      <c r="BS153" s="707">
        <f>+BR153</f>
        <v/>
      </c>
      <c r="BT153" s="707">
        <f>+BS153</f>
        <v/>
      </c>
      <c r="BU153" s="707">
        <f>+BT153</f>
        <v/>
      </c>
      <c r="BV153" s="707">
        <f>+BU153</f>
        <v/>
      </c>
      <c r="BW153" s="708">
        <f>+BV153</f>
        <v/>
      </c>
      <c r="BX153" s="907">
        <f>+BW153</f>
        <v/>
      </c>
      <c r="BY153" s="707">
        <f>+BX153</f>
        <v/>
      </c>
      <c r="BZ153" s="707">
        <f>+BY153</f>
        <v/>
      </c>
      <c r="CA153" s="707">
        <f>+BZ153</f>
        <v/>
      </c>
      <c r="CB153" s="707">
        <f>+CA153</f>
        <v/>
      </c>
      <c r="CC153" s="707">
        <f>+CB153</f>
        <v/>
      </c>
      <c r="CD153" s="707">
        <f>+CC153</f>
        <v/>
      </c>
      <c r="CE153" s="707">
        <f>+CD153</f>
        <v/>
      </c>
      <c r="CF153" s="707">
        <f>+CE153</f>
        <v/>
      </c>
      <c r="CG153" s="707">
        <f>+CF153</f>
        <v/>
      </c>
      <c r="CH153" s="707">
        <f>+CG153</f>
        <v/>
      </c>
      <c r="CI153" s="708">
        <f>+CH153</f>
        <v/>
      </c>
      <c r="CJ153" s="907">
        <f>+CI153</f>
        <v/>
      </c>
      <c r="CK153" s="707">
        <f>+CJ153</f>
        <v/>
      </c>
      <c r="CL153" s="707">
        <f>+CK153</f>
        <v/>
      </c>
      <c r="CM153" s="707">
        <f>+CL153</f>
        <v/>
      </c>
      <c r="CN153" s="707">
        <f>+CM153</f>
        <v/>
      </c>
      <c r="CO153" s="707">
        <f>+CN153</f>
        <v/>
      </c>
      <c r="CP153" s="707">
        <f>+CO153</f>
        <v/>
      </c>
      <c r="CQ153" s="707">
        <f>+CP153</f>
        <v/>
      </c>
      <c r="CR153" s="707">
        <f>+CQ153</f>
        <v/>
      </c>
      <c r="CS153" s="707">
        <f>+CR153</f>
        <v/>
      </c>
      <c r="CT153" s="707">
        <f>+CS153</f>
        <v/>
      </c>
      <c r="CU153" s="708">
        <f>+CT153</f>
        <v/>
      </c>
      <c r="CV153" s="907">
        <f>+CU153</f>
        <v/>
      </c>
      <c r="CW153" s="707">
        <f>+CV153</f>
        <v/>
      </c>
      <c r="CX153" s="707">
        <f>+CW153</f>
        <v/>
      </c>
      <c r="CY153" s="707">
        <f>+CX153</f>
        <v/>
      </c>
      <c r="CZ153" s="707">
        <f>+CY153</f>
        <v/>
      </c>
      <c r="DA153" s="707">
        <f>+CZ153</f>
        <v/>
      </c>
      <c r="DB153" s="707">
        <f>+DA153</f>
        <v/>
      </c>
      <c r="DC153" s="707">
        <f>+DB153</f>
        <v/>
      </c>
      <c r="DD153" s="707">
        <f>+DC153</f>
        <v/>
      </c>
      <c r="DE153" s="707">
        <f>+DD153</f>
        <v/>
      </c>
      <c r="DF153" s="707">
        <f>+DE153</f>
        <v/>
      </c>
      <c r="DG153" s="707">
        <f>+DF153</f>
        <v/>
      </c>
    </row>
    <row r="154">
      <c r="B154" s="1" t="inlineStr">
        <is>
          <t xml:space="preserve">      Net Income</t>
        </is>
      </c>
      <c r="C154" s="1" t="n"/>
      <c r="D154" s="707">
        <f>0</f>
        <v/>
      </c>
      <c r="E154" s="707">
        <f>D154+E110</f>
        <v/>
      </c>
      <c r="F154" s="707">
        <f>E154+F110</f>
        <v/>
      </c>
      <c r="G154" s="707">
        <f>F154+G110</f>
        <v/>
      </c>
      <c r="H154" s="707">
        <f>G154+H110</f>
        <v/>
      </c>
      <c r="I154" s="707">
        <f>H154+I110</f>
        <v/>
      </c>
      <c r="J154" s="707">
        <f>I154+J110</f>
        <v/>
      </c>
      <c r="K154" s="707">
        <f>J154+K110</f>
        <v/>
      </c>
      <c r="L154" s="707">
        <f>K154+L110</f>
        <v/>
      </c>
      <c r="M154" s="707">
        <f>L154+M110</f>
        <v/>
      </c>
      <c r="N154" s="707">
        <f>M154+N110</f>
        <v/>
      </c>
      <c r="O154" s="707">
        <f>N154+O110</f>
        <v/>
      </c>
      <c r="P154" s="707">
        <f>+P110</f>
        <v/>
      </c>
      <c r="Q154" s="707">
        <f>+Q110+P154</f>
        <v/>
      </c>
      <c r="R154" s="707">
        <f>+R110+Q154</f>
        <v/>
      </c>
      <c r="S154" s="707">
        <f>+S110+R154</f>
        <v/>
      </c>
      <c r="T154" s="707">
        <f>+T110+S154</f>
        <v/>
      </c>
      <c r="U154" s="707">
        <f>+U110+T154</f>
        <v/>
      </c>
      <c r="V154" s="707">
        <f>+V110+U154</f>
        <v/>
      </c>
      <c r="W154" s="707">
        <f>+W110+V154</f>
        <v/>
      </c>
      <c r="X154" s="707">
        <f>+X110+W154</f>
        <v/>
      </c>
      <c r="Y154" s="707">
        <f>+Y110+X154</f>
        <v/>
      </c>
      <c r="Z154" s="707">
        <f>+Z110+Y154</f>
        <v/>
      </c>
      <c r="AA154" s="707">
        <f>+AA110+Z154</f>
        <v/>
      </c>
      <c r="AB154" s="707">
        <f>+AB110</f>
        <v/>
      </c>
      <c r="AC154" s="707">
        <f>+AC110+AB154</f>
        <v/>
      </c>
      <c r="AD154" s="707">
        <f>+AD110+AC154</f>
        <v/>
      </c>
      <c r="AE154" s="707">
        <f>+AE110+AD154</f>
        <v/>
      </c>
      <c r="AF154" s="707">
        <f>+AF110+AE154</f>
        <v/>
      </c>
      <c r="AG154" s="707">
        <f>+AG110+AF154</f>
        <v/>
      </c>
      <c r="AH154" s="707">
        <f>+AH110+AG154</f>
        <v/>
      </c>
      <c r="AI154" s="707">
        <f>+AI110+AH154</f>
        <v/>
      </c>
      <c r="AJ154" s="707">
        <f>+AJ110+AI154</f>
        <v/>
      </c>
      <c r="AK154" s="707">
        <f>+AK110+AJ154</f>
        <v/>
      </c>
      <c r="AL154" s="707">
        <f>+AL110+AK154</f>
        <v/>
      </c>
      <c r="AM154" s="513">
        <f>+AM110+AL154</f>
        <v/>
      </c>
      <c r="AN154" s="707">
        <f>+AN110</f>
        <v/>
      </c>
      <c r="AO154" s="707">
        <f>+AO110+AN154</f>
        <v/>
      </c>
      <c r="AP154" s="707">
        <f>+AP110+AO154</f>
        <v/>
      </c>
      <c r="AQ154" s="707">
        <f>+AQ110+AP154</f>
        <v/>
      </c>
      <c r="AR154" s="707">
        <f>+AR110+AQ154</f>
        <v/>
      </c>
      <c r="AS154" s="707">
        <f>+AS110+AR154</f>
        <v/>
      </c>
      <c r="AT154" s="707">
        <f>+AT110+AS154</f>
        <v/>
      </c>
      <c r="AU154" s="707">
        <f>+AU110+AT154</f>
        <v/>
      </c>
      <c r="AV154" s="707">
        <f>+AV110+AU154</f>
        <v/>
      </c>
      <c r="AW154" s="708">
        <f>+AW110+AV154</f>
        <v/>
      </c>
      <c r="AX154" s="907">
        <f>+AX110</f>
        <v/>
      </c>
      <c r="AY154" s="708">
        <f>+AY110+AX154</f>
        <v/>
      </c>
      <c r="AZ154" s="707">
        <f>+AZ110</f>
        <v/>
      </c>
      <c r="BA154" s="707">
        <f>+BA110+AZ154</f>
        <v/>
      </c>
      <c r="BB154" s="707">
        <f>+BB110+BA154</f>
        <v/>
      </c>
      <c r="BC154" s="707">
        <f>+BC110+BB154</f>
        <v/>
      </c>
      <c r="BD154" s="707">
        <f>+BD110+BC154</f>
        <v/>
      </c>
      <c r="BE154" s="707">
        <f>+BE110+BD154</f>
        <v/>
      </c>
      <c r="BF154" s="707">
        <f>+BF110+BE154</f>
        <v/>
      </c>
      <c r="BG154" s="707">
        <f>+BG110+BF154</f>
        <v/>
      </c>
      <c r="BH154" s="707">
        <f>+BH110+BG154</f>
        <v/>
      </c>
      <c r="BI154" s="707">
        <f>+BI110+BH154</f>
        <v/>
      </c>
      <c r="BJ154" s="707">
        <f>+BJ110+BI154</f>
        <v/>
      </c>
      <c r="BK154" s="708">
        <f>+BK110+BJ154</f>
        <v/>
      </c>
      <c r="BL154" s="707">
        <f>+BL110</f>
        <v/>
      </c>
      <c r="BM154" s="707">
        <f>+BM110+BL154</f>
        <v/>
      </c>
      <c r="BN154" s="707">
        <f>+BN110+BM154</f>
        <v/>
      </c>
      <c r="BO154" s="707">
        <f>+BO110+BN154</f>
        <v/>
      </c>
      <c r="BP154" s="707">
        <f>+BP110+BO154</f>
        <v/>
      </c>
      <c r="BQ154" s="707">
        <f>+BQ110+BP154</f>
        <v/>
      </c>
      <c r="BR154" s="707">
        <f>+BR110+BQ154</f>
        <v/>
      </c>
      <c r="BS154" s="707">
        <f>+BS110+BR154</f>
        <v/>
      </c>
      <c r="BT154" s="707">
        <f>+BT110+BS154</f>
        <v/>
      </c>
      <c r="BU154" s="707">
        <f>+BU110+BT154</f>
        <v/>
      </c>
      <c r="BV154" s="707">
        <f>+BV110+BU154</f>
        <v/>
      </c>
      <c r="BW154" s="708">
        <f>+BW110+BV154</f>
        <v/>
      </c>
      <c r="BX154" s="707">
        <f>+BX110</f>
        <v/>
      </c>
      <c r="BY154" s="707">
        <f>+BY110+BX154</f>
        <v/>
      </c>
      <c r="BZ154" s="707">
        <f>+BZ110+BY154</f>
        <v/>
      </c>
      <c r="CA154" s="707">
        <f>+CA110+BZ154</f>
        <v/>
      </c>
      <c r="CB154" s="707">
        <f>+CB110+CA154</f>
        <v/>
      </c>
      <c r="CC154" s="707">
        <f>+CC110+CB154</f>
        <v/>
      </c>
      <c r="CD154" s="707">
        <f>+CD110+CC154</f>
        <v/>
      </c>
      <c r="CE154" s="707">
        <f>+CE110+CD154</f>
        <v/>
      </c>
      <c r="CF154" s="707">
        <f>+CF110+CE154</f>
        <v/>
      </c>
      <c r="CG154" s="707">
        <f>+CG110+CF154</f>
        <v/>
      </c>
      <c r="CH154" s="707">
        <f>+CH110+CG154</f>
        <v/>
      </c>
      <c r="CI154" s="708">
        <f>+CI110+CH154</f>
        <v/>
      </c>
      <c r="CJ154" s="707">
        <f>+CJ110</f>
        <v/>
      </c>
      <c r="CK154" s="707">
        <f>+CK110+CJ154</f>
        <v/>
      </c>
      <c r="CL154" s="707">
        <f>+CL110+CK154</f>
        <v/>
      </c>
      <c r="CM154" s="707">
        <f>+CM110+CL154</f>
        <v/>
      </c>
      <c r="CN154" s="707">
        <f>+CN110+CM154</f>
        <v/>
      </c>
      <c r="CO154" s="707">
        <f>+CO110+CN154</f>
        <v/>
      </c>
      <c r="CP154" s="707">
        <f>+CP110+CO154</f>
        <v/>
      </c>
      <c r="CQ154" s="707">
        <f>+CQ110+CP154</f>
        <v/>
      </c>
      <c r="CR154" s="707">
        <f>+CR110+CQ154</f>
        <v/>
      </c>
      <c r="CS154" s="707">
        <f>+CS110+CR154</f>
        <v/>
      </c>
      <c r="CT154" s="707">
        <f>+CT110+CS154</f>
        <v/>
      </c>
      <c r="CU154" s="708">
        <f>+CU110+CT154</f>
        <v/>
      </c>
      <c r="CV154" s="707">
        <f>+CV110</f>
        <v/>
      </c>
      <c r="CW154" s="707">
        <f>+CW110+CV154</f>
        <v/>
      </c>
      <c r="CX154" s="707">
        <f>+CX110+CW154</f>
        <v/>
      </c>
      <c r="CY154" s="707">
        <f>+CY110+CX154</f>
        <v/>
      </c>
      <c r="CZ154" s="707">
        <f>+CZ110+CY154</f>
        <v/>
      </c>
      <c r="DA154" s="707">
        <f>+DA110+CZ154</f>
        <v/>
      </c>
      <c r="DB154" s="707">
        <f>+DB110+DA154</f>
        <v/>
      </c>
      <c r="DC154" s="707">
        <f>+DC110+DB154</f>
        <v/>
      </c>
      <c r="DD154" s="707">
        <f>+DD110+DC154</f>
        <v/>
      </c>
      <c r="DE154" s="707">
        <f>+DE110+DD154</f>
        <v/>
      </c>
      <c r="DF154" s="707">
        <f>+DF110+DE154</f>
        <v/>
      </c>
      <c r="DG154" s="707">
        <f>+DG110+DF154</f>
        <v/>
      </c>
    </row>
    <row r="155">
      <c r="A155" s="5" t="n"/>
      <c r="B155" s="6" t="inlineStr">
        <is>
          <t xml:space="preserve">   Total Equity</t>
        </is>
      </c>
      <c r="C155" s="6" t="n"/>
      <c r="D155" s="897">
        <f>SUM(D149:D154)</f>
        <v/>
      </c>
      <c r="E155" s="897">
        <f>SUM(E149:E154)</f>
        <v/>
      </c>
      <c r="F155" s="897">
        <f>SUM(F149:F154)</f>
        <v/>
      </c>
      <c r="G155" s="897">
        <f>SUM(G149:G154)</f>
        <v/>
      </c>
      <c r="H155" s="897">
        <f>SUM(H149:H154)</f>
        <v/>
      </c>
      <c r="I155" s="897">
        <f>SUM(I149:I154)</f>
        <v/>
      </c>
      <c r="J155" s="897">
        <f>SUM(J149:J154)</f>
        <v/>
      </c>
      <c r="K155" s="897">
        <f>SUM(K149:K154)</f>
        <v/>
      </c>
      <c r="L155" s="897">
        <f>SUM(L149:L154)</f>
        <v/>
      </c>
      <c r="M155" s="897">
        <f>SUM(M149:M154)</f>
        <v/>
      </c>
      <c r="N155" s="897">
        <f>SUM(N149:N154)</f>
        <v/>
      </c>
      <c r="O155" s="897">
        <f>SUM(O149:O154)</f>
        <v/>
      </c>
      <c r="P155" s="897">
        <f>SUM(P149:P154)</f>
        <v/>
      </c>
      <c r="Q155" s="897">
        <f>SUM(Q149:Q154)</f>
        <v/>
      </c>
      <c r="R155" s="897">
        <f>SUM(R149:R154)</f>
        <v/>
      </c>
      <c r="S155" s="897">
        <f>SUM(S149:S154)</f>
        <v/>
      </c>
      <c r="T155" s="897">
        <f>SUM(T149:T154)</f>
        <v/>
      </c>
      <c r="U155" s="897">
        <f>SUM(U149:U154)</f>
        <v/>
      </c>
      <c r="V155" s="897">
        <f>SUM(V149:V154)</f>
        <v/>
      </c>
      <c r="W155" s="897">
        <f>SUM(W149:W154)</f>
        <v/>
      </c>
      <c r="X155" s="897">
        <f>SUM(X149:X154)</f>
        <v/>
      </c>
      <c r="Y155" s="897">
        <f>SUM(Y149:Y154)</f>
        <v/>
      </c>
      <c r="Z155" s="897">
        <f>SUM(Z149:Z154)</f>
        <v/>
      </c>
      <c r="AA155" s="897">
        <f>SUM(AA149:AA154)</f>
        <v/>
      </c>
      <c r="AB155" s="897">
        <f>SUM(AB149:AB154)</f>
        <v/>
      </c>
      <c r="AC155" s="897">
        <f>SUM(AC149:AC154)</f>
        <v/>
      </c>
      <c r="AD155" s="897">
        <f>SUM(AD149:AD154)</f>
        <v/>
      </c>
      <c r="AE155" s="897">
        <f>SUM(AE149:AE154)</f>
        <v/>
      </c>
      <c r="AF155" s="897">
        <f>SUM(AF149:AF154)</f>
        <v/>
      </c>
      <c r="AG155" s="897">
        <f>SUM(AG149:AG154)</f>
        <v/>
      </c>
      <c r="AH155" s="897">
        <f>SUM(AH149:AH154)</f>
        <v/>
      </c>
      <c r="AI155" s="897">
        <f>SUM(AI149:AI154)</f>
        <v/>
      </c>
      <c r="AJ155" s="897">
        <f>SUM(AJ149:AJ154)</f>
        <v/>
      </c>
      <c r="AK155" s="897">
        <f>SUM(AK149:AK154)</f>
        <v/>
      </c>
      <c r="AL155" s="897">
        <f>SUM(AL149:AL154)</f>
        <v/>
      </c>
      <c r="AM155" s="898">
        <f>SUM(AM149:AM154)</f>
        <v/>
      </c>
      <c r="AN155" s="897">
        <f>SUM(AN149:AN154)</f>
        <v/>
      </c>
      <c r="AO155" s="897">
        <f>SUM(AO149:AO154)</f>
        <v/>
      </c>
      <c r="AP155" s="897">
        <f>SUM(AP149:AP154)</f>
        <v/>
      </c>
      <c r="AQ155" s="897">
        <f>SUM(AQ149:AQ154)</f>
        <v/>
      </c>
      <c r="AR155" s="897">
        <f>SUM(AR149:AR154)</f>
        <v/>
      </c>
      <c r="AS155" s="897">
        <f>SUM(AS149:AS154)</f>
        <v/>
      </c>
      <c r="AT155" s="897">
        <f>SUM(AT149:AT154)</f>
        <v/>
      </c>
      <c r="AU155" s="897">
        <f>SUM(AU149:AU154)</f>
        <v/>
      </c>
      <c r="AV155" s="897">
        <f>SUM(AV149:AV154)</f>
        <v/>
      </c>
      <c r="AW155" s="899">
        <f>SUM(AW149:AW154)</f>
        <v/>
      </c>
      <c r="AX155" s="897">
        <f>SUM(AX149:AX154)</f>
        <v/>
      </c>
      <c r="AY155" s="899">
        <f>SUM(AY149:AY154)</f>
        <v/>
      </c>
      <c r="AZ155" s="897">
        <f>SUM(AZ149:AZ154)</f>
        <v/>
      </c>
      <c r="BA155" s="897">
        <f>SUM(BA149:BA154)</f>
        <v/>
      </c>
      <c r="BB155" s="897">
        <f>SUM(BB149:BB154)</f>
        <v/>
      </c>
      <c r="BC155" s="897">
        <f>SUM(BC149:BC154)</f>
        <v/>
      </c>
      <c r="BD155" s="897">
        <f>SUM(BD149:BD154)</f>
        <v/>
      </c>
      <c r="BE155" s="897">
        <f>SUM(BE149:BE154)</f>
        <v/>
      </c>
      <c r="BF155" s="897">
        <f>SUM(BF149:BF154)</f>
        <v/>
      </c>
      <c r="BG155" s="897">
        <f>SUM(BG149:BG154)</f>
        <v/>
      </c>
      <c r="BH155" s="897">
        <f>SUM(BH149:BH154)</f>
        <v/>
      </c>
      <c r="BI155" s="897">
        <f>SUM(BI149:BI154)</f>
        <v/>
      </c>
      <c r="BJ155" s="897">
        <f>SUM(BJ149:BJ154)</f>
        <v/>
      </c>
      <c r="BK155" s="899">
        <f>SUM(BK149:BK154)</f>
        <v/>
      </c>
      <c r="BL155" s="897">
        <f>SUM(BL149:BL154)</f>
        <v/>
      </c>
      <c r="BM155" s="897">
        <f>SUM(BM149:BM154)</f>
        <v/>
      </c>
      <c r="BN155" s="897">
        <f>SUM(BN149:BN154)</f>
        <v/>
      </c>
      <c r="BO155" s="897">
        <f>SUM(BO149:BO154)</f>
        <v/>
      </c>
      <c r="BP155" s="897">
        <f>SUM(BP149:BP154)</f>
        <v/>
      </c>
      <c r="BQ155" s="897">
        <f>SUM(BQ149:BQ154)</f>
        <v/>
      </c>
      <c r="BR155" s="897">
        <f>SUM(BR149:BR154)</f>
        <v/>
      </c>
      <c r="BS155" s="897">
        <f>SUM(BS149:BS154)</f>
        <v/>
      </c>
      <c r="BT155" s="897">
        <f>SUM(BT149:BT154)</f>
        <v/>
      </c>
      <c r="BU155" s="897">
        <f>SUM(BU149:BU154)</f>
        <v/>
      </c>
      <c r="BV155" s="897">
        <f>SUM(BV149:BV154)</f>
        <v/>
      </c>
      <c r="BW155" s="899">
        <f>SUM(BW149:BW154)</f>
        <v/>
      </c>
      <c r="BX155" s="897">
        <f>SUM(BX149:BX154)</f>
        <v/>
      </c>
      <c r="BY155" s="897">
        <f>SUM(BY149:BY154)</f>
        <v/>
      </c>
      <c r="BZ155" s="897">
        <f>SUM(BZ149:BZ154)</f>
        <v/>
      </c>
      <c r="CA155" s="897">
        <f>SUM(CA149:CA154)</f>
        <v/>
      </c>
      <c r="CB155" s="897">
        <f>SUM(CB149:CB154)</f>
        <v/>
      </c>
      <c r="CC155" s="897">
        <f>SUM(CC149:CC154)</f>
        <v/>
      </c>
      <c r="CD155" s="897">
        <f>SUM(CD149:CD154)</f>
        <v/>
      </c>
      <c r="CE155" s="897">
        <f>SUM(CE149:CE154)</f>
        <v/>
      </c>
      <c r="CF155" s="897">
        <f>SUM(CF149:CF154)</f>
        <v/>
      </c>
      <c r="CG155" s="897">
        <f>SUM(CG149:CG154)</f>
        <v/>
      </c>
      <c r="CH155" s="897">
        <f>SUM(CH149:CH154)</f>
        <v/>
      </c>
      <c r="CI155" s="899">
        <f>SUM(CI149:CI154)</f>
        <v/>
      </c>
      <c r="CJ155" s="897">
        <f>SUM(CJ149:CJ154)</f>
        <v/>
      </c>
      <c r="CK155" s="897">
        <f>SUM(CK149:CK154)</f>
        <v/>
      </c>
      <c r="CL155" s="897">
        <f>SUM(CL149:CL154)</f>
        <v/>
      </c>
      <c r="CM155" s="897">
        <f>SUM(CM149:CM154)</f>
        <v/>
      </c>
      <c r="CN155" s="897">
        <f>SUM(CN149:CN154)</f>
        <v/>
      </c>
      <c r="CO155" s="897">
        <f>SUM(CO149:CO154)</f>
        <v/>
      </c>
      <c r="CP155" s="897">
        <f>SUM(CP149:CP154)</f>
        <v/>
      </c>
      <c r="CQ155" s="897">
        <f>SUM(CQ149:CQ154)</f>
        <v/>
      </c>
      <c r="CR155" s="897">
        <f>SUM(CR149:CR154)</f>
        <v/>
      </c>
      <c r="CS155" s="897">
        <f>SUM(CS149:CS154)</f>
        <v/>
      </c>
      <c r="CT155" s="897">
        <f>SUM(CT149:CT154)</f>
        <v/>
      </c>
      <c r="CU155" s="899">
        <f>SUM(CU149:CU154)</f>
        <v/>
      </c>
      <c r="CV155" s="897">
        <f>SUM(CV149:CV154)</f>
        <v/>
      </c>
      <c r="CW155" s="897">
        <f>SUM(CW149:CW154)</f>
        <v/>
      </c>
      <c r="CX155" s="897">
        <f>SUM(CX149:CX154)</f>
        <v/>
      </c>
      <c r="CY155" s="897">
        <f>SUM(CY149:CY154)</f>
        <v/>
      </c>
      <c r="CZ155" s="897">
        <f>SUM(CZ149:CZ154)</f>
        <v/>
      </c>
      <c r="DA155" s="897">
        <f>SUM(DA149:DA154)</f>
        <v/>
      </c>
      <c r="DB155" s="897">
        <f>SUM(DB149:DB154)</f>
        <v/>
      </c>
      <c r="DC155" s="897">
        <f>SUM(DC149:DC154)</f>
        <v/>
      </c>
      <c r="DD155" s="897">
        <f>SUM(DD149:DD154)</f>
        <v/>
      </c>
      <c r="DE155" s="897">
        <f>SUM(DE149:DE154)</f>
        <v/>
      </c>
      <c r="DF155" s="897">
        <f>SUM(DF149:DF154)</f>
        <v/>
      </c>
      <c r="DG155" s="897">
        <f>SUM(DG149:DG154)</f>
        <v/>
      </c>
    </row>
    <row r="156">
      <c r="A156" s="3" t="n"/>
      <c r="B156" s="4" t="inlineStr">
        <is>
          <t>TOTAL LIABILITIES AND EQUITY</t>
        </is>
      </c>
      <c r="C156" s="4" t="n"/>
      <c r="D156" s="822">
        <f>D155</f>
        <v/>
      </c>
      <c r="E156" s="822">
        <f>E155</f>
        <v/>
      </c>
      <c r="F156" s="822">
        <f>F155</f>
        <v/>
      </c>
      <c r="G156" s="822">
        <f>G155</f>
        <v/>
      </c>
      <c r="H156" s="822">
        <f>H155</f>
        <v/>
      </c>
      <c r="I156" s="822">
        <f>I155</f>
        <v/>
      </c>
      <c r="J156" s="822">
        <f>J155+J147</f>
        <v/>
      </c>
      <c r="K156" s="822">
        <f>K155+K147</f>
        <v/>
      </c>
      <c r="L156" s="822">
        <f>L155+L147</f>
        <v/>
      </c>
      <c r="M156" s="822">
        <f>M155+M147</f>
        <v/>
      </c>
      <c r="N156" s="822">
        <f>N155+N147</f>
        <v/>
      </c>
      <c r="O156" s="822">
        <f>O155+O147</f>
        <v/>
      </c>
      <c r="P156" s="822">
        <f>P155+P147</f>
        <v/>
      </c>
      <c r="Q156" s="822">
        <f>Q155+Q147</f>
        <v/>
      </c>
      <c r="R156" s="822">
        <f>R155+R147</f>
        <v/>
      </c>
      <c r="S156" s="822">
        <f>S155+S147</f>
        <v/>
      </c>
      <c r="T156" s="822">
        <f>T155+T147</f>
        <v/>
      </c>
      <c r="U156" s="822">
        <f>U155+U147</f>
        <v/>
      </c>
      <c r="V156" s="822">
        <f>V155+V147</f>
        <v/>
      </c>
      <c r="W156" s="822">
        <f>W155+W147</f>
        <v/>
      </c>
      <c r="X156" s="822">
        <f>X155+X147</f>
        <v/>
      </c>
      <c r="Y156" s="822">
        <f>Y155+Y147</f>
        <v/>
      </c>
      <c r="Z156" s="822">
        <f>Z155+Z147</f>
        <v/>
      </c>
      <c r="AA156" s="822">
        <f>AA155+AA147</f>
        <v/>
      </c>
      <c r="AB156" s="822">
        <f>AB155+AB147</f>
        <v/>
      </c>
      <c r="AC156" s="822">
        <f>AC155+AC147</f>
        <v/>
      </c>
      <c r="AD156" s="822">
        <f>AD155+AD147</f>
        <v/>
      </c>
      <c r="AE156" s="822">
        <f>AE155+AE147</f>
        <v/>
      </c>
      <c r="AF156" s="822">
        <f>AF155+AF147</f>
        <v/>
      </c>
      <c r="AG156" s="822">
        <f>AG155+AG147</f>
        <v/>
      </c>
      <c r="AH156" s="822">
        <f>AH155+AH147</f>
        <v/>
      </c>
      <c r="AI156" s="822">
        <f>AI155+AI147</f>
        <v/>
      </c>
      <c r="AJ156" s="822">
        <f>AJ155+AJ147</f>
        <v/>
      </c>
      <c r="AK156" s="822">
        <f>AK155+AK147</f>
        <v/>
      </c>
      <c r="AL156" s="822">
        <f>AL155+AL147</f>
        <v/>
      </c>
      <c r="AM156" s="823">
        <f>AM155+AM147</f>
        <v/>
      </c>
      <c r="AN156" s="822">
        <f>AN155+AN147</f>
        <v/>
      </c>
      <c r="AO156" s="822">
        <f>AO155+AO147</f>
        <v/>
      </c>
      <c r="AP156" s="822">
        <f>AP155+AP147</f>
        <v/>
      </c>
      <c r="AQ156" s="822">
        <f>AQ155+AQ147</f>
        <v/>
      </c>
      <c r="AR156" s="822">
        <f>AR155+AR147</f>
        <v/>
      </c>
      <c r="AS156" s="822">
        <f>AS155+AS147</f>
        <v/>
      </c>
      <c r="AT156" s="822">
        <f>AT155+AT147</f>
        <v/>
      </c>
      <c r="AU156" s="822">
        <f>AU155+AU147</f>
        <v/>
      </c>
      <c r="AV156" s="822">
        <f>AV155+AV147</f>
        <v/>
      </c>
      <c r="AW156" s="829">
        <f>AW155+AW147</f>
        <v/>
      </c>
      <c r="AX156" s="822">
        <f>AX155+AX147</f>
        <v/>
      </c>
      <c r="AY156" s="829">
        <f>AY155+AY147</f>
        <v/>
      </c>
      <c r="AZ156" s="822">
        <f>AZ155+AZ147</f>
        <v/>
      </c>
      <c r="BA156" s="822">
        <f>BA155+BA147</f>
        <v/>
      </c>
      <c r="BB156" s="822">
        <f>BB155+BB147</f>
        <v/>
      </c>
      <c r="BC156" s="822">
        <f>BC155+BC147</f>
        <v/>
      </c>
      <c r="BD156" s="822">
        <f>BD155+BD147</f>
        <v/>
      </c>
      <c r="BE156" s="822">
        <f>BE155+BE147</f>
        <v/>
      </c>
      <c r="BF156" s="822">
        <f>BF155+BF147</f>
        <v/>
      </c>
      <c r="BG156" s="822">
        <f>BG155+BG147</f>
        <v/>
      </c>
      <c r="BH156" s="822">
        <f>BH155+BH147</f>
        <v/>
      </c>
      <c r="BI156" s="822">
        <f>BI155+BI147</f>
        <v/>
      </c>
      <c r="BJ156" s="822">
        <f>BJ155+BJ147</f>
        <v/>
      </c>
      <c r="BK156" s="829">
        <f>BK155+BK147</f>
        <v/>
      </c>
      <c r="BL156" s="822">
        <f>BL155+BL147</f>
        <v/>
      </c>
      <c r="BM156" s="822">
        <f>BM155+BM147</f>
        <v/>
      </c>
      <c r="BN156" s="822">
        <f>BN155+BN147</f>
        <v/>
      </c>
      <c r="BO156" s="822">
        <f>BO155+BO147</f>
        <v/>
      </c>
      <c r="BP156" s="822">
        <f>BP155+BP147</f>
        <v/>
      </c>
      <c r="BQ156" s="822">
        <f>BQ155+BQ147</f>
        <v/>
      </c>
      <c r="BR156" s="822">
        <f>BR155+BR147</f>
        <v/>
      </c>
      <c r="BS156" s="822">
        <f>BS155+BS147</f>
        <v/>
      </c>
      <c r="BT156" s="822">
        <f>BT155+BT147</f>
        <v/>
      </c>
      <c r="BU156" s="822">
        <f>BU155+BU147</f>
        <v/>
      </c>
      <c r="BV156" s="822">
        <f>BV155+BV147</f>
        <v/>
      </c>
      <c r="BW156" s="829">
        <f>BW155+BW147</f>
        <v/>
      </c>
      <c r="BX156" s="822">
        <f>BX155+BX147</f>
        <v/>
      </c>
      <c r="BY156" s="822">
        <f>BY155+BY147</f>
        <v/>
      </c>
      <c r="BZ156" s="822">
        <f>BZ155+BZ147</f>
        <v/>
      </c>
      <c r="CA156" s="822">
        <f>CA155+CA147</f>
        <v/>
      </c>
      <c r="CB156" s="822">
        <f>CB155+CB147</f>
        <v/>
      </c>
      <c r="CC156" s="822">
        <f>CC155+CC147</f>
        <v/>
      </c>
      <c r="CD156" s="822">
        <f>CD155+CD147</f>
        <v/>
      </c>
      <c r="CE156" s="822">
        <f>CE155+CE147</f>
        <v/>
      </c>
      <c r="CF156" s="822">
        <f>CF155+CF147</f>
        <v/>
      </c>
      <c r="CG156" s="822">
        <f>CG155+CG147</f>
        <v/>
      </c>
      <c r="CH156" s="822">
        <f>CH155+CH147</f>
        <v/>
      </c>
      <c r="CI156" s="829">
        <f>CI155+CI147</f>
        <v/>
      </c>
      <c r="CJ156" s="822">
        <f>CJ155+CJ147</f>
        <v/>
      </c>
      <c r="CK156" s="822">
        <f>CK155+CK147</f>
        <v/>
      </c>
      <c r="CL156" s="822">
        <f>CL155+CL147</f>
        <v/>
      </c>
      <c r="CM156" s="822">
        <f>CM155+CM147</f>
        <v/>
      </c>
      <c r="CN156" s="822">
        <f>CN155+CN147</f>
        <v/>
      </c>
      <c r="CO156" s="822">
        <f>CO155+CO147</f>
        <v/>
      </c>
      <c r="CP156" s="822">
        <f>CP155+CP147</f>
        <v/>
      </c>
      <c r="CQ156" s="822">
        <f>CQ155+CQ147</f>
        <v/>
      </c>
      <c r="CR156" s="822">
        <f>CR155+CR147</f>
        <v/>
      </c>
      <c r="CS156" s="822">
        <f>CS155+CS147</f>
        <v/>
      </c>
      <c r="CT156" s="822">
        <f>CT155+CT147</f>
        <v/>
      </c>
      <c r="CU156" s="829">
        <f>CU155+CU147</f>
        <v/>
      </c>
      <c r="CV156" s="822">
        <f>CV155+CV147</f>
        <v/>
      </c>
      <c r="CW156" s="822">
        <f>CW155+CW147</f>
        <v/>
      </c>
      <c r="CX156" s="822">
        <f>CX155+CX147</f>
        <v/>
      </c>
      <c r="CY156" s="822">
        <f>CY155+CY147</f>
        <v/>
      </c>
      <c r="CZ156" s="822">
        <f>CZ155+CZ147</f>
        <v/>
      </c>
      <c r="DA156" s="822">
        <f>DA155+DA147</f>
        <v/>
      </c>
      <c r="DB156" s="822">
        <f>DB155+DB147</f>
        <v/>
      </c>
      <c r="DC156" s="822">
        <f>DC155+DC147</f>
        <v/>
      </c>
      <c r="DD156" s="822">
        <f>DD155+DD147</f>
        <v/>
      </c>
      <c r="DE156" s="822">
        <f>DE155+DE147</f>
        <v/>
      </c>
      <c r="DF156" s="822">
        <f>DF155+DF147</f>
        <v/>
      </c>
      <c r="DG156" s="822">
        <f>DG155+DG147</f>
        <v/>
      </c>
    </row>
    <row r="157">
      <c r="A157" s="64" t="n"/>
      <c r="B157" s="61" t="n"/>
      <c r="C157" s="62" t="inlineStr">
        <is>
          <t>Owner Draws</t>
        </is>
      </c>
      <c r="D157" s="63" t="n">
        <v>0</v>
      </c>
      <c r="E157" s="63">
        <f>IFERROR(AVERAGE(D155:E155)/(E35/30.4333), 0)</f>
        <v/>
      </c>
      <c r="F157" s="63">
        <f>IFERROR(AVERAGE(E155:F155)/(F35/30.4333), 0)</f>
        <v/>
      </c>
      <c r="G157" s="63">
        <f>IFERROR(AVERAGE(F155:G155)/(G35/30.4333), 0)</f>
        <v/>
      </c>
      <c r="H157" s="63">
        <f>IFERROR(AVERAGE(G155:H155)/(H35/30.4333), 0)</f>
        <v/>
      </c>
      <c r="I157" s="63">
        <f>IFERROR(AVERAGE(H155:I155)/(I35/30.4333), 0)</f>
        <v/>
      </c>
      <c r="J157" s="63">
        <f>IFERROR(AVERAGE(I155:J155)/(J35/30.4333), 0)</f>
        <v/>
      </c>
      <c r="K157" s="63">
        <f>IFERROR(AVERAGE(J155:K155)/(K35/30.4333), 0)</f>
        <v/>
      </c>
      <c r="L157" s="63">
        <f>IFERROR(AVERAGE(K155:L155)/(L35/30.4333), 0)</f>
        <v/>
      </c>
      <c r="M157" s="63">
        <f>IFERROR(AVERAGE(L155:M155)/(M35/30.4333), 0)</f>
        <v/>
      </c>
      <c r="N157" s="63">
        <f>IFERROR(AVERAGE(M155:N155)/(N35/30.4333), 0)</f>
        <v/>
      </c>
      <c r="O157" s="63">
        <f>IFERROR(AVERAGE(N155:O155)/(O35/30.4333), 0)</f>
        <v/>
      </c>
      <c r="P157" s="63">
        <f>IFERROR(AVERAGE(O155:P155)/(P35/30.4333), 0)</f>
        <v/>
      </c>
      <c r="Q157" s="63">
        <f>IFERROR(AVERAGE(P155:Q155)/(Q35/30.4333), 0)</f>
        <v/>
      </c>
      <c r="R157" s="63">
        <f>IFERROR(AVERAGE(Q155:R155)/(R35/30.4333), 0)</f>
        <v/>
      </c>
      <c r="S157" s="63">
        <f>IFERROR(AVERAGE(R155:S155)/(S35/30.4333), 0)</f>
        <v/>
      </c>
      <c r="T157" s="63">
        <f>IFERROR(AVERAGE(S155:T155)/(T35/30.4333), 0)</f>
        <v/>
      </c>
      <c r="U157" s="63">
        <f>IFERROR(AVERAGE(T155:U155)/(U35/30.4333), 0)</f>
        <v/>
      </c>
      <c r="V157" s="63">
        <f>IFERROR(AVERAGE(U155:V155)/(V35/30.4333), 0)</f>
        <v/>
      </c>
      <c r="W157" s="63">
        <f>IFERROR(AVERAGE(V155:W155)/(W35/30.4333), 0)</f>
        <v/>
      </c>
      <c r="X157" s="63">
        <f>IFERROR(AVERAGE(W155:X155)/(X35/30.4333), 0)</f>
        <v/>
      </c>
      <c r="Y157" s="63">
        <f>IFERROR(AVERAGE(X155:Y155)/(Y35/30.4333), 0)</f>
        <v/>
      </c>
      <c r="Z157" s="63">
        <f>IFERROR(AVERAGE(Y155:Z155)/(Z35/30.4333), 0)</f>
        <v/>
      </c>
      <c r="AA157" s="63">
        <f>IFERROR(AVERAGE(Z155:AA155)/(AA35/30.4333), 0)</f>
        <v/>
      </c>
      <c r="AB157" s="909">
        <f>+AB150-AA150</f>
        <v/>
      </c>
      <c r="AC157" s="909">
        <f>+AC150-AB150</f>
        <v/>
      </c>
      <c r="AD157" s="909">
        <f>+AD150-AC150</f>
        <v/>
      </c>
      <c r="AE157" s="909">
        <f>+AE150-AD150</f>
        <v/>
      </c>
      <c r="AF157" s="909">
        <f>+AF150-AE150</f>
        <v/>
      </c>
      <c r="AG157" s="909">
        <f>+AG150-AF150</f>
        <v/>
      </c>
      <c r="AH157" s="909">
        <f>+AH150-AG150</f>
        <v/>
      </c>
      <c r="AI157" s="909">
        <f>+AI150-AH150</f>
        <v/>
      </c>
      <c r="AJ157" s="909">
        <f>+AJ150-AI150</f>
        <v/>
      </c>
      <c r="AK157" s="909">
        <f>+AK150-AJ150</f>
        <v/>
      </c>
      <c r="AL157" s="909">
        <f>+AL150-AK150</f>
        <v/>
      </c>
      <c r="AM157" s="910">
        <f>+AM150-AL150</f>
        <v/>
      </c>
      <c r="AN157" s="909">
        <f>+SUM(AN150,AN152:AN153)-SUM(AM150,AM152:AM153)</f>
        <v/>
      </c>
      <c r="AO157" s="909">
        <f>+SUM(AO150,AO152:AO153)-SUM(AN150,AN152:AN153)</f>
        <v/>
      </c>
      <c r="AP157" s="909">
        <f>+SUM(AP150,AP152:AP153)-SUM(AO150,AO152:AO153)</f>
        <v/>
      </c>
      <c r="AQ157" s="909">
        <f>+SUM(AQ150,AQ152:AQ153)-SUM(AP150,AP152:AP153)</f>
        <v/>
      </c>
      <c r="AR157" s="909">
        <f>+AR150-AQ150</f>
        <v/>
      </c>
      <c r="AS157" s="909">
        <f>+AS150-AR150</f>
        <v/>
      </c>
      <c r="AT157" s="909">
        <f>+AT150-AS150</f>
        <v/>
      </c>
      <c r="AU157" s="909">
        <f>+AU150-AT150</f>
        <v/>
      </c>
      <c r="AV157" s="909">
        <f>+AV150-AU150</f>
        <v/>
      </c>
      <c r="AW157" s="911">
        <f>+AW150-AV150</f>
        <v/>
      </c>
      <c r="AX157" s="912" t="n">
        <v>0</v>
      </c>
      <c r="AY157" s="911">
        <f>AX157</f>
        <v/>
      </c>
      <c r="AZ157" s="909">
        <f>AY157</f>
        <v/>
      </c>
      <c r="BA157" s="909">
        <f>AZ157</f>
        <v/>
      </c>
      <c r="BB157" s="909">
        <f>BA157</f>
        <v/>
      </c>
      <c r="BC157" s="909">
        <f>BB157</f>
        <v/>
      </c>
      <c r="BD157" s="909">
        <f>BC157</f>
        <v/>
      </c>
      <c r="BE157" s="909">
        <f>BD157</f>
        <v/>
      </c>
      <c r="BF157" s="909">
        <f>BE157</f>
        <v/>
      </c>
      <c r="BG157" s="909">
        <f>BF157</f>
        <v/>
      </c>
      <c r="BH157" s="909">
        <f>BG157</f>
        <v/>
      </c>
      <c r="BI157" s="909">
        <f>BH157</f>
        <v/>
      </c>
      <c r="BJ157" s="909">
        <f>BI157</f>
        <v/>
      </c>
      <c r="BK157" s="911">
        <f>BJ157</f>
        <v/>
      </c>
      <c r="BL157" s="909">
        <f>BK157</f>
        <v/>
      </c>
      <c r="BM157" s="909">
        <f>BL157</f>
        <v/>
      </c>
      <c r="BN157" s="909">
        <f>BM157</f>
        <v/>
      </c>
      <c r="BO157" s="909">
        <f>BN157</f>
        <v/>
      </c>
      <c r="BP157" s="909">
        <f>BO157</f>
        <v/>
      </c>
      <c r="BQ157" s="909">
        <f>BP157</f>
        <v/>
      </c>
      <c r="BR157" s="909">
        <f>BQ157</f>
        <v/>
      </c>
      <c r="BS157" s="909">
        <f>BR157</f>
        <v/>
      </c>
      <c r="BT157" s="909">
        <f>BS157</f>
        <v/>
      </c>
      <c r="BU157" s="909">
        <f>BT157</f>
        <v/>
      </c>
      <c r="BV157" s="909">
        <f>BU157</f>
        <v/>
      </c>
      <c r="BW157" s="911">
        <f>BV157</f>
        <v/>
      </c>
      <c r="BX157" s="909">
        <f>BW157</f>
        <v/>
      </c>
      <c r="BY157" s="909">
        <f>BX157</f>
        <v/>
      </c>
      <c r="BZ157" s="909">
        <f>BY157</f>
        <v/>
      </c>
      <c r="CA157" s="909">
        <f>BZ157</f>
        <v/>
      </c>
      <c r="CB157" s="909">
        <f>CA157</f>
        <v/>
      </c>
      <c r="CC157" s="909">
        <f>CB157</f>
        <v/>
      </c>
      <c r="CD157" s="909">
        <f>CC157</f>
        <v/>
      </c>
      <c r="CE157" s="909">
        <f>CD157</f>
        <v/>
      </c>
      <c r="CF157" s="909">
        <f>CE157</f>
        <v/>
      </c>
      <c r="CG157" s="909">
        <f>CF157</f>
        <v/>
      </c>
      <c r="CH157" s="909">
        <f>CG157</f>
        <v/>
      </c>
      <c r="CI157" s="911">
        <f>CH157</f>
        <v/>
      </c>
      <c r="CJ157" s="909">
        <f>CI157</f>
        <v/>
      </c>
      <c r="CK157" s="909">
        <f>CJ157</f>
        <v/>
      </c>
      <c r="CL157" s="909">
        <f>CK157</f>
        <v/>
      </c>
      <c r="CM157" s="909">
        <f>CL157</f>
        <v/>
      </c>
      <c r="CN157" s="909">
        <f>CM157</f>
        <v/>
      </c>
      <c r="CO157" s="909">
        <f>CN157</f>
        <v/>
      </c>
      <c r="CP157" s="909">
        <f>CO157</f>
        <v/>
      </c>
      <c r="CQ157" s="909">
        <f>CP157</f>
        <v/>
      </c>
      <c r="CR157" s="909">
        <f>CQ157</f>
        <v/>
      </c>
      <c r="CS157" s="909">
        <f>CR157</f>
        <v/>
      </c>
      <c r="CT157" s="909">
        <f>CS157</f>
        <v/>
      </c>
      <c r="CU157" s="911">
        <f>CT157</f>
        <v/>
      </c>
      <c r="CV157" s="909">
        <f>CU157</f>
        <v/>
      </c>
      <c r="CW157" s="909">
        <f>CV157</f>
        <v/>
      </c>
      <c r="CX157" s="909">
        <f>CW157</f>
        <v/>
      </c>
      <c r="CY157" s="909">
        <f>CX157</f>
        <v/>
      </c>
      <c r="CZ157" s="909">
        <f>CY157</f>
        <v/>
      </c>
      <c r="DA157" s="909">
        <f>CZ157</f>
        <v/>
      </c>
      <c r="DB157" s="909">
        <f>DA157</f>
        <v/>
      </c>
      <c r="DC157" s="909">
        <f>DB157</f>
        <v/>
      </c>
      <c r="DD157" s="909">
        <f>DC157</f>
        <v/>
      </c>
      <c r="DE157" s="909">
        <f>DD157</f>
        <v/>
      </c>
      <c r="DF157" s="909">
        <f>DE157</f>
        <v/>
      </c>
      <c r="DG157" s="909">
        <f>DF157</f>
        <v/>
      </c>
    </row>
    <row r="158" customFormat="1" s="3">
      <c r="B158" s="1" t="n"/>
      <c r="C158" s="58" t="inlineStr">
        <is>
          <t>Check</t>
        </is>
      </c>
      <c r="D158" s="831">
        <f>D156-D134</f>
        <v/>
      </c>
      <c r="E158" s="831">
        <f>E156-E134</f>
        <v/>
      </c>
      <c r="F158" s="831">
        <f>F156-F134</f>
        <v/>
      </c>
      <c r="G158" s="831">
        <f>G156-G134</f>
        <v/>
      </c>
      <c r="H158" s="831">
        <f>H156-H134</f>
        <v/>
      </c>
      <c r="I158" s="831">
        <f>I156-I134</f>
        <v/>
      </c>
      <c r="J158" s="831">
        <f>J156-J134</f>
        <v/>
      </c>
      <c r="K158" s="831">
        <f>K156-K134</f>
        <v/>
      </c>
      <c r="L158" s="831">
        <f>L156-L134</f>
        <v/>
      </c>
      <c r="M158" s="831">
        <f>M156-M134</f>
        <v/>
      </c>
      <c r="N158" s="831">
        <f>N156-N134</f>
        <v/>
      </c>
      <c r="O158" s="831">
        <f>O156-O134</f>
        <v/>
      </c>
      <c r="P158" s="831">
        <f>P156-P134</f>
        <v/>
      </c>
      <c r="Q158" s="831">
        <f>Q156-Q134</f>
        <v/>
      </c>
      <c r="R158" s="831">
        <f>R156-R134</f>
        <v/>
      </c>
      <c r="S158" s="831">
        <f>S156-S134</f>
        <v/>
      </c>
      <c r="T158" s="831">
        <f>T156-T134</f>
        <v/>
      </c>
      <c r="U158" s="831">
        <f>U156-U134</f>
        <v/>
      </c>
      <c r="V158" s="831">
        <f>V156-V134</f>
        <v/>
      </c>
      <c r="W158" s="831">
        <f>W156-W134</f>
        <v/>
      </c>
      <c r="X158" s="831">
        <f>X156-X134</f>
        <v/>
      </c>
      <c r="Y158" s="831">
        <f>Y156-Y134</f>
        <v/>
      </c>
      <c r="Z158" s="831">
        <f>Z156-Z134</f>
        <v/>
      </c>
      <c r="AA158" s="831">
        <f>AA156-AA134</f>
        <v/>
      </c>
      <c r="AB158" s="831">
        <f>AB156-AB134</f>
        <v/>
      </c>
      <c r="AC158" s="831">
        <f>AC156-AC134</f>
        <v/>
      </c>
      <c r="AD158" s="831">
        <f>AD156-AD134</f>
        <v/>
      </c>
      <c r="AE158" s="831">
        <f>AE156-AE134</f>
        <v/>
      </c>
      <c r="AF158" s="831">
        <f>AF156-AF134</f>
        <v/>
      </c>
      <c r="AG158" s="831">
        <f>AG156-AG134</f>
        <v/>
      </c>
      <c r="AH158" s="831">
        <f>AH156-AH134</f>
        <v/>
      </c>
      <c r="AI158" s="831">
        <f>AI156-AI134</f>
        <v/>
      </c>
      <c r="AJ158" s="831">
        <f>AJ156-AJ134</f>
        <v/>
      </c>
      <c r="AK158" s="831">
        <f>AK156-AK134</f>
        <v/>
      </c>
      <c r="AL158" s="831">
        <f>AL156-AL134</f>
        <v/>
      </c>
      <c r="AM158" s="832">
        <f>AM156-AM134</f>
        <v/>
      </c>
      <c r="AN158" s="831">
        <f>AN156-AN134</f>
        <v/>
      </c>
      <c r="AO158" s="831">
        <f>AO156-AO134</f>
        <v/>
      </c>
      <c r="AP158" s="831">
        <f>AP156-AP134</f>
        <v/>
      </c>
      <c r="AQ158" s="831">
        <f>AQ156-AQ134</f>
        <v/>
      </c>
      <c r="AR158" s="831">
        <f>AR156-AR134</f>
        <v/>
      </c>
      <c r="AS158" s="831">
        <f>AS156-AS134</f>
        <v/>
      </c>
      <c r="AT158" s="831">
        <f>AT156-AT134</f>
        <v/>
      </c>
      <c r="AU158" s="831">
        <f>AU156-AU134</f>
        <v/>
      </c>
      <c r="AV158" s="831">
        <f>AV156-AV134</f>
        <v/>
      </c>
      <c r="AW158" s="833">
        <f>AW156-AW134</f>
        <v/>
      </c>
      <c r="AX158" s="831">
        <f>AX156-AX134</f>
        <v/>
      </c>
      <c r="AY158" s="833">
        <f>AY156-AY134</f>
        <v/>
      </c>
      <c r="AZ158" s="831">
        <f>AZ156-AZ134</f>
        <v/>
      </c>
      <c r="BA158" s="831">
        <f>BA156-BA134</f>
        <v/>
      </c>
      <c r="BB158" s="831">
        <f>BB156-BB134</f>
        <v/>
      </c>
      <c r="BC158" s="831">
        <f>BC156-BC134</f>
        <v/>
      </c>
      <c r="BD158" s="831">
        <f>BD156-BD134</f>
        <v/>
      </c>
      <c r="BE158" s="831">
        <f>BE156-BE134</f>
        <v/>
      </c>
      <c r="BF158" s="831">
        <f>BF156-BF134</f>
        <v/>
      </c>
      <c r="BG158" s="831">
        <f>BG156-BG134</f>
        <v/>
      </c>
      <c r="BH158" s="831">
        <f>BH156-BH134</f>
        <v/>
      </c>
      <c r="BI158" s="831">
        <f>BI156-BI134</f>
        <v/>
      </c>
      <c r="BJ158" s="831">
        <f>BJ156-BJ134</f>
        <v/>
      </c>
      <c r="BK158" s="833">
        <f>BK156-BK134</f>
        <v/>
      </c>
      <c r="BL158" s="831">
        <f>BL156-BL134</f>
        <v/>
      </c>
      <c r="BM158" s="831">
        <f>BM156-BM134</f>
        <v/>
      </c>
      <c r="BN158" s="831">
        <f>BN156-BN134</f>
        <v/>
      </c>
      <c r="BO158" s="831">
        <f>BO156-BO134</f>
        <v/>
      </c>
      <c r="BP158" s="831">
        <f>BP156-BP134</f>
        <v/>
      </c>
      <c r="BQ158" s="831">
        <f>BQ156-BQ134</f>
        <v/>
      </c>
      <c r="BR158" s="831">
        <f>BR156-BR134</f>
        <v/>
      </c>
      <c r="BS158" s="831">
        <f>BS156-BS134</f>
        <v/>
      </c>
      <c r="BT158" s="831">
        <f>BT156-BT134</f>
        <v/>
      </c>
      <c r="BU158" s="831">
        <f>BU156-BU134</f>
        <v/>
      </c>
      <c r="BV158" s="831">
        <f>BV156-BV134</f>
        <v/>
      </c>
      <c r="BW158" s="833">
        <f>BW156-BW134</f>
        <v/>
      </c>
      <c r="BX158" s="831">
        <f>BX156-BX134</f>
        <v/>
      </c>
      <c r="BY158" s="831">
        <f>BY156-BY134</f>
        <v/>
      </c>
      <c r="BZ158" s="831">
        <f>BZ156-BZ134</f>
        <v/>
      </c>
      <c r="CA158" s="831">
        <f>CA156-CA134</f>
        <v/>
      </c>
      <c r="CB158" s="831">
        <f>CB156-CB134</f>
        <v/>
      </c>
      <c r="CC158" s="831">
        <f>CC156-CC134</f>
        <v/>
      </c>
      <c r="CD158" s="831">
        <f>CD156-CD134</f>
        <v/>
      </c>
      <c r="CE158" s="831">
        <f>CE156-CE134</f>
        <v/>
      </c>
      <c r="CF158" s="831">
        <f>CF156-CF134</f>
        <v/>
      </c>
      <c r="CG158" s="831">
        <f>CG156-CG134</f>
        <v/>
      </c>
      <c r="CH158" s="831">
        <f>CH156-CH134</f>
        <v/>
      </c>
      <c r="CI158" s="833">
        <f>CI156-CI134</f>
        <v/>
      </c>
      <c r="CJ158" s="831">
        <f>CJ156-CJ134</f>
        <v/>
      </c>
      <c r="CK158" s="831">
        <f>CK156-CK134</f>
        <v/>
      </c>
      <c r="CL158" s="831">
        <f>CL156-CL134</f>
        <v/>
      </c>
      <c r="CM158" s="831">
        <f>CM156-CM134</f>
        <v/>
      </c>
      <c r="CN158" s="831">
        <f>CN156-CN134</f>
        <v/>
      </c>
      <c r="CO158" s="831">
        <f>CO156-CO134</f>
        <v/>
      </c>
      <c r="CP158" s="831">
        <f>CP156-CP134</f>
        <v/>
      </c>
      <c r="CQ158" s="831">
        <f>CQ156-CQ134</f>
        <v/>
      </c>
      <c r="CR158" s="831">
        <f>CR156-CR134</f>
        <v/>
      </c>
      <c r="CS158" s="831">
        <f>CS156-CS134</f>
        <v/>
      </c>
      <c r="CT158" s="831">
        <f>CT156-CT134</f>
        <v/>
      </c>
      <c r="CU158" s="833">
        <f>CU156-CU134</f>
        <v/>
      </c>
      <c r="CV158" s="831">
        <f>CV156-CV134</f>
        <v/>
      </c>
      <c r="CW158" s="831">
        <f>CW156-CW134</f>
        <v/>
      </c>
      <c r="CX158" s="831">
        <f>CX156-CX134</f>
        <v/>
      </c>
      <c r="CY158" s="831">
        <f>CY156-CY134</f>
        <v/>
      </c>
      <c r="CZ158" s="831">
        <f>CZ156-CZ134</f>
        <v/>
      </c>
      <c r="DA158" s="831">
        <f>DA156-DA134</f>
        <v/>
      </c>
      <c r="DB158" s="831">
        <f>DB156-DB134</f>
        <v/>
      </c>
      <c r="DC158" s="831">
        <f>DC156-DC134</f>
        <v/>
      </c>
      <c r="DD158" s="831">
        <f>DD156-DD134</f>
        <v/>
      </c>
      <c r="DE158" s="831">
        <f>DE156-DE134</f>
        <v/>
      </c>
      <c r="DF158" s="831">
        <f>DF156-DF134</f>
        <v/>
      </c>
      <c r="DG158" s="831">
        <f>DG156-DG134</f>
        <v/>
      </c>
    </row>
    <row r="159">
      <c r="P159" s="163" t="n"/>
      <c r="Q159" s="163" t="n"/>
      <c r="R159" s="163" t="n"/>
      <c r="AW159" s="184" t="n"/>
      <c r="AY159" s="184" t="n"/>
      <c r="BK159" s="184" t="n"/>
      <c r="BW159" s="184" t="n"/>
      <c r="CI159" s="184" t="n"/>
      <c r="CU159" s="184" t="n"/>
    </row>
    <row r="160">
      <c r="A160" s="29" t="n"/>
      <c r="B160" s="29" t="n"/>
      <c r="C160" s="29" t="n"/>
      <c r="D160" s="29" t="n"/>
      <c r="E160" s="29" t="n"/>
      <c r="F160" s="29" t="n"/>
      <c r="G160" s="29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29" t="n"/>
      <c r="R160" s="29" t="n"/>
      <c r="S160" s="29" t="n"/>
      <c r="T160" s="29" t="n"/>
      <c r="U160" s="29" t="n"/>
      <c r="V160" s="29" t="n"/>
      <c r="W160" s="29" t="n"/>
      <c r="X160" s="29" t="n"/>
      <c r="Y160" s="29" t="n"/>
      <c r="Z160" s="29" t="n"/>
      <c r="AA160" s="29" t="n"/>
      <c r="AB160" s="29" t="n"/>
      <c r="AC160" s="29" t="n"/>
      <c r="AD160" s="29" t="n"/>
      <c r="AE160" s="29" t="n"/>
      <c r="AF160" s="29" t="n"/>
      <c r="AG160" s="29" t="n"/>
      <c r="AH160" s="29" t="n"/>
      <c r="AI160" s="29" t="n"/>
      <c r="AJ160" s="29" t="n"/>
      <c r="AK160" s="29" t="n"/>
      <c r="AL160" s="29" t="n"/>
      <c r="AM160" s="572" t="n"/>
      <c r="AN160" s="29" t="n"/>
      <c r="AO160" s="29" t="n"/>
      <c r="AP160" s="29" t="n"/>
      <c r="AQ160" s="29" t="n"/>
      <c r="AR160" s="29" t="n"/>
      <c r="AS160" s="29" t="n"/>
      <c r="AT160" s="29" t="n"/>
      <c r="AU160" s="29" t="n"/>
      <c r="AV160" s="29" t="n"/>
      <c r="AW160" s="310" t="n"/>
      <c r="AX160" s="29" t="n"/>
      <c r="AY160" s="310" t="n"/>
      <c r="AZ160" s="29" t="n"/>
      <c r="BA160" s="29" t="n"/>
      <c r="BB160" s="29" t="n"/>
      <c r="BC160" s="29" t="n"/>
      <c r="BD160" s="29" t="n"/>
      <c r="BE160" s="29" t="n"/>
      <c r="BF160" s="29" t="n"/>
      <c r="BG160" s="29" t="n"/>
      <c r="BH160" s="29" t="n"/>
      <c r="BI160" s="29" t="n"/>
      <c r="BJ160" s="29" t="n"/>
      <c r="BK160" s="310" t="n"/>
      <c r="BL160" s="29" t="n"/>
      <c r="BM160" s="29" t="n"/>
      <c r="BN160" s="29" t="n"/>
      <c r="BO160" s="29" t="n"/>
      <c r="BP160" s="29" t="n"/>
      <c r="BQ160" s="29" t="n"/>
      <c r="BR160" s="29" t="n"/>
      <c r="BS160" s="29" t="n"/>
      <c r="BT160" s="29" t="n"/>
      <c r="BU160" s="29" t="n"/>
      <c r="BV160" s="29" t="n"/>
      <c r="BW160" s="310" t="n"/>
      <c r="BX160" s="29" t="n"/>
      <c r="BY160" s="29" t="n"/>
      <c r="BZ160" s="29" t="n"/>
      <c r="CA160" s="29" t="n"/>
      <c r="CB160" s="29" t="n"/>
      <c r="CC160" s="29" t="n"/>
      <c r="CD160" s="29" t="n"/>
      <c r="CE160" s="29" t="n"/>
      <c r="CF160" s="29" t="n"/>
      <c r="CG160" s="29" t="n"/>
      <c r="CH160" s="29" t="n"/>
      <c r="CI160" s="310" t="n"/>
      <c r="CJ160" s="29" t="n"/>
      <c r="CK160" s="29" t="n"/>
      <c r="CL160" s="29" t="n"/>
      <c r="CM160" s="29" t="n"/>
      <c r="CN160" s="29" t="n"/>
      <c r="CO160" s="29" t="n"/>
      <c r="CP160" s="29" t="n"/>
      <c r="CQ160" s="29" t="n"/>
      <c r="CR160" s="29" t="n"/>
      <c r="CS160" s="29" t="n"/>
      <c r="CT160" s="29" t="n"/>
      <c r="CU160" s="310" t="n"/>
      <c r="CV160" s="29" t="n"/>
      <c r="CW160" s="29" t="n"/>
      <c r="CX160" s="29" t="n"/>
      <c r="CY160" s="29" t="n"/>
      <c r="CZ160" s="29" t="n"/>
      <c r="DA160" s="29" t="n"/>
      <c r="DB160" s="29" t="n"/>
      <c r="DC160" s="29" t="n"/>
      <c r="DD160" s="29" t="n"/>
      <c r="DE160" s="29" t="n"/>
      <c r="DF160" s="29" t="n"/>
      <c r="DG160" s="29" t="n"/>
    </row>
    <row r="161">
      <c r="AW161" s="184" t="n"/>
      <c r="AY161" s="184" t="n"/>
      <c r="BK161" s="184" t="n"/>
      <c r="BW161" s="184" t="n"/>
      <c r="CI161" s="184" t="n"/>
      <c r="CU161" s="184" t="n"/>
    </row>
    <row r="162">
      <c r="B162" s="1" t="inlineStr">
        <is>
          <t>Net Income</t>
        </is>
      </c>
      <c r="D162" s="707">
        <f>D110</f>
        <v/>
      </c>
      <c r="E162" s="707">
        <f>E110</f>
        <v/>
      </c>
      <c r="F162" s="707">
        <f>F110</f>
        <v/>
      </c>
      <c r="G162" s="707">
        <f>G110</f>
        <v/>
      </c>
      <c r="H162" s="707">
        <f>H110</f>
        <v/>
      </c>
      <c r="I162" s="707">
        <f>I110</f>
        <v/>
      </c>
      <c r="J162" s="707">
        <f>J110</f>
        <v/>
      </c>
      <c r="K162" s="707">
        <f>K110</f>
        <v/>
      </c>
      <c r="L162" s="707">
        <f>L110</f>
        <v/>
      </c>
      <c r="M162" s="707">
        <f>M110</f>
        <v/>
      </c>
      <c r="N162" s="707">
        <f>N110</f>
        <v/>
      </c>
      <c r="O162" s="707">
        <f>O110</f>
        <v/>
      </c>
      <c r="P162" s="707">
        <f>P110</f>
        <v/>
      </c>
      <c r="Q162" s="707">
        <f>Q110</f>
        <v/>
      </c>
      <c r="R162" s="707">
        <f>R110</f>
        <v/>
      </c>
      <c r="S162" s="707">
        <f>S110</f>
        <v/>
      </c>
      <c r="T162" s="707">
        <f>T110</f>
        <v/>
      </c>
      <c r="U162" s="707">
        <f>U110</f>
        <v/>
      </c>
      <c r="V162" s="707">
        <f>V110</f>
        <v/>
      </c>
      <c r="W162" s="707">
        <f>W110</f>
        <v/>
      </c>
      <c r="X162" s="707">
        <f>X110</f>
        <v/>
      </c>
      <c r="Y162" s="707">
        <f>Y110</f>
        <v/>
      </c>
      <c r="Z162" s="707">
        <f>Z110</f>
        <v/>
      </c>
      <c r="AA162" s="707">
        <f>AA110</f>
        <v/>
      </c>
      <c r="AB162" s="707">
        <f>AB110</f>
        <v/>
      </c>
      <c r="AC162" s="707">
        <f>AC110</f>
        <v/>
      </c>
      <c r="AD162" s="707">
        <f>AD110</f>
        <v/>
      </c>
      <c r="AE162" s="707">
        <f>AE110</f>
        <v/>
      </c>
      <c r="AF162" s="707">
        <f>AF110</f>
        <v/>
      </c>
      <c r="AG162" s="707">
        <f>AG110</f>
        <v/>
      </c>
      <c r="AH162" s="707">
        <f>AH110</f>
        <v/>
      </c>
      <c r="AI162" s="707">
        <f>AI110</f>
        <v/>
      </c>
      <c r="AJ162" s="707">
        <f>AJ110</f>
        <v/>
      </c>
      <c r="AK162" s="707">
        <f>AK110</f>
        <v/>
      </c>
      <c r="AL162" s="707">
        <f>AL110</f>
        <v/>
      </c>
      <c r="AM162" s="513">
        <f>AM110</f>
        <v/>
      </c>
      <c r="AN162" s="707">
        <f>AN110</f>
        <v/>
      </c>
      <c r="AO162" s="707">
        <f>AO110</f>
        <v/>
      </c>
      <c r="AP162" s="707">
        <f>AP110</f>
        <v/>
      </c>
      <c r="AQ162" s="707">
        <f>AQ110</f>
        <v/>
      </c>
      <c r="AR162" s="707">
        <f>AR110</f>
        <v/>
      </c>
      <c r="AS162" s="707">
        <f>AS110</f>
        <v/>
      </c>
      <c r="AT162" s="707">
        <f>AT110</f>
        <v/>
      </c>
      <c r="AU162" s="707">
        <f>AU110</f>
        <v/>
      </c>
      <c r="AV162" s="707">
        <f>AV110</f>
        <v/>
      </c>
      <c r="AW162" s="708">
        <f>AW110</f>
        <v/>
      </c>
      <c r="AX162" s="707">
        <f>AX110</f>
        <v/>
      </c>
      <c r="AY162" s="708">
        <f>AY110</f>
        <v/>
      </c>
      <c r="AZ162" s="707">
        <f>AZ110</f>
        <v/>
      </c>
      <c r="BA162" s="707">
        <f>BA110</f>
        <v/>
      </c>
      <c r="BB162" s="707">
        <f>BB110</f>
        <v/>
      </c>
      <c r="BC162" s="707">
        <f>BC110</f>
        <v/>
      </c>
      <c r="BD162" s="707">
        <f>BD110</f>
        <v/>
      </c>
      <c r="BE162" s="707">
        <f>BE110</f>
        <v/>
      </c>
      <c r="BF162" s="707">
        <f>BF110</f>
        <v/>
      </c>
      <c r="BG162" s="707">
        <f>BG110</f>
        <v/>
      </c>
      <c r="BH162" s="707">
        <f>BH110</f>
        <v/>
      </c>
      <c r="BI162" s="707">
        <f>BI110</f>
        <v/>
      </c>
      <c r="BJ162" s="707">
        <f>BJ110</f>
        <v/>
      </c>
      <c r="BK162" s="708">
        <f>BK110</f>
        <v/>
      </c>
      <c r="BL162" s="707">
        <f>BL110</f>
        <v/>
      </c>
      <c r="BM162" s="707">
        <f>BM110</f>
        <v/>
      </c>
      <c r="BN162" s="707">
        <f>BN110</f>
        <v/>
      </c>
      <c r="BO162" s="707">
        <f>BO110</f>
        <v/>
      </c>
      <c r="BP162" s="707">
        <f>BP110</f>
        <v/>
      </c>
      <c r="BQ162" s="707">
        <f>BQ110</f>
        <v/>
      </c>
      <c r="BR162" s="707">
        <f>BR110</f>
        <v/>
      </c>
      <c r="BS162" s="707">
        <f>BS110</f>
        <v/>
      </c>
      <c r="BT162" s="707">
        <f>BT110</f>
        <v/>
      </c>
      <c r="BU162" s="707">
        <f>BU110</f>
        <v/>
      </c>
      <c r="BV162" s="707">
        <f>BV110</f>
        <v/>
      </c>
      <c r="BW162" s="708">
        <f>BW110</f>
        <v/>
      </c>
      <c r="BX162" s="707">
        <f>BX110</f>
        <v/>
      </c>
      <c r="BY162" s="707">
        <f>BY110</f>
        <v/>
      </c>
      <c r="BZ162" s="707">
        <f>BZ110</f>
        <v/>
      </c>
      <c r="CA162" s="707">
        <f>CA110</f>
        <v/>
      </c>
      <c r="CB162" s="707">
        <f>CB110</f>
        <v/>
      </c>
      <c r="CC162" s="707">
        <f>CC110</f>
        <v/>
      </c>
      <c r="CD162" s="707">
        <f>CD110</f>
        <v/>
      </c>
      <c r="CE162" s="707">
        <f>CE110</f>
        <v/>
      </c>
      <c r="CF162" s="707">
        <f>CF110</f>
        <v/>
      </c>
      <c r="CG162" s="707">
        <f>CG110</f>
        <v/>
      </c>
      <c r="CH162" s="707">
        <f>CH110</f>
        <v/>
      </c>
      <c r="CI162" s="708">
        <f>CI110</f>
        <v/>
      </c>
      <c r="CJ162" s="707">
        <f>CJ110</f>
        <v/>
      </c>
      <c r="CK162" s="707">
        <f>CK110</f>
        <v/>
      </c>
      <c r="CL162" s="707">
        <f>CL110</f>
        <v/>
      </c>
      <c r="CM162" s="707">
        <f>CM110</f>
        <v/>
      </c>
      <c r="CN162" s="707">
        <f>CN110</f>
        <v/>
      </c>
      <c r="CO162" s="707">
        <f>CO110</f>
        <v/>
      </c>
      <c r="CP162" s="707">
        <f>CP110</f>
        <v/>
      </c>
      <c r="CQ162" s="707">
        <f>CQ110</f>
        <v/>
      </c>
      <c r="CR162" s="707">
        <f>CR110</f>
        <v/>
      </c>
      <c r="CS162" s="707">
        <f>CS110</f>
        <v/>
      </c>
      <c r="CT162" s="707">
        <f>CT110</f>
        <v/>
      </c>
      <c r="CU162" s="708">
        <f>CU110</f>
        <v/>
      </c>
      <c r="CV162" s="707">
        <f>CV110</f>
        <v/>
      </c>
      <c r="CW162" s="707">
        <f>CW110</f>
        <v/>
      </c>
      <c r="CX162" s="707">
        <f>CX110</f>
        <v/>
      </c>
      <c r="CY162" s="707">
        <f>CY110</f>
        <v/>
      </c>
      <c r="CZ162" s="707">
        <f>CZ110</f>
        <v/>
      </c>
      <c r="DA162" s="707">
        <f>DA110</f>
        <v/>
      </c>
      <c r="DB162" s="707">
        <f>DB110</f>
        <v/>
      </c>
      <c r="DC162" s="707">
        <f>DC110</f>
        <v/>
      </c>
      <c r="DD162" s="707">
        <f>DD110</f>
        <v/>
      </c>
      <c r="DE162" s="707">
        <f>DE110</f>
        <v/>
      </c>
      <c r="DF162" s="707">
        <f>DF110</f>
        <v/>
      </c>
      <c r="DG162" s="707">
        <f>DG110</f>
        <v/>
      </c>
    </row>
    <row r="163">
      <c r="B163" s="11" t="inlineStr">
        <is>
          <t>Change in AR</t>
        </is>
      </c>
      <c r="D163" s="707">
        <f>-(D125-C125)</f>
        <v/>
      </c>
      <c r="E163" s="707">
        <f>-(E125-D125)</f>
        <v/>
      </c>
      <c r="F163" s="707">
        <f>-(F125-E125)</f>
        <v/>
      </c>
      <c r="G163" s="707">
        <f>-(G125-F125)</f>
        <v/>
      </c>
      <c r="H163" s="707">
        <f>-(H125-G125)</f>
        <v/>
      </c>
      <c r="I163" s="707">
        <f>-(I125-H125)</f>
        <v/>
      </c>
      <c r="J163" s="707">
        <f>-(J125-I125)</f>
        <v/>
      </c>
      <c r="K163" s="707">
        <f>-(K125-J125)</f>
        <v/>
      </c>
      <c r="L163" s="707">
        <f>-(L125-K125)</f>
        <v/>
      </c>
      <c r="M163" s="707">
        <f>-(M125-L125)</f>
        <v/>
      </c>
      <c r="N163" s="707">
        <f>-(N125-M125)</f>
        <v/>
      </c>
      <c r="O163" s="707">
        <f>-(O125-N125)</f>
        <v/>
      </c>
      <c r="P163" s="707">
        <f>-(P125-O125)</f>
        <v/>
      </c>
      <c r="Q163" s="707">
        <f>-(Q125-P125)</f>
        <v/>
      </c>
      <c r="R163" s="707">
        <f>-(R125-Q125)</f>
        <v/>
      </c>
      <c r="S163" s="707">
        <f>-(S125-R125)</f>
        <v/>
      </c>
      <c r="T163" s="707">
        <f>-(T125-S125)</f>
        <v/>
      </c>
      <c r="U163" s="707">
        <f>-(U125-T125)</f>
        <v/>
      </c>
      <c r="V163" s="707">
        <f>-(V125-U125)</f>
        <v/>
      </c>
      <c r="W163" s="707">
        <f>-(W125-V125)</f>
        <v/>
      </c>
      <c r="X163" s="707">
        <f>-(X125-W125)</f>
        <v/>
      </c>
      <c r="Y163" s="707">
        <f>-(Y125-X125)</f>
        <v/>
      </c>
      <c r="Z163" s="707">
        <f>-(Z125-Y125)</f>
        <v/>
      </c>
      <c r="AA163" s="707">
        <f>-(AA125-Z125)</f>
        <v/>
      </c>
      <c r="AB163" s="707">
        <f>-(AB125-AA125)</f>
        <v/>
      </c>
      <c r="AC163" s="707">
        <f>-(AC125-AB125)</f>
        <v/>
      </c>
      <c r="AD163" s="707">
        <f>-(AD125-AC125)</f>
        <v/>
      </c>
      <c r="AE163" s="707">
        <f>-(AE125-AD125)</f>
        <v/>
      </c>
      <c r="AF163" s="707">
        <f>-(AF125-AE125)</f>
        <v/>
      </c>
      <c r="AG163" s="707">
        <f>-(AG125-AF125)</f>
        <v/>
      </c>
      <c r="AH163" s="707">
        <f>-(AH125-AG125)</f>
        <v/>
      </c>
      <c r="AI163" s="707">
        <f>-(AI125-AH125)</f>
        <v/>
      </c>
      <c r="AJ163" s="707">
        <f>-(AJ125-AI125)</f>
        <v/>
      </c>
      <c r="AK163" s="707">
        <f>-(AK125-AJ125)</f>
        <v/>
      </c>
      <c r="AL163" s="707">
        <f>-(AL125-AK125)</f>
        <v/>
      </c>
      <c r="AM163" s="513">
        <f>-(AM125-AL125)</f>
        <v/>
      </c>
      <c r="AN163" s="707">
        <f>-(AN125-AM125)</f>
        <v/>
      </c>
      <c r="AO163" s="707">
        <f>-(AO125-AN125)</f>
        <v/>
      </c>
      <c r="AP163" s="707">
        <f>-(AP125-AO125)</f>
        <v/>
      </c>
      <c r="AQ163" s="707">
        <f>-(AQ125-AP125)</f>
        <v/>
      </c>
      <c r="AR163" s="707">
        <f>-(AR125-AQ125)</f>
        <v/>
      </c>
      <c r="AS163" s="707">
        <f>-(AS125-AR125)</f>
        <v/>
      </c>
      <c r="AT163" s="707">
        <f>-(AT125-AS125)</f>
        <v/>
      </c>
      <c r="AU163" s="707">
        <f>-(AU125-AT125)</f>
        <v/>
      </c>
      <c r="AV163" s="707">
        <f>-(AV125-AU125)</f>
        <v/>
      </c>
      <c r="AW163" s="708">
        <f>-(AW125-AV125)</f>
        <v/>
      </c>
      <c r="AX163" s="707">
        <f>-(AX125-AW125)</f>
        <v/>
      </c>
      <c r="AY163" s="708">
        <f>-(AY125-AX125)</f>
        <v/>
      </c>
      <c r="AZ163" s="707">
        <f>-(AZ125-AY125)</f>
        <v/>
      </c>
      <c r="BA163" s="707">
        <f>-(BA125-AZ125)</f>
        <v/>
      </c>
      <c r="BB163" s="707">
        <f>-(BB125-BA125)</f>
        <v/>
      </c>
      <c r="BC163" s="707">
        <f>-(BC125-BB125)</f>
        <v/>
      </c>
      <c r="BD163" s="707">
        <f>-(BD125-BC125)</f>
        <v/>
      </c>
      <c r="BE163" s="707">
        <f>-(BE125-BD125)</f>
        <v/>
      </c>
      <c r="BF163" s="707">
        <f>-(BF125-BE125)</f>
        <v/>
      </c>
      <c r="BG163" s="707">
        <f>-(BG125-BF125)</f>
        <v/>
      </c>
      <c r="BH163" s="707">
        <f>-(BH125-BG125)</f>
        <v/>
      </c>
      <c r="BI163" s="707">
        <f>-(BI125-BH125)</f>
        <v/>
      </c>
      <c r="BJ163" s="707">
        <f>-(BJ125-BI125)</f>
        <v/>
      </c>
      <c r="BK163" s="708">
        <f>-(BK125-BJ125)</f>
        <v/>
      </c>
      <c r="BL163" s="707">
        <f>-(BL125-BK125)</f>
        <v/>
      </c>
      <c r="BM163" s="707">
        <f>-(BM125-BL125)</f>
        <v/>
      </c>
      <c r="BN163" s="707">
        <f>-(BN125-BM125)</f>
        <v/>
      </c>
      <c r="BO163" s="707">
        <f>-(BO125-BN125)</f>
        <v/>
      </c>
      <c r="BP163" s="707">
        <f>-(BP125-BO125)</f>
        <v/>
      </c>
      <c r="BQ163" s="707">
        <f>-(BQ125-BP125)</f>
        <v/>
      </c>
      <c r="BR163" s="707">
        <f>-(BR125-BQ125)</f>
        <v/>
      </c>
      <c r="BS163" s="707">
        <f>-(BS125-BR125)</f>
        <v/>
      </c>
      <c r="BT163" s="707">
        <f>-(BT125-BS125)</f>
        <v/>
      </c>
      <c r="BU163" s="707">
        <f>-(BU125-BT125)</f>
        <v/>
      </c>
      <c r="BV163" s="707">
        <f>-(BV125-BU125)</f>
        <v/>
      </c>
      <c r="BW163" s="708">
        <f>-(BW125-BV125)</f>
        <v/>
      </c>
      <c r="BX163" s="707">
        <f>-(BX125-BW125)</f>
        <v/>
      </c>
      <c r="BY163" s="707">
        <f>-(BY125-BX125)</f>
        <v/>
      </c>
      <c r="BZ163" s="707">
        <f>-(BZ125-BY125)</f>
        <v/>
      </c>
      <c r="CA163" s="707">
        <f>-(CA125-BZ125)</f>
        <v/>
      </c>
      <c r="CB163" s="707">
        <f>-(CB125-CA125)</f>
        <v/>
      </c>
      <c r="CC163" s="707">
        <f>-(CC125-CB125)</f>
        <v/>
      </c>
      <c r="CD163" s="707">
        <f>-(CD125-CC125)</f>
        <v/>
      </c>
      <c r="CE163" s="707">
        <f>-(CE125-CD125)</f>
        <v/>
      </c>
      <c r="CF163" s="707">
        <f>-(CF125-CE125)</f>
        <v/>
      </c>
      <c r="CG163" s="707">
        <f>-(CG125-CF125)</f>
        <v/>
      </c>
      <c r="CH163" s="707">
        <f>-(CH125-CG125)</f>
        <v/>
      </c>
      <c r="CI163" s="708">
        <f>-(CI125-CH125)</f>
        <v/>
      </c>
      <c r="CJ163" s="707">
        <f>-(CJ125-CI125)</f>
        <v/>
      </c>
      <c r="CK163" s="707">
        <f>-(CK125-CJ125)</f>
        <v/>
      </c>
      <c r="CL163" s="707">
        <f>-(CL125-CK125)</f>
        <v/>
      </c>
      <c r="CM163" s="707">
        <f>-(CM125-CL125)</f>
        <v/>
      </c>
      <c r="CN163" s="707">
        <f>-(CN125-CM125)</f>
        <v/>
      </c>
      <c r="CO163" s="707">
        <f>-(CO125-CN125)</f>
        <v/>
      </c>
      <c r="CP163" s="707">
        <f>-(CP125-CO125)</f>
        <v/>
      </c>
      <c r="CQ163" s="707">
        <f>-(CQ125-CP125)</f>
        <v/>
      </c>
      <c r="CR163" s="707">
        <f>-(CR125-CQ125)</f>
        <v/>
      </c>
      <c r="CS163" s="707">
        <f>-(CS125-CR125)</f>
        <v/>
      </c>
      <c r="CT163" s="707">
        <f>-(CT125-CS125)</f>
        <v/>
      </c>
      <c r="CU163" s="708">
        <f>-(CU125-CT125)</f>
        <v/>
      </c>
      <c r="CV163" s="707">
        <f>-(CV125-CU125)</f>
        <v/>
      </c>
      <c r="CW163" s="707">
        <f>-(CW125-CV125)</f>
        <v/>
      </c>
      <c r="CX163" s="707">
        <f>-(CX125-CW125)</f>
        <v/>
      </c>
      <c r="CY163" s="707">
        <f>-(CY125-CX125)</f>
        <v/>
      </c>
      <c r="CZ163" s="707">
        <f>-(CZ125-CY125)</f>
        <v/>
      </c>
      <c r="DA163" s="707">
        <f>-(DA125-CZ125)</f>
        <v/>
      </c>
      <c r="DB163" s="707">
        <f>-(DB125-DA125)</f>
        <v/>
      </c>
      <c r="DC163" s="707">
        <f>-(DC125-DB125)</f>
        <v/>
      </c>
      <c r="DD163" s="707">
        <f>-(DD125-DC125)</f>
        <v/>
      </c>
      <c r="DE163" s="707">
        <f>-(DE125-DD125)</f>
        <v/>
      </c>
      <c r="DF163" s="707">
        <f>-(DF125-DE125)</f>
        <v/>
      </c>
      <c r="DG163" s="707">
        <f>-(DG125-DF125)</f>
        <v/>
      </c>
    </row>
    <row r="164">
      <c r="B164" s="1" t="inlineStr">
        <is>
          <t>Change in Other Assets/Liabilities</t>
        </is>
      </c>
      <c r="D164" s="707" t="n">
        <v>0</v>
      </c>
      <c r="E164" s="707" t="n">
        <v>0</v>
      </c>
      <c r="F164" s="707" t="n">
        <v>0</v>
      </c>
      <c r="G164" s="707" t="n">
        <v>0</v>
      </c>
      <c r="H164" s="707" t="n">
        <v>0</v>
      </c>
      <c r="I164" s="707" t="n">
        <v>0</v>
      </c>
      <c r="J164" s="707">
        <f>J147-H147</f>
        <v/>
      </c>
      <c r="K164" s="707">
        <f>K147-I147</f>
        <v/>
      </c>
      <c r="L164" s="707">
        <f>L147-J147</f>
        <v/>
      </c>
      <c r="M164" s="707">
        <f>M147-K147</f>
        <v/>
      </c>
      <c r="N164" s="707">
        <f>N147-L147</f>
        <v/>
      </c>
      <c r="O164" s="707">
        <f>O147-M147</f>
        <v/>
      </c>
      <c r="P164" s="707">
        <f>P147-O147-(P132-O132)</f>
        <v/>
      </c>
      <c r="Q164" s="707">
        <f>Q147-P147-(Q132-P132)</f>
        <v/>
      </c>
      <c r="R164" s="707">
        <f>R147-Q147-(R132-Q132)</f>
        <v/>
      </c>
      <c r="S164" s="707">
        <f>S147-R147-(S132-R132)</f>
        <v/>
      </c>
      <c r="T164" s="707">
        <f>T147-S147-(T132-S132)</f>
        <v/>
      </c>
      <c r="U164" s="707">
        <f>U147-T147-(U132-T132)</f>
        <v/>
      </c>
      <c r="V164" s="707">
        <f>V147-U147-(V132-U132)</f>
        <v/>
      </c>
      <c r="W164" s="707">
        <f>W147-V147-(W132-V132)</f>
        <v/>
      </c>
      <c r="X164" s="707">
        <f>X147-W147-(X132-W132)</f>
        <v/>
      </c>
      <c r="Y164" s="707">
        <f>Y147-X147-(Y132-X132)</f>
        <v/>
      </c>
      <c r="Z164" s="707">
        <f>Z147-Y147-(Z132-Y132)</f>
        <v/>
      </c>
      <c r="AA164" s="707">
        <f>AA147-Z147-(AA132-Z132)</f>
        <v/>
      </c>
      <c r="AB164" s="707">
        <f>AB147-AA147-(AB132-AA132)</f>
        <v/>
      </c>
      <c r="AC164" s="707">
        <f>AC147-AB147-(AC132-AB132)</f>
        <v/>
      </c>
      <c r="AD164" s="707">
        <f>AD147-AC147-(AD132-AC132)</f>
        <v/>
      </c>
      <c r="AE164" s="707">
        <f>AE147-AD147-(AE132-AD132)</f>
        <v/>
      </c>
      <c r="AF164" s="707">
        <f>AF147-AE147-(AF132-AE132)</f>
        <v/>
      </c>
      <c r="AG164" s="707">
        <f>AG147-AF147-(AG132-AF132)</f>
        <v/>
      </c>
      <c r="AH164" s="707">
        <f>AH147-AG147-(AH132-AG132)</f>
        <v/>
      </c>
      <c r="AI164" s="707">
        <f>AI147-AH147-(AI132-AH132)</f>
        <v/>
      </c>
      <c r="AJ164" s="707">
        <f>AJ147-AI147-(AJ132-AI132)</f>
        <v/>
      </c>
      <c r="AK164" s="707">
        <f>AK147-AJ147-(AK132-AJ132)</f>
        <v/>
      </c>
      <c r="AL164" s="707">
        <f>AL147-AK147-(AL132-AK132)</f>
        <v/>
      </c>
      <c r="AM164" s="513">
        <f>AM147-AL147-(AM132-AL132)</f>
        <v/>
      </c>
      <c r="AN164" s="707">
        <f>AN147-AM147-(AN132-AM132)</f>
        <v/>
      </c>
      <c r="AO164" s="707">
        <f>AO147-AN147-(AO132-AN132)</f>
        <v/>
      </c>
      <c r="AP164" s="707">
        <f>AP147-AO147-(AP132-AO132)</f>
        <v/>
      </c>
      <c r="AQ164" s="707">
        <f>AQ147-AP147-(AQ132-AP132)</f>
        <v/>
      </c>
      <c r="AR164" s="707">
        <f>AR147-AQ147-(AR132-AQ132)</f>
        <v/>
      </c>
      <c r="AS164" s="707">
        <f>AS147-AR147-(AS132-AR132)</f>
        <v/>
      </c>
      <c r="AT164" s="707">
        <f>AT147-AS147-(AT132-AS132)</f>
        <v/>
      </c>
      <c r="AU164" s="707">
        <f>AU147-AT147-(AU132-AT132)</f>
        <v/>
      </c>
      <c r="AV164" s="707">
        <f>AV147-AU147-(AV132-AU132)</f>
        <v/>
      </c>
      <c r="AW164" s="708">
        <f>AW147-AV147-(AW132-AV132)</f>
        <v/>
      </c>
      <c r="AX164" s="707">
        <f>AX147-AW147-(AX132-AW132)</f>
        <v/>
      </c>
      <c r="AY164" s="708">
        <f>AY147-AX147-(AY132-AX132)</f>
        <v/>
      </c>
      <c r="AZ164" s="707">
        <f>AZ147-AY147-(AZ132-AY132)</f>
        <v/>
      </c>
      <c r="BA164" s="707">
        <f>BA147-AZ147-(BA132-AZ132)</f>
        <v/>
      </c>
      <c r="BB164" s="707">
        <f>BB147-BA147-(BB132-BA132)</f>
        <v/>
      </c>
      <c r="BC164" s="707">
        <f>BC147-BB147-(BC132-BB132)</f>
        <v/>
      </c>
      <c r="BD164" s="707">
        <f>BD147-BC147-(BD132-BC132)</f>
        <v/>
      </c>
      <c r="BE164" s="707">
        <f>BE147-BD147-(BE132-BD132)</f>
        <v/>
      </c>
      <c r="BF164" s="707">
        <f>BF147-BE147-(BF132-BE132)</f>
        <v/>
      </c>
      <c r="BG164" s="707">
        <f>BG147-BF147-(BG132-BF132)</f>
        <v/>
      </c>
      <c r="BH164" s="707">
        <f>BH147-BG147-(BH132-BG132)</f>
        <v/>
      </c>
      <c r="BI164" s="707">
        <f>BI147-BH147-(BI132-BH132)</f>
        <v/>
      </c>
      <c r="BJ164" s="707">
        <f>BJ147-BI147-(BJ132-BI132)</f>
        <v/>
      </c>
      <c r="BK164" s="708">
        <f>BK147-BJ147-(BK132-BJ132)</f>
        <v/>
      </c>
      <c r="BL164" s="707">
        <f>BL147-BK147-(BL132-BK132)</f>
        <v/>
      </c>
      <c r="BM164" s="707">
        <f>BM147-BL147-(BM132-BL132)</f>
        <v/>
      </c>
      <c r="BN164" s="707">
        <f>BN147-BM147-(BN132-BM132)</f>
        <v/>
      </c>
      <c r="BO164" s="707">
        <f>BO147-BN147-(BO132-BN132)</f>
        <v/>
      </c>
      <c r="BP164" s="707">
        <f>BP147-BO147-(BP132-BO132)</f>
        <v/>
      </c>
      <c r="BQ164" s="707">
        <f>BQ147-BP147-(BQ132-BP132)</f>
        <v/>
      </c>
      <c r="BR164" s="707">
        <f>BR147-BQ147-(BR132-BQ132)</f>
        <v/>
      </c>
      <c r="BS164" s="707">
        <f>BS147-BR147-(BS132-BR132)</f>
        <v/>
      </c>
      <c r="BT164" s="707">
        <f>BT147-BS147-(BT132-BS132)</f>
        <v/>
      </c>
      <c r="BU164" s="707">
        <f>BU147-BT147-(BU132-BT132)</f>
        <v/>
      </c>
      <c r="BV164" s="707">
        <f>BV147-BU147-(BV132-BU132)</f>
        <v/>
      </c>
      <c r="BW164" s="708">
        <f>BW147-BV147-(BW132-BV132)</f>
        <v/>
      </c>
      <c r="BX164" s="707">
        <f>BX147-BW147-(BX132-BW132)</f>
        <v/>
      </c>
      <c r="BY164" s="707">
        <f>BY147-BX147-(BY132-BX132)</f>
        <v/>
      </c>
      <c r="BZ164" s="707">
        <f>BZ147-BY147-(BZ132-BY132)</f>
        <v/>
      </c>
      <c r="CA164" s="707">
        <f>CA147-BZ147-(CA132-BZ132)</f>
        <v/>
      </c>
      <c r="CB164" s="707">
        <f>CB147-CA147-(CB132-CA132)</f>
        <v/>
      </c>
      <c r="CC164" s="707">
        <f>CC147-CB147-(CC132-CB132)</f>
        <v/>
      </c>
      <c r="CD164" s="707">
        <f>CD147-CC147-(CD132-CC132)</f>
        <v/>
      </c>
      <c r="CE164" s="707">
        <f>CE147-CD147-(CE132-CD132)</f>
        <v/>
      </c>
      <c r="CF164" s="707">
        <f>CF147-CE147-(CF132-CE132)</f>
        <v/>
      </c>
      <c r="CG164" s="707">
        <f>CG147-CF147-(CG132-CF132)</f>
        <v/>
      </c>
      <c r="CH164" s="707">
        <f>CH147-CG147-(CH132-CG132)</f>
        <v/>
      </c>
      <c r="CI164" s="708">
        <f>CI147-CH147-(CI132-CH132)</f>
        <v/>
      </c>
      <c r="CJ164" s="707">
        <f>CJ147-CI147-(CJ132-CI132)</f>
        <v/>
      </c>
      <c r="CK164" s="707">
        <f>CK147-CJ147-(CK132-CJ132)</f>
        <v/>
      </c>
      <c r="CL164" s="707">
        <f>CL147-CK147-(CL132-CK132)</f>
        <v/>
      </c>
      <c r="CM164" s="707">
        <f>CM147-CL147-(CM132-CL132)</f>
        <v/>
      </c>
      <c r="CN164" s="707">
        <f>CN147-CM147-(CN132-CM132)</f>
        <v/>
      </c>
      <c r="CO164" s="707">
        <f>CO147-CN147-(CO132-CN132)</f>
        <v/>
      </c>
      <c r="CP164" s="707">
        <f>CP147-CO147-(CP132-CO132)</f>
        <v/>
      </c>
      <c r="CQ164" s="707">
        <f>CQ147-CP147-(CQ132-CP132)</f>
        <v/>
      </c>
      <c r="CR164" s="707">
        <f>CR147-CQ147-(CR132-CQ132)</f>
        <v/>
      </c>
      <c r="CS164" s="707">
        <f>CS147-CR147-(CS132-CR132)</f>
        <v/>
      </c>
      <c r="CT164" s="707">
        <f>CT147-CS147-(CT132-CS132)</f>
        <v/>
      </c>
      <c r="CU164" s="708">
        <f>CU147-CT147-(CU132-CT132)</f>
        <v/>
      </c>
      <c r="CV164" s="707">
        <f>CV147-CU147-(CV132-CU132)</f>
        <v/>
      </c>
      <c r="CW164" s="707">
        <f>CW147-CV147-(CW132-CV132)</f>
        <v/>
      </c>
      <c r="CX164" s="707">
        <f>CX147-CW147-(CX132-CW132)</f>
        <v/>
      </c>
      <c r="CY164" s="707">
        <f>CY147-CX147-(CY132-CX132)</f>
        <v/>
      </c>
      <c r="CZ164" s="707">
        <f>CZ147-CY147-(CZ132-CY132)</f>
        <v/>
      </c>
      <c r="DA164" s="707">
        <f>DA147-CZ147-(DA132-CZ132)</f>
        <v/>
      </c>
      <c r="DB164" s="707">
        <f>DB147-DA147-(DB132-DA132)</f>
        <v/>
      </c>
      <c r="DC164" s="707">
        <f>DC147-DB147-(DC132-DB132)</f>
        <v/>
      </c>
      <c r="DD164" s="707">
        <f>DD147-DC147-(DD132-DC132)</f>
        <v/>
      </c>
      <c r="DE164" s="707">
        <f>DE147-DD147-(DE132-DD132)</f>
        <v/>
      </c>
      <c r="DF164" s="707">
        <f>DF147-DE147-(DF132-DE132)</f>
        <v/>
      </c>
      <c r="DG164" s="707">
        <f>DG147-DF147-(DG132-DF132)</f>
        <v/>
      </c>
    </row>
    <row r="165" customFormat="1" s="3">
      <c r="B165" s="4" t="inlineStr">
        <is>
          <t>Cash Flow From Operations</t>
        </is>
      </c>
      <c r="D165" s="913">
        <f>SUM(D162:D164)</f>
        <v/>
      </c>
      <c r="E165" s="913">
        <f>SUM(E162:E164)</f>
        <v/>
      </c>
      <c r="F165" s="913">
        <f>SUM(F162:F164)</f>
        <v/>
      </c>
      <c r="G165" s="913">
        <f>SUM(G162:G164)</f>
        <v/>
      </c>
      <c r="H165" s="913">
        <f>SUM(H162:H164)</f>
        <v/>
      </c>
      <c r="I165" s="913">
        <f>SUM(I162:I164)</f>
        <v/>
      </c>
      <c r="J165" s="913">
        <f>SUM(J162:J164)</f>
        <v/>
      </c>
      <c r="K165" s="913">
        <f>SUM(K162:K164)</f>
        <v/>
      </c>
      <c r="L165" s="913">
        <f>SUM(L162:L164)</f>
        <v/>
      </c>
      <c r="M165" s="913">
        <f>SUM(M162:M164)</f>
        <v/>
      </c>
      <c r="N165" s="913">
        <f>SUM(N162:N164)</f>
        <v/>
      </c>
      <c r="O165" s="913">
        <f>SUM(O162:O164)</f>
        <v/>
      </c>
      <c r="P165" s="913">
        <f>SUM(P162:P164)</f>
        <v/>
      </c>
      <c r="Q165" s="913">
        <f>SUM(Q162:Q164)</f>
        <v/>
      </c>
      <c r="R165" s="913">
        <f>SUM(R162:R164)</f>
        <v/>
      </c>
      <c r="S165" s="913">
        <f>SUM(S162:S164)</f>
        <v/>
      </c>
      <c r="T165" s="913">
        <f>SUM(T162:T164)</f>
        <v/>
      </c>
      <c r="U165" s="913">
        <f>SUM(U162:U164)</f>
        <v/>
      </c>
      <c r="V165" s="913">
        <f>SUM(V162:V164)</f>
        <v/>
      </c>
      <c r="W165" s="913">
        <f>SUM(W162:W164)</f>
        <v/>
      </c>
      <c r="X165" s="913">
        <f>SUM(X162:X164)</f>
        <v/>
      </c>
      <c r="Y165" s="913">
        <f>SUM(Y162:Y164)</f>
        <v/>
      </c>
      <c r="Z165" s="913">
        <f>SUM(Z162:Z164)</f>
        <v/>
      </c>
      <c r="AA165" s="913">
        <f>SUM(AA162:AA164)</f>
        <v/>
      </c>
      <c r="AB165" s="913">
        <f>SUM(AB162:AB164)</f>
        <v/>
      </c>
      <c r="AC165" s="913">
        <f>SUM(AC162:AC164)</f>
        <v/>
      </c>
      <c r="AD165" s="913">
        <f>SUM(AD162:AD164)</f>
        <v/>
      </c>
      <c r="AE165" s="913">
        <f>SUM(AE162:AE164)</f>
        <v/>
      </c>
      <c r="AF165" s="913">
        <f>SUM(AF162:AF164)</f>
        <v/>
      </c>
      <c r="AG165" s="913">
        <f>SUM(AG162:AG164)</f>
        <v/>
      </c>
      <c r="AH165" s="913">
        <f>SUM(AH162:AH164)</f>
        <v/>
      </c>
      <c r="AI165" s="913">
        <f>SUM(AI162:AI164)</f>
        <v/>
      </c>
      <c r="AJ165" s="913">
        <f>SUM(AJ162:AJ164)</f>
        <v/>
      </c>
      <c r="AK165" s="913">
        <f>SUM(AK162:AK164)</f>
        <v/>
      </c>
      <c r="AL165" s="913">
        <f>SUM(AL162:AL164)</f>
        <v/>
      </c>
      <c r="AM165" s="914">
        <f>SUM(AM162:AM164)</f>
        <v/>
      </c>
      <c r="AN165" s="913">
        <f>SUM(AN162:AN164)</f>
        <v/>
      </c>
      <c r="AO165" s="913">
        <f>SUM(AO162:AO164)</f>
        <v/>
      </c>
      <c r="AP165" s="913">
        <f>SUM(AP162:AP164)</f>
        <v/>
      </c>
      <c r="AQ165" s="913">
        <f>SUM(AQ162:AQ164)</f>
        <v/>
      </c>
      <c r="AR165" s="913">
        <f>SUM(AR162:AR164)</f>
        <v/>
      </c>
      <c r="AS165" s="913">
        <f>SUM(AS162:AS164)</f>
        <v/>
      </c>
      <c r="AT165" s="913">
        <f>SUM(AT162:AT164)</f>
        <v/>
      </c>
      <c r="AU165" s="913">
        <f>SUM(AU162:AU164)</f>
        <v/>
      </c>
      <c r="AV165" s="913">
        <f>SUM(AV162:AV164)</f>
        <v/>
      </c>
      <c r="AW165" s="915">
        <f>SUM(AW162:AW164)</f>
        <v/>
      </c>
      <c r="AX165" s="913">
        <f>SUM(AX162:AX164)</f>
        <v/>
      </c>
      <c r="AY165" s="915">
        <f>SUM(AY162:AY164)</f>
        <v/>
      </c>
      <c r="AZ165" s="913">
        <f>SUM(AZ162:AZ164)</f>
        <v/>
      </c>
      <c r="BA165" s="913">
        <f>SUM(BA162:BA164)</f>
        <v/>
      </c>
      <c r="BB165" s="913">
        <f>SUM(BB162:BB164)</f>
        <v/>
      </c>
      <c r="BC165" s="913">
        <f>SUM(BC162:BC164)</f>
        <v/>
      </c>
      <c r="BD165" s="913">
        <f>SUM(BD162:BD164)</f>
        <v/>
      </c>
      <c r="BE165" s="913">
        <f>SUM(BE162:BE164)</f>
        <v/>
      </c>
      <c r="BF165" s="913">
        <f>SUM(BF162:BF164)</f>
        <v/>
      </c>
      <c r="BG165" s="913">
        <f>SUM(BG162:BG164)</f>
        <v/>
      </c>
      <c r="BH165" s="913">
        <f>SUM(BH162:BH164)</f>
        <v/>
      </c>
      <c r="BI165" s="913">
        <f>SUM(BI162:BI164)</f>
        <v/>
      </c>
      <c r="BJ165" s="913">
        <f>SUM(BJ162:BJ164)</f>
        <v/>
      </c>
      <c r="BK165" s="915">
        <f>SUM(BK162:BK164)</f>
        <v/>
      </c>
      <c r="BL165" s="913">
        <f>SUM(BL162:BL164)</f>
        <v/>
      </c>
      <c r="BM165" s="913">
        <f>SUM(BM162:BM164)</f>
        <v/>
      </c>
      <c r="BN165" s="913">
        <f>SUM(BN162:BN164)</f>
        <v/>
      </c>
      <c r="BO165" s="913">
        <f>SUM(BO162:BO164)</f>
        <v/>
      </c>
      <c r="BP165" s="913">
        <f>SUM(BP162:BP164)</f>
        <v/>
      </c>
      <c r="BQ165" s="913">
        <f>SUM(BQ162:BQ164)</f>
        <v/>
      </c>
      <c r="BR165" s="913">
        <f>SUM(BR162:BR164)</f>
        <v/>
      </c>
      <c r="BS165" s="913">
        <f>SUM(BS162:BS164)</f>
        <v/>
      </c>
      <c r="BT165" s="913">
        <f>SUM(BT162:BT164)</f>
        <v/>
      </c>
      <c r="BU165" s="913">
        <f>SUM(BU162:BU164)</f>
        <v/>
      </c>
      <c r="BV165" s="913">
        <f>SUM(BV162:BV164)</f>
        <v/>
      </c>
      <c r="BW165" s="915">
        <f>SUM(BW162:BW164)</f>
        <v/>
      </c>
      <c r="BX165" s="913">
        <f>SUM(BX162:BX164)</f>
        <v/>
      </c>
      <c r="BY165" s="913">
        <f>SUM(BY162:BY164)</f>
        <v/>
      </c>
      <c r="BZ165" s="913">
        <f>SUM(BZ162:BZ164)</f>
        <v/>
      </c>
      <c r="CA165" s="913">
        <f>SUM(CA162:CA164)</f>
        <v/>
      </c>
      <c r="CB165" s="913">
        <f>SUM(CB162:CB164)</f>
        <v/>
      </c>
      <c r="CC165" s="913">
        <f>SUM(CC162:CC164)</f>
        <v/>
      </c>
      <c r="CD165" s="913">
        <f>SUM(CD162:CD164)</f>
        <v/>
      </c>
      <c r="CE165" s="913">
        <f>SUM(CE162:CE164)</f>
        <v/>
      </c>
      <c r="CF165" s="913">
        <f>SUM(CF162:CF164)</f>
        <v/>
      </c>
      <c r="CG165" s="913">
        <f>SUM(CG162:CG164)</f>
        <v/>
      </c>
      <c r="CH165" s="913">
        <f>SUM(CH162:CH164)</f>
        <v/>
      </c>
      <c r="CI165" s="915">
        <f>SUM(CI162:CI164)</f>
        <v/>
      </c>
      <c r="CJ165" s="913">
        <f>SUM(CJ162:CJ164)</f>
        <v/>
      </c>
      <c r="CK165" s="913">
        <f>SUM(CK162:CK164)</f>
        <v/>
      </c>
      <c r="CL165" s="913">
        <f>SUM(CL162:CL164)</f>
        <v/>
      </c>
      <c r="CM165" s="913">
        <f>SUM(CM162:CM164)</f>
        <v/>
      </c>
      <c r="CN165" s="913">
        <f>SUM(CN162:CN164)</f>
        <v/>
      </c>
      <c r="CO165" s="913">
        <f>SUM(CO162:CO164)</f>
        <v/>
      </c>
      <c r="CP165" s="913">
        <f>SUM(CP162:CP164)</f>
        <v/>
      </c>
      <c r="CQ165" s="913">
        <f>SUM(CQ162:CQ164)</f>
        <v/>
      </c>
      <c r="CR165" s="913">
        <f>SUM(CR162:CR164)</f>
        <v/>
      </c>
      <c r="CS165" s="913">
        <f>SUM(CS162:CS164)</f>
        <v/>
      </c>
      <c r="CT165" s="913">
        <f>SUM(CT162:CT164)</f>
        <v/>
      </c>
      <c r="CU165" s="915">
        <f>SUM(CU162:CU164)</f>
        <v/>
      </c>
      <c r="CV165" s="913">
        <f>SUM(CV162:CV164)</f>
        <v/>
      </c>
      <c r="CW165" s="913">
        <f>SUM(CW162:CW164)</f>
        <v/>
      </c>
      <c r="CX165" s="913">
        <f>SUM(CX162:CX164)</f>
        <v/>
      </c>
      <c r="CY165" s="913">
        <f>SUM(CY162:CY164)</f>
        <v/>
      </c>
      <c r="CZ165" s="913">
        <f>SUM(CZ162:CZ164)</f>
        <v/>
      </c>
      <c r="DA165" s="913">
        <f>SUM(DA162:DA164)</f>
        <v/>
      </c>
      <c r="DB165" s="913">
        <f>SUM(DB162:DB164)</f>
        <v/>
      </c>
      <c r="DC165" s="913">
        <f>SUM(DC162:DC164)</f>
        <v/>
      </c>
      <c r="DD165" s="913">
        <f>SUM(DD162:DD164)</f>
        <v/>
      </c>
      <c r="DE165" s="913">
        <f>SUM(DE162:DE164)</f>
        <v/>
      </c>
      <c r="DF165" s="913">
        <f>SUM(DF162:DF164)</f>
        <v/>
      </c>
      <c r="DG165" s="913">
        <f>SUM(DG162:DG164)</f>
        <v/>
      </c>
    </row>
    <row r="166">
      <c r="AW166" s="184" t="n"/>
      <c r="AY166" s="184" t="n"/>
      <c r="BK166" s="184" t="n"/>
      <c r="BW166" s="184" t="n"/>
      <c r="CI166" s="184" t="n"/>
      <c r="CU166" s="184" t="n"/>
    </row>
    <row r="167">
      <c r="AW167" s="184" t="n"/>
      <c r="AY167" s="184" t="n"/>
      <c r="BK167" s="184" t="n"/>
      <c r="BW167" s="184" t="n"/>
      <c r="CI167" s="184" t="n"/>
      <c r="CU167" s="184" t="n"/>
    </row>
    <row r="168">
      <c r="B168" s="1" t="inlineStr">
        <is>
          <t>Change in Equity</t>
        </is>
      </c>
      <c r="E168" s="707">
        <f>SUM(E149:E151)-SUM(D149:D151)</f>
        <v/>
      </c>
      <c r="F168" s="707">
        <f>SUM(F149:F151)-SUM(E149:E151)</f>
        <v/>
      </c>
      <c r="G168" s="707">
        <f>SUM(G149:G151)-SUM(F149:F151)</f>
        <v/>
      </c>
      <c r="H168" s="707">
        <f>SUM(H149:H151)-SUM(G149:G151)</f>
        <v/>
      </c>
      <c r="I168" s="707">
        <f>SUM(I149:I151)-SUM(H149:H151)</f>
        <v/>
      </c>
      <c r="J168" s="707">
        <f>SUM(J149:J151)-SUM(I149:I151)</f>
        <v/>
      </c>
      <c r="K168" s="707">
        <f>SUM(K149:K150)-SUM(J149:J150)</f>
        <v/>
      </c>
      <c r="L168" s="707">
        <f>SUM(L149:L150)-SUM(K149:K150)</f>
        <v/>
      </c>
      <c r="M168" s="707">
        <f>SUM(M149:M150)-SUM(L149:L150)</f>
        <v/>
      </c>
      <c r="N168" s="707">
        <f>SUM(N149:N150)-SUM(M149:M150)</f>
        <v/>
      </c>
      <c r="O168" s="707">
        <f>SUM(O149:O150)-SUM(N149:N150)</f>
        <v/>
      </c>
      <c r="P168" s="707">
        <f>SUM(P149:P150)-SUM(O149:O150)</f>
        <v/>
      </c>
      <c r="Q168" s="707">
        <f>SUM(Q149:Q150)-SUM(P149:P150)</f>
        <v/>
      </c>
      <c r="R168" s="707">
        <f>SUM(R149:R150)-SUM(Q149:Q150)</f>
        <v/>
      </c>
      <c r="S168" s="707">
        <f>SUM(S149:S150)-SUM(R149:R150)</f>
        <v/>
      </c>
      <c r="T168" s="707">
        <f>SUM(T149:T150)-SUM(S149:S150)</f>
        <v/>
      </c>
      <c r="U168" s="707">
        <f>SUM(U149:U150)-SUM(T149:T150)</f>
        <v/>
      </c>
      <c r="V168" s="707">
        <f>SUM(V149:V150)-SUM(U149:U150)</f>
        <v/>
      </c>
      <c r="W168" s="707">
        <f>SUM(W149:W150)-SUM(V149:V150)</f>
        <v/>
      </c>
      <c r="X168" s="707">
        <f>SUM(X149:X150)-SUM(W149:W150)</f>
        <v/>
      </c>
      <c r="Y168" s="707">
        <f>SUM(Y149:Y150)-SUM(X149:X150)</f>
        <v/>
      </c>
      <c r="Z168" s="707">
        <f>SUM(Z149:Z150)-SUM(Y149:Y150)</f>
        <v/>
      </c>
      <c r="AA168" s="707">
        <f>SUM(AA149:AA150)-SUM(Z149:Z150)</f>
        <v/>
      </c>
      <c r="AB168" s="707">
        <f>SUM(AB149:AB150)-SUM(AA149:AA150)</f>
        <v/>
      </c>
      <c r="AC168" s="707">
        <f>SUM(AC149:AC150)-SUM(AB149:AB150)</f>
        <v/>
      </c>
      <c r="AD168" s="707">
        <f>SUM(AD149:AD150)-SUM(AC149:AC150)</f>
        <v/>
      </c>
      <c r="AE168" s="707">
        <f>SUM(AE149:AE150)-SUM(AD149:AD150)</f>
        <v/>
      </c>
      <c r="AF168" s="707">
        <f>SUM(AF149:AF150)-SUM(AE149:AE150)</f>
        <v/>
      </c>
      <c r="AG168" s="707">
        <f>SUM(AG149:AG150)-SUM(AF149:AF150)</f>
        <v/>
      </c>
      <c r="AH168" s="707">
        <f>SUM(AH149:AH150)-SUM(AG149:AG150)</f>
        <v/>
      </c>
      <c r="AI168" s="707">
        <f>SUM(AI149:AI150)-SUM(AH149:AH150)</f>
        <v/>
      </c>
      <c r="AJ168" s="707">
        <f>SUM(AJ149:AJ150)-SUM(AI149:AI150)</f>
        <v/>
      </c>
      <c r="AK168" s="707">
        <f>SUM(AK149:AK150)-SUM(AJ149:AJ150)</f>
        <v/>
      </c>
      <c r="AL168" s="707">
        <f>SUM(AL149:AL150)-SUM(AK149:AK150)</f>
        <v/>
      </c>
      <c r="AM168" s="513">
        <f>SUM(AM149:AM150)-SUM(AL149:AL150)</f>
        <v/>
      </c>
      <c r="AN168" s="707">
        <f>SUM(AN149:AN150)-SUM(AM149:AM150)</f>
        <v/>
      </c>
      <c r="AO168" s="707">
        <f>SUM(AO149:AO150)-SUM(AN149:AN150)</f>
        <v/>
      </c>
      <c r="AP168" s="707">
        <f>SUM(AP149:AP150)-SUM(AO149:AO150)</f>
        <v/>
      </c>
      <c r="AQ168" s="707">
        <f>SUM(AQ149:AQ150)-SUM(AP149:AP150)-SUM(AP152:AP153)+SUM(AQ152:AQ153)</f>
        <v/>
      </c>
      <c r="AR168" s="707">
        <f>SUM(AR149:AR150)-SUM(AQ149:AQ150)-SUM(AQ152:AQ153)+SUM(AR152:AR153)</f>
        <v/>
      </c>
      <c r="AS168" s="707">
        <f>SUM(AS149:AS150)-SUM(AR149:AR150)-SUM(AR152:AR153)+SUM(AS152:AS153)</f>
        <v/>
      </c>
      <c r="AT168" s="707">
        <f>SUM(AT149:AT150)-SUM(AS149:AS150)-SUM(AS152:AS153)+SUM(AT152:AT153)</f>
        <v/>
      </c>
      <c r="AU168" s="707">
        <f>SUM(AU149:AU150)-SUM(AT149:AT150)-SUM(AT152:AT153)+SUM(AU152:AU153)</f>
        <v/>
      </c>
      <c r="AV168" s="707">
        <f>SUM(AV149:AV150)-SUM(AU149:AU150)-SUM(AU152:AU153)+SUM(AV152:AV153)</f>
        <v/>
      </c>
      <c r="AW168" s="708">
        <f>SUM(AW149:AW150)-SUM(AV149:AV150)-SUM(AV152:AV153)+SUM(AW152:AW153)</f>
        <v/>
      </c>
      <c r="AX168" s="707">
        <f>SUM(AX149:AX150)-SUM(AW149:AW150)-SUM(AW152:AW153)+SUM(AX152:AX153)</f>
        <v/>
      </c>
      <c r="AY168" s="708">
        <f>SUM(AY149:AY150)-SUM(AX149:AX150)-SUM(AX152:AX153)+SUM(AY152:AY153)</f>
        <v/>
      </c>
      <c r="AZ168" s="707">
        <f>SUM(AZ149:AZ150)-SUM(AY149:AY150)-SUM(AY152:AY153)+SUM(AZ152:AZ153)</f>
        <v/>
      </c>
      <c r="BA168" s="707">
        <f>SUM(BA149:BA150)-SUM(AZ149:AZ150)-SUM(AZ152:AZ153)+SUM(BA152:BA153)</f>
        <v/>
      </c>
      <c r="BB168" s="707">
        <f>SUM(BB149:BB150)-SUM(BA149:BA150)-SUM(BA152:BA153)+SUM(BB152:BB153)</f>
        <v/>
      </c>
      <c r="BC168" s="707">
        <f>SUM(BC149:BC150)-SUM(BB149:BB150)-SUM(BB152:BB153)+SUM(BC152:BC153)</f>
        <v/>
      </c>
      <c r="BD168" s="707">
        <f>SUM(BD149:BD150)-SUM(BC149:BC150)-SUM(BC152:BC153)+SUM(BD152:BD153)</f>
        <v/>
      </c>
      <c r="BE168" s="707">
        <f>SUM(BE149:BE150)-SUM(BD149:BD150)-SUM(BD152:BD153)+SUM(BE152:BE153)</f>
        <v/>
      </c>
      <c r="BF168" s="707">
        <f>SUM(BF149:BF150)-SUM(BE149:BE150)-SUM(BE152:BE153)+SUM(BF152:BF153)</f>
        <v/>
      </c>
      <c r="BG168" s="707">
        <f>SUM(BG149:BG150)-SUM(BF149:BF150)-SUM(BF152:BF153)+SUM(BG152:BG153)</f>
        <v/>
      </c>
      <c r="BH168" s="707">
        <f>SUM(BH149:BH150)-SUM(BG149:BG150)-SUM(BG152:BG153)+SUM(BH152:BH153)</f>
        <v/>
      </c>
      <c r="BI168" s="707">
        <f>SUM(BI149:BI150)-SUM(BH149:BH150)-SUM(BH152:BH153)+SUM(BI152:BI153)</f>
        <v/>
      </c>
      <c r="BJ168" s="707">
        <f>SUM(BJ149:BJ150)-SUM(BI149:BI150)-SUM(BI152:BI153)+SUM(BJ152:BJ153)</f>
        <v/>
      </c>
      <c r="BK168" s="708">
        <f>SUM(BK149:BK150)-SUM(BJ149:BJ150)-SUM(BJ152:BJ153)+SUM(BK152:BK153)</f>
        <v/>
      </c>
      <c r="BL168" s="707">
        <f>SUM(BL149:BL150)-SUM(BK149:BK150)-SUM(BK152:BK153)+SUM(BL152:BL153)</f>
        <v/>
      </c>
      <c r="BM168" s="707">
        <f>SUM(BM149:BM150)-SUM(BL149:BL150)-SUM(BL152:BL153)+SUM(BM152:BM153)</f>
        <v/>
      </c>
      <c r="BN168" s="707">
        <f>SUM(BN149:BN150)-SUM(BM149:BM150)-SUM(BM152:BM153)+SUM(BN152:BN153)</f>
        <v/>
      </c>
      <c r="BO168" s="707">
        <f>SUM(BO149:BO150)-SUM(BN149:BN150)-SUM(BN152:BN153)+SUM(BO152:BO153)</f>
        <v/>
      </c>
      <c r="BP168" s="707">
        <f>SUM(BP149:BP150)-SUM(BO149:BO150)-SUM(BO152:BO153)+SUM(BP152:BP153)</f>
        <v/>
      </c>
      <c r="BQ168" s="707">
        <f>SUM(BQ149:BQ150)-SUM(BP149:BP150)-SUM(BP152:BP153)+SUM(BQ152:BQ153)</f>
        <v/>
      </c>
      <c r="BR168" s="707">
        <f>SUM(BR149:BR150)-SUM(BQ149:BQ150)-SUM(BQ152:BQ153)+SUM(BR152:BR153)</f>
        <v/>
      </c>
      <c r="BS168" s="707">
        <f>SUM(BS149:BS150)-SUM(BR149:BR150)-SUM(BR152:BR153)+SUM(BS152:BS153)</f>
        <v/>
      </c>
      <c r="BT168" s="707">
        <f>SUM(BT149:BT150)-SUM(BS149:BS150)-SUM(BS152:BS153)+SUM(BT152:BT153)</f>
        <v/>
      </c>
      <c r="BU168" s="707">
        <f>SUM(BU149:BU150)-SUM(BT149:BT150)-SUM(BT152:BT153)+SUM(BU152:BU153)</f>
        <v/>
      </c>
      <c r="BV168" s="707">
        <f>SUM(BV149:BV150)-SUM(BU149:BU150)-SUM(BU152:BU153)+SUM(BV152:BV153)</f>
        <v/>
      </c>
      <c r="BW168" s="708">
        <f>SUM(BW149:BW150)-SUM(BV149:BV150)-SUM(BV152:BV153)+SUM(BW152:BW153)</f>
        <v/>
      </c>
      <c r="BX168" s="707">
        <f>SUM(BX149:BX150)-SUM(BW149:BW150)-SUM(BW152:BW153)+SUM(BX152:BX153)</f>
        <v/>
      </c>
      <c r="BY168" s="707">
        <f>SUM(BY149:BY150)-SUM(BX149:BX150)-SUM(BX152:BX153)+SUM(BY152:BY153)</f>
        <v/>
      </c>
      <c r="BZ168" s="707">
        <f>SUM(BZ149:BZ150)-SUM(BY149:BY150)-SUM(BY152:BY153)+SUM(BZ152:BZ153)</f>
        <v/>
      </c>
      <c r="CA168" s="707">
        <f>SUM(CA149:CA150)-SUM(BZ149:BZ150)-SUM(BZ152:BZ153)+SUM(CA152:CA153)</f>
        <v/>
      </c>
      <c r="CB168" s="707">
        <f>SUM(CB149:CB150)-SUM(CA149:CA150)-SUM(CA152:CA153)+SUM(CB152:CB153)</f>
        <v/>
      </c>
      <c r="CC168" s="707">
        <f>SUM(CC149:CC150)-SUM(CB149:CB150)-SUM(CB152:CB153)+SUM(CC152:CC153)</f>
        <v/>
      </c>
      <c r="CD168" s="707">
        <f>SUM(CD149:CD150)-SUM(CC149:CC150)-SUM(CC152:CC153)+SUM(CD152:CD153)</f>
        <v/>
      </c>
      <c r="CE168" s="707">
        <f>SUM(CE149:CE150)-SUM(CD149:CD150)-SUM(CD152:CD153)+SUM(CE152:CE153)</f>
        <v/>
      </c>
      <c r="CF168" s="707">
        <f>SUM(CF149:CF150)-SUM(CE149:CE150)-SUM(CE152:CE153)+SUM(CF152:CF153)</f>
        <v/>
      </c>
      <c r="CG168" s="707">
        <f>SUM(CG149:CG150)-SUM(CF149:CF150)-SUM(CF152:CF153)+SUM(CG152:CG153)</f>
        <v/>
      </c>
      <c r="CH168" s="707">
        <f>SUM(CH149:CH150)-SUM(CG149:CG150)-SUM(CG152:CG153)+SUM(CH152:CH153)</f>
        <v/>
      </c>
      <c r="CI168" s="708">
        <f>SUM(CI149:CI150)-SUM(CH149:CH150)-SUM(CH152:CH153)+SUM(CI152:CI153)</f>
        <v/>
      </c>
      <c r="CJ168" s="707">
        <f>SUM(CJ149:CJ150)-SUM(CI149:CI150)-SUM(CI152:CI153)+SUM(CJ152:CJ153)</f>
        <v/>
      </c>
      <c r="CK168" s="707">
        <f>SUM(CK149:CK150)-SUM(CJ149:CJ150)-SUM(CJ152:CJ153)+SUM(CK152:CK153)</f>
        <v/>
      </c>
      <c r="CL168" s="707">
        <f>SUM(CL149:CL150)-SUM(CK149:CK150)-SUM(CK152:CK153)+SUM(CL152:CL153)</f>
        <v/>
      </c>
      <c r="CM168" s="707">
        <f>SUM(CM149:CM150)-SUM(CL149:CL150)-SUM(CL152:CL153)+SUM(CM152:CM153)</f>
        <v/>
      </c>
      <c r="CN168" s="707">
        <f>SUM(CN149:CN150)-SUM(CM149:CM150)-SUM(CM152:CM153)+SUM(CN152:CN153)</f>
        <v/>
      </c>
      <c r="CO168" s="707">
        <f>SUM(CO149:CO150)-SUM(CN149:CN150)-SUM(CN152:CN153)+SUM(CO152:CO153)</f>
        <v/>
      </c>
      <c r="CP168" s="707">
        <f>SUM(CP149:CP150)-SUM(CO149:CO150)-SUM(CO152:CO153)+SUM(CP152:CP153)</f>
        <v/>
      </c>
      <c r="CQ168" s="707">
        <f>SUM(CQ149:CQ150)-SUM(CP149:CP150)-SUM(CP152:CP153)+SUM(CQ152:CQ153)</f>
        <v/>
      </c>
      <c r="CR168" s="707">
        <f>SUM(CR149:CR150)-SUM(CQ149:CQ150)-SUM(CQ152:CQ153)+SUM(CR152:CR153)</f>
        <v/>
      </c>
      <c r="CS168" s="707">
        <f>SUM(CS149:CS150)-SUM(CR149:CR150)-SUM(CR152:CR153)+SUM(CS152:CS153)</f>
        <v/>
      </c>
      <c r="CT168" s="707">
        <f>SUM(CT149:CT150)-SUM(CS149:CS150)-SUM(CS152:CS153)+SUM(CT152:CT153)</f>
        <v/>
      </c>
      <c r="CU168" s="708">
        <f>SUM(CU149:CU150)-SUM(CT149:CT150)-SUM(CT152:CT153)+SUM(CU152:CU153)</f>
        <v/>
      </c>
      <c r="CV168" s="707">
        <f>SUM(CV149:CV150)-SUM(CU149:CU150)-SUM(CU152:CU153)+SUM(CV152:CV153)</f>
        <v/>
      </c>
      <c r="CW168" s="707">
        <f>SUM(CW149:CW150)-SUM(CV149:CV150)-SUM(CV152:CV153)+SUM(CW152:CW153)</f>
        <v/>
      </c>
      <c r="CX168" s="707">
        <f>SUM(CX149:CX150)-SUM(CW149:CW150)-SUM(CW152:CW153)+SUM(CX152:CX153)</f>
        <v/>
      </c>
      <c r="CY168" s="707">
        <f>SUM(CY149:CY150)-SUM(CX149:CX150)-SUM(CX152:CX153)+SUM(CY152:CY153)</f>
        <v/>
      </c>
      <c r="CZ168" s="707">
        <f>SUM(CZ149:CZ150)-SUM(CY149:CY150)-SUM(CY152:CY153)+SUM(CZ152:CZ153)</f>
        <v/>
      </c>
      <c r="DA168" s="707">
        <f>SUM(DA149:DA150)-SUM(CZ149:CZ150)-SUM(CZ152:CZ153)+SUM(DA152:DA153)</f>
        <v/>
      </c>
      <c r="DB168" s="707">
        <f>SUM(DB149:DB150)-SUM(DA149:DA150)-SUM(DA152:DA153)+SUM(DB152:DB153)</f>
        <v/>
      </c>
      <c r="DC168" s="707">
        <f>SUM(DC149:DC150)-SUM(DB149:DB150)-SUM(DB152:DB153)+SUM(DC152:DC153)</f>
        <v/>
      </c>
      <c r="DD168" s="707">
        <f>SUM(DD149:DD150)-SUM(DC149:DC150)-SUM(DC152:DC153)+SUM(DD152:DD153)</f>
        <v/>
      </c>
      <c r="DE168" s="707">
        <f>SUM(DE149:DE150)-SUM(DD149:DD150)-SUM(DD152:DD153)+SUM(DE152:DE153)</f>
        <v/>
      </c>
      <c r="DF168" s="707">
        <f>SUM(DF149:DF150)-SUM(DE149:DE150)-SUM(DE152:DE153)+SUM(DF152:DF153)</f>
        <v/>
      </c>
      <c r="DG168" s="707">
        <f>SUM(DG149:DG150)-SUM(DF149:DF150)-SUM(DF152:DF153)+SUM(DG152:DG153)</f>
        <v/>
      </c>
    </row>
    <row r="169">
      <c r="A169" s="3" t="n"/>
      <c r="B169" s="4" t="inlineStr">
        <is>
          <t>Cash Flow From Financing</t>
        </is>
      </c>
      <c r="C169" s="3" t="n"/>
      <c r="D169" s="913" t="n">
        <v>0</v>
      </c>
      <c r="E169" s="913">
        <f>E168</f>
        <v/>
      </c>
      <c r="F169" s="913">
        <f>F168</f>
        <v/>
      </c>
      <c r="G169" s="913">
        <f>G168</f>
        <v/>
      </c>
      <c r="H169" s="913">
        <f>H168</f>
        <v/>
      </c>
      <c r="I169" s="913">
        <f>I168</f>
        <v/>
      </c>
      <c r="J169" s="913">
        <f>J168</f>
        <v/>
      </c>
      <c r="K169" s="913">
        <f>K168</f>
        <v/>
      </c>
      <c r="L169" s="913">
        <f>L168</f>
        <v/>
      </c>
      <c r="M169" s="913">
        <f>M168</f>
        <v/>
      </c>
      <c r="N169" s="913">
        <f>N168</f>
        <v/>
      </c>
      <c r="O169" s="913">
        <f>O168</f>
        <v/>
      </c>
      <c r="P169" s="913">
        <f>P168</f>
        <v/>
      </c>
      <c r="Q169" s="913">
        <f>Q168</f>
        <v/>
      </c>
      <c r="R169" s="913">
        <f>R168</f>
        <v/>
      </c>
      <c r="S169" s="913">
        <f>S168</f>
        <v/>
      </c>
      <c r="T169" s="913">
        <f>T168</f>
        <v/>
      </c>
      <c r="U169" s="913">
        <f>U168</f>
        <v/>
      </c>
      <c r="V169" s="913">
        <f>V168</f>
        <v/>
      </c>
      <c r="W169" s="913">
        <f>W168</f>
        <v/>
      </c>
      <c r="X169" s="913">
        <f>X168</f>
        <v/>
      </c>
      <c r="Y169" s="913">
        <f>Y168</f>
        <v/>
      </c>
      <c r="Z169" s="913">
        <f>Z168</f>
        <v/>
      </c>
      <c r="AA169" s="913">
        <f>AA168</f>
        <v/>
      </c>
      <c r="AB169" s="913">
        <f>AB168</f>
        <v/>
      </c>
      <c r="AC169" s="913">
        <f>AC168</f>
        <v/>
      </c>
      <c r="AD169" s="913">
        <f>AD168</f>
        <v/>
      </c>
      <c r="AE169" s="913">
        <f>AE168</f>
        <v/>
      </c>
      <c r="AF169" s="913">
        <f>AF168</f>
        <v/>
      </c>
      <c r="AG169" s="913">
        <f>AG168</f>
        <v/>
      </c>
      <c r="AH169" s="913">
        <f>AH168</f>
        <v/>
      </c>
      <c r="AI169" s="913">
        <f>AI168</f>
        <v/>
      </c>
      <c r="AJ169" s="913">
        <f>AJ168</f>
        <v/>
      </c>
      <c r="AK169" s="913">
        <f>AK168</f>
        <v/>
      </c>
      <c r="AL169" s="913">
        <f>AL168</f>
        <v/>
      </c>
      <c r="AM169" s="914">
        <f>AM168</f>
        <v/>
      </c>
      <c r="AN169" s="913">
        <f>AN168</f>
        <v/>
      </c>
      <c r="AO169" s="913">
        <f>AO168</f>
        <v/>
      </c>
      <c r="AP169" s="913">
        <f>AP168</f>
        <v/>
      </c>
      <c r="AQ169" s="913">
        <f>AQ168</f>
        <v/>
      </c>
      <c r="AR169" s="913">
        <f>AR168</f>
        <v/>
      </c>
      <c r="AS169" s="913">
        <f>AS168</f>
        <v/>
      </c>
      <c r="AT169" s="913">
        <f>AT168</f>
        <v/>
      </c>
      <c r="AU169" s="913">
        <f>AU168</f>
        <v/>
      </c>
      <c r="AV169" s="913">
        <f>AV168</f>
        <v/>
      </c>
      <c r="AW169" s="915">
        <f>AW168</f>
        <v/>
      </c>
      <c r="AX169" s="913">
        <f>AX168</f>
        <v/>
      </c>
      <c r="AY169" s="915">
        <f>AY168</f>
        <v/>
      </c>
      <c r="AZ169" s="913">
        <f>AZ168</f>
        <v/>
      </c>
      <c r="BA169" s="913">
        <f>BA168</f>
        <v/>
      </c>
      <c r="BB169" s="913">
        <f>BB168</f>
        <v/>
      </c>
      <c r="BC169" s="913">
        <f>BC168</f>
        <v/>
      </c>
      <c r="BD169" s="913">
        <f>BD168</f>
        <v/>
      </c>
      <c r="BE169" s="913">
        <f>BE168</f>
        <v/>
      </c>
      <c r="BF169" s="913">
        <f>BF168</f>
        <v/>
      </c>
      <c r="BG169" s="913">
        <f>BG168</f>
        <v/>
      </c>
      <c r="BH169" s="913">
        <f>BH168</f>
        <v/>
      </c>
      <c r="BI169" s="913">
        <f>BI168</f>
        <v/>
      </c>
      <c r="BJ169" s="913">
        <f>BJ168</f>
        <v/>
      </c>
      <c r="BK169" s="915">
        <f>BK168</f>
        <v/>
      </c>
      <c r="BL169" s="913">
        <f>BL168</f>
        <v/>
      </c>
      <c r="BM169" s="913">
        <f>BM168</f>
        <v/>
      </c>
      <c r="BN169" s="913">
        <f>BN168</f>
        <v/>
      </c>
      <c r="BO169" s="913">
        <f>BO168</f>
        <v/>
      </c>
      <c r="BP169" s="913">
        <f>BP168</f>
        <v/>
      </c>
      <c r="BQ169" s="913">
        <f>BQ168</f>
        <v/>
      </c>
      <c r="BR169" s="913">
        <f>BR168</f>
        <v/>
      </c>
      <c r="BS169" s="913">
        <f>BS168</f>
        <v/>
      </c>
      <c r="BT169" s="913">
        <f>BT168</f>
        <v/>
      </c>
      <c r="BU169" s="913">
        <f>BU168</f>
        <v/>
      </c>
      <c r="BV169" s="913">
        <f>BV168</f>
        <v/>
      </c>
      <c r="BW169" s="915">
        <f>BW168</f>
        <v/>
      </c>
      <c r="BX169" s="913">
        <f>BX168</f>
        <v/>
      </c>
      <c r="BY169" s="913">
        <f>BY168</f>
        <v/>
      </c>
      <c r="BZ169" s="913">
        <f>BZ168</f>
        <v/>
      </c>
      <c r="CA169" s="913">
        <f>CA168</f>
        <v/>
      </c>
      <c r="CB169" s="913">
        <f>CB168</f>
        <v/>
      </c>
      <c r="CC169" s="913">
        <f>CC168</f>
        <v/>
      </c>
      <c r="CD169" s="913">
        <f>CD168</f>
        <v/>
      </c>
      <c r="CE169" s="913">
        <f>CE168</f>
        <v/>
      </c>
      <c r="CF169" s="913">
        <f>CF168</f>
        <v/>
      </c>
      <c r="CG169" s="913">
        <f>CG168</f>
        <v/>
      </c>
      <c r="CH169" s="913">
        <f>CH168</f>
        <v/>
      </c>
      <c r="CI169" s="915">
        <f>CI168</f>
        <v/>
      </c>
      <c r="CJ169" s="913">
        <f>CJ168</f>
        <v/>
      </c>
      <c r="CK169" s="913">
        <f>CK168</f>
        <v/>
      </c>
      <c r="CL169" s="913">
        <f>CL168</f>
        <v/>
      </c>
      <c r="CM169" s="913">
        <f>CM168</f>
        <v/>
      </c>
      <c r="CN169" s="913">
        <f>CN168</f>
        <v/>
      </c>
      <c r="CO169" s="913">
        <f>CO168</f>
        <v/>
      </c>
      <c r="CP169" s="913">
        <f>CP168</f>
        <v/>
      </c>
      <c r="CQ169" s="913">
        <f>CQ168</f>
        <v/>
      </c>
      <c r="CR169" s="913">
        <f>CR168</f>
        <v/>
      </c>
      <c r="CS169" s="913">
        <f>CS168</f>
        <v/>
      </c>
      <c r="CT169" s="913">
        <f>CT168</f>
        <v/>
      </c>
      <c r="CU169" s="915">
        <f>CU168</f>
        <v/>
      </c>
      <c r="CV169" s="913">
        <f>CV168</f>
        <v/>
      </c>
      <c r="CW169" s="913">
        <f>CW168</f>
        <v/>
      </c>
      <c r="CX169" s="913">
        <f>CX168</f>
        <v/>
      </c>
      <c r="CY169" s="913">
        <f>CY168</f>
        <v/>
      </c>
      <c r="CZ169" s="913">
        <f>CZ168</f>
        <v/>
      </c>
      <c r="DA169" s="913">
        <f>DA168</f>
        <v/>
      </c>
      <c r="DB169" s="913">
        <f>DB168</f>
        <v/>
      </c>
      <c r="DC169" s="913">
        <f>DC168</f>
        <v/>
      </c>
      <c r="DD169" s="913">
        <f>DD168</f>
        <v/>
      </c>
      <c r="DE169" s="913">
        <f>DE168</f>
        <v/>
      </c>
      <c r="DF169" s="913">
        <f>DF168</f>
        <v/>
      </c>
      <c r="DG169" s="913">
        <f>DG168</f>
        <v/>
      </c>
    </row>
    <row r="170">
      <c r="AW170" s="184" t="n"/>
      <c r="AY170" s="184" t="n"/>
      <c r="BK170" s="184" t="n"/>
      <c r="BW170" s="184" t="n"/>
      <c r="CI170" s="184" t="n"/>
      <c r="CU170" s="184" t="n"/>
    </row>
    <row r="171">
      <c r="B171" s="1" t="inlineStr">
        <is>
          <t>Net change in Cash Flow for the Period</t>
        </is>
      </c>
      <c r="D171" s="782">
        <f>D169+D165</f>
        <v/>
      </c>
      <c r="E171" s="782">
        <f>E169+E165</f>
        <v/>
      </c>
      <c r="F171" s="782">
        <f>F169+F165</f>
        <v/>
      </c>
      <c r="G171" s="782">
        <f>G169+G165</f>
        <v/>
      </c>
      <c r="H171" s="782">
        <f>H169+H165</f>
        <v/>
      </c>
      <c r="I171" s="782">
        <f>I169+I165</f>
        <v/>
      </c>
      <c r="J171" s="782">
        <f>J169+J165</f>
        <v/>
      </c>
      <c r="K171" s="782">
        <f>K169+K165</f>
        <v/>
      </c>
      <c r="L171" s="782">
        <f>L169+L165</f>
        <v/>
      </c>
      <c r="M171" s="782">
        <f>M169+M165</f>
        <v/>
      </c>
      <c r="N171" s="782">
        <f>N169+N165</f>
        <v/>
      </c>
      <c r="O171" s="782">
        <f>O169+O165</f>
        <v/>
      </c>
      <c r="P171" s="782">
        <f>P169+P165</f>
        <v/>
      </c>
      <c r="Q171" s="782">
        <f>Q169+Q165</f>
        <v/>
      </c>
      <c r="R171" s="782">
        <f>R169+R165</f>
        <v/>
      </c>
      <c r="S171" s="782">
        <f>S169+S165</f>
        <v/>
      </c>
      <c r="T171" s="782">
        <f>T169+T165</f>
        <v/>
      </c>
      <c r="U171" s="782">
        <f>U169+U165</f>
        <v/>
      </c>
      <c r="V171" s="782">
        <f>V169+V165</f>
        <v/>
      </c>
      <c r="W171" s="782">
        <f>W169+W165</f>
        <v/>
      </c>
      <c r="X171" s="782">
        <f>X169+X165</f>
        <v/>
      </c>
      <c r="Y171" s="782">
        <f>Y169+Y165</f>
        <v/>
      </c>
      <c r="Z171" s="782">
        <f>Z169+Z165</f>
        <v/>
      </c>
      <c r="AA171" s="782">
        <f>AA169+AA165</f>
        <v/>
      </c>
      <c r="AB171" s="782">
        <f>AB169+AB165</f>
        <v/>
      </c>
      <c r="AC171" s="782">
        <f>AC169+AC165</f>
        <v/>
      </c>
      <c r="AD171" s="782">
        <f>AD169+AD165</f>
        <v/>
      </c>
      <c r="AE171" s="782">
        <f>AE169+AE165</f>
        <v/>
      </c>
      <c r="AF171" s="782">
        <f>AF169+AF165</f>
        <v/>
      </c>
      <c r="AG171" s="782">
        <f>AG169+AG165</f>
        <v/>
      </c>
      <c r="AH171" s="782">
        <f>AH169+AH165</f>
        <v/>
      </c>
      <c r="AI171" s="782">
        <f>AI169+AI165</f>
        <v/>
      </c>
      <c r="AJ171" s="782">
        <f>AJ169+AJ165</f>
        <v/>
      </c>
      <c r="AK171" s="782">
        <f>AK169+AK165</f>
        <v/>
      </c>
      <c r="AL171" s="782">
        <f>AL169+AL165</f>
        <v/>
      </c>
      <c r="AM171" s="916">
        <f>AM169+AM165</f>
        <v/>
      </c>
      <c r="AN171" s="782">
        <f>AN169+AN165</f>
        <v/>
      </c>
      <c r="AO171" s="782">
        <f>AO169+AO165</f>
        <v/>
      </c>
      <c r="AP171" s="782">
        <f>AP169+AP165</f>
        <v/>
      </c>
      <c r="AQ171" s="782">
        <f>AQ169+AQ165</f>
        <v/>
      </c>
      <c r="AR171" s="782">
        <f>AR169+AR165</f>
        <v/>
      </c>
      <c r="AS171" s="782">
        <f>AS169+AS165</f>
        <v/>
      </c>
      <c r="AT171" s="782">
        <f>AT169+AT165</f>
        <v/>
      </c>
      <c r="AU171" s="782">
        <f>AU169+AU165</f>
        <v/>
      </c>
      <c r="AV171" s="782">
        <f>AV169+AV165</f>
        <v/>
      </c>
      <c r="AW171" s="908">
        <f>AW169+AW165</f>
        <v/>
      </c>
      <c r="AX171" s="782">
        <f>AX169+AX165</f>
        <v/>
      </c>
      <c r="AY171" s="908">
        <f>AY169+AY165</f>
        <v/>
      </c>
      <c r="AZ171" s="782">
        <f>AZ169+AZ165</f>
        <v/>
      </c>
      <c r="BA171" s="782">
        <f>BA169+BA165</f>
        <v/>
      </c>
      <c r="BB171" s="782">
        <f>BB169+BB165</f>
        <v/>
      </c>
      <c r="BC171" s="782">
        <f>BC169+BC165</f>
        <v/>
      </c>
      <c r="BD171" s="782">
        <f>BD169+BD165</f>
        <v/>
      </c>
      <c r="BE171" s="782">
        <f>BE169+BE165</f>
        <v/>
      </c>
      <c r="BF171" s="782">
        <f>BF169+BF165</f>
        <v/>
      </c>
      <c r="BG171" s="782">
        <f>BG169+BG165</f>
        <v/>
      </c>
      <c r="BH171" s="782">
        <f>BH169+BH165</f>
        <v/>
      </c>
      <c r="BI171" s="782">
        <f>BI169+BI165</f>
        <v/>
      </c>
      <c r="BJ171" s="782">
        <f>BJ169+BJ165</f>
        <v/>
      </c>
      <c r="BK171" s="908">
        <f>BK169+BK165</f>
        <v/>
      </c>
      <c r="BL171" s="782">
        <f>BL169+BL165</f>
        <v/>
      </c>
      <c r="BM171" s="782">
        <f>BM169+BM165</f>
        <v/>
      </c>
      <c r="BN171" s="782">
        <f>BN169+BN165</f>
        <v/>
      </c>
      <c r="BO171" s="782">
        <f>BO169+BO165</f>
        <v/>
      </c>
      <c r="BP171" s="782">
        <f>BP169+BP165</f>
        <v/>
      </c>
      <c r="BQ171" s="782">
        <f>BQ169+BQ165</f>
        <v/>
      </c>
      <c r="BR171" s="782">
        <f>BR169+BR165</f>
        <v/>
      </c>
      <c r="BS171" s="782">
        <f>BS169+BS165</f>
        <v/>
      </c>
      <c r="BT171" s="782">
        <f>BT169+BT165</f>
        <v/>
      </c>
      <c r="BU171" s="782">
        <f>BU169+BU165</f>
        <v/>
      </c>
      <c r="BV171" s="782">
        <f>BV169+BV165</f>
        <v/>
      </c>
      <c r="BW171" s="908">
        <f>BW169+BW165</f>
        <v/>
      </c>
      <c r="BX171" s="782">
        <f>BX169+BX165</f>
        <v/>
      </c>
      <c r="BY171" s="782">
        <f>BY169+BY165</f>
        <v/>
      </c>
      <c r="BZ171" s="782">
        <f>BZ169+BZ165</f>
        <v/>
      </c>
      <c r="CA171" s="782">
        <f>CA169+CA165</f>
        <v/>
      </c>
      <c r="CB171" s="782">
        <f>CB169+CB165</f>
        <v/>
      </c>
      <c r="CC171" s="782">
        <f>CC169+CC165</f>
        <v/>
      </c>
      <c r="CD171" s="782">
        <f>CD169+CD165</f>
        <v/>
      </c>
      <c r="CE171" s="782">
        <f>CE169+CE165</f>
        <v/>
      </c>
      <c r="CF171" s="782">
        <f>CF169+CF165</f>
        <v/>
      </c>
      <c r="CG171" s="782">
        <f>CG169+CG165</f>
        <v/>
      </c>
      <c r="CH171" s="782">
        <f>CH169+CH165</f>
        <v/>
      </c>
      <c r="CI171" s="908">
        <f>CI169+CI165</f>
        <v/>
      </c>
      <c r="CJ171" s="782">
        <f>CJ169+CJ165</f>
        <v/>
      </c>
      <c r="CK171" s="782">
        <f>CK169+CK165</f>
        <v/>
      </c>
      <c r="CL171" s="782">
        <f>CL169+CL165</f>
        <v/>
      </c>
      <c r="CM171" s="782">
        <f>CM169+CM165</f>
        <v/>
      </c>
      <c r="CN171" s="782">
        <f>CN169+CN165</f>
        <v/>
      </c>
      <c r="CO171" s="782">
        <f>CO169+CO165</f>
        <v/>
      </c>
      <c r="CP171" s="782">
        <f>CP169+CP165</f>
        <v/>
      </c>
      <c r="CQ171" s="782">
        <f>CQ169+CQ165</f>
        <v/>
      </c>
      <c r="CR171" s="782">
        <f>CR169+CR165</f>
        <v/>
      </c>
      <c r="CS171" s="782">
        <f>CS169+CS165</f>
        <v/>
      </c>
      <c r="CT171" s="782">
        <f>CT169+CT165</f>
        <v/>
      </c>
      <c r="CU171" s="908">
        <f>CU169+CU165</f>
        <v/>
      </c>
      <c r="CV171" s="782">
        <f>CV169+CV165</f>
        <v/>
      </c>
      <c r="CW171" s="782">
        <f>CW169+CW165</f>
        <v/>
      </c>
      <c r="CX171" s="782">
        <f>CX169+CX165</f>
        <v/>
      </c>
      <c r="CY171" s="782">
        <f>CY169+CY165</f>
        <v/>
      </c>
      <c r="CZ171" s="782">
        <f>CZ169+CZ165</f>
        <v/>
      </c>
      <c r="DA171" s="782">
        <f>DA169+DA165</f>
        <v/>
      </c>
      <c r="DB171" s="782">
        <f>DB169+DB165</f>
        <v/>
      </c>
      <c r="DC171" s="782">
        <f>DC169+DC165</f>
        <v/>
      </c>
      <c r="DD171" s="782">
        <f>DD169+DD165</f>
        <v/>
      </c>
      <c r="DE171" s="782">
        <f>DE169+DE165</f>
        <v/>
      </c>
      <c r="DF171" s="782">
        <f>DF169+DF165</f>
        <v/>
      </c>
      <c r="DG171" s="782">
        <f>DG169+DG165</f>
        <v/>
      </c>
    </row>
    <row r="172">
      <c r="AW172" s="184" t="n"/>
      <c r="AY172" s="184" t="n"/>
      <c r="BK172" s="184" t="n"/>
      <c r="BW172" s="184" t="n"/>
      <c r="CI172" s="184" t="n"/>
      <c r="CU172" s="184" t="n"/>
    </row>
    <row r="173">
      <c r="B173" s="1" t="inlineStr">
        <is>
          <t>Beginning Balance</t>
        </is>
      </c>
      <c r="D173" s="782" t="n">
        <v>0</v>
      </c>
      <c r="E173" s="782">
        <f>D174</f>
        <v/>
      </c>
      <c r="F173" s="782">
        <f>E174</f>
        <v/>
      </c>
      <c r="G173" s="782">
        <f>F174</f>
        <v/>
      </c>
      <c r="H173" s="782">
        <f>G174</f>
        <v/>
      </c>
      <c r="I173" s="782">
        <f>H174</f>
        <v/>
      </c>
      <c r="J173" s="782">
        <f>I174</f>
        <v/>
      </c>
      <c r="K173" s="782">
        <f>J174</f>
        <v/>
      </c>
      <c r="L173" s="782">
        <f>K174</f>
        <v/>
      </c>
      <c r="M173" s="782">
        <f>L174</f>
        <v/>
      </c>
      <c r="N173" s="782">
        <f>M174</f>
        <v/>
      </c>
      <c r="O173" s="782">
        <f>N174</f>
        <v/>
      </c>
      <c r="P173" s="782">
        <f>O174</f>
        <v/>
      </c>
      <c r="Q173" s="782">
        <f>P174</f>
        <v/>
      </c>
      <c r="R173" s="782">
        <f>Q174</f>
        <v/>
      </c>
      <c r="S173" s="782">
        <f>R174</f>
        <v/>
      </c>
      <c r="T173" s="782">
        <f>S174</f>
        <v/>
      </c>
      <c r="U173" s="782">
        <f>T174</f>
        <v/>
      </c>
      <c r="V173" s="782">
        <f>U174</f>
        <v/>
      </c>
      <c r="W173" s="782">
        <f>V174</f>
        <v/>
      </c>
      <c r="X173" s="782">
        <f>W174</f>
        <v/>
      </c>
      <c r="Y173" s="782">
        <f>X174</f>
        <v/>
      </c>
      <c r="Z173" s="782">
        <f>Y174</f>
        <v/>
      </c>
      <c r="AA173" s="782">
        <f>Z174</f>
        <v/>
      </c>
      <c r="AB173" s="782">
        <f>AA174</f>
        <v/>
      </c>
      <c r="AC173" s="782">
        <f>AB174</f>
        <v/>
      </c>
      <c r="AD173" s="782">
        <f>AC174</f>
        <v/>
      </c>
      <c r="AE173" s="782">
        <f>AD174</f>
        <v/>
      </c>
      <c r="AF173" s="782">
        <f>AE174</f>
        <v/>
      </c>
      <c r="AG173" s="782">
        <f>AF174</f>
        <v/>
      </c>
      <c r="AH173" s="782">
        <f>AG174</f>
        <v/>
      </c>
      <c r="AI173" s="782">
        <f>AH174</f>
        <v/>
      </c>
      <c r="AJ173" s="782">
        <f>AI174</f>
        <v/>
      </c>
      <c r="AK173" s="782">
        <f>AJ174</f>
        <v/>
      </c>
      <c r="AL173" s="782">
        <f>AK174</f>
        <v/>
      </c>
      <c r="AM173" s="916">
        <f>AL174</f>
        <v/>
      </c>
      <c r="AN173" s="782">
        <f>AM174</f>
        <v/>
      </c>
      <c r="AO173" s="782">
        <f>AN174</f>
        <v/>
      </c>
      <c r="AP173" s="782">
        <f>AO174</f>
        <v/>
      </c>
      <c r="AQ173" s="782">
        <f>AP174</f>
        <v/>
      </c>
      <c r="AR173" s="782">
        <f>AQ174</f>
        <v/>
      </c>
      <c r="AS173" s="782">
        <f>AR174</f>
        <v/>
      </c>
      <c r="AT173" s="782">
        <f>AS174</f>
        <v/>
      </c>
      <c r="AU173" s="782">
        <f>AT174</f>
        <v/>
      </c>
      <c r="AV173" s="782">
        <f>AU174</f>
        <v/>
      </c>
      <c r="AW173" s="908">
        <f>AV174</f>
        <v/>
      </c>
      <c r="AX173" s="782">
        <f>AW174</f>
        <v/>
      </c>
      <c r="AY173" s="908">
        <f>AX174</f>
        <v/>
      </c>
      <c r="AZ173" s="782">
        <f>AY174</f>
        <v/>
      </c>
      <c r="BA173" s="782">
        <f>AZ174</f>
        <v/>
      </c>
      <c r="BB173" s="782">
        <f>BA174</f>
        <v/>
      </c>
      <c r="BC173" s="782">
        <f>BB174</f>
        <v/>
      </c>
      <c r="BD173" s="782">
        <f>BC174</f>
        <v/>
      </c>
      <c r="BE173" s="782">
        <f>BD174</f>
        <v/>
      </c>
      <c r="BF173" s="782">
        <f>BE174</f>
        <v/>
      </c>
      <c r="BG173" s="782">
        <f>BF174</f>
        <v/>
      </c>
      <c r="BH173" s="782">
        <f>BG174</f>
        <v/>
      </c>
      <c r="BI173" s="782">
        <f>BH174</f>
        <v/>
      </c>
      <c r="BJ173" s="782">
        <f>BI174</f>
        <v/>
      </c>
      <c r="BK173" s="908">
        <f>BJ174</f>
        <v/>
      </c>
      <c r="BL173" s="782">
        <f>BK174</f>
        <v/>
      </c>
      <c r="BM173" s="782">
        <f>BL174</f>
        <v/>
      </c>
      <c r="BN173" s="782">
        <f>BM174</f>
        <v/>
      </c>
      <c r="BO173" s="782">
        <f>BN174</f>
        <v/>
      </c>
      <c r="BP173" s="782">
        <f>BO174</f>
        <v/>
      </c>
      <c r="BQ173" s="782">
        <f>BP174</f>
        <v/>
      </c>
      <c r="BR173" s="782">
        <f>BQ174</f>
        <v/>
      </c>
      <c r="BS173" s="782">
        <f>BR174</f>
        <v/>
      </c>
      <c r="BT173" s="782">
        <f>BS174</f>
        <v/>
      </c>
      <c r="BU173" s="782">
        <f>BT174</f>
        <v/>
      </c>
      <c r="BV173" s="782">
        <f>BU174</f>
        <v/>
      </c>
      <c r="BW173" s="908">
        <f>BV174</f>
        <v/>
      </c>
      <c r="BX173" s="782">
        <f>BW174</f>
        <v/>
      </c>
      <c r="BY173" s="782">
        <f>BX174</f>
        <v/>
      </c>
      <c r="BZ173" s="782">
        <f>BY174</f>
        <v/>
      </c>
      <c r="CA173" s="782">
        <f>BZ174</f>
        <v/>
      </c>
      <c r="CB173" s="782">
        <f>CA174</f>
        <v/>
      </c>
      <c r="CC173" s="782">
        <f>CB174</f>
        <v/>
      </c>
      <c r="CD173" s="782">
        <f>CC174</f>
        <v/>
      </c>
      <c r="CE173" s="782">
        <f>CD174</f>
        <v/>
      </c>
      <c r="CF173" s="782">
        <f>CE174</f>
        <v/>
      </c>
      <c r="CG173" s="782">
        <f>CF174</f>
        <v/>
      </c>
      <c r="CH173" s="782">
        <f>CG174</f>
        <v/>
      </c>
      <c r="CI173" s="908">
        <f>CH174</f>
        <v/>
      </c>
      <c r="CJ173" s="782">
        <f>CI174</f>
        <v/>
      </c>
      <c r="CK173" s="782">
        <f>CJ174</f>
        <v/>
      </c>
      <c r="CL173" s="782">
        <f>CK174</f>
        <v/>
      </c>
      <c r="CM173" s="782">
        <f>CL174</f>
        <v/>
      </c>
      <c r="CN173" s="782">
        <f>CM174</f>
        <v/>
      </c>
      <c r="CO173" s="782">
        <f>CN174</f>
        <v/>
      </c>
      <c r="CP173" s="782">
        <f>CO174</f>
        <v/>
      </c>
      <c r="CQ173" s="782">
        <f>CP174</f>
        <v/>
      </c>
      <c r="CR173" s="782">
        <f>CQ174</f>
        <v/>
      </c>
      <c r="CS173" s="782">
        <f>CR174</f>
        <v/>
      </c>
      <c r="CT173" s="782">
        <f>CS174</f>
        <v/>
      </c>
      <c r="CU173" s="908">
        <f>CT174</f>
        <v/>
      </c>
      <c r="CV173" s="782">
        <f>CU174</f>
        <v/>
      </c>
      <c r="CW173" s="782">
        <f>CV174</f>
        <v/>
      </c>
      <c r="CX173" s="782">
        <f>CW174</f>
        <v/>
      </c>
      <c r="CY173" s="782">
        <f>CX174</f>
        <v/>
      </c>
      <c r="CZ173" s="782">
        <f>CY174</f>
        <v/>
      </c>
      <c r="DA173" s="782">
        <f>CZ174</f>
        <v/>
      </c>
      <c r="DB173" s="782">
        <f>DA174</f>
        <v/>
      </c>
      <c r="DC173" s="782">
        <f>DB174</f>
        <v/>
      </c>
      <c r="DD173" s="782">
        <f>DC174</f>
        <v/>
      </c>
      <c r="DE173" s="782">
        <f>DD174</f>
        <v/>
      </c>
      <c r="DF173" s="782">
        <f>DE174</f>
        <v/>
      </c>
      <c r="DG173" s="782">
        <f>DF174</f>
        <v/>
      </c>
    </row>
    <row r="174">
      <c r="B174" s="1" t="inlineStr">
        <is>
          <t>Ending Balance</t>
        </is>
      </c>
      <c r="D174" s="782" t="n">
        <v>0</v>
      </c>
      <c r="E174" s="782">
        <f>E173+E171</f>
        <v/>
      </c>
      <c r="F174" s="782">
        <f>F173+F171</f>
        <v/>
      </c>
      <c r="G174" s="782">
        <f>G173+G171</f>
        <v/>
      </c>
      <c r="H174" s="782">
        <f>H173+H171</f>
        <v/>
      </c>
      <c r="I174" s="782">
        <f>I173+I171</f>
        <v/>
      </c>
      <c r="J174" s="782">
        <f>J173+J171</f>
        <v/>
      </c>
      <c r="K174" s="782">
        <f>K173+K171</f>
        <v/>
      </c>
      <c r="L174" s="782">
        <f>L173+L171</f>
        <v/>
      </c>
      <c r="M174" s="782">
        <f>M173+M171</f>
        <v/>
      </c>
      <c r="N174" s="782">
        <f>N173+N171</f>
        <v/>
      </c>
      <c r="O174" s="782">
        <f>O173+O171</f>
        <v/>
      </c>
      <c r="P174" s="782">
        <f>P173+P171</f>
        <v/>
      </c>
      <c r="Q174" s="782">
        <f>Q173+Q171</f>
        <v/>
      </c>
      <c r="R174" s="782">
        <f>R173+R171</f>
        <v/>
      </c>
      <c r="S174" s="782">
        <f>S173+S171</f>
        <v/>
      </c>
      <c r="T174" s="782">
        <f>T173+T171</f>
        <v/>
      </c>
      <c r="U174" s="782">
        <f>U173+U171</f>
        <v/>
      </c>
      <c r="V174" s="782">
        <f>V173+V171</f>
        <v/>
      </c>
      <c r="W174" s="782">
        <f>W173+W171</f>
        <v/>
      </c>
      <c r="X174" s="782">
        <f>X173+X171</f>
        <v/>
      </c>
      <c r="Y174" s="782">
        <f>Y173+Y171</f>
        <v/>
      </c>
      <c r="Z174" s="782">
        <f>Z173+Z171</f>
        <v/>
      </c>
      <c r="AA174" s="782">
        <f>AA173+AA171</f>
        <v/>
      </c>
      <c r="AB174" s="782">
        <f>AB173+AB171</f>
        <v/>
      </c>
      <c r="AC174" s="782">
        <f>AC173+AC171</f>
        <v/>
      </c>
      <c r="AD174" s="782">
        <f>AD173+AD171</f>
        <v/>
      </c>
      <c r="AE174" s="782">
        <f>AE173+AE171</f>
        <v/>
      </c>
      <c r="AF174" s="782">
        <f>AF173+AF171</f>
        <v/>
      </c>
      <c r="AG174" s="782">
        <f>AG173+AG171</f>
        <v/>
      </c>
      <c r="AH174" s="782">
        <f>AH173+AH171</f>
        <v/>
      </c>
      <c r="AI174" s="782">
        <f>AI173+AI171</f>
        <v/>
      </c>
      <c r="AJ174" s="782">
        <f>AJ173+AJ171</f>
        <v/>
      </c>
      <c r="AK174" s="782">
        <f>AK173+AK171</f>
        <v/>
      </c>
      <c r="AL174" s="782">
        <f>AL173+AL171</f>
        <v/>
      </c>
      <c r="AM174" s="916">
        <f>AM173+AM171</f>
        <v/>
      </c>
      <c r="AN174" s="782">
        <f>AN173+AN171</f>
        <v/>
      </c>
      <c r="AO174" s="782">
        <f>AO173+AO171</f>
        <v/>
      </c>
      <c r="AP174" s="782">
        <f>AP173+AP171</f>
        <v/>
      </c>
      <c r="AQ174" s="782">
        <f>AQ173+AQ171</f>
        <v/>
      </c>
      <c r="AR174" s="782">
        <f>AR173+AR171</f>
        <v/>
      </c>
      <c r="AS174" s="782">
        <f>AS173+AS171</f>
        <v/>
      </c>
      <c r="AT174" s="782">
        <f>AT173+AT171</f>
        <v/>
      </c>
      <c r="AU174" s="782">
        <f>AU173+AU171</f>
        <v/>
      </c>
      <c r="AV174" s="782">
        <f>AV173+AV171</f>
        <v/>
      </c>
      <c r="AW174" s="908">
        <f>AW173+AW171</f>
        <v/>
      </c>
      <c r="AX174" s="782">
        <f>AX173+AX171</f>
        <v/>
      </c>
      <c r="AY174" s="908">
        <f>AY173+AY171</f>
        <v/>
      </c>
      <c r="AZ174" s="782">
        <f>AZ173+AZ171</f>
        <v/>
      </c>
      <c r="BA174" s="782">
        <f>BA173+BA171</f>
        <v/>
      </c>
      <c r="BB174" s="782">
        <f>BB173+BB171</f>
        <v/>
      </c>
      <c r="BC174" s="782">
        <f>BC173+BC171</f>
        <v/>
      </c>
      <c r="BD174" s="782">
        <f>BD173+BD171</f>
        <v/>
      </c>
      <c r="BE174" s="782">
        <f>BE173+BE171</f>
        <v/>
      </c>
      <c r="BF174" s="782">
        <f>BF173+BF171</f>
        <v/>
      </c>
      <c r="BG174" s="782">
        <f>BG173+BG171</f>
        <v/>
      </c>
      <c r="BH174" s="782">
        <f>BH173+BH171</f>
        <v/>
      </c>
      <c r="BI174" s="782">
        <f>BI173+BI171</f>
        <v/>
      </c>
      <c r="BJ174" s="782">
        <f>BJ173+BJ171</f>
        <v/>
      </c>
      <c r="BK174" s="908">
        <f>BK173+BK171</f>
        <v/>
      </c>
      <c r="BL174" s="782">
        <f>BL173+BL171</f>
        <v/>
      </c>
      <c r="BM174" s="782">
        <f>BM173+BM171</f>
        <v/>
      </c>
      <c r="BN174" s="782">
        <f>BN173+BN171</f>
        <v/>
      </c>
      <c r="BO174" s="782">
        <f>BO173+BO171</f>
        <v/>
      </c>
      <c r="BP174" s="782">
        <f>BP173+BP171</f>
        <v/>
      </c>
      <c r="BQ174" s="782">
        <f>BQ173+BQ171</f>
        <v/>
      </c>
      <c r="BR174" s="782">
        <f>BR173+BR171</f>
        <v/>
      </c>
      <c r="BS174" s="782">
        <f>BS173+BS171</f>
        <v/>
      </c>
      <c r="BT174" s="782">
        <f>BT173+BT171</f>
        <v/>
      </c>
      <c r="BU174" s="782">
        <f>BU173+BU171</f>
        <v/>
      </c>
      <c r="BV174" s="782">
        <f>BV173+BV171</f>
        <v/>
      </c>
      <c r="BW174" s="908">
        <f>BW173+BW171</f>
        <v/>
      </c>
      <c r="BX174" s="782">
        <f>BX173+BX171</f>
        <v/>
      </c>
      <c r="BY174" s="782">
        <f>BY173+BY171</f>
        <v/>
      </c>
      <c r="BZ174" s="782">
        <f>BZ173+BZ171</f>
        <v/>
      </c>
      <c r="CA174" s="782">
        <f>CA173+CA171</f>
        <v/>
      </c>
      <c r="CB174" s="782">
        <f>CB173+CB171</f>
        <v/>
      </c>
      <c r="CC174" s="782">
        <f>CC173+CC171</f>
        <v/>
      </c>
      <c r="CD174" s="782">
        <f>CD173+CD171</f>
        <v/>
      </c>
      <c r="CE174" s="782">
        <f>CE173+CE171</f>
        <v/>
      </c>
      <c r="CF174" s="782">
        <f>CF173+CF171</f>
        <v/>
      </c>
      <c r="CG174" s="782">
        <f>CG173+CG171</f>
        <v/>
      </c>
      <c r="CH174" s="782">
        <f>CH173+CH171</f>
        <v/>
      </c>
      <c r="CI174" s="908">
        <f>CI173+CI171</f>
        <v/>
      </c>
      <c r="CJ174" s="782">
        <f>CJ173+CJ171</f>
        <v/>
      </c>
      <c r="CK174" s="782">
        <f>CK173+CK171</f>
        <v/>
      </c>
      <c r="CL174" s="782">
        <f>CL173+CL171</f>
        <v/>
      </c>
      <c r="CM174" s="782">
        <f>CM173+CM171</f>
        <v/>
      </c>
      <c r="CN174" s="782">
        <f>CN173+CN171</f>
        <v/>
      </c>
      <c r="CO174" s="782">
        <f>CO173+CO171</f>
        <v/>
      </c>
      <c r="CP174" s="782">
        <f>CP173+CP171</f>
        <v/>
      </c>
      <c r="CQ174" s="782">
        <f>CQ173+CQ171</f>
        <v/>
      </c>
      <c r="CR174" s="782">
        <f>CR173+CR171</f>
        <v/>
      </c>
      <c r="CS174" s="782">
        <f>CS173+CS171</f>
        <v/>
      </c>
      <c r="CT174" s="782">
        <f>CT173+CT171</f>
        <v/>
      </c>
      <c r="CU174" s="908">
        <f>CU173+CU171</f>
        <v/>
      </c>
      <c r="CV174" s="782">
        <f>CV173+CV171</f>
        <v/>
      </c>
      <c r="CW174" s="782">
        <f>CW173+CW171</f>
        <v/>
      </c>
      <c r="CX174" s="782">
        <f>CX173+CX171</f>
        <v/>
      </c>
      <c r="CY174" s="782">
        <f>CY173+CY171</f>
        <v/>
      </c>
      <c r="CZ174" s="782">
        <f>CZ173+CZ171</f>
        <v/>
      </c>
      <c r="DA174" s="782">
        <f>DA173+DA171</f>
        <v/>
      </c>
      <c r="DB174" s="782">
        <f>DB173+DB171</f>
        <v/>
      </c>
      <c r="DC174" s="782">
        <f>DC173+DC171</f>
        <v/>
      </c>
      <c r="DD174" s="782">
        <f>DD173+DD171</f>
        <v/>
      </c>
      <c r="DE174" s="782">
        <f>DE173+DE171</f>
        <v/>
      </c>
      <c r="DF174" s="782">
        <f>DF173+DF171</f>
        <v/>
      </c>
      <c r="DG174" s="782">
        <f>DG173+DG171</f>
        <v/>
      </c>
    </row>
    <row r="175">
      <c r="C175" s="8" t="inlineStr">
        <is>
          <t>Check</t>
        </is>
      </c>
      <c r="D175" s="782">
        <f>D174-D122</f>
        <v/>
      </c>
      <c r="E175" s="782">
        <f>E174-E122</f>
        <v/>
      </c>
      <c r="F175" s="782">
        <f>F174-F122</f>
        <v/>
      </c>
      <c r="G175" s="782">
        <f>G174-G122</f>
        <v/>
      </c>
      <c r="H175" s="782">
        <f>H174-H122</f>
        <v/>
      </c>
      <c r="I175" s="782">
        <f>I174-I122</f>
        <v/>
      </c>
      <c r="J175" s="782">
        <f>J174-J122</f>
        <v/>
      </c>
      <c r="K175" s="782">
        <f>K174-K122</f>
        <v/>
      </c>
      <c r="L175" s="782">
        <f>L174-L122</f>
        <v/>
      </c>
      <c r="M175" s="782">
        <f>M174-M122</f>
        <v/>
      </c>
      <c r="N175" s="917">
        <f>N174-N122</f>
        <v/>
      </c>
      <c r="O175" s="917">
        <f>O174-O122</f>
        <v/>
      </c>
      <c r="P175" s="917">
        <f>P174-P122</f>
        <v/>
      </c>
      <c r="Q175" s="782">
        <f>Q174-Q122</f>
        <v/>
      </c>
      <c r="R175" s="917">
        <f>R174-R122</f>
        <v/>
      </c>
      <c r="S175" s="782">
        <f>S174-S122</f>
        <v/>
      </c>
      <c r="T175" s="782">
        <f>T174-T122</f>
        <v/>
      </c>
      <c r="U175" s="782">
        <f>U174-U122</f>
        <v/>
      </c>
      <c r="V175" s="917">
        <f>V174-V122</f>
        <v/>
      </c>
      <c r="W175" s="917">
        <f>W174-W122</f>
        <v/>
      </c>
      <c r="X175" s="917">
        <f>X174-X122</f>
        <v/>
      </c>
      <c r="Y175" s="917">
        <f>Y174-Y122</f>
        <v/>
      </c>
      <c r="Z175" s="917">
        <f>Z174-Z122</f>
        <v/>
      </c>
      <c r="AA175" s="917">
        <f>AA174-AA122</f>
        <v/>
      </c>
      <c r="AB175" s="917">
        <f>AB174-AB122</f>
        <v/>
      </c>
      <c r="AC175" s="782">
        <f>AC174-AC122</f>
        <v/>
      </c>
      <c r="AD175" s="917">
        <f>AD174-AD122</f>
        <v/>
      </c>
      <c r="AE175" s="917">
        <f>AE174-AE122</f>
        <v/>
      </c>
      <c r="AF175" s="917">
        <f>AF174-AF122</f>
        <v/>
      </c>
      <c r="AG175" s="917">
        <f>AG174-AG122</f>
        <v/>
      </c>
      <c r="AH175" s="917">
        <f>AH174-AH122</f>
        <v/>
      </c>
      <c r="AI175" s="917">
        <f>AI174-AI122</f>
        <v/>
      </c>
      <c r="AJ175" s="917">
        <f>AJ174-AJ122</f>
        <v/>
      </c>
      <c r="AK175" s="917">
        <f>AK174-AK122</f>
        <v/>
      </c>
      <c r="AL175" s="782">
        <f>AL174-AL122</f>
        <v/>
      </c>
      <c r="AM175" s="918">
        <f>AM174-AM122</f>
        <v/>
      </c>
      <c r="AN175" s="917">
        <f>AN174-AN122</f>
        <v/>
      </c>
      <c r="AO175" s="917">
        <f>AO174-AO122</f>
        <v/>
      </c>
      <c r="AP175" s="917">
        <f>AP174-AP122</f>
        <v/>
      </c>
      <c r="AQ175" s="917">
        <f>AQ174-AQ122</f>
        <v/>
      </c>
      <c r="AR175" s="917">
        <f>AR174-AR122</f>
        <v/>
      </c>
      <c r="AS175" s="917">
        <f>AS174-AS122</f>
        <v/>
      </c>
      <c r="AT175" s="917">
        <f>AT174-AT122</f>
        <v/>
      </c>
      <c r="AU175" s="917">
        <f>AU174-AU122</f>
        <v/>
      </c>
      <c r="AV175" s="917">
        <f>AV174-AV122</f>
        <v/>
      </c>
      <c r="AW175" s="919">
        <f>AW174-AW122</f>
        <v/>
      </c>
      <c r="AX175" s="782">
        <f>AX174-AX122</f>
        <v/>
      </c>
      <c r="AY175" s="919">
        <f>AY174-AY122</f>
        <v/>
      </c>
      <c r="AZ175" s="782">
        <f>AZ174-AZ122</f>
        <v/>
      </c>
      <c r="BA175" s="782">
        <f>BA174-BA122</f>
        <v/>
      </c>
      <c r="BB175" s="782">
        <f>BB174-BB122</f>
        <v/>
      </c>
      <c r="BC175" s="782">
        <f>BC174-BC122</f>
        <v/>
      </c>
      <c r="BD175" s="782">
        <f>BD174-BD122</f>
        <v/>
      </c>
      <c r="BE175" s="782">
        <f>BE174-BE122</f>
        <v/>
      </c>
      <c r="BF175" s="782">
        <f>BF174-BF122</f>
        <v/>
      </c>
      <c r="BG175" s="782">
        <f>BG174-BG122</f>
        <v/>
      </c>
      <c r="BH175" s="782">
        <f>BH174-BH122</f>
        <v/>
      </c>
      <c r="BI175" s="782">
        <f>BI174-BI122</f>
        <v/>
      </c>
      <c r="BJ175" s="782">
        <f>BJ174-BJ122</f>
        <v/>
      </c>
      <c r="BK175" s="919">
        <f>BK174-BK122</f>
        <v/>
      </c>
      <c r="BL175" s="782">
        <f>BL174-BL122</f>
        <v/>
      </c>
      <c r="BM175" s="782">
        <f>BM174-BM122</f>
        <v/>
      </c>
      <c r="BN175" s="782">
        <f>BN174-BN122</f>
        <v/>
      </c>
      <c r="BO175" s="782">
        <f>BO174-BO122</f>
        <v/>
      </c>
      <c r="BP175" s="782">
        <f>BP174-BP122</f>
        <v/>
      </c>
      <c r="BQ175" s="782">
        <f>BQ174-BQ122</f>
        <v/>
      </c>
      <c r="BR175" s="782">
        <f>BR174-BR122</f>
        <v/>
      </c>
      <c r="BS175" s="782">
        <f>BS174-BS122</f>
        <v/>
      </c>
      <c r="BT175" s="782">
        <f>BT174-BT122</f>
        <v/>
      </c>
      <c r="BU175" s="782">
        <f>BU174-BU122</f>
        <v/>
      </c>
      <c r="BV175" s="782">
        <f>BV174-BV122</f>
        <v/>
      </c>
      <c r="BW175" s="919">
        <f>BW174-BW122</f>
        <v/>
      </c>
      <c r="BX175" s="782">
        <f>BX174-BX122</f>
        <v/>
      </c>
      <c r="BY175" s="782">
        <f>BY174-BY122</f>
        <v/>
      </c>
      <c r="BZ175" s="782">
        <f>BZ174-BZ122</f>
        <v/>
      </c>
      <c r="CA175" s="782">
        <f>CA174-CA122</f>
        <v/>
      </c>
      <c r="CB175" s="782">
        <f>CB174-CB122</f>
        <v/>
      </c>
      <c r="CC175" s="782">
        <f>CC174-CC122</f>
        <v/>
      </c>
      <c r="CD175" s="782">
        <f>CD174-CD122</f>
        <v/>
      </c>
      <c r="CE175" s="782">
        <f>CE174-CE122</f>
        <v/>
      </c>
      <c r="CF175" s="782">
        <f>CF174-CF122</f>
        <v/>
      </c>
      <c r="CG175" s="782">
        <f>CG174-CG122</f>
        <v/>
      </c>
      <c r="CH175" s="782">
        <f>CH174-CH122</f>
        <v/>
      </c>
      <c r="CI175" s="919">
        <f>CI174-CI122</f>
        <v/>
      </c>
      <c r="CJ175" s="782">
        <f>CJ174-CJ122</f>
        <v/>
      </c>
      <c r="CK175" s="782">
        <f>CK174-CK122</f>
        <v/>
      </c>
      <c r="CL175" s="782">
        <f>CL174-CL122</f>
        <v/>
      </c>
      <c r="CM175" s="782">
        <f>CM174-CM122</f>
        <v/>
      </c>
      <c r="CN175" s="782">
        <f>CN174-CN122</f>
        <v/>
      </c>
      <c r="CO175" s="782">
        <f>CO174-CO122</f>
        <v/>
      </c>
      <c r="CP175" s="782">
        <f>CP174-CP122</f>
        <v/>
      </c>
      <c r="CQ175" s="782">
        <f>CQ174-CQ122</f>
        <v/>
      </c>
      <c r="CR175" s="782">
        <f>CR174-CR122</f>
        <v/>
      </c>
      <c r="CS175" s="782">
        <f>CS174-CS122</f>
        <v/>
      </c>
      <c r="CT175" s="782">
        <f>CT174-CT122</f>
        <v/>
      </c>
      <c r="CU175" s="919">
        <f>CU174-CU122</f>
        <v/>
      </c>
      <c r="CV175" s="782">
        <f>CV174-CV122</f>
        <v/>
      </c>
      <c r="CW175" s="782">
        <f>CW174-CW122</f>
        <v/>
      </c>
      <c r="CX175" s="782">
        <f>CX174-CX122</f>
        <v/>
      </c>
      <c r="CY175" s="782">
        <f>CY174-CY122</f>
        <v/>
      </c>
      <c r="CZ175" s="782">
        <f>CZ174-CZ122</f>
        <v/>
      </c>
      <c r="DA175" s="782">
        <f>DA174-DA122</f>
        <v/>
      </c>
      <c r="DB175" s="782">
        <f>DB174-DB122</f>
        <v/>
      </c>
      <c r="DC175" s="782">
        <f>DC174-DC122</f>
        <v/>
      </c>
      <c r="DD175" s="782">
        <f>DD174-DD122</f>
        <v/>
      </c>
      <c r="DE175" s="782">
        <f>DE174-DE122</f>
        <v/>
      </c>
      <c r="DF175" s="782">
        <f>DF174-DF122</f>
        <v/>
      </c>
      <c r="DG175" s="782">
        <f>DG174-DG122</f>
        <v/>
      </c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59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576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/>
      <c r="BQ176" s="3" t="n"/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  <c r="CA176" s="3" t="n"/>
      <c r="CB176" s="3" t="n"/>
      <c r="CC176" s="3" t="n"/>
      <c r="CD176" s="3" t="n"/>
      <c r="CE176" s="3" t="n"/>
      <c r="CF176" s="3" t="n"/>
      <c r="CG176" s="3" t="n"/>
      <c r="CH176" s="3" t="n"/>
      <c r="CI176" s="3" t="n"/>
      <c r="CJ176" s="3" t="n"/>
      <c r="CK176" s="3" t="n"/>
      <c r="CL176" s="3" t="n"/>
      <c r="CM176" s="3" t="n"/>
      <c r="CN176" s="3" t="n"/>
      <c r="CO176" s="3" t="n"/>
      <c r="CP176" s="3" t="n"/>
      <c r="CQ176" s="3" t="n"/>
      <c r="CR176" s="3" t="n"/>
      <c r="CS176" s="3" t="n"/>
      <c r="CT176" s="3" t="n"/>
      <c r="CU176" s="3" t="n"/>
      <c r="CV176" s="3" t="n"/>
      <c r="CW176" s="3" t="n"/>
      <c r="CX176" s="3" t="n"/>
      <c r="CY176" s="3" t="n"/>
      <c r="CZ176" s="3" t="n"/>
      <c r="DA176" s="3" t="n"/>
      <c r="DB176" s="3" t="n"/>
      <c r="DC176" s="3" t="n"/>
      <c r="DD176" s="3" t="n"/>
      <c r="DE176" s="3" t="n"/>
      <c r="DF176" s="3" t="n"/>
      <c r="DG176" s="3" t="n"/>
    </row>
  </sheetData>
  <conditionalFormatting sqref="P174:DG174">
    <cfRule type="cellIs" priority="1" operator="lessThan" dxfId="0">
      <formula>0</formula>
    </cfRule>
  </conditionalFormatting>
  <pageMargins left="0.7" right="0.7" top="0.75" bottom="0.75" header="0.3" footer="0.3"/>
  <pageSetup orientation="landscape" scale="1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Normal="100" workbookViewId="0">
      <selection activeCell="A2" sqref="A2"/>
    </sheetView>
  </sheetViews>
  <sheetFormatPr baseColWidth="8" defaultColWidth="8.6640625" defaultRowHeight="14.4"/>
  <sheetData/>
  <pageMargins left="0.7" right="0.7" top="0.75" bottom="0.75" header="0.3" footer="0.3"/>
  <pageSetup orientation="portrait" horizontalDpi="1200" verticalDpi="12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43"/>
  <sheetViews>
    <sheetView topLeftCell="N1" workbookViewId="0">
      <pane ySplit="1" topLeftCell="A15" activePane="bottomLeft" state="frozen"/>
      <selection activeCell="R3" sqref="R3:R13"/>
      <selection pane="bottomLeft" activeCell="R3" sqref="R3:R13"/>
    </sheetView>
  </sheetViews>
  <sheetFormatPr baseColWidth="8" defaultColWidth="9.109375" defaultRowHeight="14.4"/>
  <cols>
    <col width="17.33203125" bestFit="1" customWidth="1" style="37" min="1" max="1"/>
    <col width="7.44140625" bestFit="1" customWidth="1" style="37" min="2" max="2"/>
    <col width="8.44140625" bestFit="1" customWidth="1" style="37" min="3" max="3"/>
    <col width="12.6640625" bestFit="1" customWidth="1" style="37" min="4" max="4"/>
    <col width="7.33203125" bestFit="1" customWidth="1" style="37" min="5" max="5"/>
    <col width="31.44140625" bestFit="1" customWidth="1" style="37" min="6" max="6"/>
    <col width="21" bestFit="1" customWidth="1" style="37" min="7" max="7"/>
    <col width="43.33203125" bestFit="1" customWidth="1" style="37" min="8" max="8"/>
    <col width="7" bestFit="1" customWidth="1" style="37" min="9" max="9"/>
    <col width="106.109375" bestFit="1" customWidth="1" style="37" min="10" max="10"/>
    <col width="8.44140625" bestFit="1" customWidth="1" style="37" min="11" max="11"/>
    <col width="9.109375" customWidth="1" style="37" min="12" max="13"/>
    <col width="39.109375" bestFit="1" customWidth="1" style="37" min="14" max="14"/>
    <col width="17.33203125" bestFit="1" customWidth="1" style="37" min="15" max="15"/>
    <col width="12.6640625" bestFit="1" customWidth="1" style="37" min="16" max="16"/>
    <col width="11.44140625" bestFit="1" customWidth="1" style="37" min="17" max="17"/>
    <col width="9.109375" customWidth="1" style="37" min="18" max="16384"/>
  </cols>
  <sheetData>
    <row r="1">
      <c r="A1" s="37" t="inlineStr">
        <is>
          <t>Student</t>
        </is>
      </c>
      <c r="B1" s="37" t="inlineStr">
        <is>
          <t>Date</t>
        </is>
      </c>
      <c r="C1" s="37" t="inlineStr">
        <is>
          <t>Hours</t>
        </is>
      </c>
      <c r="D1" s="37" t="inlineStr">
        <is>
          <t>Rate ($/hr)</t>
        </is>
      </c>
      <c r="E1" s="37" t="inlineStr">
        <is>
          <t>Coin</t>
        </is>
      </c>
      <c r="F1" s="37" t="inlineStr">
        <is>
          <t>Billed?</t>
        </is>
      </c>
      <c r="G1" s="37" t="inlineStr">
        <is>
          <t>Received payment?</t>
        </is>
      </c>
      <c r="H1" s="37" t="inlineStr">
        <is>
          <t>Topic</t>
        </is>
      </c>
      <c r="I1" s="37" t="inlineStr">
        <is>
          <t>Tip?</t>
        </is>
      </c>
      <c r="J1" s="38" t="inlineStr">
        <is>
          <t>Paid via invoice?</t>
        </is>
      </c>
      <c r="K1" s="37" t="inlineStr">
        <is>
          <t>Totals</t>
        </is>
      </c>
    </row>
    <row r="2">
      <c r="A2" s="39" t="inlineStr">
        <is>
          <t>Abby Owen</t>
        </is>
      </c>
      <c r="B2" s="40" t="n">
        <v>44836</v>
      </c>
      <c r="C2" s="39" t="n">
        <v>1</v>
      </c>
      <c r="D2" s="39" t="n">
        <v>50</v>
      </c>
      <c r="E2" s="39" t="n">
        <v>50</v>
      </c>
      <c r="F2" s="39" t="inlineStr">
        <is>
          <t>Yes</t>
        </is>
      </c>
      <c r="G2" s="39" t="inlineStr">
        <is>
          <t>Yes</t>
        </is>
      </c>
      <c r="H2" s="39" t="inlineStr">
        <is>
          <t>Math (general homework)</t>
        </is>
      </c>
      <c r="I2" s="39" t="inlineStr">
        <is>
          <t>No</t>
        </is>
      </c>
      <c r="J2" s="41" t="inlineStr">
        <is>
          <t>No</t>
        </is>
      </c>
      <c r="K2" s="39" t="n">
        <v>50</v>
      </c>
      <c r="N2" s="37" t="inlineStr">
        <is>
          <t>BALANCED</t>
        </is>
      </c>
    </row>
    <row r="3">
      <c r="A3" s="39" t="inlineStr">
        <is>
          <t>Abby Owen</t>
        </is>
      </c>
      <c r="B3" s="40" t="n">
        <v>44846</v>
      </c>
      <c r="C3" s="39" t="n">
        <v>2</v>
      </c>
      <c r="D3" s="39" t="n">
        <v>50</v>
      </c>
      <c r="E3" s="39" t="n">
        <v>100</v>
      </c>
      <c r="F3" s="39" t="inlineStr">
        <is>
          <t>Yes</t>
        </is>
      </c>
      <c r="G3" s="39" t="inlineStr">
        <is>
          <t>Yes</t>
        </is>
      </c>
      <c r="H3" s="39" t="inlineStr">
        <is>
          <t>Algebra 2</t>
        </is>
      </c>
      <c r="I3" s="39" t="inlineStr">
        <is>
          <t>No</t>
        </is>
      </c>
      <c r="J3" s="39" t="inlineStr">
        <is>
          <t>YES</t>
        </is>
      </c>
      <c r="K3" s="39" t="n">
        <v>100</v>
      </c>
    </row>
    <row r="4">
      <c r="A4" s="39" t="inlineStr">
        <is>
          <t>Abby Owen</t>
        </is>
      </c>
      <c r="B4" s="40" t="n">
        <v>44858</v>
      </c>
      <c r="C4" s="39" t="n">
        <v>1</v>
      </c>
      <c r="D4" s="39" t="n">
        <v>50</v>
      </c>
      <c r="E4" s="39" t="n">
        <v>50</v>
      </c>
      <c r="F4" s="39" t="inlineStr">
        <is>
          <t>Yes</t>
        </is>
      </c>
      <c r="G4" s="39" t="inlineStr">
        <is>
          <t>Yes</t>
        </is>
      </c>
      <c r="H4" s="39" t="inlineStr">
        <is>
          <t>Emergency Math Lab</t>
        </is>
      </c>
      <c r="I4" s="39" t="inlineStr">
        <is>
          <t>No</t>
        </is>
      </c>
      <c r="J4" s="39" t="inlineStr">
        <is>
          <t>YES</t>
        </is>
      </c>
      <c r="K4" s="39" t="n">
        <v>50</v>
      </c>
    </row>
    <row r="5">
      <c r="A5" s="39" t="inlineStr">
        <is>
          <t>Abby Owen</t>
        </is>
      </c>
      <c r="B5" s="40" t="n">
        <v>44859</v>
      </c>
      <c r="C5" s="39" t="n">
        <v>0.75</v>
      </c>
      <c r="D5" s="39" t="n">
        <v>50</v>
      </c>
      <c r="E5" s="39" t="n">
        <v>37.5</v>
      </c>
      <c r="F5" s="39" t="inlineStr">
        <is>
          <t>Yes</t>
        </is>
      </c>
      <c r="G5" s="39" t="inlineStr">
        <is>
          <t>Yes</t>
        </is>
      </c>
      <c r="H5" s="39" t="inlineStr">
        <is>
          <t>Logarithmic Functions Review</t>
        </is>
      </c>
      <c r="I5" s="39" t="inlineStr">
        <is>
          <t>No</t>
        </is>
      </c>
      <c r="J5" s="39" t="inlineStr">
        <is>
          <t>YES</t>
        </is>
      </c>
      <c r="K5" s="39" t="n">
        <v>37.5</v>
      </c>
    </row>
    <row r="6">
      <c r="A6" s="39" t="inlineStr">
        <is>
          <t>Abby Owen</t>
        </is>
      </c>
      <c r="B6" s="40" t="n">
        <v>44861</v>
      </c>
      <c r="C6" s="39" t="n">
        <v>1</v>
      </c>
      <c r="D6" s="39" t="n">
        <v>50</v>
      </c>
      <c r="E6" s="39" t="n">
        <v>50</v>
      </c>
      <c r="F6" s="39" t="inlineStr">
        <is>
          <t>Yes</t>
        </is>
      </c>
      <c r="G6" s="39" t="inlineStr">
        <is>
          <t>Yes</t>
        </is>
      </c>
      <c r="H6" s="39" t="inlineStr">
        <is>
          <t>Precalc - Exponentials and Logs</t>
        </is>
      </c>
      <c r="I6" s="39" t="inlineStr">
        <is>
          <t>No</t>
        </is>
      </c>
      <c r="J6" s="39" t="inlineStr">
        <is>
          <t>YES</t>
        </is>
      </c>
      <c r="K6" s="39" t="n">
        <v>50</v>
      </c>
    </row>
    <row r="7">
      <c r="A7" s="39" t="inlineStr">
        <is>
          <t>Addison O'Connor</t>
        </is>
      </c>
      <c r="B7" s="40" t="n">
        <v>44849</v>
      </c>
      <c r="C7" s="39" t="n">
        <v>1</v>
      </c>
      <c r="D7" s="39" t="n">
        <v>60</v>
      </c>
      <c r="E7" s="39" t="n">
        <v>60</v>
      </c>
      <c r="F7" s="39" t="inlineStr">
        <is>
          <t>Yes</t>
        </is>
      </c>
      <c r="G7" s="39" t="inlineStr">
        <is>
          <t>Yes</t>
        </is>
      </c>
      <c r="H7" s="39" t="inlineStr">
        <is>
          <t>Choreography Review</t>
        </is>
      </c>
      <c r="I7" s="39" t="inlineStr">
        <is>
          <t>No</t>
        </is>
      </c>
      <c r="J7" s="39" t="inlineStr">
        <is>
          <t>YES</t>
        </is>
      </c>
      <c r="K7" s="39" t="n">
        <v>60</v>
      </c>
    </row>
    <row r="8">
      <c r="A8" s="39" t="inlineStr">
        <is>
          <t>Caroline Frey</t>
        </is>
      </c>
      <c r="B8" s="40" t="n">
        <v>44852</v>
      </c>
      <c r="C8" s="39" t="n">
        <v>3.5</v>
      </c>
      <c r="D8" s="39" t="n">
        <v>50</v>
      </c>
      <c r="E8" s="39" t="n">
        <v>175</v>
      </c>
      <c r="F8" s="39" t="inlineStr">
        <is>
          <t>Yes</t>
        </is>
      </c>
      <c r="G8" s="39" t="inlineStr">
        <is>
          <t>Yes</t>
        </is>
      </c>
      <c r="H8" s="39" t="inlineStr">
        <is>
          <t>TN and CoC Essay Supplement Finalization</t>
        </is>
      </c>
      <c r="I8" s="39" t="inlineStr">
        <is>
          <t>Yes</t>
        </is>
      </c>
      <c r="J8" s="39" t="inlineStr">
        <is>
          <t>No - Venmo b/c tip; sent to personal account but transferred accordingly (sent to Eric and Eric venmo'd business acc)</t>
        </is>
      </c>
      <c r="K8" s="39" t="n">
        <v>200</v>
      </c>
    </row>
    <row r="9">
      <c r="A9" s="39" t="inlineStr">
        <is>
          <t>Caroline Frey</t>
        </is>
      </c>
      <c r="B9" s="40" t="n">
        <v>44857</v>
      </c>
      <c r="C9" s="39" t="n">
        <v>1</v>
      </c>
      <c r="D9" s="39" t="n">
        <v>50</v>
      </c>
      <c r="E9" s="39" t="n">
        <v>50</v>
      </c>
      <c r="F9" s="39" t="inlineStr">
        <is>
          <t>Yes</t>
        </is>
      </c>
      <c r="G9" s="39" t="inlineStr">
        <is>
          <t>Yes</t>
        </is>
      </c>
      <c r="H9" s="39" t="inlineStr">
        <is>
          <t>Bama Honors Appliation</t>
        </is>
      </c>
      <c r="I9" s="39" t="inlineStr">
        <is>
          <t>No</t>
        </is>
      </c>
      <c r="J9" s="39" t="inlineStr">
        <is>
          <t>No - venmo b/c tip</t>
        </is>
      </c>
      <c r="K9" s="39" t="n">
        <v>50</v>
      </c>
    </row>
    <row r="10">
      <c r="A10" s="39" t="inlineStr">
        <is>
          <t>Claire Cecotti</t>
        </is>
      </c>
      <c r="B10" s="40" t="n">
        <v>44837</v>
      </c>
      <c r="C10" s="39" t="n">
        <v>1</v>
      </c>
      <c r="D10" s="39" t="n">
        <v>50</v>
      </c>
      <c r="E10" s="39" t="n">
        <v>50</v>
      </c>
      <c r="F10" s="39" t="inlineStr">
        <is>
          <t>Yes</t>
        </is>
      </c>
      <c r="G10" s="39" t="inlineStr">
        <is>
          <t>Yes</t>
        </is>
      </c>
      <c r="H10" s="39" t="inlineStr">
        <is>
          <t>SAT Math, Piecewise Functions Test</t>
        </is>
      </c>
      <c r="I10" s="39" t="inlineStr">
        <is>
          <t>No</t>
        </is>
      </c>
      <c r="J10" s="39" t="inlineStr">
        <is>
          <t>YES</t>
        </is>
      </c>
      <c r="K10" s="39" t="n">
        <v>50</v>
      </c>
    </row>
    <row r="11">
      <c r="A11" s="39" t="inlineStr">
        <is>
          <t>Elle Mishler</t>
        </is>
      </c>
      <c r="B11" s="40" t="n">
        <v>44842</v>
      </c>
      <c r="C11" s="39" t="n">
        <v>1</v>
      </c>
      <c r="D11" s="39" t="n">
        <v>60</v>
      </c>
      <c r="E11" s="39" t="n">
        <v>60</v>
      </c>
      <c r="F11" s="39" t="inlineStr">
        <is>
          <t>Yes</t>
        </is>
      </c>
      <c r="G11" s="39" t="inlineStr">
        <is>
          <t>Yes</t>
        </is>
      </c>
      <c r="H11" s="39" t="inlineStr">
        <is>
          <t>Algebra 1</t>
        </is>
      </c>
      <c r="I11" s="39" t="inlineStr">
        <is>
          <t>No</t>
        </is>
      </c>
      <c r="J11" s="39" t="inlineStr">
        <is>
          <t>YES</t>
        </is>
      </c>
      <c r="K11" s="39" t="n">
        <v>60</v>
      </c>
    </row>
    <row r="12">
      <c r="A12" s="39" t="inlineStr">
        <is>
          <t>Elle Mishler</t>
        </is>
      </c>
      <c r="B12" s="40" t="n">
        <v>44846</v>
      </c>
      <c r="C12" s="39" t="n">
        <v>1</v>
      </c>
      <c r="D12" s="39" t="n">
        <v>60</v>
      </c>
      <c r="E12" s="39" t="n">
        <v>60</v>
      </c>
      <c r="F12" s="39" t="inlineStr">
        <is>
          <t>Yes</t>
        </is>
      </c>
      <c r="G12" s="39" t="inlineStr">
        <is>
          <t>Yes</t>
        </is>
      </c>
      <c r="H12" s="39" t="inlineStr">
        <is>
          <t>Algebra 1</t>
        </is>
      </c>
      <c r="I12" s="39" t="inlineStr">
        <is>
          <t>No</t>
        </is>
      </c>
      <c r="J12" s="39" t="inlineStr">
        <is>
          <t>YES</t>
        </is>
      </c>
      <c r="K12" s="39" t="n">
        <v>60</v>
      </c>
    </row>
    <row r="13">
      <c r="A13" s="39" t="inlineStr">
        <is>
          <t>Elle Mishler</t>
        </is>
      </c>
      <c r="B13" s="40" t="n">
        <v>44853</v>
      </c>
      <c r="C13" s="39" t="n">
        <v>1.25</v>
      </c>
      <c r="D13" s="39" t="n">
        <v>60</v>
      </c>
      <c r="E13" s="39" t="n">
        <v>75</v>
      </c>
      <c r="F13" s="39" t="inlineStr">
        <is>
          <t>Yes</t>
        </is>
      </c>
      <c r="G13" s="39" t="inlineStr">
        <is>
          <t>Yes</t>
        </is>
      </c>
      <c r="H13" s="39" t="inlineStr">
        <is>
          <t>Algebra 1 Review</t>
        </is>
      </c>
      <c r="I13" s="39" t="inlineStr">
        <is>
          <t>No</t>
        </is>
      </c>
      <c r="J13" s="39" t="inlineStr">
        <is>
          <t>YES</t>
        </is>
      </c>
      <c r="K13" s="39" t="n">
        <v>75</v>
      </c>
    </row>
    <row r="14">
      <c r="A14" s="39" t="inlineStr">
        <is>
          <t>Gabby Bagot</t>
        </is>
      </c>
      <c r="B14" s="40" t="n">
        <v>44856</v>
      </c>
      <c r="C14" s="39" t="n">
        <v>1</v>
      </c>
      <c r="D14" s="39" t="n">
        <v>60</v>
      </c>
      <c r="E14" s="39" t="n">
        <v>60</v>
      </c>
      <c r="F14" s="39" t="inlineStr">
        <is>
          <t>Yes</t>
        </is>
      </c>
      <c r="G14" s="39" t="inlineStr">
        <is>
          <t>Yes</t>
        </is>
      </c>
      <c r="H14" s="39" t="inlineStr">
        <is>
          <t>Algebra 1</t>
        </is>
      </c>
      <c r="I14" s="39" t="inlineStr">
        <is>
          <t>No</t>
        </is>
      </c>
      <c r="J14" s="39" t="inlineStr">
        <is>
          <t>YES</t>
        </is>
      </c>
      <c r="K14" s="39" t="n">
        <v>60</v>
      </c>
      <c r="N14" s="37" t="inlineStr">
        <is>
          <t>*Sujay 21 Oct, 23 Oct, 29 Oct, and 30 Oct were all billed together.</t>
        </is>
      </c>
    </row>
    <row r="15">
      <c r="A15" s="39" t="inlineStr">
        <is>
          <t>Julia Cecotti</t>
        </is>
      </c>
      <c r="B15" s="40" t="n">
        <v>44845</v>
      </c>
      <c r="C15" s="39" t="n">
        <v>1</v>
      </c>
      <c r="D15" s="39" t="n">
        <v>50</v>
      </c>
      <c r="E15" s="39" t="n">
        <v>50</v>
      </c>
      <c r="F15" s="39" t="inlineStr">
        <is>
          <t>Yes</t>
        </is>
      </c>
      <c r="G15" s="39" t="inlineStr">
        <is>
          <t>Yes</t>
        </is>
      </c>
      <c r="H15" s="39" t="inlineStr">
        <is>
          <t>Precalc - piecewise functions</t>
        </is>
      </c>
      <c r="I15" s="39" t="inlineStr">
        <is>
          <t>No</t>
        </is>
      </c>
      <c r="J15" s="39" t="inlineStr">
        <is>
          <t>YES</t>
        </is>
      </c>
      <c r="K15" s="39" t="n">
        <v>50</v>
      </c>
    </row>
    <row r="16">
      <c r="A16" s="39" t="inlineStr">
        <is>
          <t>Julia Cecotti</t>
        </is>
      </c>
      <c r="B16" s="40" t="n">
        <v>44851</v>
      </c>
      <c r="C16" s="39" t="n">
        <v>1.5</v>
      </c>
      <c r="D16" s="39" t="n">
        <v>50</v>
      </c>
      <c r="E16" s="39" t="n">
        <v>75</v>
      </c>
      <c r="F16" s="39" t="inlineStr">
        <is>
          <t>Yes</t>
        </is>
      </c>
      <c r="G16" s="39" t="inlineStr">
        <is>
          <t>Yes</t>
        </is>
      </c>
      <c r="H16" s="39" t="inlineStr">
        <is>
          <t>Limits and Discontinuity</t>
        </is>
      </c>
      <c r="I16" s="39" t="inlineStr">
        <is>
          <t>No</t>
        </is>
      </c>
      <c r="J16" s="39" t="inlineStr">
        <is>
          <t>YES</t>
        </is>
      </c>
      <c r="K16" s="39" t="n">
        <v>75</v>
      </c>
    </row>
    <row r="17">
      <c r="A17" s="39" t="inlineStr">
        <is>
          <t>Kathryn Oakford</t>
        </is>
      </c>
      <c r="B17" s="40" t="n">
        <v>44851</v>
      </c>
      <c r="C17" s="39" t="n">
        <v>1.5</v>
      </c>
      <c r="D17" s="39" t="n">
        <v>50</v>
      </c>
      <c r="E17" s="39" t="n">
        <v>75</v>
      </c>
      <c r="F17" s="39" t="inlineStr">
        <is>
          <t>Yes</t>
        </is>
      </c>
      <c r="G17" s="39" t="inlineStr">
        <is>
          <t>Yes</t>
        </is>
      </c>
      <c r="H17" s="39" t="inlineStr">
        <is>
          <t>Business Calculus</t>
        </is>
      </c>
      <c r="I17" s="39" t="inlineStr">
        <is>
          <t>No</t>
        </is>
      </c>
      <c r="J17" s="39" t="inlineStr">
        <is>
          <t>YES</t>
        </is>
      </c>
      <c r="K17" s="39" t="n">
        <v>75</v>
      </c>
    </row>
    <row r="18">
      <c r="A18" s="39" t="inlineStr">
        <is>
          <t>Kathryn Oakford</t>
        </is>
      </c>
      <c r="B18" s="40" t="n">
        <v>44857</v>
      </c>
      <c r="C18" s="39" t="n">
        <v>1.5</v>
      </c>
      <c r="D18" s="39" t="n">
        <v>50</v>
      </c>
      <c r="E18" s="39" t="n">
        <v>75</v>
      </c>
      <c r="F18" s="39" t="inlineStr">
        <is>
          <t>Yes</t>
        </is>
      </c>
      <c r="G18" s="39" t="inlineStr">
        <is>
          <t>Yes</t>
        </is>
      </c>
      <c r="H18" s="39" t="inlineStr">
        <is>
          <t>Business Calculus</t>
        </is>
      </c>
      <c r="I18" s="39" t="inlineStr">
        <is>
          <t>No</t>
        </is>
      </c>
      <c r="J18" s="39" t="inlineStr">
        <is>
          <t>YES</t>
        </is>
      </c>
      <c r="K18" s="39" t="n">
        <v>75</v>
      </c>
      <c r="O18" s="47" t="inlineStr">
        <is>
          <t>Row Labels</t>
        </is>
      </c>
      <c r="P18" t="inlineStr">
        <is>
          <t>Sum of Hours</t>
        </is>
      </c>
      <c r="Q18" t="inlineStr">
        <is>
          <t>Sum of Coin</t>
        </is>
      </c>
    </row>
    <row r="19">
      <c r="A19" s="39" t="inlineStr">
        <is>
          <t>Kaylie Thompson</t>
        </is>
      </c>
      <c r="B19" s="40" t="n">
        <v>44836</v>
      </c>
      <c r="C19" s="39" t="n">
        <v>1.5</v>
      </c>
      <c r="D19" s="39" t="n">
        <v>50</v>
      </c>
      <c r="E19" s="39" t="n">
        <v>75</v>
      </c>
      <c r="F19" s="39" t="inlineStr">
        <is>
          <t>Yes</t>
        </is>
      </c>
      <c r="G19" s="39" t="inlineStr">
        <is>
          <t>Yes</t>
        </is>
      </c>
      <c r="H19" s="39" t="inlineStr">
        <is>
          <t>Common App Finalizaiton</t>
        </is>
      </c>
      <c r="I19" s="39" t="inlineStr">
        <is>
          <t>No</t>
        </is>
      </c>
      <c r="J19" s="41" t="inlineStr">
        <is>
          <t>No</t>
        </is>
      </c>
      <c r="K19" s="39" t="n">
        <v>75</v>
      </c>
      <c r="O19" s="48" t="inlineStr">
        <is>
          <t>Abby Owen</t>
        </is>
      </c>
      <c r="P19" t="n">
        <v>5.75</v>
      </c>
      <c r="Q19" t="n">
        <v>287.5</v>
      </c>
    </row>
    <row r="20">
      <c r="A20" s="39" t="inlineStr">
        <is>
          <t>Maddie Wilson</t>
        </is>
      </c>
      <c r="B20" s="40" t="n">
        <v>44836</v>
      </c>
      <c r="C20" s="39" t="n">
        <v>2</v>
      </c>
      <c r="D20" s="39" t="n">
        <v>50</v>
      </c>
      <c r="E20" s="39" t="n">
        <v>100</v>
      </c>
      <c r="F20" s="39" t="inlineStr">
        <is>
          <t>Yes</t>
        </is>
      </c>
      <c r="G20" s="39" t="inlineStr">
        <is>
          <t>Yes</t>
        </is>
      </c>
      <c r="H20" s="39" t="inlineStr">
        <is>
          <t>ACT Math</t>
        </is>
      </c>
      <c r="I20" s="39" t="inlineStr">
        <is>
          <t>No</t>
        </is>
      </c>
      <c r="J20" s="41" t="inlineStr">
        <is>
          <t>No</t>
        </is>
      </c>
      <c r="K20" s="39" t="n">
        <v>100</v>
      </c>
      <c r="O20" s="48" t="inlineStr">
        <is>
          <t>Addison O'Connor</t>
        </is>
      </c>
      <c r="P20" t="n">
        <v>1</v>
      </c>
      <c r="Q20" t="n">
        <v>60</v>
      </c>
    </row>
    <row r="21" ht="14.25" customHeight="1">
      <c r="A21" s="39" t="inlineStr">
        <is>
          <t>Maddie Wilson</t>
        </is>
      </c>
      <c r="B21" s="40" t="n">
        <v>44854</v>
      </c>
      <c r="C21" s="39" t="n">
        <v>1.5</v>
      </c>
      <c r="D21" s="39" t="n">
        <v>50</v>
      </c>
      <c r="E21" s="39" t="n">
        <v>75</v>
      </c>
      <c r="F21" s="39" t="inlineStr">
        <is>
          <t>Yes</t>
        </is>
      </c>
      <c r="G21" s="39" t="inlineStr">
        <is>
          <t>Yes</t>
        </is>
      </c>
      <c r="H21" s="39" t="inlineStr">
        <is>
          <t>ACT Math</t>
        </is>
      </c>
      <c r="I21" s="39" t="inlineStr">
        <is>
          <t>No</t>
        </is>
      </c>
      <c r="J21" s="39" t="inlineStr">
        <is>
          <t>No - received via PayPal and Transferred</t>
        </is>
      </c>
      <c r="K21" s="39" t="n">
        <v>75</v>
      </c>
      <c r="O21" s="48" t="inlineStr">
        <is>
          <t>Caroline Frey</t>
        </is>
      </c>
      <c r="P21" t="n">
        <v>4.5</v>
      </c>
      <c r="Q21" t="n">
        <v>225</v>
      </c>
    </row>
    <row r="22">
      <c r="A22" s="39" t="inlineStr">
        <is>
          <t>Maddox Rogers</t>
        </is>
      </c>
      <c r="B22" s="40" t="n">
        <v>44847</v>
      </c>
      <c r="C22" s="39" t="n">
        <v>2</v>
      </c>
      <c r="D22" s="39" t="n">
        <v>50</v>
      </c>
      <c r="E22" s="39" t="n">
        <v>100</v>
      </c>
      <c r="F22" s="39" t="inlineStr">
        <is>
          <t>Yes</t>
        </is>
      </c>
      <c r="G22" s="39" t="inlineStr">
        <is>
          <t>Yes</t>
        </is>
      </c>
      <c r="H22" s="39" t="inlineStr">
        <is>
          <t>College Essay</t>
        </is>
      </c>
      <c r="I22" s="39" t="inlineStr">
        <is>
          <t>No</t>
        </is>
      </c>
      <c r="J22" s="39" t="inlineStr">
        <is>
          <t>YES</t>
        </is>
      </c>
      <c r="K22" s="39" t="n">
        <v>100</v>
      </c>
      <c r="O22" s="48" t="inlineStr">
        <is>
          <t>Claire Cecotti</t>
        </is>
      </c>
      <c r="P22" t="n">
        <v>1</v>
      </c>
      <c r="Q22" t="n">
        <v>50</v>
      </c>
    </row>
    <row r="23">
      <c r="A23" s="39" t="inlineStr">
        <is>
          <t>Naura Peters</t>
        </is>
      </c>
      <c r="B23" s="40" t="n">
        <v>44856</v>
      </c>
      <c r="C23" s="39" t="n">
        <v>0.5</v>
      </c>
      <c r="D23" s="39" t="n">
        <v>60</v>
      </c>
      <c r="E23" s="39" t="n">
        <v>30</v>
      </c>
      <c r="F23" s="39" t="inlineStr">
        <is>
          <t>Yes</t>
        </is>
      </c>
      <c r="G23" s="39" t="inlineStr">
        <is>
          <t>Yes</t>
        </is>
      </c>
      <c r="H23" s="39" t="inlineStr">
        <is>
          <t>Private lesson</t>
        </is>
      </c>
      <c r="I23" s="39" t="inlineStr">
        <is>
          <t>No</t>
        </is>
      </c>
      <c r="J23" s="39" t="inlineStr">
        <is>
          <t>YES</t>
        </is>
      </c>
      <c r="K23" s="39" t="n">
        <v>30</v>
      </c>
      <c r="O23" s="48" t="inlineStr">
        <is>
          <t>Elle Mishler</t>
        </is>
      </c>
      <c r="P23" t="n">
        <v>3.25</v>
      </c>
      <c r="Q23" t="n">
        <v>195</v>
      </c>
    </row>
    <row r="24">
      <c r="A24" s="39" t="inlineStr">
        <is>
          <t>Nicolette Batori</t>
        </is>
      </c>
      <c r="B24" s="40" t="n">
        <v>44857</v>
      </c>
      <c r="C24" s="39" t="n">
        <v>2</v>
      </c>
      <c r="D24" s="39" t="n">
        <v>50</v>
      </c>
      <c r="E24" s="39" t="n">
        <v>100</v>
      </c>
      <c r="F24" s="39" t="inlineStr">
        <is>
          <t>Yes</t>
        </is>
      </c>
      <c r="G24" s="39" t="inlineStr">
        <is>
          <t>Yes</t>
        </is>
      </c>
      <c r="H24" s="39" t="inlineStr">
        <is>
          <t>AP Test Advice, Volunteering advice, SAT Math</t>
        </is>
      </c>
      <c r="I24" s="39" t="inlineStr">
        <is>
          <t>No</t>
        </is>
      </c>
      <c r="J24" s="39" t="inlineStr">
        <is>
          <t>YES</t>
        </is>
      </c>
      <c r="K24" s="39" t="n">
        <v>100</v>
      </c>
      <c r="O24" s="48" t="inlineStr">
        <is>
          <t>Gabby Bagot</t>
        </is>
      </c>
      <c r="P24" t="n">
        <v>1</v>
      </c>
      <c r="Q24" t="n">
        <v>60</v>
      </c>
    </row>
    <row r="25">
      <c r="A25" s="39" t="inlineStr">
        <is>
          <t>Nicolette Batori</t>
        </is>
      </c>
      <c r="B25" s="40" t="n">
        <v>44863</v>
      </c>
      <c r="C25" s="39" t="n">
        <v>1</v>
      </c>
      <c r="D25" s="39" t="n">
        <v>50</v>
      </c>
      <c r="E25" s="39" t="n">
        <v>50</v>
      </c>
      <c r="F25" s="39" t="inlineStr">
        <is>
          <t>Yes</t>
        </is>
      </c>
      <c r="G25" s="39" t="inlineStr">
        <is>
          <t>Yes</t>
        </is>
      </c>
      <c r="H25" s="39" t="inlineStr">
        <is>
          <t>SAT Math</t>
        </is>
      </c>
      <c r="I25" s="39" t="inlineStr">
        <is>
          <t>No</t>
        </is>
      </c>
      <c r="J25" s="39" t="inlineStr">
        <is>
          <t>YES</t>
        </is>
      </c>
      <c r="K25" s="39" t="n">
        <v>50</v>
      </c>
      <c r="O25" s="48" t="inlineStr">
        <is>
          <t>Julia Cecotti</t>
        </is>
      </c>
      <c r="P25" t="n">
        <v>2.5</v>
      </c>
      <c r="Q25" t="n">
        <v>125</v>
      </c>
    </row>
    <row r="26">
      <c r="A26" s="39" t="inlineStr">
        <is>
          <t>Nicolette Batori</t>
        </is>
      </c>
      <c r="B26" s="40" t="n">
        <v>44865</v>
      </c>
      <c r="C26" s="39" t="n">
        <v>1</v>
      </c>
      <c r="D26" s="39" t="n">
        <v>50</v>
      </c>
      <c r="E26" s="39" t="n">
        <v>50</v>
      </c>
      <c r="F26" s="39" t="inlineStr">
        <is>
          <t>Yes</t>
        </is>
      </c>
      <c r="G26" s="39" t="inlineStr">
        <is>
          <t>Yes</t>
        </is>
      </c>
      <c r="H26" s="39" t="inlineStr">
        <is>
          <t>SAT Math</t>
        </is>
      </c>
      <c r="I26" s="39" t="inlineStr">
        <is>
          <t>No</t>
        </is>
      </c>
      <c r="J26" s="39" t="inlineStr">
        <is>
          <t>YES</t>
        </is>
      </c>
      <c r="K26" s="39" t="n">
        <v>50</v>
      </c>
      <c r="O26" s="48" t="inlineStr">
        <is>
          <t>Kathryn Oakford</t>
        </is>
      </c>
      <c r="P26" t="n">
        <v>3</v>
      </c>
      <c r="Q26" t="n">
        <v>150</v>
      </c>
    </row>
    <row r="27">
      <c r="A27" s="39" t="inlineStr">
        <is>
          <t>Rohan Skanda</t>
        </is>
      </c>
      <c r="B27" s="40" t="n">
        <v>44838</v>
      </c>
      <c r="C27" s="39" t="n">
        <v>1</v>
      </c>
      <c r="D27" s="39" t="n">
        <v>50</v>
      </c>
      <c r="E27" s="39" t="n">
        <v>50</v>
      </c>
      <c r="F27" s="39" t="inlineStr">
        <is>
          <t>Yes</t>
        </is>
      </c>
      <c r="G27" s="39" t="inlineStr">
        <is>
          <t>Yes</t>
        </is>
      </c>
      <c r="H27" s="39" t="inlineStr">
        <is>
          <t>AOS Integrated Math + Science</t>
        </is>
      </c>
      <c r="I27" s="39" t="inlineStr">
        <is>
          <t>No</t>
        </is>
      </c>
      <c r="J27" s="39" t="inlineStr">
        <is>
          <t>YES</t>
        </is>
      </c>
      <c r="K27" s="39" t="n">
        <v>50</v>
      </c>
      <c r="O27" s="48" t="inlineStr">
        <is>
          <t>Kaylie Thompson</t>
        </is>
      </c>
      <c r="P27" t="n">
        <v>1.5</v>
      </c>
      <c r="Q27" t="n">
        <v>75</v>
      </c>
    </row>
    <row r="28">
      <c r="A28" s="39" t="inlineStr">
        <is>
          <t>Rohan Skanda</t>
        </is>
      </c>
      <c r="B28" s="40" t="n">
        <v>44840</v>
      </c>
      <c r="C28" s="39" t="n">
        <v>2</v>
      </c>
      <c r="D28" s="39" t="n">
        <v>50</v>
      </c>
      <c r="E28" s="39" t="n">
        <v>100</v>
      </c>
      <c r="F28" s="39" t="inlineStr">
        <is>
          <t>Yes</t>
        </is>
      </c>
      <c r="G28" s="39" t="inlineStr">
        <is>
          <t>Yes</t>
        </is>
      </c>
      <c r="H28" s="39" t="inlineStr">
        <is>
          <t>AOS Integrated Math + Science</t>
        </is>
      </c>
      <c r="I28" s="39" t="inlineStr">
        <is>
          <t>No</t>
        </is>
      </c>
      <c r="J28" s="39" t="inlineStr">
        <is>
          <t>YES</t>
        </is>
      </c>
      <c r="K28" s="39" t="n">
        <v>100</v>
      </c>
      <c r="O28" s="48" t="inlineStr">
        <is>
          <t>Maddie Wilson</t>
        </is>
      </c>
      <c r="P28" t="n">
        <v>3.5</v>
      </c>
      <c r="Q28" t="n">
        <v>175</v>
      </c>
    </row>
    <row r="29">
      <c r="A29" s="39" t="inlineStr">
        <is>
          <t>Rohan Skanda</t>
        </is>
      </c>
      <c r="B29" s="40" t="n">
        <v>44851</v>
      </c>
      <c r="C29" s="39" t="n">
        <v>1.5</v>
      </c>
      <c r="D29" s="39" t="n">
        <v>50</v>
      </c>
      <c r="E29" s="39" t="n">
        <v>75</v>
      </c>
      <c r="F29" s="39" t="inlineStr">
        <is>
          <t>Yes</t>
        </is>
      </c>
      <c r="G29" s="39" t="inlineStr">
        <is>
          <t>Yes</t>
        </is>
      </c>
      <c r="H29" s="39" t="inlineStr">
        <is>
          <t>Math and Physics Review</t>
        </is>
      </c>
      <c r="I29" s="39" t="inlineStr">
        <is>
          <t>No</t>
        </is>
      </c>
      <c r="J29" s="39" t="inlineStr">
        <is>
          <t>YES</t>
        </is>
      </c>
      <c r="K29" s="39" t="n">
        <v>75</v>
      </c>
      <c r="O29" s="48" t="inlineStr">
        <is>
          <t>Maddox Rogers</t>
        </is>
      </c>
      <c r="P29" t="n">
        <v>2</v>
      </c>
      <c r="Q29" t="n">
        <v>100</v>
      </c>
    </row>
    <row r="30">
      <c r="A30" s="39" t="inlineStr">
        <is>
          <t>Rohan Skanda</t>
        </is>
      </c>
      <c r="B30" s="40" t="n">
        <v>44857</v>
      </c>
      <c r="C30" s="39" t="n">
        <v>1</v>
      </c>
      <c r="D30" s="39" t="n">
        <v>50</v>
      </c>
      <c r="E30" s="39" t="n">
        <v>75</v>
      </c>
      <c r="F30" s="39" t="inlineStr">
        <is>
          <t>Yes</t>
        </is>
      </c>
      <c r="G30" s="39" t="inlineStr">
        <is>
          <t>Yes</t>
        </is>
      </c>
      <c r="H30" s="39" t="inlineStr">
        <is>
          <t>AOS Integrated Math + Science</t>
        </is>
      </c>
      <c r="I30" s="39" t="inlineStr">
        <is>
          <t>No</t>
        </is>
      </c>
      <c r="J30" s="39" t="inlineStr">
        <is>
          <t>YES</t>
        </is>
      </c>
      <c r="K30" s="39" t="n">
        <v>75</v>
      </c>
      <c r="O30" s="48" t="inlineStr">
        <is>
          <t>Naura Peters</t>
        </is>
      </c>
      <c r="P30" t="n">
        <v>0.5</v>
      </c>
      <c r="Q30" t="n">
        <v>30</v>
      </c>
    </row>
    <row r="31">
      <c r="A31" s="39" t="inlineStr">
        <is>
          <t>Rohan Skanda</t>
        </is>
      </c>
      <c r="B31" s="40" t="n">
        <v>44858</v>
      </c>
      <c r="C31" s="39" t="n">
        <v>1</v>
      </c>
      <c r="D31" s="39" t="n">
        <v>50</v>
      </c>
      <c r="E31" s="39" t="n">
        <v>50</v>
      </c>
      <c r="F31" s="39" t="inlineStr">
        <is>
          <t>Yes</t>
        </is>
      </c>
      <c r="G31" s="39" t="inlineStr">
        <is>
          <t>Yes</t>
        </is>
      </c>
      <c r="H31" s="39" t="inlineStr">
        <is>
          <t>AOS Integrated Math + Science</t>
        </is>
      </c>
      <c r="I31" s="39" t="inlineStr">
        <is>
          <t>No</t>
        </is>
      </c>
      <c r="J31" s="39" t="inlineStr">
        <is>
          <t>YES</t>
        </is>
      </c>
      <c r="K31" s="39" t="n">
        <v>50</v>
      </c>
      <c r="O31" s="48" t="inlineStr">
        <is>
          <t>Nicolette Batori</t>
        </is>
      </c>
      <c r="P31" t="n">
        <v>4</v>
      </c>
      <c r="Q31" t="n">
        <v>200</v>
      </c>
    </row>
    <row r="32">
      <c r="A32" s="39" t="inlineStr">
        <is>
          <t>Rohan Skanda</t>
        </is>
      </c>
      <c r="B32" s="40" t="n">
        <v>44859</v>
      </c>
      <c r="C32" s="39" t="n">
        <v>1</v>
      </c>
      <c r="D32" s="39" t="n">
        <v>50</v>
      </c>
      <c r="E32" s="39" t="n">
        <v>50</v>
      </c>
      <c r="F32" s="39" t="inlineStr">
        <is>
          <t>Yes</t>
        </is>
      </c>
      <c r="G32" s="39" t="inlineStr">
        <is>
          <t>Yes</t>
        </is>
      </c>
      <c r="H32" s="39" t="inlineStr">
        <is>
          <t>AOS Integrated Math + Science</t>
        </is>
      </c>
      <c r="I32" s="39" t="inlineStr">
        <is>
          <t>No</t>
        </is>
      </c>
      <c r="J32" s="39" t="inlineStr">
        <is>
          <t>YES</t>
        </is>
      </c>
      <c r="K32" s="39" t="n">
        <v>50</v>
      </c>
      <c r="O32" s="48" t="inlineStr">
        <is>
          <t>Rohan Skanda</t>
        </is>
      </c>
      <c r="P32" t="n">
        <v>8.75</v>
      </c>
      <c r="Q32" t="n">
        <v>462.5</v>
      </c>
    </row>
    <row r="33">
      <c r="A33" s="39" t="inlineStr">
        <is>
          <t>Rohan Skanda</t>
        </is>
      </c>
      <c r="B33" s="40" t="n">
        <v>44860</v>
      </c>
      <c r="C33" s="39" t="n">
        <v>1.25</v>
      </c>
      <c r="D33" s="39" t="n">
        <v>50</v>
      </c>
      <c r="E33" s="39" t="n">
        <v>62.5</v>
      </c>
      <c r="F33" s="39" t="inlineStr">
        <is>
          <t>Yes</t>
        </is>
      </c>
      <c r="G33" s="39" t="inlineStr">
        <is>
          <t>Yes</t>
        </is>
      </c>
      <c r="H33" s="39" t="inlineStr">
        <is>
          <t>AOS Integrated Math + Science</t>
        </is>
      </c>
      <c r="I33" s="39" t="inlineStr">
        <is>
          <t>No</t>
        </is>
      </c>
      <c r="J33" s="39" t="inlineStr">
        <is>
          <t>YES</t>
        </is>
      </c>
      <c r="K33" s="39" t="n">
        <v>62.5</v>
      </c>
      <c r="O33" s="48" t="inlineStr">
        <is>
          <t>Sienna Cormier</t>
        </is>
      </c>
      <c r="P33" t="n">
        <v>1.5</v>
      </c>
      <c r="Q33" t="n">
        <v>75</v>
      </c>
    </row>
    <row r="34">
      <c r="A34" s="39" t="inlineStr">
        <is>
          <t>Sienna Cormier</t>
        </is>
      </c>
      <c r="B34" s="40" t="n">
        <v>44846</v>
      </c>
      <c r="C34" s="39" t="n">
        <v>1.5</v>
      </c>
      <c r="D34" s="39" t="n">
        <v>50</v>
      </c>
      <c r="E34" s="39" t="n">
        <v>75</v>
      </c>
      <c r="F34" s="39" t="inlineStr">
        <is>
          <t>Yes</t>
        </is>
      </c>
      <c r="G34" s="39" t="inlineStr">
        <is>
          <t>Yes</t>
        </is>
      </c>
      <c r="H34" s="39" t="inlineStr">
        <is>
          <t>Geometry</t>
        </is>
      </c>
      <c r="I34" s="39" t="inlineStr">
        <is>
          <t>No</t>
        </is>
      </c>
      <c r="J34" s="39" t="inlineStr">
        <is>
          <t>YES</t>
        </is>
      </c>
      <c r="K34" s="39" t="n">
        <v>75</v>
      </c>
      <c r="O34" s="48" t="inlineStr">
        <is>
          <t>Sophia Gonzales</t>
        </is>
      </c>
      <c r="P34" t="n">
        <v>2</v>
      </c>
      <c r="Q34" t="n">
        <v>120</v>
      </c>
    </row>
    <row r="35">
      <c r="A35" s="39" t="inlineStr">
        <is>
          <t>Sophia Gonzales</t>
        </is>
      </c>
      <c r="B35" s="40" t="n">
        <v>44860</v>
      </c>
      <c r="C35" s="39" t="n">
        <v>1</v>
      </c>
      <c r="D35" s="39" t="n">
        <v>60</v>
      </c>
      <c r="E35" s="39" t="n">
        <v>60</v>
      </c>
      <c r="F35" s="39" t="inlineStr">
        <is>
          <t>Yes (folded into next-day invoice)</t>
        </is>
      </c>
      <c r="G35" s="39" t="inlineStr">
        <is>
          <t>Yes</t>
        </is>
      </c>
      <c r="H35" s="39" t="inlineStr">
        <is>
          <t>Physics</t>
        </is>
      </c>
      <c r="I35" s="39" t="inlineStr">
        <is>
          <t>No</t>
        </is>
      </c>
      <c r="J35" s="39" t="inlineStr">
        <is>
          <t>YES</t>
        </is>
      </c>
      <c r="K35" s="39" t="n">
        <v>60</v>
      </c>
      <c r="O35" s="48" t="inlineStr">
        <is>
          <t>Sujay Penugonda</t>
        </is>
      </c>
      <c r="P35" t="n">
        <v>11.5</v>
      </c>
      <c r="Q35" t="n">
        <v>450</v>
      </c>
    </row>
    <row r="36">
      <c r="A36" s="39" t="inlineStr">
        <is>
          <t>Sophia Gonzales</t>
        </is>
      </c>
      <c r="B36" s="40" t="n">
        <v>44861</v>
      </c>
      <c r="C36" s="39" t="n">
        <v>1</v>
      </c>
      <c r="D36" s="39" t="n">
        <v>60</v>
      </c>
      <c r="E36" s="39" t="n">
        <v>60</v>
      </c>
      <c r="F36" s="39" t="inlineStr">
        <is>
          <t>Yes</t>
        </is>
      </c>
      <c r="G36" s="39" t="inlineStr">
        <is>
          <t>Yes</t>
        </is>
      </c>
      <c r="H36" s="39" t="inlineStr">
        <is>
          <t>Physics</t>
        </is>
      </c>
      <c r="I36" s="39" t="inlineStr">
        <is>
          <t>No</t>
        </is>
      </c>
      <c r="J36" s="39" t="inlineStr">
        <is>
          <t>YES</t>
        </is>
      </c>
      <c r="K36" s="39" t="n">
        <v>60</v>
      </c>
      <c r="O36" s="48" t="inlineStr">
        <is>
          <t>Grand Total</t>
        </is>
      </c>
      <c r="P36" t="n">
        <v>57.25</v>
      </c>
      <c r="Q36" t="n">
        <v>2840</v>
      </c>
    </row>
    <row r="37">
      <c r="A37" s="39" t="inlineStr">
        <is>
          <t>Sujay Penugonda</t>
        </is>
      </c>
      <c r="B37" s="40" t="n">
        <v>44840</v>
      </c>
      <c r="C37" s="39" t="n">
        <v>1.5</v>
      </c>
      <c r="D37" s="39" t="n">
        <v>50</v>
      </c>
      <c r="E37" s="39" t="n">
        <v>75</v>
      </c>
      <c r="F37" s="39" t="inlineStr">
        <is>
          <t>Yes</t>
        </is>
      </c>
      <c r="G37" s="39" t="inlineStr">
        <is>
          <t>Yes</t>
        </is>
      </c>
      <c r="H37" s="39" t="inlineStr">
        <is>
          <t>Supplemental Essays</t>
        </is>
      </c>
      <c r="I37" s="39" t="inlineStr">
        <is>
          <t>No</t>
        </is>
      </c>
      <c r="J37" s="39" t="inlineStr">
        <is>
          <t>YES</t>
        </is>
      </c>
      <c r="K37" s="39" t="n">
        <v>75</v>
      </c>
    </row>
    <row r="38">
      <c r="A38" s="39" t="inlineStr">
        <is>
          <t>Sujay Penugonda</t>
        </is>
      </c>
      <c r="B38" s="40" t="n">
        <v>44855</v>
      </c>
      <c r="C38" s="39" t="n">
        <v>2</v>
      </c>
      <c r="D38" s="39" t="n">
        <v>50</v>
      </c>
      <c r="E38" s="39" t="n">
        <v>100</v>
      </c>
      <c r="F38" s="39" t="inlineStr">
        <is>
          <t>Yes</t>
        </is>
      </c>
      <c r="G38" s="39" t="inlineStr">
        <is>
          <t>Yes</t>
        </is>
      </c>
      <c r="H38" s="39" t="inlineStr">
        <is>
          <t>College Essay</t>
        </is>
      </c>
      <c r="I38" s="39" t="inlineStr">
        <is>
          <t>No</t>
        </is>
      </c>
      <c r="J38" s="39" t="inlineStr">
        <is>
          <t>YES</t>
        </is>
      </c>
      <c r="K38" s="39" t="n">
        <v>100</v>
      </c>
    </row>
    <row r="39">
      <c r="A39" s="39" t="inlineStr">
        <is>
          <t>Sujay Penugonda</t>
        </is>
      </c>
      <c r="B39" s="40" t="n">
        <v>44857</v>
      </c>
      <c r="C39" s="39" t="n">
        <v>0.5</v>
      </c>
      <c r="D39" s="39" t="n">
        <v>50</v>
      </c>
      <c r="E39" s="39" t="n">
        <v>25</v>
      </c>
      <c r="F39" s="39" t="inlineStr">
        <is>
          <t>No</t>
        </is>
      </c>
      <c r="G39" s="39" t="inlineStr">
        <is>
          <t>Yes</t>
        </is>
      </c>
      <c r="H39" s="39" t="inlineStr">
        <is>
          <t>College Essay</t>
        </is>
      </c>
      <c r="I39" s="39" t="inlineStr">
        <is>
          <t>No</t>
        </is>
      </c>
      <c r="J39" s="39" t="inlineStr">
        <is>
          <t>YES</t>
        </is>
      </c>
      <c r="K39" s="39" t="n">
        <v>25</v>
      </c>
    </row>
    <row r="40">
      <c r="A40" s="39" t="inlineStr">
        <is>
          <t>Sujay Penugonda</t>
        </is>
      </c>
      <c r="B40" s="40" t="n">
        <v>44863</v>
      </c>
      <c r="C40" s="39" t="n">
        <v>5</v>
      </c>
      <c r="D40" s="39" t="n">
        <v>50</v>
      </c>
      <c r="E40" s="39" t="n">
        <v>125</v>
      </c>
      <c r="F40" s="39" t="inlineStr">
        <is>
          <t>Yes</t>
        </is>
      </c>
      <c r="G40" s="39" t="inlineStr">
        <is>
          <t>Yes</t>
        </is>
      </c>
      <c r="H40" s="39" t="inlineStr">
        <is>
          <t>College Essay</t>
        </is>
      </c>
      <c r="I40" s="39" t="inlineStr">
        <is>
          <t>No</t>
        </is>
      </c>
      <c r="J40" s="39" t="inlineStr">
        <is>
          <t>YES</t>
        </is>
      </c>
      <c r="K40" s="39" t="n">
        <v>250</v>
      </c>
    </row>
    <row r="41">
      <c r="A41" s="39" t="inlineStr">
        <is>
          <t>Sujay Penugonda</t>
        </is>
      </c>
      <c r="B41" s="40" t="n">
        <v>44864</v>
      </c>
      <c r="C41" s="39" t="n">
        <v>2.5</v>
      </c>
      <c r="D41" s="39" t="n">
        <v>50</v>
      </c>
      <c r="E41" s="39" t="n">
        <v>125</v>
      </c>
      <c r="F41" s="39" t="inlineStr">
        <is>
          <t>Yes</t>
        </is>
      </c>
      <c r="G41" s="39" t="inlineStr">
        <is>
          <t>Yes</t>
        </is>
      </c>
      <c r="H41" s="39" t="inlineStr">
        <is>
          <t>College Essay</t>
        </is>
      </c>
      <c r="I41" s="39" t="inlineStr">
        <is>
          <t>No</t>
        </is>
      </c>
      <c r="J41" s="39" t="inlineStr">
        <is>
          <t>No - asked to send via Zelle. Transferred from personal to biz immediately.</t>
        </is>
      </c>
      <c r="K41" s="39" t="n">
        <v>125</v>
      </c>
    </row>
    <row r="42">
      <c r="B42" s="42" t="n"/>
    </row>
    <row r="43">
      <c r="B43" s="42" t="n"/>
      <c r="K43" s="37">
        <f>SUM(K2:K41)</f>
        <v/>
      </c>
    </row>
  </sheetData>
  <autoFilter ref="A1:K41">
    <sortState ref="A2:K41">
      <sortCondition ref="A1:A41"/>
    </sortState>
  </autoFilter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activeCell="O19" sqref="O19:O35"/>
      <selection pane="bottomLeft" activeCell="O19" sqref="O19:O35"/>
    </sheetView>
  </sheetViews>
  <sheetFormatPr baseColWidth="8" defaultColWidth="9.109375" defaultRowHeight="14.4"/>
  <cols>
    <col width="16.33203125" bestFit="1" customWidth="1" style="37" min="1" max="1"/>
    <col width="7" bestFit="1" customWidth="1" style="37" min="2" max="2"/>
    <col width="6.109375" bestFit="1" customWidth="1" style="37" min="3" max="3"/>
    <col width="10.44140625" bestFit="1" customWidth="1" style="37" min="4" max="4"/>
    <col width="5" bestFit="1" customWidth="1" style="37" min="5" max="5"/>
    <col width="7.109375" bestFit="1" customWidth="1" style="37" min="6" max="6"/>
    <col width="38.44140625" bestFit="1" customWidth="1" style="37" min="7" max="7"/>
    <col width="27.109375" bestFit="1" customWidth="1" style="37" min="8" max="8"/>
    <col width="4.6640625" bestFit="1" customWidth="1" style="37" min="9" max="9"/>
    <col width="6.33203125" bestFit="1" customWidth="1" style="37" min="10" max="10"/>
    <col width="9.109375" customWidth="1" style="37" min="11" max="14"/>
    <col width="16.33203125" bestFit="1" customWidth="1" style="37" min="15" max="15"/>
    <col width="12.6640625" bestFit="1" customWidth="1" style="37" min="16" max="16"/>
    <col width="11.44140625" bestFit="1" customWidth="1" style="37" min="17" max="17"/>
    <col width="9.109375" customWidth="1" style="37" min="18" max="16384"/>
  </cols>
  <sheetData>
    <row r="1">
      <c r="A1" s="37" t="inlineStr">
        <is>
          <t>Student</t>
        </is>
      </c>
      <c r="B1" s="37" t="inlineStr">
        <is>
          <t>Date</t>
        </is>
      </c>
      <c r="C1" s="37" t="inlineStr">
        <is>
          <t>Hours</t>
        </is>
      </c>
      <c r="D1" s="37" t="inlineStr">
        <is>
          <t>Rate ($/hr)</t>
        </is>
      </c>
      <c r="E1" s="37" t="inlineStr">
        <is>
          <t>Coin</t>
        </is>
      </c>
      <c r="F1" s="37" t="inlineStr">
        <is>
          <t>Billed?</t>
        </is>
      </c>
      <c r="G1" s="37" t="inlineStr">
        <is>
          <t>Received payment?</t>
        </is>
      </c>
      <c r="H1" s="37" t="inlineStr">
        <is>
          <t>Topic</t>
        </is>
      </c>
      <c r="I1" s="37" t="inlineStr">
        <is>
          <t>Tip?</t>
        </is>
      </c>
      <c r="J1" s="37" t="inlineStr">
        <is>
          <t>Totals</t>
        </is>
      </c>
    </row>
    <row r="2">
      <c r="A2" s="43" t="inlineStr">
        <is>
          <t>Rohan Skanda</t>
        </is>
      </c>
      <c r="B2" s="44" t="n">
        <v>44822</v>
      </c>
      <c r="C2" s="43" t="n">
        <v>1</v>
      </c>
      <c r="D2" s="43" t="n">
        <v>50</v>
      </c>
      <c r="E2" s="43" t="n">
        <v>50</v>
      </c>
      <c r="F2" s="43" t="inlineStr">
        <is>
          <t>Yes</t>
        </is>
      </c>
      <c r="G2" s="43" t="inlineStr">
        <is>
          <t>Yes</t>
        </is>
      </c>
      <c r="H2" s="43" t="inlineStr">
        <is>
          <t>AOS Math/Science</t>
        </is>
      </c>
      <c r="I2" s="43" t="inlineStr">
        <is>
          <t>No</t>
        </is>
      </c>
      <c r="J2" s="43" t="n">
        <v>50</v>
      </c>
      <c r="M2" s="37" t="inlineStr">
        <is>
          <t>BALANCED</t>
        </is>
      </c>
    </row>
    <row r="3">
      <c r="A3" s="43" t="inlineStr">
        <is>
          <t>Maddie Wilson</t>
        </is>
      </c>
      <c r="B3" s="44" t="n">
        <v>44822</v>
      </c>
      <c r="C3" s="43" t="n">
        <v>2</v>
      </c>
      <c r="D3" s="43" t="n">
        <v>50</v>
      </c>
      <c r="E3" s="43" t="n">
        <v>100</v>
      </c>
      <c r="F3" s="43" t="inlineStr">
        <is>
          <t>Yes</t>
        </is>
      </c>
      <c r="G3" s="43" t="inlineStr">
        <is>
          <t>Yes</t>
        </is>
      </c>
      <c r="H3" s="43" t="inlineStr">
        <is>
          <t>College Essay</t>
        </is>
      </c>
      <c r="I3" s="43" t="inlineStr">
        <is>
          <t>No</t>
        </is>
      </c>
      <c r="J3" s="43" t="n">
        <v>100</v>
      </c>
    </row>
    <row r="4">
      <c r="A4" s="43" t="inlineStr">
        <is>
          <t>Caroline Frey</t>
        </is>
      </c>
      <c r="B4" s="44" t="n">
        <v>44822</v>
      </c>
      <c r="C4" s="43" t="n">
        <v>1.5</v>
      </c>
      <c r="D4" s="43" t="n">
        <v>50</v>
      </c>
      <c r="E4" s="43" t="n">
        <v>75</v>
      </c>
      <c r="F4" s="43" t="inlineStr">
        <is>
          <t>Yes</t>
        </is>
      </c>
      <c r="G4" s="43" t="inlineStr">
        <is>
          <t>Yes</t>
        </is>
      </c>
      <c r="H4" s="43" t="inlineStr">
        <is>
          <t>College Supplemental Essays</t>
        </is>
      </c>
      <c r="I4" s="43" t="n">
        <v>25</v>
      </c>
      <c r="J4" s="43" t="n">
        <v>100</v>
      </c>
    </row>
    <row r="5">
      <c r="A5" s="43" t="inlineStr">
        <is>
          <t>Kathryn Oakford</t>
        </is>
      </c>
      <c r="B5" s="44" t="n">
        <v>44822</v>
      </c>
      <c r="C5" s="43" t="n">
        <v>1.5</v>
      </c>
      <c r="D5" s="43" t="n">
        <v>50</v>
      </c>
      <c r="E5" s="43" t="n">
        <v>75</v>
      </c>
      <c r="F5" s="43" t="inlineStr">
        <is>
          <t>Yes</t>
        </is>
      </c>
      <c r="G5" s="43" t="inlineStr">
        <is>
          <t>Yes</t>
        </is>
      </c>
      <c r="H5" s="43" t="inlineStr">
        <is>
          <t>Business Calc</t>
        </is>
      </c>
      <c r="I5" s="43" t="inlineStr">
        <is>
          <t>No</t>
        </is>
      </c>
      <c r="J5" s="43" t="n">
        <v>75</v>
      </c>
    </row>
    <row r="6">
      <c r="A6" s="43" t="inlineStr">
        <is>
          <t>Kaylie Thompson</t>
        </is>
      </c>
      <c r="B6" s="44" t="n">
        <v>44822</v>
      </c>
      <c r="C6" s="43" t="n">
        <v>1.5</v>
      </c>
      <c r="D6" s="43" t="n">
        <v>50</v>
      </c>
      <c r="E6" s="43" t="n">
        <v>75</v>
      </c>
      <c r="F6" s="43" t="inlineStr">
        <is>
          <t>Yes</t>
        </is>
      </c>
      <c r="G6" s="43" t="inlineStr">
        <is>
          <t>Yes</t>
        </is>
      </c>
      <c r="H6" s="43" t="inlineStr">
        <is>
          <t>College Essay</t>
        </is>
      </c>
      <c r="I6" s="43" t="inlineStr">
        <is>
          <t>No</t>
        </is>
      </c>
      <c r="J6" s="43" t="n">
        <v>75</v>
      </c>
    </row>
    <row r="7">
      <c r="A7" s="43" t="inlineStr">
        <is>
          <t>Abby Owen</t>
        </is>
      </c>
      <c r="B7" s="44" t="n">
        <v>44823</v>
      </c>
      <c r="C7" s="43" t="n">
        <v>2</v>
      </c>
      <c r="D7" s="43" t="n">
        <v>50</v>
      </c>
      <c r="E7" s="43" t="n">
        <v>100</v>
      </c>
      <c r="F7" s="43" t="inlineStr">
        <is>
          <t>Yes</t>
        </is>
      </c>
      <c r="G7" s="43" t="inlineStr">
        <is>
          <t>Yes</t>
        </is>
      </c>
      <c r="H7" s="43" t="inlineStr">
        <is>
          <t>Math Practice for Quiz</t>
        </is>
      </c>
      <c r="I7" s="43" t="inlineStr">
        <is>
          <t>No</t>
        </is>
      </c>
      <c r="J7" s="43" t="n">
        <v>100</v>
      </c>
    </row>
    <row r="8">
      <c r="A8" s="43" t="inlineStr">
        <is>
          <t>Kathryn Oakford</t>
        </is>
      </c>
      <c r="B8" s="44" t="n">
        <v>44823</v>
      </c>
      <c r="C8" s="43" t="n">
        <v>1</v>
      </c>
      <c r="D8" s="43" t="n">
        <v>50</v>
      </c>
      <c r="E8" s="43" t="n">
        <v>50</v>
      </c>
      <c r="F8" s="43" t="inlineStr">
        <is>
          <t>Yes</t>
        </is>
      </c>
      <c r="G8" s="43" t="inlineStr">
        <is>
          <t>Yes</t>
        </is>
      </c>
      <c r="H8" s="43" t="inlineStr">
        <is>
          <t>Business Calc</t>
        </is>
      </c>
      <c r="I8" s="43" t="inlineStr">
        <is>
          <t>No</t>
        </is>
      </c>
      <c r="J8" s="43" t="n">
        <v>50</v>
      </c>
    </row>
    <row r="9">
      <c r="A9" s="43" t="inlineStr">
        <is>
          <t>Maddie Wilson</t>
        </is>
      </c>
      <c r="B9" s="44" t="n">
        <v>44826</v>
      </c>
      <c r="C9" s="43" t="n">
        <v>1</v>
      </c>
      <c r="D9" s="43" t="n">
        <v>50</v>
      </c>
      <c r="E9" s="43" t="n">
        <v>50</v>
      </c>
      <c r="F9" s="43" t="inlineStr">
        <is>
          <t>Yes</t>
        </is>
      </c>
      <c r="G9" s="43" t="inlineStr">
        <is>
          <t>Yes</t>
        </is>
      </c>
      <c r="H9" s="43" t="inlineStr">
        <is>
          <t>ACT Math, NHS Essay</t>
        </is>
      </c>
      <c r="I9" s="43" t="inlineStr">
        <is>
          <t>No</t>
        </is>
      </c>
      <c r="J9" s="43" t="n">
        <v>50</v>
      </c>
    </row>
    <row r="10">
      <c r="A10" s="43" t="inlineStr">
        <is>
          <t>Mckenzie Frey</t>
        </is>
      </c>
      <c r="B10" s="44" t="n">
        <v>44827</v>
      </c>
      <c r="C10" s="43" t="n">
        <v>0.5</v>
      </c>
      <c r="D10" s="43" t="n">
        <v>50</v>
      </c>
      <c r="E10" s="43" t="n">
        <v>25</v>
      </c>
      <c r="F10" s="43" t="inlineStr">
        <is>
          <t>No</t>
        </is>
      </c>
      <c r="G10" s="43" t="inlineStr">
        <is>
          <t>Yes (accounted for in October w Caroline)</t>
        </is>
      </c>
      <c r="H10" s="43" t="inlineStr">
        <is>
          <t>PR/Project Planning</t>
        </is>
      </c>
      <c r="I10" s="43" t="n"/>
      <c r="J10" s="43" t="n"/>
      <c r="O10" s="47" t="inlineStr">
        <is>
          <t>Row Labels</t>
        </is>
      </c>
      <c r="P10" t="inlineStr">
        <is>
          <t>Sum of Hours</t>
        </is>
      </c>
      <c r="Q10" t="inlineStr">
        <is>
          <t>Sum of Coin</t>
        </is>
      </c>
    </row>
    <row r="11">
      <c r="A11" s="43" t="inlineStr">
        <is>
          <t>Maddie Wilson</t>
        </is>
      </c>
      <c r="B11" s="44" t="n">
        <v>44827</v>
      </c>
      <c r="C11" s="43" t="n">
        <v>1</v>
      </c>
      <c r="D11" s="43" t="n">
        <v>50</v>
      </c>
      <c r="E11" s="43" t="n">
        <v>50</v>
      </c>
      <c r="F11" s="43" t="inlineStr">
        <is>
          <t>Yes</t>
        </is>
      </c>
      <c r="G11" s="43" t="inlineStr">
        <is>
          <t>Yes</t>
        </is>
      </c>
      <c r="H11" s="43" t="inlineStr">
        <is>
          <t>NHS Essay</t>
        </is>
      </c>
      <c r="I11" s="43" t="inlineStr">
        <is>
          <t>No</t>
        </is>
      </c>
      <c r="J11" s="43" t="n">
        <v>50</v>
      </c>
      <c r="O11" s="48" t="inlineStr">
        <is>
          <t>Abby Owen</t>
        </is>
      </c>
      <c r="P11" t="n">
        <v>2</v>
      </c>
      <c r="Q11" t="n">
        <v>100</v>
      </c>
    </row>
    <row r="12">
      <c r="A12" s="43" t="inlineStr">
        <is>
          <t>Claire Cecotti</t>
        </is>
      </c>
      <c r="B12" s="44" t="n">
        <v>44829</v>
      </c>
      <c r="C12" s="43" t="n">
        <v>1</v>
      </c>
      <c r="D12" s="43" t="n">
        <v>50</v>
      </c>
      <c r="E12" s="43" t="n">
        <v>50</v>
      </c>
      <c r="F12" s="43" t="inlineStr">
        <is>
          <t>Yes</t>
        </is>
      </c>
      <c r="G12" s="43" t="inlineStr">
        <is>
          <t>Yes</t>
        </is>
      </c>
      <c r="H12" s="43" t="inlineStr">
        <is>
          <t>Algebra Review/SAT Math</t>
        </is>
      </c>
      <c r="I12" s="43" t="inlineStr">
        <is>
          <t>No</t>
        </is>
      </c>
      <c r="J12" s="43" t="n">
        <v>50</v>
      </c>
      <c r="O12" s="48" t="inlineStr">
        <is>
          <t>Caroline Frey</t>
        </is>
      </c>
      <c r="P12" t="n">
        <v>1.5</v>
      </c>
      <c r="Q12" t="n">
        <v>75</v>
      </c>
    </row>
    <row r="13">
      <c r="A13" s="43" t="inlineStr">
        <is>
          <t>Maddie Wilson</t>
        </is>
      </c>
      <c r="B13" s="44" t="n">
        <v>44829</v>
      </c>
      <c r="C13" s="43" t="n">
        <v>2</v>
      </c>
      <c r="D13" s="43" t="n">
        <v>100</v>
      </c>
      <c r="E13" s="43" t="n">
        <v>100</v>
      </c>
      <c r="F13" s="43" t="inlineStr">
        <is>
          <t>Yes</t>
        </is>
      </c>
      <c r="G13" s="43" t="inlineStr">
        <is>
          <t>Yes</t>
        </is>
      </c>
      <c r="H13" s="43" t="inlineStr">
        <is>
          <t>Supplemental Essays</t>
        </is>
      </c>
      <c r="I13" s="43" t="inlineStr">
        <is>
          <t>No</t>
        </is>
      </c>
      <c r="J13" s="43" t="n">
        <v>100</v>
      </c>
      <c r="O13" s="48" t="inlineStr">
        <is>
          <t>Claire Cecotti</t>
        </is>
      </c>
      <c r="P13" t="n">
        <v>2</v>
      </c>
      <c r="Q13" t="n">
        <v>100</v>
      </c>
    </row>
    <row r="14">
      <c r="A14" s="43" t="inlineStr">
        <is>
          <t>Sam Cormier</t>
        </is>
      </c>
      <c r="B14" s="44" t="n">
        <v>44829</v>
      </c>
      <c r="C14" s="43" t="n">
        <v>2</v>
      </c>
      <c r="D14" s="43" t="n">
        <v>100</v>
      </c>
      <c r="E14" s="43" t="n">
        <v>100</v>
      </c>
      <c r="F14" s="43" t="inlineStr">
        <is>
          <t>Yes</t>
        </is>
      </c>
      <c r="G14" s="43" t="inlineStr">
        <is>
          <t>Yes</t>
        </is>
      </c>
      <c r="H14" s="43" t="inlineStr">
        <is>
          <t>Supplemental Essays</t>
        </is>
      </c>
      <c r="I14" s="43" t="inlineStr">
        <is>
          <t>No</t>
        </is>
      </c>
      <c r="J14" s="43" t="n">
        <v>100</v>
      </c>
      <c r="O14" s="48" t="inlineStr">
        <is>
          <t>Kathryn Oakford</t>
        </is>
      </c>
      <c r="P14" t="n">
        <v>2.5</v>
      </c>
      <c r="Q14" t="n">
        <v>125</v>
      </c>
    </row>
    <row r="15">
      <c r="A15" s="43" t="inlineStr">
        <is>
          <t>Claire Cecotti</t>
        </is>
      </c>
      <c r="B15" s="44" t="n">
        <v>44830</v>
      </c>
      <c r="C15" s="43" t="n">
        <v>1</v>
      </c>
      <c r="D15" s="43" t="n">
        <v>50</v>
      </c>
      <c r="E15" s="43" t="n">
        <v>50</v>
      </c>
      <c r="F15" s="43" t="inlineStr">
        <is>
          <t>Yes</t>
        </is>
      </c>
      <c r="G15" s="43" t="inlineStr">
        <is>
          <t>Yes</t>
        </is>
      </c>
      <c r="H15" s="43" t="inlineStr">
        <is>
          <t>Algebra Review/SAT Math</t>
        </is>
      </c>
      <c r="I15" s="43" t="inlineStr">
        <is>
          <t>No</t>
        </is>
      </c>
      <c r="J15" s="43" t="n">
        <v>50</v>
      </c>
      <c r="O15" s="48" t="inlineStr">
        <is>
          <t>Kaylie Thompson</t>
        </is>
      </c>
      <c r="P15" t="n">
        <v>1.5</v>
      </c>
      <c r="Q15" t="n">
        <v>75</v>
      </c>
    </row>
    <row r="16">
      <c r="A16" s="43" t="inlineStr">
        <is>
          <t>Maddie Wilson</t>
        </is>
      </c>
      <c r="B16" s="44" t="n">
        <v>44832</v>
      </c>
      <c r="C16" s="43" t="n">
        <v>1.5</v>
      </c>
      <c r="D16" s="43" t="n">
        <v>50</v>
      </c>
      <c r="E16" s="43" t="n">
        <v>75</v>
      </c>
      <c r="F16" s="43" t="inlineStr">
        <is>
          <t>Yes</t>
        </is>
      </c>
      <c r="G16" s="43" t="inlineStr">
        <is>
          <t>Yes</t>
        </is>
      </c>
      <c r="H16" s="43" t="inlineStr">
        <is>
          <t>Supplemental Essays</t>
        </is>
      </c>
      <c r="I16" s="43" t="inlineStr">
        <is>
          <t>No</t>
        </is>
      </c>
      <c r="J16" s="43" t="n">
        <v>75</v>
      </c>
      <c r="O16" s="48" t="inlineStr">
        <is>
          <t>Maddie Wilson</t>
        </is>
      </c>
      <c r="P16" t="n">
        <v>7.5</v>
      </c>
      <c r="Q16" t="n">
        <v>375</v>
      </c>
    </row>
    <row r="17">
      <c r="B17" s="42" t="n"/>
      <c r="O17" s="48" t="inlineStr">
        <is>
          <t>Mckenzie Frey</t>
        </is>
      </c>
      <c r="P17" t="n">
        <v>0.5</v>
      </c>
      <c r="Q17" t="n">
        <v>25</v>
      </c>
    </row>
    <row r="18">
      <c r="J18" s="37">
        <f>SUM(J2:J16)</f>
        <v/>
      </c>
      <c r="O18" s="48" t="inlineStr">
        <is>
          <t>Rohan Skanda</t>
        </is>
      </c>
      <c r="P18" t="n">
        <v>1</v>
      </c>
      <c r="Q18" t="n">
        <v>50</v>
      </c>
    </row>
    <row r="19">
      <c r="O19" s="48" t="inlineStr">
        <is>
          <t>Sam Cormier</t>
        </is>
      </c>
      <c r="P19" t="n">
        <v>2</v>
      </c>
      <c r="Q19" t="n">
        <v>100</v>
      </c>
    </row>
    <row r="20">
      <c r="O20" s="48" t="inlineStr">
        <is>
          <t>Grand Total</t>
        </is>
      </c>
      <c r="P20" t="n">
        <v>20.5</v>
      </c>
      <c r="Q20" t="n">
        <v>1025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activeCell="O19" sqref="O19:O35"/>
      <selection pane="bottomLeft" activeCell="O19" sqref="O19:O35"/>
    </sheetView>
  </sheetViews>
  <sheetFormatPr baseColWidth="8" defaultColWidth="9.109375" defaultRowHeight="14.4"/>
  <cols>
    <col width="15.109375" bestFit="1" customWidth="1" style="37" min="1" max="1"/>
    <col width="9.6640625" bestFit="1" customWidth="1" style="37" min="2" max="2"/>
    <col width="6.109375" bestFit="1" customWidth="1" style="37" min="3" max="3"/>
    <col width="9.109375" customWidth="1" style="37" min="4" max="6"/>
    <col width="18.6640625" bestFit="1" customWidth="1" style="37" min="7" max="7"/>
    <col width="9.109375" customWidth="1" style="37" min="8" max="14"/>
    <col width="16.33203125" bestFit="1" customWidth="1" style="37" min="15" max="15"/>
    <col width="12.6640625" bestFit="1" customWidth="1" style="37" min="16" max="16"/>
    <col width="11.44140625" bestFit="1" customWidth="1" style="37" min="17" max="17"/>
    <col width="9.109375" customWidth="1" style="37" min="18" max="16384"/>
  </cols>
  <sheetData>
    <row r="1">
      <c r="A1" s="37" t="inlineStr">
        <is>
          <t>Student</t>
        </is>
      </c>
      <c r="B1" s="37" t="inlineStr">
        <is>
          <t>Date</t>
        </is>
      </c>
      <c r="C1" s="37" t="inlineStr">
        <is>
          <t>Hours</t>
        </is>
      </c>
      <c r="D1" s="37" t="inlineStr">
        <is>
          <t>Rate ($/hr)</t>
        </is>
      </c>
      <c r="E1" s="37" t="inlineStr">
        <is>
          <t>Coin</t>
        </is>
      </c>
      <c r="F1" s="37" t="inlineStr">
        <is>
          <t>Billed?</t>
        </is>
      </c>
      <c r="G1" s="37" t="inlineStr">
        <is>
          <t>Received payment?</t>
        </is>
      </c>
      <c r="H1" s="37" t="inlineStr">
        <is>
          <t>Topic</t>
        </is>
      </c>
      <c r="I1" s="37" t="inlineStr">
        <is>
          <t>Tip?</t>
        </is>
      </c>
      <c r="J1" s="37" t="inlineStr">
        <is>
          <t>Totals</t>
        </is>
      </c>
    </row>
    <row r="2">
      <c r="A2" s="45" t="inlineStr">
        <is>
          <t>Caroline Frey</t>
        </is>
      </c>
      <c r="B2" s="46" t="n">
        <v>44793</v>
      </c>
      <c r="C2" s="45" t="n">
        <v>0.5</v>
      </c>
      <c r="D2" s="45" t="n">
        <v>50</v>
      </c>
      <c r="E2" s="45">
        <f>C2*D2</f>
        <v/>
      </c>
      <c r="F2" s="45" t="inlineStr">
        <is>
          <t>Yes</t>
        </is>
      </c>
      <c r="G2" s="45" t="inlineStr">
        <is>
          <t>Yes</t>
        </is>
      </c>
      <c r="H2" s="45" t="inlineStr">
        <is>
          <t>Adderal form</t>
        </is>
      </c>
      <c r="I2" s="45" t="n">
        <v>10</v>
      </c>
      <c r="J2" s="45">
        <f>E2+I2</f>
        <v/>
      </c>
    </row>
    <row r="3">
      <c r="A3" s="45" t="inlineStr">
        <is>
          <t>Nicolette Batori</t>
        </is>
      </c>
      <c r="B3" s="46" t="n">
        <v>44794</v>
      </c>
      <c r="C3" s="45" t="n">
        <v>1.5</v>
      </c>
      <c r="D3" s="45" t="n">
        <v>50</v>
      </c>
      <c r="E3" s="45">
        <f>C3*D3</f>
        <v/>
      </c>
      <c r="F3" s="45" t="inlineStr">
        <is>
          <t>No</t>
        </is>
      </c>
      <c r="G3" s="45" t="inlineStr">
        <is>
          <t>Yes</t>
        </is>
      </c>
      <c r="H3" s="45" t="inlineStr">
        <is>
          <t>SAT/ACT overview, college talk/prep</t>
        </is>
      </c>
      <c r="I3" s="45" t="n">
        <v>0</v>
      </c>
      <c r="J3" s="45">
        <f>E3+I3</f>
        <v/>
      </c>
    </row>
    <row r="4">
      <c r="A4" s="45" t="inlineStr">
        <is>
          <t>Maddie Wilson</t>
        </is>
      </c>
      <c r="B4" s="46" t="n">
        <v>44794</v>
      </c>
      <c r="C4" s="45" t="n">
        <v>1</v>
      </c>
      <c r="D4" s="45" t="n">
        <v>50</v>
      </c>
      <c r="E4" s="45">
        <f>C4*D4</f>
        <v/>
      </c>
      <c r="F4" s="45" t="inlineStr">
        <is>
          <t>No</t>
        </is>
      </c>
      <c r="G4" s="45" t="inlineStr">
        <is>
          <t>No</t>
        </is>
      </c>
      <c r="H4" s="45" t="inlineStr">
        <is>
          <t>ACT Science</t>
        </is>
      </c>
      <c r="I4" s="45" t="n"/>
      <c r="J4" s="45">
        <f>E4+I4</f>
        <v/>
      </c>
    </row>
    <row r="5">
      <c r="A5" s="45" t="inlineStr">
        <is>
          <t>Sujay Penugonda</t>
        </is>
      </c>
      <c r="B5" s="46" t="n">
        <v>44796</v>
      </c>
      <c r="C5" s="45" t="n">
        <v>2</v>
      </c>
      <c r="D5" s="45" t="n">
        <v>50</v>
      </c>
      <c r="E5" s="45">
        <f>C5*D5</f>
        <v/>
      </c>
      <c r="F5" s="45" t="inlineStr">
        <is>
          <t>Yes</t>
        </is>
      </c>
      <c r="G5" s="45" t="inlineStr">
        <is>
          <t>Yes</t>
        </is>
      </c>
      <c r="H5" s="45" t="inlineStr">
        <is>
          <t>Essay</t>
        </is>
      </c>
      <c r="I5" s="45" t="n"/>
      <c r="J5" s="45">
        <f>E5+I5</f>
        <v/>
      </c>
      <c r="O5" s="47" t="inlineStr">
        <is>
          <t>Row Labels</t>
        </is>
      </c>
      <c r="P5" t="inlineStr">
        <is>
          <t>Sum of Hours</t>
        </is>
      </c>
      <c r="Q5" t="inlineStr">
        <is>
          <t>Sum of Coin</t>
        </is>
      </c>
    </row>
    <row r="6">
      <c r="A6" s="45" t="inlineStr">
        <is>
          <t>Maddie Wilson</t>
        </is>
      </c>
      <c r="B6" s="46" t="n">
        <v>44796</v>
      </c>
      <c r="C6" s="45" t="n">
        <v>2</v>
      </c>
      <c r="D6" s="45" t="n">
        <v>50</v>
      </c>
      <c r="E6" s="45">
        <f>C6*D6</f>
        <v/>
      </c>
      <c r="F6" s="45" t="inlineStr">
        <is>
          <t>No</t>
        </is>
      </c>
      <c r="G6" s="45" t="inlineStr">
        <is>
          <t>No</t>
        </is>
      </c>
      <c r="H6" s="45" t="inlineStr">
        <is>
          <t>ACT Math, college essay</t>
        </is>
      </c>
      <c r="I6" s="45" t="n"/>
      <c r="J6" s="45">
        <f>E6+I6</f>
        <v/>
      </c>
      <c r="O6" s="48" t="inlineStr">
        <is>
          <t>Caroline Frey</t>
        </is>
      </c>
      <c r="P6" t="n">
        <v>0.5</v>
      </c>
      <c r="Q6" t="n">
        <v>25</v>
      </c>
    </row>
    <row r="7">
      <c r="A7" s="45" t="inlineStr">
        <is>
          <t>Matthew Aasen</t>
        </is>
      </c>
      <c r="B7" s="46" t="n">
        <v>44796</v>
      </c>
      <c r="C7" s="45" t="n">
        <v>0.5</v>
      </c>
      <c r="D7" s="45" t="n">
        <v>50</v>
      </c>
      <c r="E7" s="45">
        <f>C7*D7</f>
        <v/>
      </c>
      <c r="F7" s="45" t="inlineStr">
        <is>
          <t>Yes</t>
        </is>
      </c>
      <c r="G7" s="45" t="inlineStr">
        <is>
          <t>Yes</t>
        </is>
      </c>
      <c r="H7" s="45" t="inlineStr">
        <is>
          <t>2nd read common app</t>
        </is>
      </c>
      <c r="I7" s="45" t="n"/>
      <c r="J7" s="45">
        <f>E7+I7</f>
        <v/>
      </c>
      <c r="O7" s="48" t="inlineStr">
        <is>
          <t>Maddie Wilson</t>
        </is>
      </c>
      <c r="P7" t="n">
        <v>3</v>
      </c>
      <c r="Q7" t="n">
        <v>150</v>
      </c>
    </row>
    <row r="8">
      <c r="O8" s="48" t="inlineStr">
        <is>
          <t>Matthew Aasen</t>
        </is>
      </c>
      <c r="P8" t="n">
        <v>0.5</v>
      </c>
      <c r="Q8" t="n">
        <v>25</v>
      </c>
    </row>
    <row r="9">
      <c r="O9" s="48" t="inlineStr">
        <is>
          <t>Nicolette Batori</t>
        </is>
      </c>
      <c r="P9" t="n">
        <v>1.5</v>
      </c>
      <c r="Q9" t="n">
        <v>75</v>
      </c>
    </row>
    <row r="10">
      <c r="J10" s="37">
        <f>SUM(J2:J7)</f>
        <v/>
      </c>
      <c r="O10" s="48" t="inlineStr">
        <is>
          <t>Sujay Penugonda</t>
        </is>
      </c>
      <c r="P10" t="n">
        <v>2</v>
      </c>
      <c r="Q10" t="n">
        <v>100</v>
      </c>
    </row>
    <row r="11">
      <c r="O11" s="48" t="inlineStr">
        <is>
          <t>Grand Total</t>
        </is>
      </c>
      <c r="P11" t="n">
        <v>7.5</v>
      </c>
      <c r="Q11" t="n">
        <v>375</v>
      </c>
    </row>
    <row r="12">
      <c r="J12" s="37" t="inlineStr">
        <is>
          <t>BALANCED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tabColor theme="0" tint="-0.249977111117893"/>
    <outlinePr summaryBelow="1" summaryRight="1"/>
    <pageSetUpPr/>
  </sheetPr>
  <dimension ref="B2:FB21"/>
  <sheetViews>
    <sheetView topLeftCell="R3" zoomScale="130" zoomScaleNormal="130" workbookViewId="0">
      <selection activeCell="Z18" sqref="Z18"/>
    </sheetView>
  </sheetViews>
  <sheetFormatPr baseColWidth="8" defaultColWidth="8.6640625" defaultRowHeight="14.4"/>
  <cols>
    <col width="14.44140625" bestFit="1" customWidth="1" min="3" max="3"/>
    <col width="11.33203125" bestFit="1" customWidth="1" min="4" max="4"/>
    <col width="10.44140625" bestFit="1" customWidth="1" min="5" max="5"/>
    <col width="24.33203125" bestFit="1" customWidth="1" min="6" max="6"/>
    <col width="0.33203125" customWidth="1" min="7" max="7"/>
    <col hidden="1" outlineLevel="1" width="9.44140625" customWidth="1" min="8" max="11"/>
    <col hidden="1" outlineLevel="1" width="11" customWidth="1" min="12" max="12"/>
    <col hidden="1" outlineLevel="1" width="11.33203125" customWidth="1" min="13" max="13"/>
    <col hidden="1" outlineLevel="1" width="10.44140625" customWidth="1" min="14" max="14"/>
    <col hidden="1" outlineLevel="1" width="9.44140625" customWidth="1" min="15" max="17"/>
    <col collapsed="1" width="9.44140625" bestFit="1" customWidth="1" min="18" max="18"/>
    <col width="9.44140625" bestFit="1" customWidth="1" min="19" max="24"/>
    <col width="10.44140625" bestFit="1" customWidth="1" min="25" max="26"/>
    <col width="9.44140625" bestFit="1" customWidth="1" min="27" max="35"/>
    <col width="10.44140625" bestFit="1" customWidth="1" min="36" max="38"/>
    <col width="9.44140625" bestFit="1" customWidth="1" min="39" max="47"/>
    <col width="10.44140625" bestFit="1" customWidth="1" min="48" max="50"/>
    <col width="9.44140625" bestFit="1" customWidth="1" min="51" max="59"/>
    <col width="10.44140625" bestFit="1" customWidth="1" min="60" max="62"/>
    <col width="9.44140625" bestFit="1" customWidth="1" min="63" max="71"/>
    <col width="10.44140625" bestFit="1" customWidth="1" min="72" max="74"/>
    <col width="9.44140625" bestFit="1" customWidth="1" min="75" max="83"/>
    <col width="10.44140625" bestFit="1" customWidth="1" min="84" max="86"/>
    <col width="9.44140625" bestFit="1" customWidth="1" min="87" max="95"/>
    <col width="10.44140625" bestFit="1" customWidth="1" min="96" max="98"/>
    <col width="9.44140625" bestFit="1" customWidth="1" min="99" max="107"/>
    <col width="10.44140625" bestFit="1" customWidth="1" min="108" max="110"/>
    <col width="9.44140625" bestFit="1" customWidth="1" min="111" max="119"/>
    <col width="10.44140625" bestFit="1" customWidth="1" min="120" max="122"/>
    <col width="9.44140625" bestFit="1" customWidth="1" min="123" max="131"/>
    <col width="10.44140625" bestFit="1" customWidth="1" min="132" max="134"/>
    <col width="9.44140625" bestFit="1" customWidth="1" min="135" max="143"/>
    <col width="10.44140625" bestFit="1" customWidth="1" min="144" max="146"/>
    <col width="9.44140625" bestFit="1" customWidth="1" min="147" max="155"/>
    <col width="10.44140625" bestFit="1" customWidth="1" min="156" max="158"/>
  </cols>
  <sheetData>
    <row r="1" ht="15" customHeight="1" thickBot="1"/>
    <row r="2" ht="15" customHeight="1" thickTop="1">
      <c r="B2" s="439" t="n"/>
      <c r="C2" s="440" t="n"/>
      <c r="D2" s="440" t="n"/>
      <c r="E2" s="440" t="n"/>
      <c r="F2" s="440" t="n"/>
      <c r="G2" s="440" t="n"/>
      <c r="H2" s="441" t="n">
        <v>45473</v>
      </c>
      <c r="I2" s="445">
        <f>EOMONTH(H2,1)</f>
        <v/>
      </c>
      <c r="J2" s="445">
        <f>EOMONTH(I2,1)</f>
        <v/>
      </c>
      <c r="K2" s="445">
        <f>EOMONTH(J2,1)</f>
        <v/>
      </c>
      <c r="L2" s="445">
        <f>EOMONTH(K2,1)</f>
        <v/>
      </c>
      <c r="M2" s="445">
        <f>EOMONTH(L2,1)</f>
        <v/>
      </c>
      <c r="N2" s="445">
        <f>EOMONTH(M2,1)</f>
        <v/>
      </c>
      <c r="O2" s="445">
        <f>EOMONTH(N2,1)</f>
        <v/>
      </c>
      <c r="P2" s="445">
        <f>EOMONTH(O2,1)</f>
        <v/>
      </c>
      <c r="Q2" s="445">
        <f>EOMONTH(P2,1)</f>
        <v/>
      </c>
      <c r="R2" s="445">
        <f>EOMONTH(Q2,1)</f>
        <v/>
      </c>
      <c r="S2" s="445">
        <f>EOMONTH(R2,1)</f>
        <v/>
      </c>
      <c r="T2" s="445">
        <f>EOMONTH(S2,1)</f>
        <v/>
      </c>
      <c r="U2" s="445">
        <f>EOMONTH(T2,1)</f>
        <v/>
      </c>
      <c r="V2" s="445">
        <f>EOMONTH(U2,1)</f>
        <v/>
      </c>
      <c r="W2" s="445">
        <f>EOMONTH(V2,1)</f>
        <v/>
      </c>
      <c r="X2" s="446">
        <f>EOMONTH(W2,1)</f>
        <v/>
      </c>
      <c r="Y2" s="445">
        <f>EOMONTH(X2,1)</f>
        <v/>
      </c>
      <c r="Z2" s="445">
        <f>EOMONTH(Y2,1)</f>
        <v/>
      </c>
      <c r="AA2" s="445">
        <f>EOMONTH(Z2,1)</f>
        <v/>
      </c>
      <c r="AB2" s="445">
        <f>EOMONTH(AA2,1)</f>
        <v/>
      </c>
      <c r="AC2" s="445">
        <f>EOMONTH(AB2,1)</f>
        <v/>
      </c>
      <c r="AD2" s="445">
        <f>EOMONTH(AC2,1)</f>
        <v/>
      </c>
      <c r="AE2" s="445">
        <f>EOMONTH(AD2,1)</f>
        <v/>
      </c>
      <c r="AF2" s="445">
        <f>EOMONTH(AE2,1)</f>
        <v/>
      </c>
      <c r="AG2" s="445">
        <f>EOMONTH(AF2,1)</f>
        <v/>
      </c>
      <c r="AH2" s="445">
        <f>EOMONTH(AG2,1)</f>
        <v/>
      </c>
      <c r="AI2" s="445">
        <f>EOMONTH(AH2,1)</f>
        <v/>
      </c>
      <c r="AJ2" s="445">
        <f>EOMONTH(AI2,1)</f>
        <v/>
      </c>
      <c r="AK2" s="445">
        <f>EOMONTH(AJ2,1)</f>
        <v/>
      </c>
      <c r="AL2" s="445">
        <f>EOMONTH(AK2,1)</f>
        <v/>
      </c>
      <c r="AM2" s="445">
        <f>EOMONTH(AL2,1)</f>
        <v/>
      </c>
      <c r="AN2" s="445">
        <f>EOMONTH(AM2,1)</f>
        <v/>
      </c>
      <c r="AO2" s="445">
        <f>EOMONTH(AN2,1)</f>
        <v/>
      </c>
      <c r="AP2" s="445">
        <f>EOMONTH(AO2,1)</f>
        <v/>
      </c>
      <c r="AQ2" s="445">
        <f>EOMONTH(AP2,1)</f>
        <v/>
      </c>
      <c r="AR2" s="445">
        <f>EOMONTH(AQ2,1)</f>
        <v/>
      </c>
      <c r="AS2" s="445">
        <f>EOMONTH(AR2,1)</f>
        <v/>
      </c>
      <c r="AT2" s="445">
        <f>EOMONTH(AS2,1)</f>
        <v/>
      </c>
      <c r="AU2" s="445">
        <f>EOMONTH(AT2,1)</f>
        <v/>
      </c>
      <c r="AV2" s="445">
        <f>EOMONTH(AU2,1)</f>
        <v/>
      </c>
      <c r="AW2" s="445">
        <f>EOMONTH(AV2,1)</f>
        <v/>
      </c>
      <c r="AX2" s="445">
        <f>EOMONTH(AW2,1)</f>
        <v/>
      </c>
      <c r="AY2" s="445">
        <f>EOMONTH(AX2,1)</f>
        <v/>
      </c>
      <c r="AZ2" s="445">
        <f>EOMONTH(AY2,1)</f>
        <v/>
      </c>
      <c r="BA2" s="445">
        <f>EOMONTH(AZ2,1)</f>
        <v/>
      </c>
      <c r="BB2" s="445">
        <f>EOMONTH(BA2,1)</f>
        <v/>
      </c>
      <c r="BC2" s="445">
        <f>EOMONTH(BB2,1)</f>
        <v/>
      </c>
      <c r="BD2" s="445">
        <f>EOMONTH(BC2,1)</f>
        <v/>
      </c>
      <c r="BE2" s="445">
        <f>EOMONTH(BD2,1)</f>
        <v/>
      </c>
      <c r="BF2" s="445">
        <f>EOMONTH(BE2,1)</f>
        <v/>
      </c>
      <c r="BG2" s="445">
        <f>EOMONTH(BF2,1)</f>
        <v/>
      </c>
      <c r="BH2" s="445">
        <f>EOMONTH(BG2,1)</f>
        <v/>
      </c>
      <c r="BI2" s="445">
        <f>EOMONTH(BH2,1)</f>
        <v/>
      </c>
      <c r="BJ2" s="445">
        <f>EOMONTH(BI2,1)</f>
        <v/>
      </c>
      <c r="BK2" s="445">
        <f>EOMONTH(BJ2,1)</f>
        <v/>
      </c>
      <c r="BL2" s="445">
        <f>EOMONTH(BK2,1)</f>
        <v/>
      </c>
      <c r="BM2" s="445">
        <f>EOMONTH(BL2,1)</f>
        <v/>
      </c>
      <c r="BN2" s="445">
        <f>EOMONTH(BM2,1)</f>
        <v/>
      </c>
      <c r="BO2" s="445">
        <f>EOMONTH(BN2,1)</f>
        <v/>
      </c>
      <c r="BP2" s="445">
        <f>EOMONTH(BO2,1)</f>
        <v/>
      </c>
      <c r="BQ2" s="445">
        <f>EOMONTH(BP2,1)</f>
        <v/>
      </c>
      <c r="BR2" s="445">
        <f>EOMONTH(BQ2,1)</f>
        <v/>
      </c>
      <c r="BS2" s="445">
        <f>EOMONTH(BR2,1)</f>
        <v/>
      </c>
      <c r="BT2" s="445">
        <f>EOMONTH(BS2,1)</f>
        <v/>
      </c>
      <c r="BU2" s="445">
        <f>EOMONTH(BT2,1)</f>
        <v/>
      </c>
      <c r="BV2" s="445">
        <f>EOMONTH(BU2,1)</f>
        <v/>
      </c>
      <c r="BW2" s="445">
        <f>EOMONTH(BV2,1)</f>
        <v/>
      </c>
      <c r="BX2" s="445">
        <f>EOMONTH(BW2,1)</f>
        <v/>
      </c>
      <c r="BY2" s="445">
        <f>EOMONTH(BX2,1)</f>
        <v/>
      </c>
      <c r="BZ2" s="445">
        <f>EOMONTH(BY2,1)</f>
        <v/>
      </c>
      <c r="CA2" s="445">
        <f>EOMONTH(BZ2,1)</f>
        <v/>
      </c>
      <c r="CB2" s="445">
        <f>EOMONTH(CA2,1)</f>
        <v/>
      </c>
      <c r="CC2" s="445">
        <f>EOMONTH(CB2,1)</f>
        <v/>
      </c>
      <c r="CD2" s="445">
        <f>EOMONTH(CC2,1)</f>
        <v/>
      </c>
      <c r="CE2" s="445">
        <f>EOMONTH(CD2,1)</f>
        <v/>
      </c>
      <c r="CF2" s="445">
        <f>EOMONTH(CE2,1)</f>
        <v/>
      </c>
      <c r="CG2" s="445">
        <f>EOMONTH(CF2,1)</f>
        <v/>
      </c>
      <c r="CH2" s="445">
        <f>EOMONTH(CG2,1)</f>
        <v/>
      </c>
      <c r="CI2" s="445">
        <f>EOMONTH(CH2,1)</f>
        <v/>
      </c>
      <c r="CJ2" s="445">
        <f>EOMONTH(CI2,1)</f>
        <v/>
      </c>
      <c r="CK2" s="445">
        <f>EOMONTH(CJ2,1)</f>
        <v/>
      </c>
      <c r="CL2" s="445">
        <f>EOMONTH(CK2,1)</f>
        <v/>
      </c>
      <c r="CM2" s="445">
        <f>EOMONTH(CL2,1)</f>
        <v/>
      </c>
      <c r="CN2" s="445">
        <f>EOMONTH(CM2,1)</f>
        <v/>
      </c>
      <c r="CO2" s="445">
        <f>EOMONTH(CN2,1)</f>
        <v/>
      </c>
      <c r="CP2" s="445">
        <f>EOMONTH(CO2,1)</f>
        <v/>
      </c>
      <c r="CQ2" s="445">
        <f>EOMONTH(CP2,1)</f>
        <v/>
      </c>
      <c r="CR2" s="445">
        <f>EOMONTH(CQ2,1)</f>
        <v/>
      </c>
      <c r="CS2" s="445">
        <f>EOMONTH(CR2,1)</f>
        <v/>
      </c>
      <c r="CT2" s="445">
        <f>EOMONTH(CS2,1)</f>
        <v/>
      </c>
      <c r="CU2" s="445">
        <f>EOMONTH(CT2,1)</f>
        <v/>
      </c>
      <c r="CV2" s="445">
        <f>EOMONTH(CU2,1)</f>
        <v/>
      </c>
      <c r="CW2" s="445">
        <f>EOMONTH(CV2,1)</f>
        <v/>
      </c>
      <c r="CX2" s="445">
        <f>EOMONTH(CW2,1)</f>
        <v/>
      </c>
      <c r="CY2" s="445">
        <f>EOMONTH(CX2,1)</f>
        <v/>
      </c>
      <c r="CZ2" s="445">
        <f>EOMONTH(CY2,1)</f>
        <v/>
      </c>
      <c r="DA2" s="445">
        <f>EOMONTH(CZ2,1)</f>
        <v/>
      </c>
      <c r="DB2" s="445">
        <f>EOMONTH(DA2,1)</f>
        <v/>
      </c>
      <c r="DC2" s="445">
        <f>EOMONTH(DB2,1)</f>
        <v/>
      </c>
      <c r="DD2" s="445">
        <f>EOMONTH(DC2,1)</f>
        <v/>
      </c>
      <c r="DE2" s="445">
        <f>EOMONTH(DD2,1)</f>
        <v/>
      </c>
      <c r="DF2" s="445">
        <f>EOMONTH(DE2,1)</f>
        <v/>
      </c>
      <c r="DG2" s="445">
        <f>EOMONTH(DF2,1)</f>
        <v/>
      </c>
      <c r="DH2" s="445">
        <f>EOMONTH(DG2,1)</f>
        <v/>
      </c>
      <c r="DI2" s="445">
        <f>EOMONTH(DH2,1)</f>
        <v/>
      </c>
      <c r="DJ2" s="445">
        <f>EOMONTH(DI2,1)</f>
        <v/>
      </c>
      <c r="DK2" s="445">
        <f>EOMONTH(DJ2,1)</f>
        <v/>
      </c>
      <c r="DL2" s="445">
        <f>EOMONTH(DK2,1)</f>
        <v/>
      </c>
      <c r="DM2" s="445">
        <f>EOMONTH(DL2,1)</f>
        <v/>
      </c>
      <c r="DN2" s="445">
        <f>EOMONTH(DM2,1)</f>
        <v/>
      </c>
      <c r="DO2" s="445">
        <f>EOMONTH(DN2,1)</f>
        <v/>
      </c>
      <c r="DP2" s="445">
        <f>EOMONTH(DO2,1)</f>
        <v/>
      </c>
      <c r="DQ2" s="445">
        <f>EOMONTH(DP2,1)</f>
        <v/>
      </c>
      <c r="DR2" s="445">
        <f>EOMONTH(DQ2,1)</f>
        <v/>
      </c>
      <c r="DS2" s="445">
        <f>EOMONTH(DR2,1)</f>
        <v/>
      </c>
      <c r="DT2" s="445">
        <f>EOMONTH(DS2,1)</f>
        <v/>
      </c>
      <c r="DU2" s="445">
        <f>EOMONTH(DT2,1)</f>
        <v/>
      </c>
      <c r="DV2" s="445">
        <f>EOMONTH(DU2,1)</f>
        <v/>
      </c>
      <c r="DW2" s="445">
        <f>EOMONTH(DV2,1)</f>
        <v/>
      </c>
      <c r="DX2" s="445">
        <f>EOMONTH(DW2,1)</f>
        <v/>
      </c>
      <c r="DY2" s="445">
        <f>EOMONTH(DX2,1)</f>
        <v/>
      </c>
      <c r="DZ2" s="445">
        <f>EOMONTH(DY2,1)</f>
        <v/>
      </c>
      <c r="EA2" s="445">
        <f>EOMONTH(DZ2,1)</f>
        <v/>
      </c>
      <c r="EB2" s="445">
        <f>EOMONTH(EA2,1)</f>
        <v/>
      </c>
      <c r="EC2" s="445">
        <f>EOMONTH(EB2,1)</f>
        <v/>
      </c>
      <c r="ED2" s="445">
        <f>EOMONTH(EC2,1)</f>
        <v/>
      </c>
      <c r="EE2" s="445">
        <f>EOMONTH(ED2,1)</f>
        <v/>
      </c>
      <c r="EF2" s="445">
        <f>EOMONTH(EE2,1)</f>
        <v/>
      </c>
      <c r="EG2" s="445">
        <f>EOMONTH(EF2,1)</f>
        <v/>
      </c>
      <c r="EH2" s="445">
        <f>EOMONTH(EG2,1)</f>
        <v/>
      </c>
      <c r="EI2" s="445">
        <f>EOMONTH(EH2,1)</f>
        <v/>
      </c>
      <c r="EJ2" s="445">
        <f>EOMONTH(EI2,1)</f>
        <v/>
      </c>
      <c r="EK2" s="445">
        <f>EOMONTH(EJ2,1)</f>
        <v/>
      </c>
      <c r="EL2" s="445">
        <f>EOMONTH(EK2,1)</f>
        <v/>
      </c>
      <c r="EM2" s="445">
        <f>EOMONTH(EL2,1)</f>
        <v/>
      </c>
      <c r="EN2" s="445">
        <f>EOMONTH(EM2,1)</f>
        <v/>
      </c>
      <c r="EO2" s="445">
        <f>EOMONTH(EN2,1)</f>
        <v/>
      </c>
      <c r="EP2" s="445">
        <f>EOMONTH(EO2,1)</f>
        <v/>
      </c>
      <c r="EQ2" s="445">
        <f>EOMONTH(EP2,1)</f>
        <v/>
      </c>
      <c r="ER2" s="445">
        <f>EOMONTH(EQ2,1)</f>
        <v/>
      </c>
      <c r="ES2" s="445">
        <f>EOMONTH(ER2,1)</f>
        <v/>
      </c>
      <c r="ET2" s="445">
        <f>EOMONTH(ES2,1)</f>
        <v/>
      </c>
      <c r="EU2" s="445">
        <f>EOMONTH(ET2,1)</f>
        <v/>
      </c>
      <c r="EV2" s="445">
        <f>EOMONTH(EU2,1)</f>
        <v/>
      </c>
      <c r="EW2" s="445">
        <f>EOMONTH(EV2,1)</f>
        <v/>
      </c>
      <c r="EX2" s="445">
        <f>EOMONTH(EW2,1)</f>
        <v/>
      </c>
      <c r="EY2" s="445">
        <f>EOMONTH(EX2,1)</f>
        <v/>
      </c>
      <c r="EZ2" s="445">
        <f>EOMONTH(EY2,1)</f>
        <v/>
      </c>
      <c r="FA2" s="445">
        <f>EOMONTH(EZ2,1)</f>
        <v/>
      </c>
      <c r="FB2" s="446">
        <f>EOMONTH(FA2,1)</f>
        <v/>
      </c>
    </row>
    <row r="3">
      <c r="B3" s="442" t="inlineStr">
        <is>
          <t>Name</t>
        </is>
      </c>
      <c r="C3" t="inlineStr">
        <is>
          <t>Position</t>
        </is>
      </c>
      <c r="D3" t="inlineStr">
        <is>
          <t>Hourly Rate</t>
        </is>
      </c>
      <c r="E3" t="inlineStr">
        <is>
          <t>Avg. Hours</t>
        </is>
      </c>
      <c r="H3" s="430" t="n"/>
      <c r="X3" s="431" t="n"/>
      <c r="FB3" s="431" t="n"/>
    </row>
    <row r="4">
      <c r="B4" s="442" t="inlineStr">
        <is>
          <t>Nvaid</t>
        </is>
      </c>
      <c r="C4" t="inlineStr">
        <is>
          <t>Intern</t>
        </is>
      </c>
      <c r="D4" s="819" t="n">
        <v>12</v>
      </c>
      <c r="E4">
        <f>4.33*10</f>
        <v/>
      </c>
      <c r="H4" s="432" t="n"/>
      <c r="I4" s="471" t="n">
        <v>0</v>
      </c>
      <c r="J4" s="471" t="n">
        <v>0</v>
      </c>
      <c r="K4" s="471" t="n">
        <v>0</v>
      </c>
      <c r="L4" s="471" t="n">
        <v>0</v>
      </c>
      <c r="M4" s="471" t="n">
        <v>0</v>
      </c>
      <c r="N4" s="471" t="n">
        <v>0</v>
      </c>
      <c r="O4" s="471" t="n">
        <v>0</v>
      </c>
      <c r="P4" s="471" t="n">
        <v>0</v>
      </c>
      <c r="Q4" s="471" t="n">
        <v>0</v>
      </c>
      <c r="R4" s="471" t="n">
        <v>0</v>
      </c>
      <c r="S4" s="471" t="n">
        <v>0</v>
      </c>
      <c r="T4" s="471" t="n"/>
      <c r="U4" s="471" t="n">
        <v>240</v>
      </c>
      <c r="V4" s="471" t="n"/>
      <c r="W4" s="471" t="n"/>
      <c r="X4" s="709" t="n"/>
      <c r="Y4" s="433" t="n"/>
      <c r="Z4" s="433" t="n"/>
      <c r="AA4" s="433" t="n"/>
      <c r="AB4" s="433" t="n"/>
      <c r="AC4" s="433" t="n"/>
      <c r="AD4" s="433" t="n"/>
      <c r="AE4" s="433" t="n"/>
      <c r="AF4" s="433" t="n"/>
      <c r="AG4" s="433" t="n"/>
      <c r="AH4" s="433" t="n"/>
      <c r="AI4" s="433" t="n"/>
      <c r="AJ4" s="433" t="n"/>
      <c r="AK4" s="433" t="n"/>
      <c r="AL4" s="433" t="n"/>
      <c r="AM4" s="433" t="n"/>
      <c r="AN4" s="433" t="n"/>
      <c r="AO4" s="433" t="n"/>
      <c r="AP4" s="433" t="n"/>
      <c r="AQ4" s="433" t="n"/>
      <c r="AR4" s="433" t="n"/>
      <c r="AS4" s="433" t="n"/>
      <c r="AT4" s="433" t="n"/>
      <c r="AU4" s="433" t="n"/>
      <c r="AV4" s="433" t="n"/>
      <c r="AW4" s="433" t="n"/>
      <c r="AX4" s="433" t="n"/>
      <c r="AY4" s="433" t="n"/>
      <c r="AZ4" s="433" t="n"/>
      <c r="BA4" s="433" t="n"/>
      <c r="BB4" s="433" t="n"/>
      <c r="BC4" s="433" t="n"/>
      <c r="BD4" s="433" t="n"/>
      <c r="BE4" s="433" t="n"/>
      <c r="BF4" s="433" t="n"/>
      <c r="BG4" s="433" t="n"/>
      <c r="BH4" s="433" t="n"/>
      <c r="BI4" s="433" t="n"/>
      <c r="BJ4" s="433" t="n"/>
      <c r="BK4" s="433" t="n"/>
      <c r="BL4" s="433" t="n"/>
      <c r="BM4" s="433" t="n"/>
      <c r="BN4" s="433" t="n"/>
      <c r="BO4" s="433" t="n"/>
      <c r="BP4" s="433" t="n"/>
      <c r="BQ4" s="433" t="n"/>
      <c r="BR4" s="433" t="n"/>
      <c r="BS4" s="433" t="n"/>
      <c r="BT4" s="433" t="n"/>
      <c r="BU4" s="433" t="n"/>
      <c r="BV4" s="433" t="n"/>
      <c r="BW4" s="433" t="n"/>
      <c r="BX4" s="433" t="n"/>
      <c r="BY4" s="433" t="n"/>
      <c r="BZ4" s="433" t="n"/>
      <c r="CA4" s="433" t="n"/>
      <c r="CB4" s="433" t="n"/>
      <c r="CC4" s="433" t="n"/>
      <c r="CD4" s="433" t="n"/>
      <c r="CE4" s="433" t="n"/>
      <c r="CF4" s="433" t="n"/>
      <c r="CG4" s="433" t="n"/>
      <c r="CH4" s="433" t="n"/>
      <c r="CI4" s="433" t="n"/>
      <c r="CJ4" s="433" t="n"/>
      <c r="CK4" s="433" t="n"/>
      <c r="CL4" s="433" t="n"/>
      <c r="CM4" s="433" t="n"/>
      <c r="CN4" s="433" t="n"/>
      <c r="CO4" s="433" t="n"/>
      <c r="CP4" s="433" t="n"/>
      <c r="CQ4" s="433" t="n"/>
      <c r="CR4" s="433" t="n"/>
      <c r="CS4" s="433" t="n"/>
      <c r="CT4" s="433" t="n"/>
      <c r="CU4" s="433" t="n"/>
      <c r="CV4" s="433" t="n"/>
      <c r="CW4" s="433" t="n"/>
      <c r="CX4" s="433" t="n"/>
      <c r="CY4" s="433" t="n"/>
      <c r="CZ4" s="433" t="n"/>
      <c r="DA4" s="433" t="n"/>
      <c r="DB4" s="433" t="n"/>
      <c r="DC4" s="433" t="n"/>
      <c r="DD4" s="433" t="n"/>
      <c r="DE4" s="433" t="n"/>
      <c r="DF4" s="433" t="n"/>
      <c r="DG4" s="433" t="n"/>
      <c r="DH4" s="433" t="n"/>
      <c r="DI4" s="433" t="n"/>
      <c r="DJ4" s="433" t="n"/>
      <c r="DK4" s="433" t="n"/>
      <c r="DL4" s="433" t="n"/>
      <c r="DM4" s="433" t="n"/>
      <c r="DN4" s="433" t="n"/>
      <c r="DO4" s="433" t="n"/>
      <c r="DP4" s="433" t="n"/>
      <c r="DQ4" s="433" t="n"/>
      <c r="DR4" s="433" t="n"/>
      <c r="DS4" s="433" t="n"/>
      <c r="DT4" s="433" t="n"/>
      <c r="DU4" s="433" t="n"/>
      <c r="DV4" s="433" t="n"/>
      <c r="DW4" s="433" t="n"/>
      <c r="DX4" s="433" t="n"/>
      <c r="DY4" s="433" t="n"/>
      <c r="DZ4" s="433" t="n"/>
      <c r="EA4" s="433" t="n"/>
      <c r="EB4" s="433" t="n"/>
      <c r="EC4" s="433" t="n"/>
      <c r="ED4" s="433" t="n"/>
      <c r="EE4" s="433" t="n"/>
      <c r="EF4" s="433" t="n"/>
      <c r="EG4" s="433" t="n"/>
      <c r="EH4" s="433" t="n"/>
      <c r="EI4" s="433" t="n"/>
      <c r="EJ4" s="433" t="n"/>
      <c r="EK4" s="433" t="n"/>
      <c r="EL4" s="433" t="n"/>
      <c r="EM4" s="433" t="n"/>
      <c r="EN4" s="433" t="n"/>
      <c r="EO4" s="433" t="n"/>
      <c r="EP4" s="433" t="n"/>
      <c r="EQ4" s="433" t="n"/>
      <c r="ER4" s="433" t="n"/>
      <c r="ES4" s="433" t="n"/>
      <c r="ET4" s="433" t="n"/>
      <c r="EU4" s="433" t="n"/>
      <c r="EV4" s="433" t="n"/>
      <c r="EW4" s="433" t="n"/>
      <c r="EX4" s="433" t="n"/>
      <c r="EY4" s="433" t="n"/>
      <c r="EZ4" s="433" t="n"/>
      <c r="FA4" s="433" t="n"/>
      <c r="FB4" s="434" t="n"/>
    </row>
    <row r="5">
      <c r="B5" s="442" t="inlineStr">
        <is>
          <t>Charles</t>
        </is>
      </c>
      <c r="C5" t="inlineStr">
        <is>
          <t>Intern</t>
        </is>
      </c>
      <c r="D5" s="819" t="n">
        <v>15</v>
      </c>
      <c r="E5">
        <f>4.33*10</f>
        <v/>
      </c>
      <c r="H5" s="432" t="n"/>
      <c r="I5" s="471" t="n">
        <v>450</v>
      </c>
      <c r="J5" s="471" t="n">
        <v>150</v>
      </c>
      <c r="K5" s="471" t="n">
        <v>0</v>
      </c>
      <c r="L5" s="471" t="n">
        <v>0</v>
      </c>
      <c r="M5" s="471" t="n">
        <v>0</v>
      </c>
      <c r="N5" s="471" t="n"/>
      <c r="O5" s="471" t="n">
        <v>0</v>
      </c>
      <c r="P5" s="471" t="n">
        <v>0</v>
      </c>
      <c r="Q5" s="471" t="n">
        <v>0</v>
      </c>
      <c r="R5" s="471" t="n">
        <v>0</v>
      </c>
      <c r="S5" s="471" t="n">
        <v>0</v>
      </c>
      <c r="T5" s="471" t="n"/>
      <c r="U5" s="471" t="n"/>
      <c r="V5" s="471" t="n"/>
      <c r="W5" s="471" t="n"/>
      <c r="X5" s="709" t="n"/>
      <c r="Y5" s="433" t="n"/>
      <c r="Z5" s="433" t="n"/>
      <c r="AA5" s="433" t="n"/>
      <c r="AB5" s="433" t="n"/>
      <c r="AC5" s="433" t="n"/>
      <c r="AD5" s="433" t="n"/>
      <c r="AE5" s="433" t="n"/>
      <c r="AF5" s="433" t="n"/>
      <c r="AG5" s="433" t="n"/>
      <c r="AH5" s="433" t="n"/>
      <c r="AI5" s="433" t="n"/>
      <c r="AJ5" s="433" t="n"/>
      <c r="AK5" s="433" t="n"/>
      <c r="AL5" s="433" t="n"/>
      <c r="AM5" s="433" t="n"/>
      <c r="AN5" s="433" t="n"/>
      <c r="AO5" s="433" t="n"/>
      <c r="AP5" s="433" t="n"/>
      <c r="AQ5" s="433" t="n"/>
      <c r="AR5" s="433" t="n"/>
      <c r="AS5" s="433" t="n"/>
      <c r="AT5" s="433" t="n"/>
      <c r="AU5" s="433" t="n"/>
      <c r="AV5" s="433" t="n"/>
      <c r="AW5" s="433" t="n"/>
      <c r="AX5" s="433" t="n"/>
      <c r="AY5" s="433" t="n"/>
      <c r="AZ5" s="433" t="n"/>
      <c r="BA5" s="433" t="n"/>
      <c r="BB5" s="433" t="n"/>
      <c r="BC5" s="433" t="n"/>
      <c r="BD5" s="433" t="n"/>
      <c r="BE5" s="433" t="n"/>
      <c r="BF5" s="433" t="n"/>
      <c r="BG5" s="433" t="n"/>
      <c r="BH5" s="433" t="n"/>
      <c r="BI5" s="433" t="n"/>
      <c r="BJ5" s="433" t="n"/>
      <c r="BK5" s="433" t="n"/>
      <c r="BL5" s="433" t="n"/>
      <c r="BM5" s="433" t="n"/>
      <c r="BN5" s="433" t="n"/>
      <c r="BO5" s="433" t="n"/>
      <c r="BP5" s="433" t="n"/>
      <c r="BQ5" s="433" t="n"/>
      <c r="BR5" s="433" t="n"/>
      <c r="BS5" s="433" t="n"/>
      <c r="BT5" s="433" t="n"/>
      <c r="BU5" s="433" t="n"/>
      <c r="BV5" s="433" t="n"/>
      <c r="BW5" s="433" t="n"/>
      <c r="BX5" s="433" t="n"/>
      <c r="BY5" s="433" t="n"/>
      <c r="BZ5" s="433" t="n"/>
      <c r="CA5" s="433" t="n"/>
      <c r="CB5" s="433" t="n"/>
      <c r="CC5" s="433" t="n"/>
      <c r="CD5" s="433" t="n"/>
      <c r="CE5" s="433" t="n"/>
      <c r="CF5" s="433" t="n"/>
      <c r="CG5" s="433" t="n"/>
      <c r="CH5" s="433" t="n"/>
      <c r="CI5" s="433" t="n"/>
      <c r="CJ5" s="433" t="n"/>
      <c r="CK5" s="433" t="n"/>
      <c r="CL5" s="433" t="n"/>
      <c r="CM5" s="433" t="n"/>
      <c r="CN5" s="433" t="n"/>
      <c r="CO5" s="433" t="n"/>
      <c r="CP5" s="433" t="n"/>
      <c r="CQ5" s="433" t="n"/>
      <c r="CR5" s="433" t="n"/>
      <c r="CS5" s="433" t="n"/>
      <c r="CT5" s="433" t="n"/>
      <c r="CU5" s="433" t="n"/>
      <c r="CV5" s="433" t="n"/>
      <c r="CW5" s="433" t="n"/>
      <c r="CX5" s="433" t="n"/>
      <c r="CY5" s="433" t="n"/>
      <c r="CZ5" s="433" t="n"/>
      <c r="DA5" s="433" t="n"/>
      <c r="DB5" s="433" t="n"/>
      <c r="DC5" s="433" t="n"/>
      <c r="DD5" s="433" t="n"/>
      <c r="DE5" s="433" t="n"/>
      <c r="DF5" s="433" t="n"/>
      <c r="DG5" s="433" t="n"/>
      <c r="DH5" s="433" t="n"/>
      <c r="DI5" s="433" t="n"/>
      <c r="DJ5" s="433" t="n"/>
      <c r="DK5" s="433" t="n"/>
      <c r="DL5" s="433" t="n"/>
      <c r="DM5" s="433" t="n"/>
      <c r="DN5" s="433" t="n"/>
      <c r="DO5" s="433" t="n"/>
      <c r="DP5" s="433" t="n"/>
      <c r="DQ5" s="433" t="n"/>
      <c r="DR5" s="433" t="n"/>
      <c r="DS5" s="433" t="n"/>
      <c r="DT5" s="433" t="n"/>
      <c r="DU5" s="433" t="n"/>
      <c r="DV5" s="433" t="n"/>
      <c r="DW5" s="433" t="n"/>
      <c r="DX5" s="433" t="n"/>
      <c r="DY5" s="433" t="n"/>
      <c r="DZ5" s="433" t="n"/>
      <c r="EA5" s="433" t="n"/>
      <c r="EB5" s="433" t="n"/>
      <c r="EC5" s="433" t="n"/>
      <c r="ED5" s="433" t="n"/>
      <c r="EE5" s="433" t="n"/>
      <c r="EF5" s="433" t="n"/>
      <c r="EG5" s="433" t="n"/>
      <c r="EH5" s="433" t="n"/>
      <c r="EI5" s="433" t="n"/>
      <c r="EJ5" s="433" t="n"/>
      <c r="EK5" s="433" t="n"/>
      <c r="EL5" s="433" t="n"/>
      <c r="EM5" s="433" t="n"/>
      <c r="EN5" s="433" t="n"/>
      <c r="EO5" s="433" t="n"/>
      <c r="EP5" s="433" t="n"/>
      <c r="EQ5" s="433" t="n"/>
      <c r="ER5" s="433" t="n"/>
      <c r="ES5" s="433" t="n"/>
      <c r="ET5" s="433" t="n"/>
      <c r="EU5" s="433" t="n"/>
      <c r="EV5" s="433" t="n"/>
      <c r="EW5" s="433" t="n"/>
      <c r="EX5" s="433" t="n"/>
      <c r="EY5" s="433" t="n"/>
      <c r="EZ5" s="433" t="n"/>
      <c r="FA5" s="433" t="n"/>
      <c r="FB5" s="434" t="n"/>
    </row>
    <row r="6">
      <c r="B6" s="442" t="inlineStr">
        <is>
          <t>Luke</t>
        </is>
      </c>
      <c r="C6" t="inlineStr">
        <is>
          <t>Intern</t>
        </is>
      </c>
      <c r="D6" s="819" t="n">
        <v>15</v>
      </c>
      <c r="E6">
        <f>4.33*10</f>
        <v/>
      </c>
      <c r="H6" s="432" t="n"/>
      <c r="I6" s="471" t="n"/>
      <c r="J6" s="471" t="n"/>
      <c r="K6" s="471" t="n"/>
      <c r="L6" s="471" t="n"/>
      <c r="M6" s="471" t="n"/>
      <c r="N6" s="471" t="n"/>
      <c r="O6" s="471" t="n"/>
      <c r="P6" s="471" t="n"/>
      <c r="Q6" s="471" t="n"/>
      <c r="R6" s="471" t="n">
        <v>0</v>
      </c>
      <c r="S6" s="471" t="n">
        <v>0</v>
      </c>
      <c r="T6" s="471" t="n"/>
      <c r="U6" s="471" t="n"/>
      <c r="V6" s="471" t="n"/>
      <c r="W6" s="471" t="n"/>
      <c r="X6" s="709" t="n"/>
      <c r="Y6" s="433" t="n"/>
      <c r="Z6" s="433" t="n"/>
      <c r="AA6" s="433" t="n"/>
      <c r="AB6" s="433" t="n"/>
      <c r="AC6" s="433" t="n"/>
      <c r="AD6" s="433" t="n"/>
      <c r="AE6" s="433" t="n"/>
      <c r="AF6" s="433" t="n"/>
      <c r="AG6" s="433" t="n"/>
      <c r="AH6" s="433" t="n"/>
      <c r="AI6" s="433" t="n"/>
      <c r="AJ6" s="433" t="n"/>
      <c r="AK6" s="433" t="n"/>
      <c r="AL6" s="433" t="n"/>
      <c r="AM6" s="433" t="n"/>
      <c r="AN6" s="433" t="n"/>
      <c r="AO6" s="433" t="n"/>
      <c r="AP6" s="433" t="n"/>
      <c r="AQ6" s="433" t="n"/>
      <c r="AR6" s="433" t="n"/>
      <c r="AS6" s="433" t="n"/>
      <c r="AT6" s="433" t="n"/>
      <c r="AU6" s="433" t="n"/>
      <c r="AV6" s="433" t="n"/>
      <c r="AW6" s="433" t="n"/>
      <c r="AX6" s="433" t="n"/>
      <c r="AY6" s="433" t="n"/>
      <c r="AZ6" s="433" t="n"/>
      <c r="BA6" s="433" t="n"/>
      <c r="BB6" s="433" t="n"/>
      <c r="BC6" s="433" t="n"/>
      <c r="BD6" s="433" t="n"/>
      <c r="BE6" s="433" t="n"/>
      <c r="BF6" s="433" t="n"/>
      <c r="BG6" s="433" t="n"/>
      <c r="BH6" s="433" t="n"/>
      <c r="BI6" s="433" t="n"/>
      <c r="BJ6" s="433" t="n"/>
      <c r="BK6" s="433" t="n"/>
      <c r="BL6" s="433" t="n"/>
      <c r="BM6" s="433" t="n"/>
      <c r="BN6" s="433" t="n"/>
      <c r="BO6" s="433" t="n"/>
      <c r="BP6" s="433" t="n"/>
      <c r="BQ6" s="433" t="n"/>
      <c r="BR6" s="433" t="n"/>
      <c r="BS6" s="433" t="n"/>
      <c r="BT6" s="433" t="n"/>
      <c r="BU6" s="433" t="n"/>
      <c r="BV6" s="433" t="n"/>
      <c r="BW6" s="433" t="n"/>
      <c r="BX6" s="433" t="n"/>
      <c r="BY6" s="433" t="n"/>
      <c r="BZ6" s="433" t="n"/>
      <c r="CA6" s="433" t="n"/>
      <c r="CB6" s="433" t="n"/>
      <c r="CC6" s="433" t="n"/>
      <c r="CD6" s="433" t="n"/>
      <c r="CE6" s="433" t="n"/>
      <c r="CF6" s="433" t="n"/>
      <c r="CG6" s="433" t="n"/>
      <c r="CH6" s="433" t="n"/>
      <c r="CI6" s="433" t="n"/>
      <c r="CJ6" s="433" t="n"/>
      <c r="CK6" s="433" t="n"/>
      <c r="CL6" s="433" t="n"/>
      <c r="CM6" s="433" t="n"/>
      <c r="CN6" s="433" t="n"/>
      <c r="CO6" s="433" t="n"/>
      <c r="CP6" s="433" t="n"/>
      <c r="CQ6" s="433" t="n"/>
      <c r="CR6" s="433" t="n"/>
      <c r="CS6" s="433" t="n"/>
      <c r="CT6" s="433" t="n"/>
      <c r="CU6" s="433" t="n"/>
      <c r="CV6" s="433" t="n"/>
      <c r="CW6" s="433" t="n"/>
      <c r="CX6" s="433" t="n"/>
      <c r="CY6" s="433" t="n"/>
      <c r="CZ6" s="433" t="n"/>
      <c r="DA6" s="433" t="n"/>
      <c r="DB6" s="433" t="n"/>
      <c r="DC6" s="433" t="n"/>
      <c r="DD6" s="433" t="n"/>
      <c r="DE6" s="433" t="n"/>
      <c r="DF6" s="433" t="n"/>
      <c r="DG6" s="433" t="n"/>
      <c r="DH6" s="433" t="n"/>
      <c r="DI6" s="433" t="n"/>
      <c r="DJ6" s="433" t="n"/>
      <c r="DK6" s="433" t="n"/>
      <c r="DL6" s="433" t="n"/>
      <c r="DM6" s="433" t="n"/>
      <c r="DN6" s="433" t="n"/>
      <c r="DO6" s="433" t="n"/>
      <c r="DP6" s="433" t="n"/>
      <c r="DQ6" s="433" t="n"/>
      <c r="DR6" s="433" t="n"/>
      <c r="DS6" s="433" t="n"/>
      <c r="DT6" s="433" t="n"/>
      <c r="DU6" s="433" t="n"/>
      <c r="DV6" s="433" t="n"/>
      <c r="DW6" s="433" t="n"/>
      <c r="DX6" s="433" t="n"/>
      <c r="DY6" s="433" t="n"/>
      <c r="DZ6" s="433" t="n"/>
      <c r="EA6" s="433" t="n"/>
      <c r="EB6" s="433" t="n"/>
      <c r="EC6" s="433" t="n"/>
      <c r="ED6" s="433" t="n"/>
      <c r="EE6" s="433" t="n"/>
      <c r="EF6" s="433" t="n"/>
      <c r="EG6" s="433" t="n"/>
      <c r="EH6" s="433" t="n"/>
      <c r="EI6" s="433" t="n"/>
      <c r="EJ6" s="433" t="n"/>
      <c r="EK6" s="433" t="n"/>
      <c r="EL6" s="433" t="n"/>
      <c r="EM6" s="433" t="n"/>
      <c r="EN6" s="433" t="n"/>
      <c r="EO6" s="433" t="n"/>
      <c r="EP6" s="433" t="n"/>
      <c r="EQ6" s="433" t="n"/>
      <c r="ER6" s="433" t="n"/>
      <c r="ES6" s="433" t="n"/>
      <c r="ET6" s="433" t="n"/>
      <c r="EU6" s="433" t="n"/>
      <c r="EV6" s="433" t="n"/>
      <c r="EW6" s="433" t="n"/>
      <c r="EX6" s="433" t="n"/>
      <c r="EY6" s="433" t="n"/>
      <c r="EZ6" s="433" t="n"/>
      <c r="FA6" s="433" t="n"/>
      <c r="FB6" s="434" t="n"/>
    </row>
    <row r="7">
      <c r="B7" s="442" t="inlineStr">
        <is>
          <t>Rising Freshmen</t>
        </is>
      </c>
      <c r="C7" t="inlineStr">
        <is>
          <t>Intern</t>
        </is>
      </c>
      <c r="D7" s="819" t="n"/>
      <c r="H7" s="432" t="n"/>
      <c r="I7" s="471" t="n"/>
      <c r="J7" s="471" t="n"/>
      <c r="K7" s="471" t="n"/>
      <c r="L7" s="471" t="n"/>
      <c r="M7" s="471" t="n"/>
      <c r="N7" s="471" t="n"/>
      <c r="O7" s="471" t="n">
        <v>0</v>
      </c>
      <c r="P7" s="471" t="n">
        <v>0</v>
      </c>
      <c r="Q7" s="471" t="n">
        <v>0</v>
      </c>
      <c r="R7" s="471" t="n">
        <v>0</v>
      </c>
      <c r="S7" s="471" t="n">
        <v>0</v>
      </c>
      <c r="T7" s="471" t="n"/>
      <c r="U7" s="471" t="n">
        <v>300</v>
      </c>
      <c r="V7" s="471" t="n">
        <v>234</v>
      </c>
      <c r="W7" s="471">
        <f>86.8</f>
        <v/>
      </c>
      <c r="X7" s="709" t="n">
        <v>120</v>
      </c>
      <c r="Y7" s="433" t="n"/>
      <c r="Z7" s="433" t="n"/>
      <c r="AA7" s="433" t="n"/>
      <c r="AB7" s="433" t="n"/>
      <c r="AC7" s="433" t="n"/>
      <c r="AD7" s="433" t="n"/>
      <c r="AE7" s="433" t="n"/>
      <c r="AF7" s="433" t="n"/>
      <c r="AG7" s="433" t="n"/>
      <c r="AH7" s="433" t="n"/>
      <c r="AI7" s="433" t="n"/>
      <c r="AJ7" s="433" t="n"/>
      <c r="AK7" s="433" t="n"/>
      <c r="AL7" s="433" t="n"/>
      <c r="AM7" s="433" t="n"/>
      <c r="AN7" s="433" t="n"/>
      <c r="AO7" s="433" t="n"/>
      <c r="AP7" s="433" t="n"/>
      <c r="AQ7" s="433" t="n"/>
      <c r="AR7" s="433" t="n"/>
      <c r="AS7" s="433" t="n"/>
      <c r="AT7" s="433" t="n"/>
      <c r="AU7" s="433" t="n"/>
      <c r="AV7" s="433" t="n"/>
      <c r="AW7" s="433" t="n"/>
      <c r="AX7" s="433" t="n"/>
      <c r="AY7" s="433" t="n"/>
      <c r="AZ7" s="433" t="n"/>
      <c r="BA7" s="433" t="n"/>
      <c r="BB7" s="433" t="n"/>
      <c r="BC7" s="433" t="n"/>
      <c r="BD7" s="433" t="n"/>
      <c r="BE7" s="433" t="n"/>
      <c r="BF7" s="433" t="n"/>
      <c r="BG7" s="433" t="n"/>
      <c r="BH7" s="433" t="n"/>
      <c r="BI7" s="433" t="n"/>
      <c r="BJ7" s="433" t="n"/>
      <c r="BK7" s="433" t="n"/>
      <c r="BL7" s="433" t="n"/>
      <c r="BM7" s="433" t="n"/>
      <c r="BN7" s="433" t="n"/>
      <c r="BO7" s="433" t="n"/>
      <c r="BP7" s="433" t="n"/>
      <c r="BQ7" s="433" t="n"/>
      <c r="BR7" s="433" t="n"/>
      <c r="BS7" s="433" t="n"/>
      <c r="BT7" s="433" t="n"/>
      <c r="BU7" s="433" t="n"/>
      <c r="BV7" s="433" t="n"/>
      <c r="BW7" s="433" t="n"/>
      <c r="BX7" s="433" t="n"/>
      <c r="BY7" s="433" t="n"/>
      <c r="BZ7" s="433" t="n"/>
      <c r="CA7" s="433" t="n"/>
      <c r="CB7" s="433" t="n"/>
      <c r="CC7" s="433" t="n"/>
      <c r="CD7" s="433" t="n"/>
      <c r="CE7" s="433" t="n"/>
      <c r="CF7" s="433" t="n"/>
      <c r="CG7" s="433" t="n"/>
      <c r="CH7" s="433" t="n"/>
      <c r="CI7" s="433" t="n"/>
      <c r="CJ7" s="433" t="n"/>
      <c r="CK7" s="433" t="n"/>
      <c r="CL7" s="433" t="n"/>
      <c r="CM7" s="433" t="n"/>
      <c r="CN7" s="433" t="n"/>
      <c r="CO7" s="433" t="n"/>
      <c r="CP7" s="433" t="n"/>
      <c r="CQ7" s="433" t="n"/>
      <c r="CR7" s="433" t="n"/>
      <c r="CS7" s="433" t="n"/>
      <c r="CT7" s="433" t="n"/>
      <c r="CU7" s="433" t="n"/>
      <c r="CV7" s="433" t="n"/>
      <c r="CW7" s="433" t="n"/>
      <c r="CX7" s="433" t="n"/>
      <c r="CY7" s="433" t="n"/>
      <c r="CZ7" s="433" t="n"/>
      <c r="DA7" s="433" t="n"/>
      <c r="DB7" s="433" t="n"/>
      <c r="DC7" s="433" t="n"/>
      <c r="DD7" s="433" t="n"/>
      <c r="DE7" s="433" t="n"/>
      <c r="DF7" s="433" t="n"/>
      <c r="DG7" s="433" t="n"/>
      <c r="DH7" s="433" t="n"/>
      <c r="DI7" s="433" t="n"/>
      <c r="DJ7" s="433" t="n"/>
      <c r="DK7" s="433" t="n"/>
      <c r="DL7" s="433" t="n"/>
      <c r="DM7" s="433" t="n"/>
      <c r="DN7" s="433" t="n"/>
      <c r="DO7" s="433" t="n"/>
      <c r="DP7" s="433" t="n"/>
      <c r="DQ7" s="433" t="n"/>
      <c r="DR7" s="433" t="n"/>
      <c r="DS7" s="433" t="n"/>
      <c r="DT7" s="433" t="n"/>
      <c r="DU7" s="433" t="n"/>
      <c r="DV7" s="433" t="n"/>
      <c r="DW7" s="433" t="n"/>
      <c r="DX7" s="433" t="n"/>
      <c r="DY7" s="433" t="n"/>
      <c r="DZ7" s="433" t="n"/>
      <c r="EA7" s="433" t="n"/>
      <c r="EB7" s="433" t="n"/>
      <c r="EC7" s="433" t="n"/>
      <c r="ED7" s="433" t="n"/>
      <c r="EE7" s="433" t="n"/>
      <c r="EF7" s="433" t="n"/>
      <c r="EG7" s="433" t="n"/>
      <c r="EH7" s="433" t="n"/>
      <c r="EI7" s="433" t="n"/>
      <c r="EJ7" s="433" t="n"/>
      <c r="EK7" s="433" t="n"/>
      <c r="EL7" s="433" t="n"/>
      <c r="EM7" s="433" t="n"/>
      <c r="EN7" s="433" t="n"/>
      <c r="EO7" s="433" t="n"/>
      <c r="EP7" s="433" t="n"/>
      <c r="EQ7" s="433" t="n"/>
      <c r="ER7" s="433" t="n"/>
      <c r="ES7" s="433" t="n"/>
      <c r="ET7" s="433" t="n"/>
      <c r="EU7" s="433" t="n"/>
      <c r="EV7" s="433" t="n"/>
      <c r="EW7" s="433" t="n"/>
      <c r="EX7" s="433" t="n"/>
      <c r="EY7" s="433" t="n"/>
      <c r="EZ7" s="433" t="n"/>
      <c r="FA7" s="433" t="n"/>
      <c r="FB7" s="434" t="n"/>
    </row>
    <row r="8">
      <c r="B8" s="442" t="n"/>
      <c r="D8" s="819" t="n"/>
      <c r="F8" s="7" t="inlineStr">
        <is>
          <t>Total Interns Expense</t>
        </is>
      </c>
      <c r="H8" s="435">
        <f>SUM(H4:H7)</f>
        <v/>
      </c>
      <c r="I8" s="433">
        <f>SUM(I4:I7)</f>
        <v/>
      </c>
      <c r="J8" s="433">
        <f>SUM(J4:J7)</f>
        <v/>
      </c>
      <c r="K8" s="433">
        <f>SUM(K4:K7)</f>
        <v/>
      </c>
      <c r="L8" s="433">
        <f>SUM(L4:L7)</f>
        <v/>
      </c>
      <c r="M8" s="433">
        <f>SUM(M4:M7)</f>
        <v/>
      </c>
      <c r="N8" s="433">
        <f>SUM(N4:N7)</f>
        <v/>
      </c>
      <c r="O8" s="433">
        <f>SUM(O4:O7)</f>
        <v/>
      </c>
      <c r="P8" s="433">
        <f>SUM(P4:P7)</f>
        <v/>
      </c>
      <c r="Q8" s="433">
        <f>SUM(Q4:Q7)</f>
        <v/>
      </c>
      <c r="R8" s="433">
        <f>SUM(R4:R7)</f>
        <v/>
      </c>
      <c r="S8" s="433">
        <f>SUM(S4:S7)</f>
        <v/>
      </c>
      <c r="T8" s="433">
        <f>SUM(T4:T7)</f>
        <v/>
      </c>
      <c r="U8" s="433">
        <f>SUM(U4:U7)</f>
        <v/>
      </c>
      <c r="V8" s="433">
        <f>SUM(V4:V7)</f>
        <v/>
      </c>
      <c r="W8" s="433">
        <f>SUM(W4:W7)</f>
        <v/>
      </c>
      <c r="X8" s="434">
        <f>SUM(X4:X7)</f>
        <v/>
      </c>
      <c r="Y8" s="433">
        <f>SUM(Y4:Y7)</f>
        <v/>
      </c>
      <c r="Z8" s="433">
        <f>SUM(Z4:Z7)</f>
        <v/>
      </c>
      <c r="AA8" s="433">
        <f>SUM(AA4:AA7)</f>
        <v/>
      </c>
      <c r="AB8" s="433">
        <f>SUM(AB4:AB7)</f>
        <v/>
      </c>
      <c r="AC8" s="433">
        <f>SUM(AC4:AC7)</f>
        <v/>
      </c>
      <c r="AD8" s="433">
        <f>SUM(AD4:AD7)</f>
        <v/>
      </c>
      <c r="AE8" s="433">
        <f>SUM(AE4:AE7)</f>
        <v/>
      </c>
      <c r="AF8" s="433">
        <f>SUM(AF4:AF7)</f>
        <v/>
      </c>
      <c r="AG8" s="433">
        <f>SUM(AG4:AG7)</f>
        <v/>
      </c>
      <c r="AH8" s="433">
        <f>SUM(AH4:AH7)</f>
        <v/>
      </c>
      <c r="AI8" s="433">
        <f>SUM(AI4:AI7)</f>
        <v/>
      </c>
      <c r="AJ8" s="433">
        <f>SUM(AJ4:AJ7)</f>
        <v/>
      </c>
      <c r="AK8" s="433">
        <f>SUM(AK4:AK7)</f>
        <v/>
      </c>
      <c r="AL8" s="433">
        <f>SUM(AL4:AL7)</f>
        <v/>
      </c>
      <c r="AM8" s="433">
        <f>SUM(AM4:AM7)</f>
        <v/>
      </c>
      <c r="AN8" s="433">
        <f>SUM(AN4:AN7)</f>
        <v/>
      </c>
      <c r="AO8" s="433">
        <f>SUM(AO4:AO7)</f>
        <v/>
      </c>
      <c r="AP8" s="433">
        <f>SUM(AP4:AP7)</f>
        <v/>
      </c>
      <c r="AQ8" s="433">
        <f>SUM(AQ4:AQ7)</f>
        <v/>
      </c>
      <c r="AR8" s="433">
        <f>SUM(AR4:AR7)</f>
        <v/>
      </c>
      <c r="AS8" s="433">
        <f>SUM(AS4:AS7)</f>
        <v/>
      </c>
      <c r="AT8" s="433">
        <f>SUM(AT4:AT7)</f>
        <v/>
      </c>
      <c r="AU8" s="433">
        <f>SUM(AU4:AU7)</f>
        <v/>
      </c>
      <c r="AV8" s="433">
        <f>SUM(AV4:AV7)</f>
        <v/>
      </c>
      <c r="AW8" s="433">
        <f>SUM(AW4:AW7)</f>
        <v/>
      </c>
      <c r="AX8" s="433">
        <f>SUM(AX4:AX7)</f>
        <v/>
      </c>
      <c r="AY8" s="433">
        <f>SUM(AY4:AY7)</f>
        <v/>
      </c>
      <c r="AZ8" s="433">
        <f>SUM(AZ4:AZ7)</f>
        <v/>
      </c>
      <c r="BA8" s="433">
        <f>SUM(BA4:BA7)</f>
        <v/>
      </c>
      <c r="BB8" s="433">
        <f>SUM(BB4:BB7)</f>
        <v/>
      </c>
      <c r="BC8" s="433">
        <f>SUM(BC4:BC7)</f>
        <v/>
      </c>
      <c r="BD8" s="433">
        <f>SUM(BD4:BD7)</f>
        <v/>
      </c>
      <c r="BE8" s="433">
        <f>SUM(BE4:BE7)</f>
        <v/>
      </c>
      <c r="BF8" s="433">
        <f>SUM(BF4:BF7)</f>
        <v/>
      </c>
      <c r="BG8" s="433">
        <f>SUM(BG4:BG7)</f>
        <v/>
      </c>
      <c r="BH8" s="433">
        <f>SUM(BH4:BH7)</f>
        <v/>
      </c>
      <c r="BI8" s="433">
        <f>SUM(BI4:BI7)</f>
        <v/>
      </c>
      <c r="BJ8" s="433">
        <f>SUM(BJ4:BJ7)</f>
        <v/>
      </c>
      <c r="BK8" s="433">
        <f>SUM(BK4:BK7)</f>
        <v/>
      </c>
      <c r="BL8" s="433">
        <f>SUM(BL4:BL7)</f>
        <v/>
      </c>
      <c r="BM8" s="433">
        <f>SUM(BM4:BM7)</f>
        <v/>
      </c>
      <c r="BN8" s="433">
        <f>SUM(BN4:BN7)</f>
        <v/>
      </c>
      <c r="BO8" s="433">
        <f>SUM(BO4:BO7)</f>
        <v/>
      </c>
      <c r="BP8" s="433">
        <f>SUM(BP4:BP7)</f>
        <v/>
      </c>
      <c r="BQ8" s="433">
        <f>SUM(BQ4:BQ7)</f>
        <v/>
      </c>
      <c r="BR8" s="433">
        <f>SUM(BR4:BR7)</f>
        <v/>
      </c>
      <c r="BS8" s="433">
        <f>SUM(BS4:BS7)</f>
        <v/>
      </c>
      <c r="BT8" s="433">
        <f>SUM(BT4:BT7)</f>
        <v/>
      </c>
      <c r="BU8" s="433">
        <f>SUM(BU4:BU7)</f>
        <v/>
      </c>
      <c r="BV8" s="433">
        <f>SUM(BV4:BV7)</f>
        <v/>
      </c>
      <c r="BW8" s="433">
        <f>SUM(BW4:BW7)</f>
        <v/>
      </c>
      <c r="BX8" s="433">
        <f>SUM(BX4:BX7)</f>
        <v/>
      </c>
      <c r="BY8" s="433">
        <f>SUM(BY4:BY7)</f>
        <v/>
      </c>
      <c r="BZ8" s="433">
        <f>SUM(BZ4:BZ7)</f>
        <v/>
      </c>
      <c r="CA8" s="433">
        <f>SUM(CA4:CA7)</f>
        <v/>
      </c>
      <c r="CB8" s="433">
        <f>SUM(CB4:CB7)</f>
        <v/>
      </c>
      <c r="CC8" s="433">
        <f>SUM(CC4:CC7)</f>
        <v/>
      </c>
      <c r="CD8" s="433">
        <f>SUM(CD4:CD7)</f>
        <v/>
      </c>
      <c r="CE8" s="433">
        <f>SUM(CE4:CE7)</f>
        <v/>
      </c>
      <c r="CF8" s="433">
        <f>SUM(CF4:CF7)</f>
        <v/>
      </c>
      <c r="CG8" s="433">
        <f>SUM(CG4:CG7)</f>
        <v/>
      </c>
      <c r="CH8" s="433">
        <f>SUM(CH4:CH7)</f>
        <v/>
      </c>
      <c r="CI8" s="433">
        <f>SUM(CI4:CI7)</f>
        <v/>
      </c>
      <c r="CJ8" s="433">
        <f>SUM(CJ4:CJ7)</f>
        <v/>
      </c>
      <c r="CK8" s="433">
        <f>SUM(CK4:CK7)</f>
        <v/>
      </c>
      <c r="CL8" s="433">
        <f>SUM(CL4:CL7)</f>
        <v/>
      </c>
      <c r="CM8" s="433">
        <f>SUM(CM4:CM7)</f>
        <v/>
      </c>
      <c r="CN8" s="433">
        <f>SUM(CN4:CN7)</f>
        <v/>
      </c>
      <c r="CO8" s="433">
        <f>SUM(CO4:CO7)</f>
        <v/>
      </c>
      <c r="CP8" s="433">
        <f>SUM(CP4:CP7)</f>
        <v/>
      </c>
      <c r="CQ8" s="433">
        <f>SUM(CQ4:CQ7)</f>
        <v/>
      </c>
      <c r="CR8" s="433">
        <f>SUM(CR4:CR7)</f>
        <v/>
      </c>
      <c r="CS8" s="433">
        <f>SUM(CS4:CS7)</f>
        <v/>
      </c>
      <c r="CT8" s="433">
        <f>SUM(CT4:CT7)</f>
        <v/>
      </c>
      <c r="CU8" s="433">
        <f>SUM(CU4:CU7)</f>
        <v/>
      </c>
      <c r="CV8" s="433">
        <f>SUM(CV4:CV7)</f>
        <v/>
      </c>
      <c r="CW8" s="433">
        <f>SUM(CW4:CW7)</f>
        <v/>
      </c>
      <c r="CX8" s="433">
        <f>SUM(CX4:CX7)</f>
        <v/>
      </c>
      <c r="CY8" s="433">
        <f>SUM(CY4:CY7)</f>
        <v/>
      </c>
      <c r="CZ8" s="433">
        <f>SUM(CZ4:CZ7)</f>
        <v/>
      </c>
      <c r="DA8" s="433">
        <f>SUM(DA4:DA7)</f>
        <v/>
      </c>
      <c r="DB8" s="433">
        <f>SUM(DB4:DB7)</f>
        <v/>
      </c>
      <c r="DC8" s="433">
        <f>SUM(DC4:DC7)</f>
        <v/>
      </c>
      <c r="DD8" s="433">
        <f>SUM(DD4:DD7)</f>
        <v/>
      </c>
      <c r="DE8" s="433">
        <f>SUM(DE4:DE7)</f>
        <v/>
      </c>
      <c r="DF8" s="433">
        <f>SUM(DF4:DF7)</f>
        <v/>
      </c>
      <c r="DG8" s="433">
        <f>SUM(DG4:DG7)</f>
        <v/>
      </c>
      <c r="DH8" s="433">
        <f>SUM(DH4:DH7)</f>
        <v/>
      </c>
      <c r="DI8" s="433">
        <f>SUM(DI4:DI7)</f>
        <v/>
      </c>
      <c r="DJ8" s="433">
        <f>SUM(DJ4:DJ7)</f>
        <v/>
      </c>
      <c r="DK8" s="433">
        <f>SUM(DK4:DK7)</f>
        <v/>
      </c>
      <c r="DL8" s="433">
        <f>SUM(DL4:DL7)</f>
        <v/>
      </c>
      <c r="DM8" s="433">
        <f>SUM(DM4:DM7)</f>
        <v/>
      </c>
      <c r="DN8" s="433">
        <f>SUM(DN4:DN7)</f>
        <v/>
      </c>
      <c r="DO8" s="433">
        <f>SUM(DO4:DO7)</f>
        <v/>
      </c>
      <c r="DP8" s="433">
        <f>SUM(DP4:DP7)</f>
        <v/>
      </c>
      <c r="DQ8" s="433">
        <f>SUM(DQ4:DQ7)</f>
        <v/>
      </c>
      <c r="DR8" s="433">
        <f>SUM(DR4:DR7)</f>
        <v/>
      </c>
      <c r="DS8" s="433">
        <f>SUM(DS4:DS7)</f>
        <v/>
      </c>
      <c r="DT8" s="433">
        <f>SUM(DT4:DT7)</f>
        <v/>
      </c>
      <c r="DU8" s="433">
        <f>SUM(DU4:DU7)</f>
        <v/>
      </c>
      <c r="DV8" s="433">
        <f>SUM(DV4:DV7)</f>
        <v/>
      </c>
      <c r="DW8" s="433">
        <f>SUM(DW4:DW7)</f>
        <v/>
      </c>
      <c r="DX8" s="433">
        <f>SUM(DX4:DX7)</f>
        <v/>
      </c>
      <c r="DY8" s="433">
        <f>SUM(DY4:DY7)</f>
        <v/>
      </c>
      <c r="DZ8" s="433">
        <f>SUM(DZ4:DZ7)</f>
        <v/>
      </c>
      <c r="EA8" s="433">
        <f>SUM(EA4:EA7)</f>
        <v/>
      </c>
      <c r="EB8" s="433">
        <f>SUM(EB4:EB7)</f>
        <v/>
      </c>
      <c r="EC8" s="433">
        <f>SUM(EC4:EC7)</f>
        <v/>
      </c>
      <c r="ED8" s="433">
        <f>SUM(ED4:ED7)</f>
        <v/>
      </c>
      <c r="EE8" s="433">
        <f>SUM(EE4:EE7)</f>
        <v/>
      </c>
      <c r="EF8" s="433">
        <f>SUM(EF4:EF7)</f>
        <v/>
      </c>
      <c r="EG8" s="433">
        <f>SUM(EG4:EG7)</f>
        <v/>
      </c>
      <c r="EH8" s="433">
        <f>SUM(EH4:EH7)</f>
        <v/>
      </c>
      <c r="EI8" s="433">
        <f>SUM(EI4:EI7)</f>
        <v/>
      </c>
      <c r="EJ8" s="433">
        <f>SUM(EJ4:EJ7)</f>
        <v/>
      </c>
      <c r="EK8" s="433">
        <f>SUM(EK4:EK7)</f>
        <v/>
      </c>
      <c r="EL8" s="433">
        <f>SUM(EL4:EL7)</f>
        <v/>
      </c>
      <c r="EM8" s="433">
        <f>SUM(EM4:EM7)</f>
        <v/>
      </c>
      <c r="EN8" s="433">
        <f>SUM(EN4:EN7)</f>
        <v/>
      </c>
      <c r="EO8" s="433">
        <f>SUM(EO4:EO7)</f>
        <v/>
      </c>
      <c r="EP8" s="433">
        <f>SUM(EP4:EP7)</f>
        <v/>
      </c>
      <c r="EQ8" s="433">
        <f>SUM(EQ4:EQ7)</f>
        <v/>
      </c>
      <c r="ER8" s="433">
        <f>SUM(ER4:ER7)</f>
        <v/>
      </c>
      <c r="ES8" s="433">
        <f>SUM(ES4:ES7)</f>
        <v/>
      </c>
      <c r="ET8" s="433">
        <f>SUM(ET4:ET7)</f>
        <v/>
      </c>
      <c r="EU8" s="433">
        <f>SUM(EU4:EU7)</f>
        <v/>
      </c>
      <c r="EV8" s="433">
        <f>SUM(EV4:EV7)</f>
        <v/>
      </c>
      <c r="EW8" s="433">
        <f>SUM(EW4:EW7)</f>
        <v/>
      </c>
      <c r="EX8" s="433">
        <f>SUM(EX4:EX7)</f>
        <v/>
      </c>
      <c r="EY8" s="433">
        <f>SUM(EY4:EY7)</f>
        <v/>
      </c>
      <c r="EZ8" s="433">
        <f>SUM(EZ4:EZ7)</f>
        <v/>
      </c>
      <c r="FA8" s="433">
        <f>SUM(FA4:FA7)</f>
        <v/>
      </c>
      <c r="FB8" s="434">
        <f>SUM(FB4:FB7)</f>
        <v/>
      </c>
    </row>
    <row r="9">
      <c r="B9" s="442" t="n"/>
      <c r="D9" s="819" t="n"/>
      <c r="F9" s="7" t="n"/>
      <c r="H9" s="430" t="n"/>
      <c r="X9" s="920" t="n"/>
      <c r="FB9" s="431" t="n"/>
    </row>
    <row r="10">
      <c r="B10" s="442" t="n"/>
      <c r="D10" s="819" t="n"/>
      <c r="E10" t="inlineStr">
        <is>
          <t>Hours Threshold</t>
        </is>
      </c>
      <c r="F10" s="7" t="n"/>
      <c r="H10" s="430" t="n"/>
      <c r="X10" s="431" t="n"/>
      <c r="FB10" s="431" t="n"/>
    </row>
    <row r="11">
      <c r="B11" s="442" t="inlineStr">
        <is>
          <t>Cheri?</t>
        </is>
      </c>
      <c r="C11" t="inlineStr">
        <is>
          <t>Subsititute Tutor</t>
        </is>
      </c>
      <c r="D11" s="819" t="n">
        <v>50</v>
      </c>
      <c r="E11" s="510" t="n"/>
      <c r="F11" s="7" t="n"/>
      <c r="H11" s="432">
        <f>+IF(('Monthly Detail'!AG26-'Monthly Detail'!$B$24)&gt;0,('Monthly Detail'!AG26-'Monthly Detail'!$B$24)*'People Plan'!$D$11, 0)</f>
        <v/>
      </c>
      <c r="I11" s="471" t="n">
        <v>0</v>
      </c>
      <c r="J11" s="471" t="n">
        <v>0</v>
      </c>
      <c r="K11" s="471" t="n">
        <v>0</v>
      </c>
      <c r="L11" s="471" t="n">
        <v>0</v>
      </c>
      <c r="M11" s="471">
        <f>+IF(('Monthly Detail'!AL26-'Monthly Detail'!$B$24)&gt;0,('Monthly Detail'!AL26-'Monthly Detail'!$B$24)*'People Plan'!$D$11, 0)</f>
        <v/>
      </c>
      <c r="N11" s="471">
        <f>+IF(('Monthly Detail'!AM28-'Monthly Detail'!$B$24)&gt;0,('Monthly Detail'!AM28-'Monthly Detail'!$B$24)*'People Plan'!$D$11, 0)</f>
        <v/>
      </c>
      <c r="O11" s="471" t="n">
        <v>0</v>
      </c>
      <c r="P11" s="471" t="n">
        <v>0</v>
      </c>
      <c r="Q11" s="471" t="n">
        <v>0</v>
      </c>
      <c r="R11" s="471" t="n">
        <v>0</v>
      </c>
      <c r="S11" s="471" t="n">
        <v>0</v>
      </c>
      <c r="T11" s="471">
        <f>+IF(('Monthly Detail'!AS28-'Monthly Detail'!$B$24)&gt;0,('Monthly Detail'!AS28-'Monthly Detail'!$B$24)*'People Plan'!$D$11, 0)</f>
        <v/>
      </c>
      <c r="U11" s="471">
        <f>+IF(('Monthly Detail'!AT28-'Monthly Detail'!$B$24)&gt;0,('Monthly Detail'!AT28-'Monthly Detail'!$B$24)*'People Plan'!$D$11, 0)</f>
        <v/>
      </c>
      <c r="V11" s="471">
        <f>+IF(('Monthly Detail'!AU28-'Monthly Detail'!$B$24)&gt;0,('Monthly Detail'!AU28-'Monthly Detail'!$B$24)*'People Plan'!$D$11, 0)</f>
        <v/>
      </c>
      <c r="W11" s="471">
        <f>+IF(('Monthly Detail'!AV28-'Monthly Detail'!$B$24)&gt;0,('Monthly Detail'!AV28-'Monthly Detail'!$B$24)*'People Plan'!$D$11, 0)</f>
        <v/>
      </c>
      <c r="X11" s="709">
        <f>+IF(('Monthly Detail'!AW28-'Monthly Detail'!$B$24)&gt;0,('Monthly Detail'!AW28-'Monthly Detail'!$B$24)*'People Plan'!$D$11, 0)</f>
        <v/>
      </c>
      <c r="Y11" s="433">
        <f>+IF(('Monthly Detail'!AX28-'Monthly Detail'!$B$24)&gt;0,('Monthly Detail'!AX28-'Monthly Detail'!$B$24)*'People Plan'!$D$11, 0)</f>
        <v/>
      </c>
      <c r="Z11" s="433">
        <f>+IF(('Monthly Detail'!AY28-'Monthly Detail'!$B$24)&gt;0,('Monthly Detail'!AY28-'Monthly Detail'!$B$24)*'People Plan'!$D$11, 0)</f>
        <v/>
      </c>
      <c r="AA11" s="433">
        <f>+IF(('Monthly Detail'!AZ28-'Monthly Detail'!$B$24)&gt;0,('Monthly Detail'!AZ28-'Monthly Detail'!$B$24)*'People Plan'!$D$11, 0)</f>
        <v/>
      </c>
      <c r="AB11" s="433">
        <f>+IF(('Monthly Detail'!BA28-'Monthly Detail'!$B$24)&gt;0,('Monthly Detail'!BA28-'Monthly Detail'!$B$24)*'People Plan'!$D$11, 0)</f>
        <v/>
      </c>
      <c r="AC11" s="433">
        <f>+IF(('Monthly Detail'!BB28-'Monthly Detail'!$B$24)&gt;0,('Monthly Detail'!BB28-'Monthly Detail'!$B$24)*'People Plan'!$D$11, 0)</f>
        <v/>
      </c>
      <c r="AD11" s="433">
        <f>+IF(('Monthly Detail'!BC28-'Monthly Detail'!$B$24)&gt;0,('Monthly Detail'!BC28-'Monthly Detail'!$B$24)*'People Plan'!$D$11, 0)</f>
        <v/>
      </c>
      <c r="AE11" s="433">
        <f>+IF(('Monthly Detail'!BD28-'Monthly Detail'!$B$24)&gt;0,('Monthly Detail'!BD28-'Monthly Detail'!$B$24)*'People Plan'!$D$11, 0)</f>
        <v/>
      </c>
      <c r="AF11" s="433">
        <f>+IF(('Monthly Detail'!BE28-'Monthly Detail'!$B$24)&gt;0,('Monthly Detail'!BE28-'Monthly Detail'!$B$24)*'People Plan'!$D$11, 0)</f>
        <v/>
      </c>
      <c r="AG11" s="433">
        <f>+IF(('Monthly Detail'!BF28-'Monthly Detail'!$B$24)&gt;0,('Monthly Detail'!BF28-'Monthly Detail'!$B$24)*'People Plan'!$D$11, 0)</f>
        <v/>
      </c>
      <c r="AH11" s="433">
        <f>+IF(('Monthly Detail'!BG28-'Monthly Detail'!$B$24)&gt;0,('Monthly Detail'!BG28-'Monthly Detail'!$B$24)*'People Plan'!$D$11, 0)</f>
        <v/>
      </c>
      <c r="AI11" s="433">
        <f>+IF(('Monthly Detail'!BH28-'Monthly Detail'!$B$24)&gt;0,('Monthly Detail'!BH28-'Monthly Detail'!$B$24)*'People Plan'!$D$11, 0)</f>
        <v/>
      </c>
      <c r="AJ11" s="433">
        <f>+IF(('Monthly Detail'!BI28-'Monthly Detail'!$B$24)&gt;0,('Monthly Detail'!BI28-'Monthly Detail'!$B$24)*'People Plan'!$D$11, 0)</f>
        <v/>
      </c>
      <c r="AK11" s="433">
        <f>+IF(('Monthly Detail'!BJ28-'Monthly Detail'!$B$24)&gt;0,('Monthly Detail'!BJ28-'Monthly Detail'!$B$24)*'People Plan'!$D$11, 0)</f>
        <v/>
      </c>
      <c r="AL11" s="433">
        <f>+IF(('Monthly Detail'!BK28-'Monthly Detail'!$B$24)&gt;0,('Monthly Detail'!BK28-'Monthly Detail'!$B$24)*'People Plan'!$D$11, 0)</f>
        <v/>
      </c>
      <c r="AM11" s="433">
        <f>+IF(('Monthly Detail'!BL28-'Monthly Detail'!$B$24)&gt;0,('Monthly Detail'!BL28-'Monthly Detail'!$B$24)*'People Plan'!$D$11, 0)</f>
        <v/>
      </c>
      <c r="AN11" s="433">
        <f>+IF(('Monthly Detail'!BM28-'Monthly Detail'!$B$24)&gt;0,('Monthly Detail'!BM28-'Monthly Detail'!$B$24)*'People Plan'!$D$11, 0)</f>
        <v/>
      </c>
      <c r="AO11" s="433">
        <f>+IF(('Monthly Detail'!BN28-'Monthly Detail'!$B$24)&gt;0,('Monthly Detail'!BN28-'Monthly Detail'!$B$24)*'People Plan'!$D$11, 0)</f>
        <v/>
      </c>
      <c r="AP11" s="433">
        <f>+IF(('Monthly Detail'!BO28-'Monthly Detail'!$B$24)&gt;0,('Monthly Detail'!BO28-'Monthly Detail'!$B$24)*'People Plan'!$D$11, 0)</f>
        <v/>
      </c>
      <c r="AQ11" s="433">
        <f>+IF(('Monthly Detail'!BP28-'Monthly Detail'!$B$24)&gt;0,('Monthly Detail'!BP28-'Monthly Detail'!$B$24)*'People Plan'!$D$11, 0)</f>
        <v/>
      </c>
      <c r="AR11" s="433">
        <f>+IF(('Monthly Detail'!BQ28-'Monthly Detail'!$B$24)&gt;0,('Monthly Detail'!BQ28-'Monthly Detail'!$B$24)*'People Plan'!$D$11, 0)</f>
        <v/>
      </c>
      <c r="AS11" s="433">
        <f>+IF(('Monthly Detail'!BR28-'Monthly Detail'!$B$24)&gt;0,('Monthly Detail'!BR28-'Monthly Detail'!$B$24)*'People Plan'!$D$11, 0)</f>
        <v/>
      </c>
      <c r="AT11" s="433">
        <f>+IF(('Monthly Detail'!BS28-'Monthly Detail'!$B$24)&gt;0,('Monthly Detail'!BS28-'Monthly Detail'!$B$24)*'People Plan'!$D$11, 0)</f>
        <v/>
      </c>
      <c r="AU11" s="433">
        <f>+IF(('Monthly Detail'!BT28-'Monthly Detail'!$B$24)&gt;0,('Monthly Detail'!BT28-'Monthly Detail'!$B$24)*'People Plan'!$D$11, 0)</f>
        <v/>
      </c>
      <c r="AV11" s="433">
        <f>+IF(('Monthly Detail'!BU28-'Monthly Detail'!$B$24)&gt;0,('Monthly Detail'!BU28-'Monthly Detail'!$B$24)*'People Plan'!$D$11, 0)</f>
        <v/>
      </c>
      <c r="AW11" s="433">
        <f>+IF(('Monthly Detail'!BV28-'Monthly Detail'!$B$24)&gt;0,('Monthly Detail'!BV28-'Monthly Detail'!$B$24)*'People Plan'!$D$11, 0)</f>
        <v/>
      </c>
      <c r="AX11" s="433">
        <f>+IF(('Monthly Detail'!BW28-'Monthly Detail'!$B$24)&gt;0,('Monthly Detail'!BW28-'Monthly Detail'!$B$24)*'People Plan'!$D$11, 0)</f>
        <v/>
      </c>
      <c r="AY11" s="433">
        <f>+IF(('Monthly Detail'!BX28-'Monthly Detail'!$B$24)&gt;0,('Monthly Detail'!BX28-'Monthly Detail'!$B$24)*'People Plan'!$D$11, 0)</f>
        <v/>
      </c>
      <c r="AZ11" s="433">
        <f>+IF(('Monthly Detail'!BY28-'Monthly Detail'!$B$24)&gt;0,('Monthly Detail'!BY28-'Monthly Detail'!$B$24)*'People Plan'!$D$11, 0)</f>
        <v/>
      </c>
      <c r="BA11" s="433">
        <f>+IF(('Monthly Detail'!BZ28-'Monthly Detail'!$B$24)&gt;0,('Monthly Detail'!BZ28-'Monthly Detail'!$B$24)*'People Plan'!$D$11, 0)</f>
        <v/>
      </c>
      <c r="BB11" s="433">
        <f>+IF(('Monthly Detail'!CA28-'Monthly Detail'!$B$24)&gt;0,('Monthly Detail'!CA28-'Monthly Detail'!$B$24)*'People Plan'!$D$11, 0)</f>
        <v/>
      </c>
      <c r="BC11" s="433">
        <f>+IF(('Monthly Detail'!CB28-'Monthly Detail'!$B$24)&gt;0,('Monthly Detail'!CB28-'Monthly Detail'!$B$24)*'People Plan'!$D$11, 0)</f>
        <v/>
      </c>
      <c r="BD11" s="433">
        <f>+IF(('Monthly Detail'!CC28-'Monthly Detail'!$B$24)&gt;0,('Monthly Detail'!CC28-'Monthly Detail'!$B$24)*'People Plan'!$D$11, 0)</f>
        <v/>
      </c>
      <c r="BE11" s="433">
        <f>+IF(('Monthly Detail'!CD28-'Monthly Detail'!$B$24)&gt;0,('Monthly Detail'!CD28-'Monthly Detail'!$B$24)*'People Plan'!$D$11, 0)</f>
        <v/>
      </c>
      <c r="BF11" s="433">
        <f>+IF(('Monthly Detail'!CE28-'Monthly Detail'!$B$24)&gt;0,('Monthly Detail'!CE28-'Monthly Detail'!$B$24)*'People Plan'!$D$11, 0)</f>
        <v/>
      </c>
      <c r="BG11" s="433">
        <f>+IF(('Monthly Detail'!CF28-'Monthly Detail'!$B$24)&gt;0,('Monthly Detail'!CF28-'Monthly Detail'!$B$24)*'People Plan'!$D$11, 0)</f>
        <v/>
      </c>
      <c r="BH11" s="433">
        <f>+IF(('Monthly Detail'!CG28-'Monthly Detail'!$B$24)&gt;0,('Monthly Detail'!CG28-'Monthly Detail'!$B$24)*'People Plan'!$D$11, 0)</f>
        <v/>
      </c>
      <c r="BI11" s="433">
        <f>+IF(('Monthly Detail'!CH28-'Monthly Detail'!$B$24)&gt;0,('Monthly Detail'!CH28-'Monthly Detail'!$B$24)*'People Plan'!$D$11, 0)</f>
        <v/>
      </c>
      <c r="BJ11" s="433">
        <f>+IF(('Monthly Detail'!CI28-'Monthly Detail'!$B$24)&gt;0,('Monthly Detail'!CI28-'Monthly Detail'!$B$24)*'People Plan'!$D$11, 0)</f>
        <v/>
      </c>
      <c r="BK11" s="433">
        <f>+IF(('Monthly Detail'!CJ28-'Monthly Detail'!$B$24)&gt;0,('Monthly Detail'!CJ28-'Monthly Detail'!$B$24)*'People Plan'!$D$11, 0)</f>
        <v/>
      </c>
      <c r="BL11" s="433">
        <f>+IF(('Monthly Detail'!CK28-'Monthly Detail'!$B$24)&gt;0,('Monthly Detail'!CK28-'Monthly Detail'!$B$24)*'People Plan'!$D$11, 0)</f>
        <v/>
      </c>
      <c r="BM11" s="433">
        <f>+IF(('Monthly Detail'!CL28-'Monthly Detail'!$B$24)&gt;0,('Monthly Detail'!CL28-'Monthly Detail'!$B$24)*'People Plan'!$D$11, 0)</f>
        <v/>
      </c>
      <c r="BN11" s="433">
        <f>+IF(('Monthly Detail'!CM28-'Monthly Detail'!$B$24)&gt;0,('Monthly Detail'!CM28-'Monthly Detail'!$B$24)*'People Plan'!$D$11, 0)</f>
        <v/>
      </c>
      <c r="BO11" s="433">
        <f>+IF(('Monthly Detail'!CN28-'Monthly Detail'!$B$24)&gt;0,('Monthly Detail'!CN28-'Monthly Detail'!$B$24)*'People Plan'!$D$11, 0)</f>
        <v/>
      </c>
      <c r="BP11" s="433">
        <f>+IF(('Monthly Detail'!CO28-'Monthly Detail'!$B$24)&gt;0,('Monthly Detail'!CO28-'Monthly Detail'!$B$24)*'People Plan'!$D$11, 0)</f>
        <v/>
      </c>
      <c r="BQ11" s="433">
        <f>+IF(('Monthly Detail'!CP28-'Monthly Detail'!$B$24)&gt;0,('Monthly Detail'!CP28-'Monthly Detail'!$B$24)*'People Plan'!$D$11, 0)</f>
        <v/>
      </c>
      <c r="BR11" s="433">
        <f>+IF(('Monthly Detail'!CQ28-'Monthly Detail'!$B$24)&gt;0,('Monthly Detail'!CQ28-'Monthly Detail'!$B$24)*'People Plan'!$D$11, 0)</f>
        <v/>
      </c>
      <c r="BS11" s="433">
        <f>+IF(('Monthly Detail'!CR28-'Monthly Detail'!$B$24)&gt;0,('Monthly Detail'!CR28-'Monthly Detail'!$B$24)*'People Plan'!$D$11, 0)</f>
        <v/>
      </c>
      <c r="BT11" s="433">
        <f>+IF(('Monthly Detail'!CS28-'Monthly Detail'!$B$24)&gt;0,('Monthly Detail'!CS28-'Monthly Detail'!$B$24)*'People Plan'!$D$11, 0)</f>
        <v/>
      </c>
      <c r="BU11" s="433">
        <f>+IF(('Monthly Detail'!CT28-'Monthly Detail'!$B$24)&gt;0,('Monthly Detail'!CT28-'Monthly Detail'!$B$24)*'People Plan'!$D$11, 0)</f>
        <v/>
      </c>
      <c r="BV11" s="433">
        <f>+IF(('Monthly Detail'!CU28-'Monthly Detail'!$B$24)&gt;0,('Monthly Detail'!CU28-'Monthly Detail'!$B$24)*'People Plan'!$D$11, 0)</f>
        <v/>
      </c>
      <c r="BW11" s="433">
        <f>+IF(('Monthly Detail'!CV28-'Monthly Detail'!$B$24)&gt;0,('Monthly Detail'!CV28-'Monthly Detail'!$B$24)*'People Plan'!$D$11, 0)</f>
        <v/>
      </c>
      <c r="BX11" s="433">
        <f>+IF(('Monthly Detail'!CW28-'Monthly Detail'!$B$24)&gt;0,('Monthly Detail'!CW28-'Monthly Detail'!$B$24)*'People Plan'!$D$11, 0)</f>
        <v/>
      </c>
      <c r="BY11" s="433">
        <f>+IF(('Monthly Detail'!CX28-'Monthly Detail'!$B$24)&gt;0,('Monthly Detail'!CX28-'Monthly Detail'!$B$24)*'People Plan'!$D$11, 0)</f>
        <v/>
      </c>
      <c r="BZ11" s="433">
        <f>+IF(('Monthly Detail'!CY28-'Monthly Detail'!$B$24)&gt;0,('Monthly Detail'!CY28-'Monthly Detail'!$B$24)*'People Plan'!$D$11, 0)</f>
        <v/>
      </c>
      <c r="CA11" s="433">
        <f>+IF(('Monthly Detail'!CZ28-'Monthly Detail'!$B$24)&gt;0,('Monthly Detail'!CZ28-'Monthly Detail'!$B$24)*'People Plan'!$D$11, 0)</f>
        <v/>
      </c>
      <c r="CB11" s="433">
        <f>+IF(('Monthly Detail'!DA28-'Monthly Detail'!$B$24)&gt;0,('Monthly Detail'!DA28-'Monthly Detail'!$B$24)*'People Plan'!$D$11, 0)</f>
        <v/>
      </c>
      <c r="CC11" s="433">
        <f>+IF(('Monthly Detail'!DB28-'Monthly Detail'!$B$24)&gt;0,('Monthly Detail'!DB28-'Monthly Detail'!$B$24)*'People Plan'!$D$11, 0)</f>
        <v/>
      </c>
      <c r="CD11" s="433">
        <f>+IF(('Monthly Detail'!DC28-'Monthly Detail'!$B$24)&gt;0,('Monthly Detail'!DC28-'Monthly Detail'!$B$24)*'People Plan'!$D$11, 0)</f>
        <v/>
      </c>
      <c r="CE11" s="433">
        <f>+IF(('Monthly Detail'!DD28-'Monthly Detail'!$B$24)&gt;0,('Monthly Detail'!DD28-'Monthly Detail'!$B$24)*'People Plan'!$D$11, 0)</f>
        <v/>
      </c>
      <c r="CF11" s="433">
        <f>+IF(('Monthly Detail'!DE28-'Monthly Detail'!$B$24)&gt;0,('Monthly Detail'!DE28-'Monthly Detail'!$B$24)*'People Plan'!$D$11, 0)</f>
        <v/>
      </c>
      <c r="CG11" s="433">
        <f>+IF(('Monthly Detail'!DF28-'Monthly Detail'!$B$24)&gt;0,('Monthly Detail'!DF28-'Monthly Detail'!$B$24)*'People Plan'!$D$11, 0)</f>
        <v/>
      </c>
      <c r="CH11" s="433">
        <f>+IF(('Monthly Detail'!DG28-'Monthly Detail'!$B$24)&gt;0,('Monthly Detail'!DG28-'Monthly Detail'!$B$24)*'People Plan'!$D$11, 0)</f>
        <v/>
      </c>
      <c r="CI11" s="433">
        <f>+IF(('Monthly Detail'!DH28-'Monthly Detail'!$B$24)&gt;0,('Monthly Detail'!DH28-'Monthly Detail'!$B$24)*'People Plan'!$D$11, 0)</f>
        <v/>
      </c>
      <c r="CJ11" s="433">
        <f>+IF(('Monthly Detail'!DI28-'Monthly Detail'!$B$24)&gt;0,('Monthly Detail'!DI28-'Monthly Detail'!$B$24)*'People Plan'!$D$11, 0)</f>
        <v/>
      </c>
      <c r="CK11" s="433">
        <f>+IF(('Monthly Detail'!DJ28-'Monthly Detail'!$B$24)&gt;0,('Monthly Detail'!DJ28-'Monthly Detail'!$B$24)*'People Plan'!$D$11, 0)</f>
        <v/>
      </c>
      <c r="CL11" s="433">
        <f>+IF(('Monthly Detail'!DK28-'Monthly Detail'!$B$24)&gt;0,('Monthly Detail'!DK28-'Monthly Detail'!$B$24)*'People Plan'!$D$11, 0)</f>
        <v/>
      </c>
      <c r="CM11" s="433">
        <f>+IF(('Monthly Detail'!DL28-'Monthly Detail'!$B$24)&gt;0,('Monthly Detail'!DL28-'Monthly Detail'!$B$24)*'People Plan'!$D$11, 0)</f>
        <v/>
      </c>
      <c r="CN11" s="433">
        <f>+IF(('Monthly Detail'!DM28-'Monthly Detail'!$B$24)&gt;0,('Monthly Detail'!DM28-'Monthly Detail'!$B$24)*'People Plan'!$D$11, 0)</f>
        <v/>
      </c>
      <c r="CO11" s="433">
        <f>+IF(('Monthly Detail'!DN28-'Monthly Detail'!$B$24)&gt;0,('Monthly Detail'!DN28-'Monthly Detail'!$B$24)*'People Plan'!$D$11, 0)</f>
        <v/>
      </c>
      <c r="CP11" s="433">
        <f>+IF(('Monthly Detail'!DO28-'Monthly Detail'!$B$24)&gt;0,('Monthly Detail'!DO28-'Monthly Detail'!$B$24)*'People Plan'!$D$11, 0)</f>
        <v/>
      </c>
      <c r="CQ11" s="433">
        <f>+IF(('Monthly Detail'!DP28-'Monthly Detail'!$B$24)&gt;0,('Monthly Detail'!DP28-'Monthly Detail'!$B$24)*'People Plan'!$D$11, 0)</f>
        <v/>
      </c>
      <c r="CR11" s="433">
        <f>+IF(('Monthly Detail'!DQ28-'Monthly Detail'!$B$24)&gt;0,('Monthly Detail'!DQ28-'Monthly Detail'!$B$24)*'People Plan'!$D$11, 0)</f>
        <v/>
      </c>
      <c r="CS11" s="433">
        <f>+IF(('Monthly Detail'!DR28-'Monthly Detail'!$B$24)&gt;0,('Monthly Detail'!DR28-'Monthly Detail'!$B$24)*'People Plan'!$D$11, 0)</f>
        <v/>
      </c>
      <c r="CT11" s="433">
        <f>+IF(('Monthly Detail'!DS28-'Monthly Detail'!$B$24)&gt;0,('Monthly Detail'!DS28-'Monthly Detail'!$B$24)*'People Plan'!$D$11, 0)</f>
        <v/>
      </c>
      <c r="CU11" s="433">
        <f>+IF(('Monthly Detail'!DT28-'Monthly Detail'!$B$24)&gt;0,('Monthly Detail'!DT28-'Monthly Detail'!$B$24)*'People Plan'!$D$11, 0)</f>
        <v/>
      </c>
      <c r="CV11" s="433">
        <f>+IF(('Monthly Detail'!DU28-'Monthly Detail'!$B$24)&gt;0,('Monthly Detail'!DU28-'Monthly Detail'!$B$24)*'People Plan'!$D$11, 0)</f>
        <v/>
      </c>
      <c r="CW11" s="433">
        <f>+IF(('Monthly Detail'!DV28-'Monthly Detail'!$B$24)&gt;0,('Monthly Detail'!DV28-'Monthly Detail'!$B$24)*'People Plan'!$D$11, 0)</f>
        <v/>
      </c>
      <c r="CX11" s="433">
        <f>+IF(('Monthly Detail'!DW28-'Monthly Detail'!$B$24)&gt;0,('Monthly Detail'!DW28-'Monthly Detail'!$B$24)*'People Plan'!$D$11, 0)</f>
        <v/>
      </c>
      <c r="CY11" s="433">
        <f>+IF(('Monthly Detail'!DX28-'Monthly Detail'!$B$24)&gt;0,('Monthly Detail'!DX28-'Monthly Detail'!$B$24)*'People Plan'!$D$11, 0)</f>
        <v/>
      </c>
      <c r="CZ11" s="433">
        <f>+IF(('Monthly Detail'!DY28-'Monthly Detail'!$B$24)&gt;0,('Monthly Detail'!DY28-'Monthly Detail'!$B$24)*'People Plan'!$D$11, 0)</f>
        <v/>
      </c>
      <c r="DA11" s="433">
        <f>+IF(('Monthly Detail'!DZ28-'Monthly Detail'!$B$24)&gt;0,('Monthly Detail'!DZ28-'Monthly Detail'!$B$24)*'People Plan'!$D$11, 0)</f>
        <v/>
      </c>
      <c r="DB11" s="433">
        <f>+IF(('Monthly Detail'!EA28-'Monthly Detail'!$B$24)&gt;0,('Monthly Detail'!EA28-'Monthly Detail'!$B$24)*'People Plan'!$D$11, 0)</f>
        <v/>
      </c>
      <c r="DC11" s="433">
        <f>+IF(('Monthly Detail'!EB28-'Monthly Detail'!$B$24)&gt;0,('Monthly Detail'!EB28-'Monthly Detail'!$B$24)*'People Plan'!$D$11, 0)</f>
        <v/>
      </c>
      <c r="DD11" s="433">
        <f>+IF(('Monthly Detail'!EC28-'Monthly Detail'!$B$24)&gt;0,('Monthly Detail'!EC28-'Monthly Detail'!$B$24)*'People Plan'!$D$11, 0)</f>
        <v/>
      </c>
      <c r="DE11" s="433">
        <f>+IF(('Monthly Detail'!ED28-'Monthly Detail'!$B$24)&gt;0,('Monthly Detail'!ED28-'Monthly Detail'!$B$24)*'People Plan'!$D$11, 0)</f>
        <v/>
      </c>
      <c r="DF11" s="433">
        <f>+IF(('Monthly Detail'!EE28-'Monthly Detail'!$B$24)&gt;0,('Monthly Detail'!EE28-'Monthly Detail'!$B$24)*'People Plan'!$D$11, 0)</f>
        <v/>
      </c>
      <c r="DG11" s="433">
        <f>+IF(('Monthly Detail'!EF28-'Monthly Detail'!$B$24)&gt;0,('Monthly Detail'!EF28-'Monthly Detail'!$B$24)*'People Plan'!$D$11, 0)</f>
        <v/>
      </c>
      <c r="DH11" s="433">
        <f>+IF(('Monthly Detail'!EG28-'Monthly Detail'!$B$24)&gt;0,('Monthly Detail'!EG28-'Monthly Detail'!$B$24)*'People Plan'!$D$11, 0)</f>
        <v/>
      </c>
      <c r="DI11" s="433">
        <f>+IF(('Monthly Detail'!EH28-'Monthly Detail'!$B$24)&gt;0,('Monthly Detail'!EH28-'Monthly Detail'!$B$24)*'People Plan'!$D$11, 0)</f>
        <v/>
      </c>
      <c r="DJ11" s="433">
        <f>+IF(('Monthly Detail'!EI28-'Monthly Detail'!$B$24)&gt;0,('Monthly Detail'!EI28-'Monthly Detail'!$B$24)*'People Plan'!$D$11, 0)</f>
        <v/>
      </c>
      <c r="DK11" s="433">
        <f>+IF(('Monthly Detail'!EJ28-'Monthly Detail'!$B$24)&gt;0,('Monthly Detail'!EJ28-'Monthly Detail'!$B$24)*'People Plan'!$D$11, 0)</f>
        <v/>
      </c>
      <c r="DL11" s="433">
        <f>+IF(('Monthly Detail'!EK28-'Monthly Detail'!$B$24)&gt;0,('Monthly Detail'!EK28-'Monthly Detail'!$B$24)*'People Plan'!$D$11, 0)</f>
        <v/>
      </c>
      <c r="DM11" s="433">
        <f>+IF(('Monthly Detail'!EL28-'Monthly Detail'!$B$24)&gt;0,('Monthly Detail'!EL28-'Monthly Detail'!$B$24)*'People Plan'!$D$11, 0)</f>
        <v/>
      </c>
      <c r="DN11" s="433">
        <f>+IF(('Monthly Detail'!EM28-'Monthly Detail'!$B$24)&gt;0,('Monthly Detail'!EM28-'Monthly Detail'!$B$24)*'People Plan'!$D$11, 0)</f>
        <v/>
      </c>
      <c r="DO11" s="433">
        <f>+IF(('Monthly Detail'!EN28-'Monthly Detail'!$B$24)&gt;0,('Monthly Detail'!EN28-'Monthly Detail'!$B$24)*'People Plan'!$D$11, 0)</f>
        <v/>
      </c>
      <c r="DP11" s="433">
        <f>+IF(('Monthly Detail'!EO28-'Monthly Detail'!$B$24)&gt;0,('Monthly Detail'!EO28-'Monthly Detail'!$B$24)*'People Plan'!$D$11, 0)</f>
        <v/>
      </c>
      <c r="DQ11" s="433">
        <f>+IF(('Monthly Detail'!EP28-'Monthly Detail'!$B$24)&gt;0,('Monthly Detail'!EP28-'Monthly Detail'!$B$24)*'People Plan'!$D$11, 0)</f>
        <v/>
      </c>
      <c r="DR11" s="433">
        <f>+IF(('Monthly Detail'!EQ28-'Monthly Detail'!$B$24)&gt;0,('Monthly Detail'!EQ28-'Monthly Detail'!$B$24)*'People Plan'!$D$11, 0)</f>
        <v/>
      </c>
      <c r="DS11" s="433">
        <f>+IF(('Monthly Detail'!ER28-'Monthly Detail'!$B$24)&gt;0,('Monthly Detail'!ER28-'Monthly Detail'!$B$24)*'People Plan'!$D$11, 0)</f>
        <v/>
      </c>
      <c r="DT11" s="433">
        <f>+IF(('Monthly Detail'!ES28-'Monthly Detail'!$B$24)&gt;0,('Monthly Detail'!ES28-'Monthly Detail'!$B$24)*'People Plan'!$D$11, 0)</f>
        <v/>
      </c>
      <c r="DU11" s="433">
        <f>+IF(('Monthly Detail'!ET28-'Monthly Detail'!$B$24)&gt;0,('Monthly Detail'!ET28-'Monthly Detail'!$B$24)*'People Plan'!$D$11, 0)</f>
        <v/>
      </c>
      <c r="DV11" s="433">
        <f>+IF(('Monthly Detail'!EU28-'Monthly Detail'!$B$24)&gt;0,('Monthly Detail'!EU28-'Monthly Detail'!$B$24)*'People Plan'!$D$11, 0)</f>
        <v/>
      </c>
      <c r="DW11" s="433">
        <f>+IF(('Monthly Detail'!EV28-'Monthly Detail'!$B$24)&gt;0,('Monthly Detail'!EV28-'Monthly Detail'!$B$24)*'People Plan'!$D$11, 0)</f>
        <v/>
      </c>
      <c r="DX11" s="433">
        <f>+IF(('Monthly Detail'!EW28-'Monthly Detail'!$B$24)&gt;0,('Monthly Detail'!EW28-'Monthly Detail'!$B$24)*'People Plan'!$D$11, 0)</f>
        <v/>
      </c>
      <c r="DY11" s="433">
        <f>+IF(('Monthly Detail'!EX28-'Monthly Detail'!$B$24)&gt;0,('Monthly Detail'!EX28-'Monthly Detail'!$B$24)*'People Plan'!$D$11, 0)</f>
        <v/>
      </c>
      <c r="DZ11" s="433">
        <f>+IF(('Monthly Detail'!EY28-'Monthly Detail'!$B$24)&gt;0,('Monthly Detail'!EY28-'Monthly Detail'!$B$24)*'People Plan'!$D$11, 0)</f>
        <v/>
      </c>
      <c r="EA11" s="433">
        <f>+IF(('Monthly Detail'!EZ28-'Monthly Detail'!$B$24)&gt;0,('Monthly Detail'!EZ28-'Monthly Detail'!$B$24)*'People Plan'!$D$11, 0)</f>
        <v/>
      </c>
      <c r="EB11" s="433">
        <f>+IF(('Monthly Detail'!FA28-'Monthly Detail'!$B$24)&gt;0,('Monthly Detail'!FA28-'Monthly Detail'!$B$24)*'People Plan'!$D$11, 0)</f>
        <v/>
      </c>
      <c r="EC11" s="433">
        <f>+IF(('Monthly Detail'!FB28-'Monthly Detail'!$B$24)&gt;0,('Monthly Detail'!FB28-'Monthly Detail'!$B$24)*'People Plan'!$D$11, 0)</f>
        <v/>
      </c>
      <c r="ED11" s="433">
        <f>+IF(('Monthly Detail'!FC28-'Monthly Detail'!$B$24)&gt;0,('Monthly Detail'!FC28-'Monthly Detail'!$B$24)*'People Plan'!$D$11, 0)</f>
        <v/>
      </c>
      <c r="EE11" s="433">
        <f>+IF(('Monthly Detail'!FD28-'Monthly Detail'!$B$24)&gt;0,('Monthly Detail'!FD28-'Monthly Detail'!$B$24)*'People Plan'!$D$11, 0)</f>
        <v/>
      </c>
      <c r="EF11" s="433">
        <f>+IF(('Monthly Detail'!FE28-'Monthly Detail'!$B$24)&gt;0,('Monthly Detail'!FE28-'Monthly Detail'!$B$24)*'People Plan'!$D$11, 0)</f>
        <v/>
      </c>
      <c r="EG11" s="433">
        <f>+IF(('Monthly Detail'!FF28-'Monthly Detail'!$B$24)&gt;0,('Monthly Detail'!FF28-'Monthly Detail'!$B$24)*'People Plan'!$D$11, 0)</f>
        <v/>
      </c>
      <c r="EH11" s="433">
        <f>+IF(('Monthly Detail'!FG28-'Monthly Detail'!$B$24)&gt;0,('Monthly Detail'!FG28-'Monthly Detail'!$B$24)*'People Plan'!$D$11, 0)</f>
        <v/>
      </c>
      <c r="EI11" s="433">
        <f>+IF(('Monthly Detail'!FH28-'Monthly Detail'!$B$24)&gt;0,('Monthly Detail'!FH28-'Monthly Detail'!$B$24)*'People Plan'!$D$11, 0)</f>
        <v/>
      </c>
      <c r="EJ11" s="433">
        <f>+IF(('Monthly Detail'!FI28-'Monthly Detail'!$B$24)&gt;0,('Monthly Detail'!FI28-'Monthly Detail'!$B$24)*'People Plan'!$D$11, 0)</f>
        <v/>
      </c>
      <c r="EK11" s="433">
        <f>+IF(('Monthly Detail'!FJ28-'Monthly Detail'!$B$24)&gt;0,('Monthly Detail'!FJ28-'Monthly Detail'!$B$24)*'People Plan'!$D$11, 0)</f>
        <v/>
      </c>
      <c r="EL11" s="433">
        <f>+IF(('Monthly Detail'!FK28-'Monthly Detail'!$B$24)&gt;0,('Monthly Detail'!FK28-'Monthly Detail'!$B$24)*'People Plan'!$D$11, 0)</f>
        <v/>
      </c>
      <c r="EM11" s="433">
        <f>+IF(('Monthly Detail'!FL28-'Monthly Detail'!$B$24)&gt;0,('Monthly Detail'!FL28-'Monthly Detail'!$B$24)*'People Plan'!$D$11, 0)</f>
        <v/>
      </c>
      <c r="EN11" s="433">
        <f>+IF(('Monthly Detail'!FM28-'Monthly Detail'!$B$24)&gt;0,('Monthly Detail'!FM28-'Monthly Detail'!$B$24)*'People Plan'!$D$11, 0)</f>
        <v/>
      </c>
      <c r="EO11" s="433">
        <f>+IF(('Monthly Detail'!FN28-'Monthly Detail'!$B$24)&gt;0,('Monthly Detail'!FN28-'Monthly Detail'!$B$24)*'People Plan'!$D$11, 0)</f>
        <v/>
      </c>
      <c r="EP11" s="433">
        <f>+IF(('Monthly Detail'!FO28-'Monthly Detail'!$B$24)&gt;0,('Monthly Detail'!FO28-'Monthly Detail'!$B$24)*'People Plan'!$D$11, 0)</f>
        <v/>
      </c>
      <c r="EQ11" s="433">
        <f>+IF(('Monthly Detail'!FP28-'Monthly Detail'!$B$24)&gt;0,('Monthly Detail'!FP28-'Monthly Detail'!$B$24)*'People Plan'!$D$11, 0)</f>
        <v/>
      </c>
      <c r="ER11" s="433">
        <f>+IF(('Monthly Detail'!FQ28-'Monthly Detail'!$B$24)&gt;0,('Monthly Detail'!FQ28-'Monthly Detail'!$B$24)*'People Plan'!$D$11, 0)</f>
        <v/>
      </c>
      <c r="ES11" s="433">
        <f>+IF(('Monthly Detail'!FR28-'Monthly Detail'!$B$24)&gt;0,('Monthly Detail'!FR28-'Monthly Detail'!$B$24)*'People Plan'!$D$11, 0)</f>
        <v/>
      </c>
      <c r="ET11" s="433">
        <f>+IF(('Monthly Detail'!FS28-'Monthly Detail'!$B$24)&gt;0,('Monthly Detail'!FS28-'Monthly Detail'!$B$24)*'People Plan'!$D$11, 0)</f>
        <v/>
      </c>
      <c r="EU11" s="433">
        <f>+IF(('Monthly Detail'!FT28-'Monthly Detail'!$B$24)&gt;0,('Monthly Detail'!FT28-'Monthly Detail'!$B$24)*'People Plan'!$D$11, 0)</f>
        <v/>
      </c>
      <c r="EV11" s="433">
        <f>+IF(('Monthly Detail'!FU28-'Monthly Detail'!$B$24)&gt;0,('Monthly Detail'!FU28-'Monthly Detail'!$B$24)*'People Plan'!$D$11, 0)</f>
        <v/>
      </c>
      <c r="EW11" s="433">
        <f>+IF(('Monthly Detail'!FV28-'Monthly Detail'!$B$24)&gt;0,('Monthly Detail'!FV28-'Monthly Detail'!$B$24)*'People Plan'!$D$11, 0)</f>
        <v/>
      </c>
      <c r="EX11" s="433">
        <f>+IF(('Monthly Detail'!FW28-'Monthly Detail'!$B$24)&gt;0,('Monthly Detail'!FW28-'Monthly Detail'!$B$24)*'People Plan'!$D$11, 0)</f>
        <v/>
      </c>
      <c r="EY11" s="433">
        <f>+IF(('Monthly Detail'!FX28-'Monthly Detail'!$B$24)&gt;0,('Monthly Detail'!FX28-'Monthly Detail'!$B$24)*'People Plan'!$D$11, 0)</f>
        <v/>
      </c>
      <c r="EZ11" s="433">
        <f>+IF(('Monthly Detail'!FY28-'Monthly Detail'!$B$24)&gt;0,('Monthly Detail'!FY28-'Monthly Detail'!$B$24)*'People Plan'!$D$11, 0)</f>
        <v/>
      </c>
      <c r="FA11" s="433">
        <f>+IF(('Monthly Detail'!FZ28-'Monthly Detail'!$B$24)&gt;0,('Monthly Detail'!FZ28-'Monthly Detail'!$B$24)*'People Plan'!$D$11, 0)</f>
        <v/>
      </c>
      <c r="FB11" s="434">
        <f>+IF(('Monthly Detail'!GA28-'Monthly Detail'!$B$24)&gt;0,('Monthly Detail'!GA28-'Monthly Detail'!$B$24)*'People Plan'!$D$11, 0)</f>
        <v/>
      </c>
    </row>
    <row r="12">
      <c r="B12" s="442" t="inlineStr">
        <is>
          <t xml:space="preserve">Madeline </t>
        </is>
      </c>
      <c r="C12" t="inlineStr">
        <is>
          <t>Subsititute Tutor - RESUME REVIEW</t>
        </is>
      </c>
      <c r="D12" s="819" t="n">
        <v>50</v>
      </c>
      <c r="E12" s="510" t="n">
        <v>3</v>
      </c>
      <c r="F12" s="7" t="n"/>
      <c r="H12" s="432">
        <f>+IF(('Monthly Detail'!AG24-'Monthly Detail'!$B$24)&gt;0,('Monthly Detail'!AG24-'Monthly Detail'!$B$24)*'People Plan'!$D$11, 0)</f>
        <v/>
      </c>
      <c r="I12" s="471" t="n">
        <v>150</v>
      </c>
      <c r="J12" s="471" t="n">
        <v>740</v>
      </c>
      <c r="K12" s="471" t="n">
        <v>817.5</v>
      </c>
      <c r="L12" s="471" t="n">
        <v>937.5</v>
      </c>
      <c r="M12" s="471" t="n">
        <v>170</v>
      </c>
      <c r="N12" s="471">
        <f>+IF(('Monthly Detail'!AM30-$E$12)&gt;0,('Monthly Detail'!AM30-$E$12)*'People Plan'!$D$12, 0)</f>
        <v/>
      </c>
      <c r="O12" s="471" t="n">
        <v>0</v>
      </c>
      <c r="P12" s="471" t="n">
        <v>802.5</v>
      </c>
      <c r="Q12" s="471" t="n">
        <v>375</v>
      </c>
      <c r="R12" s="471" t="n">
        <v>0</v>
      </c>
      <c r="S12" s="471" t="n">
        <v>270</v>
      </c>
      <c r="T12" s="471" t="n">
        <v>0</v>
      </c>
      <c r="U12" s="471" t="n">
        <v>720</v>
      </c>
      <c r="V12" s="471" t="n">
        <v>240</v>
      </c>
      <c r="W12" s="471" t="n">
        <v>1419.96</v>
      </c>
      <c r="X12" s="709" t="n">
        <v>1020</v>
      </c>
      <c r="Y12" s="433">
        <f>+IF(('Monthly Detail'!AX30-$E$12)&gt;0,('Monthly Detail'!AX30-$E$12)*'People Plan'!$D$12, 0)</f>
        <v/>
      </c>
      <c r="Z12" s="433">
        <f>+IF(('Monthly Detail'!AY30-$E$12)&gt;0,('Monthly Detail'!AY30-$E$12)*'People Plan'!$D$12, 0)</f>
        <v/>
      </c>
      <c r="AA12" s="433">
        <f>+IF(('Monthly Detail'!AZ30-$E$12)&gt;0,('Monthly Detail'!AZ30-$E$12)*'People Plan'!$D$12, 0)</f>
        <v/>
      </c>
      <c r="AB12" s="433">
        <f>+IF(('Monthly Detail'!BA30-$E$12)&gt;0,('Monthly Detail'!BA30-$E$12)*'People Plan'!$D$12, 0)</f>
        <v/>
      </c>
      <c r="AC12" s="433">
        <f>+IF(('Monthly Detail'!BB30-$E$12)&gt;0,('Monthly Detail'!BB30-$E$12)*'People Plan'!$D$12, 0)</f>
        <v/>
      </c>
      <c r="AD12" s="433">
        <f>+IF(('Monthly Detail'!BC30-$E$12)&gt;0,('Monthly Detail'!BC30-$E$12)*'People Plan'!$D$12, 0)</f>
        <v/>
      </c>
      <c r="AE12" s="433">
        <f>+IF(('Monthly Detail'!BD30-$E$12)&gt;0,('Monthly Detail'!BD30-$E$12)*'People Plan'!$D$12, 0)</f>
        <v/>
      </c>
      <c r="AF12" s="433">
        <f>+IF(('Monthly Detail'!BE30-$E$12)&gt;0,('Monthly Detail'!BE30-$E$12)*'People Plan'!$D$12, 0)</f>
        <v/>
      </c>
      <c r="AG12" s="433">
        <f>+IF(('Monthly Detail'!BF30-$E$12)&gt;0,('Monthly Detail'!BF30-$E$12)*'People Plan'!$D$12, 0)</f>
        <v/>
      </c>
      <c r="AH12" s="433">
        <f>+IF(('Monthly Detail'!BG30-$E$12)&gt;0,('Monthly Detail'!BG30-$E$12)*'People Plan'!$D$12, 0)</f>
        <v/>
      </c>
      <c r="AI12" s="433">
        <f>+IF(('Monthly Detail'!BH30-$E$12)&gt;0,('Monthly Detail'!BH30-$E$12)*'People Plan'!$D$12, 0)</f>
        <v/>
      </c>
      <c r="AJ12" s="433">
        <f>+IF(('Monthly Detail'!BI30-$E$12)&gt;0,('Monthly Detail'!BI30-$E$12)*'People Plan'!$D$12, 0)</f>
        <v/>
      </c>
      <c r="AK12" s="433">
        <f>+IF(('Monthly Detail'!BJ30-$E$12)&gt;0,('Monthly Detail'!BJ30-$E$12)*'People Plan'!$D$12, 0)</f>
        <v/>
      </c>
      <c r="AL12" s="433">
        <f>+IF(('Monthly Detail'!BK30-$E$12)&gt;0,('Monthly Detail'!BK30-$E$12)*'People Plan'!$D$12, 0)</f>
        <v/>
      </c>
      <c r="AM12" s="433">
        <f>+IF(('Monthly Detail'!BL30-$E$12)&gt;0,('Monthly Detail'!BL30-$E$12)*'People Plan'!$D$12, 0)</f>
        <v/>
      </c>
      <c r="AN12" s="433">
        <f>+IF(('Monthly Detail'!BM30-$E$12)&gt;0,('Monthly Detail'!BM30-$E$12)*'People Plan'!$D$12, 0)</f>
        <v/>
      </c>
      <c r="AO12" s="433">
        <f>+IF(('Monthly Detail'!BN30-$E$12)&gt;0,('Monthly Detail'!BN30-$E$12)*'People Plan'!$D$12, 0)</f>
        <v/>
      </c>
      <c r="AP12" s="433">
        <f>+IF(('Monthly Detail'!BO30-$E$12)&gt;0,('Monthly Detail'!BO30-$E$12)*'People Plan'!$D$12, 0)</f>
        <v/>
      </c>
      <c r="AQ12" s="433">
        <f>+IF(('Monthly Detail'!BP30-$E$12)&gt;0,('Monthly Detail'!BP30-$E$12)*'People Plan'!$D$12, 0)</f>
        <v/>
      </c>
      <c r="AR12" s="433">
        <f>+IF(('Monthly Detail'!BQ30-$E$12)&gt;0,('Monthly Detail'!BQ30-$E$12)*'People Plan'!$D$12, 0)</f>
        <v/>
      </c>
      <c r="AS12" s="433">
        <f>+IF(('Monthly Detail'!BR30-$E$12)&gt;0,('Monthly Detail'!BR30-$E$12)*'People Plan'!$D$12, 0)</f>
        <v/>
      </c>
      <c r="AT12" s="433">
        <f>+IF(('Monthly Detail'!BS30-$E$12)&gt;0,('Monthly Detail'!BS30-$E$12)*'People Plan'!$D$12, 0)</f>
        <v/>
      </c>
      <c r="AU12" s="433">
        <f>+IF(('Monthly Detail'!BT30-$E$12)&gt;0,('Monthly Detail'!BT30-$E$12)*'People Plan'!$D$12, 0)</f>
        <v/>
      </c>
      <c r="AV12" s="433">
        <f>+IF(('Monthly Detail'!BU30-$E$12)&gt;0,('Monthly Detail'!BU30-$E$12)*'People Plan'!$D$12, 0)</f>
        <v/>
      </c>
      <c r="AW12" s="433">
        <f>+IF(('Monthly Detail'!BV30-$E$12)&gt;0,('Monthly Detail'!BV30-$E$12)*'People Plan'!$D$12, 0)</f>
        <v/>
      </c>
      <c r="AX12" s="433">
        <f>+IF(('Monthly Detail'!BW30-$E$12)&gt;0,('Monthly Detail'!BW30-$E$12)*'People Plan'!$D$12, 0)</f>
        <v/>
      </c>
      <c r="AY12" s="433">
        <f>+IF(('Monthly Detail'!BX30-$E$12)&gt;0,('Monthly Detail'!BX30-$E$12)*'People Plan'!$D$12, 0)</f>
        <v/>
      </c>
      <c r="AZ12" s="433">
        <f>+IF(('Monthly Detail'!BY30-$E$12)&gt;0,('Monthly Detail'!BY30-$E$12)*'People Plan'!$D$12, 0)</f>
        <v/>
      </c>
      <c r="BA12" s="433">
        <f>+IF(('Monthly Detail'!BZ30-$E$12)&gt;0,('Monthly Detail'!BZ30-$E$12)*'People Plan'!$D$12, 0)</f>
        <v/>
      </c>
      <c r="BB12" s="433">
        <f>+IF(('Monthly Detail'!CA30-$E$12)&gt;0,('Monthly Detail'!CA30-$E$12)*'People Plan'!$D$12, 0)</f>
        <v/>
      </c>
      <c r="BC12" s="433">
        <f>+IF(('Monthly Detail'!CB30-$E$12)&gt;0,('Monthly Detail'!CB30-$E$12)*'People Plan'!$D$12, 0)</f>
        <v/>
      </c>
      <c r="BD12" s="433">
        <f>+IF(('Monthly Detail'!CC30-$E$12)&gt;0,('Monthly Detail'!CC30-$E$12)*'People Plan'!$D$12, 0)</f>
        <v/>
      </c>
      <c r="BE12" s="433">
        <f>+IF(('Monthly Detail'!CD30-$E$12)&gt;0,('Monthly Detail'!CD30-$E$12)*'People Plan'!$D$12, 0)</f>
        <v/>
      </c>
      <c r="BF12" s="433">
        <f>+IF(('Monthly Detail'!CE30-$E$12)&gt;0,('Monthly Detail'!CE30-$E$12)*'People Plan'!$D$12, 0)</f>
        <v/>
      </c>
      <c r="BG12" s="433">
        <f>+IF(('Monthly Detail'!CF30-$E$12)&gt;0,('Monthly Detail'!CF30-$E$12)*'People Plan'!$D$12, 0)</f>
        <v/>
      </c>
      <c r="BH12" s="433">
        <f>+IF(('Monthly Detail'!CG30-$E$12)&gt;0,('Monthly Detail'!CG30-$E$12)*'People Plan'!$D$12, 0)</f>
        <v/>
      </c>
      <c r="BI12" s="433">
        <f>+IF(('Monthly Detail'!CH30-$E$12)&gt;0,('Monthly Detail'!CH30-$E$12)*'People Plan'!$D$12, 0)</f>
        <v/>
      </c>
      <c r="BJ12" s="433">
        <f>+IF(('Monthly Detail'!CI30-$E$12)&gt;0,('Monthly Detail'!CI30-$E$12)*'People Plan'!$D$12, 0)</f>
        <v/>
      </c>
      <c r="BK12" s="433">
        <f>+IF(('Monthly Detail'!CJ30-$E$12)&gt;0,('Monthly Detail'!CJ30-$E$12)*'People Plan'!$D$12, 0)</f>
        <v/>
      </c>
      <c r="BL12" s="433">
        <f>+IF(('Monthly Detail'!CK30-$E$12)&gt;0,('Monthly Detail'!CK30-$E$12)*'People Plan'!$D$12, 0)</f>
        <v/>
      </c>
      <c r="BM12" s="433">
        <f>+IF(('Monthly Detail'!CL30-$E$12)&gt;0,('Monthly Detail'!CL30-$E$12)*'People Plan'!$D$12, 0)</f>
        <v/>
      </c>
      <c r="BN12" s="433">
        <f>+IF(('Monthly Detail'!CM30-$E$12)&gt;0,('Monthly Detail'!CM30-$E$12)*'People Plan'!$D$12, 0)</f>
        <v/>
      </c>
      <c r="BO12" s="433">
        <f>+IF(('Monthly Detail'!CN30-$E$12)&gt;0,('Monthly Detail'!CN30-$E$12)*'People Plan'!$D$12, 0)</f>
        <v/>
      </c>
      <c r="BP12" s="433">
        <f>+IF(('Monthly Detail'!CO30-$E$12)&gt;0,('Monthly Detail'!CO30-$E$12)*'People Plan'!$D$12, 0)</f>
        <v/>
      </c>
      <c r="BQ12" s="433">
        <f>+IF(('Monthly Detail'!CP30-$E$12)&gt;0,('Monthly Detail'!CP30-$E$12)*'People Plan'!$D$12, 0)</f>
        <v/>
      </c>
      <c r="BR12" s="433">
        <f>+IF(('Monthly Detail'!CQ30-$E$12)&gt;0,('Monthly Detail'!CQ30-$E$12)*'People Plan'!$D$12, 0)</f>
        <v/>
      </c>
      <c r="BS12" s="433">
        <f>+IF(('Monthly Detail'!CR30-$E$12)&gt;0,('Monthly Detail'!CR30-$E$12)*'People Plan'!$D$12, 0)</f>
        <v/>
      </c>
      <c r="BT12" s="433">
        <f>+IF(('Monthly Detail'!CS30-$E$12)&gt;0,('Monthly Detail'!CS30-$E$12)*'People Plan'!$D$12, 0)</f>
        <v/>
      </c>
      <c r="BU12" s="433">
        <f>+IF(('Monthly Detail'!CT30-$E$12)&gt;0,('Monthly Detail'!CT30-$E$12)*'People Plan'!$D$12, 0)</f>
        <v/>
      </c>
      <c r="BV12" s="433">
        <f>+IF(('Monthly Detail'!CU30-$E$12)&gt;0,('Monthly Detail'!CU30-$E$12)*'People Plan'!$D$12, 0)</f>
        <v/>
      </c>
      <c r="BW12" s="433">
        <f>+IF(('Monthly Detail'!CV30-$E$12)&gt;0,('Monthly Detail'!CV30-$E$12)*'People Plan'!$D$12, 0)</f>
        <v/>
      </c>
      <c r="BX12" s="433">
        <f>+IF(('Monthly Detail'!CW30-$E$12)&gt;0,('Monthly Detail'!CW30-$E$12)*'People Plan'!$D$12, 0)</f>
        <v/>
      </c>
      <c r="BY12" s="433">
        <f>+IF(('Monthly Detail'!CX30-$E$12)&gt;0,('Monthly Detail'!CX30-$E$12)*'People Plan'!$D$12, 0)</f>
        <v/>
      </c>
      <c r="BZ12" s="433">
        <f>+IF(('Monthly Detail'!CY30-$E$12)&gt;0,('Monthly Detail'!CY30-$E$12)*'People Plan'!$D$12, 0)</f>
        <v/>
      </c>
      <c r="CA12" s="433">
        <f>+IF(('Monthly Detail'!CZ30-$E$12)&gt;0,('Monthly Detail'!CZ30-$E$12)*'People Plan'!$D$12, 0)</f>
        <v/>
      </c>
      <c r="CB12" s="433">
        <f>+IF(('Monthly Detail'!DA30-$E$12)&gt;0,('Monthly Detail'!DA30-$E$12)*'People Plan'!$D$12, 0)</f>
        <v/>
      </c>
      <c r="CC12" s="433">
        <f>+IF(('Monthly Detail'!DB30-$E$12)&gt;0,('Monthly Detail'!DB30-$E$12)*'People Plan'!$D$12, 0)</f>
        <v/>
      </c>
      <c r="CD12" s="433">
        <f>+IF(('Monthly Detail'!DC30-$E$12)&gt;0,('Monthly Detail'!DC30-$E$12)*'People Plan'!$D$12, 0)</f>
        <v/>
      </c>
      <c r="CE12" s="433">
        <f>+IF(('Monthly Detail'!DD30-$E$12)&gt;0,('Monthly Detail'!DD30-$E$12)*'People Plan'!$D$12, 0)</f>
        <v/>
      </c>
      <c r="CF12" s="433">
        <f>+IF(('Monthly Detail'!DE30-$E$12)&gt;0,('Monthly Detail'!DE30-$E$12)*'People Plan'!$D$12, 0)</f>
        <v/>
      </c>
      <c r="CG12" s="433">
        <f>+IF(('Monthly Detail'!DF30-$E$12)&gt;0,('Monthly Detail'!DF30-$E$12)*'People Plan'!$D$12, 0)</f>
        <v/>
      </c>
      <c r="CH12" s="433">
        <f>+IF(('Monthly Detail'!DG30-$E$12)&gt;0,('Monthly Detail'!DG30-$E$12)*'People Plan'!$D$12, 0)</f>
        <v/>
      </c>
      <c r="CI12" s="433">
        <f>+IF(('Monthly Detail'!DH30-$E$12)&gt;0,('Monthly Detail'!DH30-$E$12)*'People Plan'!$D$12, 0)</f>
        <v/>
      </c>
      <c r="CJ12" s="433">
        <f>+IF(('Monthly Detail'!DI30-$E$12)&gt;0,('Monthly Detail'!DI30-$E$12)*'People Plan'!$D$12, 0)</f>
        <v/>
      </c>
      <c r="CK12" s="433">
        <f>+IF(('Monthly Detail'!DJ30-$E$12)&gt;0,('Monthly Detail'!DJ30-$E$12)*'People Plan'!$D$12, 0)</f>
        <v/>
      </c>
      <c r="CL12" s="433">
        <f>+IF(('Monthly Detail'!DK30-$E$12)&gt;0,('Monthly Detail'!DK30-$E$12)*'People Plan'!$D$12, 0)</f>
        <v/>
      </c>
      <c r="CM12" s="433">
        <f>+IF(('Monthly Detail'!DL30-$E$12)&gt;0,('Monthly Detail'!DL30-$E$12)*'People Plan'!$D$12, 0)</f>
        <v/>
      </c>
      <c r="CN12" s="433">
        <f>+IF(('Monthly Detail'!DM30-$E$12)&gt;0,('Monthly Detail'!DM30-$E$12)*'People Plan'!$D$12, 0)</f>
        <v/>
      </c>
      <c r="CO12" s="433">
        <f>+IF(('Monthly Detail'!DN30-$E$12)&gt;0,('Monthly Detail'!DN30-$E$12)*'People Plan'!$D$12, 0)</f>
        <v/>
      </c>
      <c r="CP12" s="433">
        <f>+IF(('Monthly Detail'!DO30-$E$12)&gt;0,('Monthly Detail'!DO30-$E$12)*'People Plan'!$D$12, 0)</f>
        <v/>
      </c>
      <c r="CQ12" s="433">
        <f>+IF(('Monthly Detail'!DP30-$E$12)&gt;0,('Monthly Detail'!DP30-$E$12)*'People Plan'!$D$12, 0)</f>
        <v/>
      </c>
      <c r="CR12" s="433">
        <f>+IF(('Monthly Detail'!DQ30-$E$12)&gt;0,('Monthly Detail'!DQ30-$E$12)*'People Plan'!$D$12, 0)</f>
        <v/>
      </c>
      <c r="CS12" s="433">
        <f>+IF(('Monthly Detail'!DR30-$E$12)&gt;0,('Monthly Detail'!DR30-$E$12)*'People Plan'!$D$12, 0)</f>
        <v/>
      </c>
      <c r="CT12" s="433">
        <f>+IF(('Monthly Detail'!DS30-$E$12)&gt;0,('Monthly Detail'!DS30-$E$12)*'People Plan'!$D$12, 0)</f>
        <v/>
      </c>
      <c r="CU12" s="433">
        <f>+IF(('Monthly Detail'!DT30-$E$12)&gt;0,('Monthly Detail'!DT30-$E$12)*'People Plan'!$D$12, 0)</f>
        <v/>
      </c>
      <c r="CV12" s="433">
        <f>+IF(('Monthly Detail'!DU30-$E$12)&gt;0,('Monthly Detail'!DU30-$E$12)*'People Plan'!$D$12, 0)</f>
        <v/>
      </c>
      <c r="CW12" s="433">
        <f>+IF(('Monthly Detail'!DV30-$E$12)&gt;0,('Monthly Detail'!DV30-$E$12)*'People Plan'!$D$12, 0)</f>
        <v/>
      </c>
      <c r="CX12" s="433">
        <f>+IF(('Monthly Detail'!DW30-$E$12)&gt;0,('Monthly Detail'!DW30-$E$12)*'People Plan'!$D$12, 0)</f>
        <v/>
      </c>
      <c r="CY12" s="433">
        <f>+IF(('Monthly Detail'!DX30-$E$12)&gt;0,('Monthly Detail'!DX30-$E$12)*'People Plan'!$D$12, 0)</f>
        <v/>
      </c>
      <c r="CZ12" s="433">
        <f>+IF(('Monthly Detail'!DY30-$E$12)&gt;0,('Monthly Detail'!DY30-$E$12)*'People Plan'!$D$12, 0)</f>
        <v/>
      </c>
      <c r="DA12" s="433">
        <f>+IF(('Monthly Detail'!DZ30-$E$12)&gt;0,('Monthly Detail'!DZ30-$E$12)*'People Plan'!$D$12, 0)</f>
        <v/>
      </c>
      <c r="DB12" s="433">
        <f>+IF(('Monthly Detail'!EA30-$E$12)&gt;0,('Monthly Detail'!EA30-$E$12)*'People Plan'!$D$12, 0)</f>
        <v/>
      </c>
      <c r="DC12" s="433">
        <f>+IF(('Monthly Detail'!EB30-$E$12)&gt;0,('Monthly Detail'!EB30-$E$12)*'People Plan'!$D$12, 0)</f>
        <v/>
      </c>
      <c r="DD12" s="433">
        <f>+IF(('Monthly Detail'!EC30-$E$12)&gt;0,('Monthly Detail'!EC30-$E$12)*'People Plan'!$D$12, 0)</f>
        <v/>
      </c>
      <c r="DE12" s="433">
        <f>+IF(('Monthly Detail'!ED30-$E$12)&gt;0,('Monthly Detail'!ED30-$E$12)*'People Plan'!$D$12, 0)</f>
        <v/>
      </c>
      <c r="DF12" s="433">
        <f>+IF(('Monthly Detail'!EE30-$E$12)&gt;0,('Monthly Detail'!EE30-$E$12)*'People Plan'!$D$12, 0)</f>
        <v/>
      </c>
      <c r="DG12" s="433">
        <f>+IF(('Monthly Detail'!EF30-$E$12)&gt;0,('Monthly Detail'!EF30-$E$12)*'People Plan'!$D$12, 0)</f>
        <v/>
      </c>
      <c r="DH12" s="433">
        <f>+IF(('Monthly Detail'!EG30-$E$12)&gt;0,('Monthly Detail'!EG30-$E$12)*'People Plan'!$D$12, 0)</f>
        <v/>
      </c>
      <c r="DI12" s="433">
        <f>+IF(('Monthly Detail'!EH30-$E$12)&gt;0,('Monthly Detail'!EH30-$E$12)*'People Plan'!$D$12, 0)</f>
        <v/>
      </c>
      <c r="DJ12" s="433">
        <f>+IF(('Monthly Detail'!EI30-$E$12)&gt;0,('Monthly Detail'!EI30-$E$12)*'People Plan'!$D$12, 0)</f>
        <v/>
      </c>
      <c r="DK12" s="433">
        <f>+IF(('Monthly Detail'!EJ30-$E$12)&gt;0,('Monthly Detail'!EJ30-$E$12)*'People Plan'!$D$12, 0)</f>
        <v/>
      </c>
      <c r="DL12" s="433">
        <f>+IF(('Monthly Detail'!EK30-$E$12)&gt;0,('Monthly Detail'!EK30-$E$12)*'People Plan'!$D$12, 0)</f>
        <v/>
      </c>
      <c r="DM12" s="433">
        <f>+IF(('Monthly Detail'!EL30-$E$12)&gt;0,('Monthly Detail'!EL30-$E$12)*'People Plan'!$D$12, 0)</f>
        <v/>
      </c>
      <c r="DN12" s="433">
        <f>+IF(('Monthly Detail'!EM30-$E$12)&gt;0,('Monthly Detail'!EM30-$E$12)*'People Plan'!$D$12, 0)</f>
        <v/>
      </c>
      <c r="DO12" s="433">
        <f>+IF(('Monthly Detail'!EN30-$E$12)&gt;0,('Monthly Detail'!EN30-$E$12)*'People Plan'!$D$12, 0)</f>
        <v/>
      </c>
      <c r="DP12" s="433">
        <f>+IF(('Monthly Detail'!EO30-$E$12)&gt;0,('Monthly Detail'!EO30-$E$12)*'People Plan'!$D$12, 0)</f>
        <v/>
      </c>
      <c r="DQ12" s="433">
        <f>+IF(('Monthly Detail'!EP30-$E$12)&gt;0,('Monthly Detail'!EP30-$E$12)*'People Plan'!$D$12, 0)</f>
        <v/>
      </c>
      <c r="DR12" s="433">
        <f>+IF(('Monthly Detail'!EQ30-$E$12)&gt;0,('Monthly Detail'!EQ30-$E$12)*'People Plan'!$D$12, 0)</f>
        <v/>
      </c>
      <c r="DS12" s="433">
        <f>+IF(('Monthly Detail'!ER30-$E$12)&gt;0,('Monthly Detail'!ER30-$E$12)*'People Plan'!$D$12, 0)</f>
        <v/>
      </c>
      <c r="DT12" s="433">
        <f>+IF(('Monthly Detail'!ES30-$E$12)&gt;0,('Monthly Detail'!ES30-$E$12)*'People Plan'!$D$12, 0)</f>
        <v/>
      </c>
      <c r="DU12" s="433">
        <f>+IF(('Monthly Detail'!ET30-$E$12)&gt;0,('Monthly Detail'!ET30-$E$12)*'People Plan'!$D$12, 0)</f>
        <v/>
      </c>
      <c r="DV12" s="433">
        <f>+IF(('Monthly Detail'!EU30-$E$12)&gt;0,('Monthly Detail'!EU30-$E$12)*'People Plan'!$D$12, 0)</f>
        <v/>
      </c>
      <c r="DW12" s="433">
        <f>+IF(('Monthly Detail'!EV30-$E$12)&gt;0,('Monthly Detail'!EV30-$E$12)*'People Plan'!$D$12, 0)</f>
        <v/>
      </c>
      <c r="DX12" s="433">
        <f>+IF(('Monthly Detail'!EW30-$E$12)&gt;0,('Monthly Detail'!EW30-$E$12)*'People Plan'!$D$12, 0)</f>
        <v/>
      </c>
      <c r="DY12" s="433">
        <f>+IF(('Monthly Detail'!EX30-$E$12)&gt;0,('Monthly Detail'!EX30-$E$12)*'People Plan'!$D$12, 0)</f>
        <v/>
      </c>
      <c r="DZ12" s="433">
        <f>+IF(('Monthly Detail'!EY30-$E$12)&gt;0,('Monthly Detail'!EY30-$E$12)*'People Plan'!$D$12, 0)</f>
        <v/>
      </c>
      <c r="EA12" s="433">
        <f>+IF(('Monthly Detail'!EZ30-$E$12)&gt;0,('Monthly Detail'!EZ30-$E$12)*'People Plan'!$D$12, 0)</f>
        <v/>
      </c>
      <c r="EB12" s="433">
        <f>+IF(('Monthly Detail'!FA30-$E$12)&gt;0,('Monthly Detail'!FA30-$E$12)*'People Plan'!$D$12, 0)</f>
        <v/>
      </c>
      <c r="EC12" s="433">
        <f>+IF(('Monthly Detail'!FB30-$E$12)&gt;0,('Monthly Detail'!FB30-$E$12)*'People Plan'!$D$12, 0)</f>
        <v/>
      </c>
      <c r="ED12" s="433">
        <f>+IF(('Monthly Detail'!FC30-$E$12)&gt;0,('Monthly Detail'!FC30-$E$12)*'People Plan'!$D$12, 0)</f>
        <v/>
      </c>
      <c r="EE12" s="433">
        <f>+IF(('Monthly Detail'!FD30-$E$12)&gt;0,('Monthly Detail'!FD30-$E$12)*'People Plan'!$D$12, 0)</f>
        <v/>
      </c>
      <c r="EF12" s="433">
        <f>+IF(('Monthly Detail'!FE30-$E$12)&gt;0,('Monthly Detail'!FE30-$E$12)*'People Plan'!$D$12, 0)</f>
        <v/>
      </c>
      <c r="EG12" s="433">
        <f>+IF(('Monthly Detail'!FF30-$E$12)&gt;0,('Monthly Detail'!FF30-$E$12)*'People Plan'!$D$12, 0)</f>
        <v/>
      </c>
      <c r="EH12" s="433">
        <f>+IF(('Monthly Detail'!FG30-$E$12)&gt;0,('Monthly Detail'!FG30-$E$12)*'People Plan'!$D$12, 0)</f>
        <v/>
      </c>
      <c r="EI12" s="433">
        <f>+IF(('Monthly Detail'!FH30-$E$12)&gt;0,('Monthly Detail'!FH30-$E$12)*'People Plan'!$D$12, 0)</f>
        <v/>
      </c>
      <c r="EJ12" s="433">
        <f>+IF(('Monthly Detail'!FI30-$E$12)&gt;0,('Monthly Detail'!FI30-$E$12)*'People Plan'!$D$12, 0)</f>
        <v/>
      </c>
      <c r="EK12" s="433">
        <f>+IF(('Monthly Detail'!FJ30-$E$12)&gt;0,('Monthly Detail'!FJ30-$E$12)*'People Plan'!$D$12, 0)</f>
        <v/>
      </c>
      <c r="EL12" s="433">
        <f>+IF(('Monthly Detail'!FK30-$E$12)&gt;0,('Monthly Detail'!FK30-$E$12)*'People Plan'!$D$12, 0)</f>
        <v/>
      </c>
      <c r="EM12" s="433">
        <f>+IF(('Monthly Detail'!FL30-$E$12)&gt;0,('Monthly Detail'!FL30-$E$12)*'People Plan'!$D$12, 0)</f>
        <v/>
      </c>
      <c r="EN12" s="433">
        <f>+IF(('Monthly Detail'!FM30-$E$12)&gt;0,('Monthly Detail'!FM30-$E$12)*'People Plan'!$D$12, 0)</f>
        <v/>
      </c>
      <c r="EO12" s="433">
        <f>+IF(('Monthly Detail'!FN30-$E$12)&gt;0,('Monthly Detail'!FN30-$E$12)*'People Plan'!$D$12, 0)</f>
        <v/>
      </c>
      <c r="EP12" s="433">
        <f>+IF(('Monthly Detail'!FO30-$E$12)&gt;0,('Monthly Detail'!FO30-$E$12)*'People Plan'!$D$12, 0)</f>
        <v/>
      </c>
      <c r="EQ12" s="433">
        <f>+IF(('Monthly Detail'!FP30-$E$12)&gt;0,('Monthly Detail'!FP30-$E$12)*'People Plan'!$D$12, 0)</f>
        <v/>
      </c>
      <c r="ER12" s="433">
        <f>+IF(('Monthly Detail'!FQ30-$E$12)&gt;0,('Monthly Detail'!FQ30-$E$12)*'People Plan'!$D$12, 0)</f>
        <v/>
      </c>
      <c r="ES12" s="433">
        <f>+IF(('Monthly Detail'!FR30-$E$12)&gt;0,('Monthly Detail'!FR30-$E$12)*'People Plan'!$D$12, 0)</f>
        <v/>
      </c>
      <c r="ET12" s="433">
        <f>+IF(('Monthly Detail'!FS30-$E$12)&gt;0,('Monthly Detail'!FS30-$E$12)*'People Plan'!$D$12, 0)</f>
        <v/>
      </c>
      <c r="EU12" s="433">
        <f>+IF(('Monthly Detail'!FT30-$E$12)&gt;0,('Monthly Detail'!FT30-$E$12)*'People Plan'!$D$12, 0)</f>
        <v/>
      </c>
      <c r="EV12" s="433">
        <f>+IF(('Monthly Detail'!FU30-$E$12)&gt;0,('Monthly Detail'!FU30-$E$12)*'People Plan'!$D$12, 0)</f>
        <v/>
      </c>
      <c r="EW12" s="433">
        <f>+IF(('Monthly Detail'!FV30-$E$12)&gt;0,('Monthly Detail'!FV30-$E$12)*'People Plan'!$D$12, 0)</f>
        <v/>
      </c>
      <c r="EX12" s="433">
        <f>+IF(('Monthly Detail'!FW30-$E$12)&gt;0,('Monthly Detail'!FW30-$E$12)*'People Plan'!$D$12, 0)</f>
        <v/>
      </c>
      <c r="EY12" s="433">
        <f>+IF(('Monthly Detail'!FX30-$E$12)&gt;0,('Monthly Detail'!FX30-$E$12)*'People Plan'!$D$12, 0)</f>
        <v/>
      </c>
      <c r="EZ12" s="433">
        <f>+IF(('Monthly Detail'!FY30-$E$12)&gt;0,('Monthly Detail'!FY30-$E$12)*'People Plan'!$D$12, 0)</f>
        <v/>
      </c>
      <c r="FA12" s="433">
        <f>+IF(('Monthly Detail'!FZ30-$E$12)&gt;0,('Monthly Detail'!FZ30-$E$12)*'People Plan'!$D$12, 0)</f>
        <v/>
      </c>
      <c r="FB12" s="434">
        <f>+IF(('Monthly Detail'!GA30-$E$12)&gt;0,('Monthly Detail'!GA30-$E$12)*'People Plan'!$D$12, 0)</f>
        <v/>
      </c>
    </row>
    <row r="13">
      <c r="B13" s="442" t="inlineStr">
        <is>
          <t>Tyler</t>
        </is>
      </c>
      <c r="C13" t="inlineStr">
        <is>
          <t>Subsititute Tutor - SAT/ACT PREP</t>
        </is>
      </c>
      <c r="D13" s="819" t="n">
        <v>50</v>
      </c>
      <c r="E13" s="510" t="n">
        <v>50</v>
      </c>
      <c r="F13" s="7" t="n"/>
      <c r="H13" s="432" t="n"/>
      <c r="I13" s="471" t="n"/>
      <c r="J13" s="471" t="n"/>
      <c r="K13" s="471" t="n"/>
      <c r="L13" s="471" t="n"/>
      <c r="M13" s="471" t="n"/>
      <c r="N13" s="471" t="n"/>
      <c r="O13" s="471" t="n">
        <v>0</v>
      </c>
      <c r="P13" s="471" t="n">
        <v>0</v>
      </c>
      <c r="Q13" s="471" t="n">
        <v>0</v>
      </c>
      <c r="R13" s="471" t="n">
        <v>0</v>
      </c>
      <c r="S13" s="471" t="n">
        <v>0</v>
      </c>
      <c r="T13" s="471" t="n">
        <v>0</v>
      </c>
      <c r="U13" s="471" t="n">
        <v>120</v>
      </c>
      <c r="V13" s="471" t="n">
        <v>210</v>
      </c>
      <c r="W13" s="471" t="n">
        <v>270</v>
      </c>
      <c r="X13" s="709" t="n">
        <v>390</v>
      </c>
      <c r="Y13" s="433">
        <f>+IF(('Monthly Detail'!AX29-$E$13)&gt;0,('Monthly Detail'!AX29-$E$13)*'People Plan'!$D$13, 0)</f>
        <v/>
      </c>
      <c r="Z13" s="433">
        <f>+IF(('Monthly Detail'!AY29-$E$13)&gt;0,('Monthly Detail'!AY29-$E$13)*'People Plan'!$D$13, 0)</f>
        <v/>
      </c>
      <c r="AA13" s="433">
        <f>+IF(('Monthly Detail'!AZ29-$E$13)&gt;0,('Monthly Detail'!AZ29-$E$13)*'People Plan'!$D$13, 0)</f>
        <v/>
      </c>
      <c r="AB13" s="433">
        <f>+IF(('Monthly Detail'!BA29-$E$13)&gt;0,('Monthly Detail'!BA29-$E$13)*'People Plan'!$D$13, 0)</f>
        <v/>
      </c>
      <c r="AC13" s="433">
        <f>+IF(('Monthly Detail'!BB29-$E$13)&gt;0,('Monthly Detail'!BB29-$E$13)*'People Plan'!$D$13, 0)</f>
        <v/>
      </c>
      <c r="AD13" s="433">
        <f>+IF(('Monthly Detail'!BC29-$E$13)&gt;0,('Monthly Detail'!BC29-$E$13)*'People Plan'!$D$13, 0)</f>
        <v/>
      </c>
      <c r="AE13" s="433">
        <f>+IF(('Monthly Detail'!BD29-$E$13)&gt;0,('Monthly Detail'!BD29-$E$13)*'People Plan'!$D$13, 0)</f>
        <v/>
      </c>
      <c r="AF13" s="433">
        <f>+IF(('Monthly Detail'!BE29-$E$13)&gt;0,('Monthly Detail'!BE29-$E$13)*'People Plan'!$D$13, 0)</f>
        <v/>
      </c>
      <c r="AG13" s="433">
        <f>+IF(('Monthly Detail'!BF29-$E$13)&gt;0,('Monthly Detail'!BF29-$E$13)*'People Plan'!$D$13, 0)</f>
        <v/>
      </c>
      <c r="AH13" s="433">
        <f>+IF(('Monthly Detail'!BG29-$E$13)&gt;0,('Monthly Detail'!BG29-$E$13)*'People Plan'!$D$13, 0)</f>
        <v/>
      </c>
      <c r="AI13" s="433">
        <f>+IF(('Monthly Detail'!BH29-$E$13)&gt;0,('Monthly Detail'!BH29-$E$13)*'People Plan'!$D$13, 0)</f>
        <v/>
      </c>
      <c r="AJ13" s="433">
        <f>+IF(('Monthly Detail'!BI29-$E$13)&gt;0,('Monthly Detail'!BI29-$E$13)*'People Plan'!$D$13, 0)</f>
        <v/>
      </c>
      <c r="AK13" s="433">
        <f>+IF(('Monthly Detail'!BJ29-$E$13)&gt;0,('Monthly Detail'!BJ29-$E$13)*'People Plan'!$D$13, 0)</f>
        <v/>
      </c>
      <c r="AL13" s="433">
        <f>+IF(('Monthly Detail'!BK29-$E$13)&gt;0,('Monthly Detail'!BK29-$E$13)*'People Plan'!$D$13, 0)</f>
        <v/>
      </c>
      <c r="AM13" s="433">
        <f>+IF(('Monthly Detail'!BL29-$E$13)&gt;0,('Monthly Detail'!BL29-$E$13)*'People Plan'!$D$13, 0)</f>
        <v/>
      </c>
      <c r="AN13" s="433">
        <f>+IF(('Monthly Detail'!BM29-$E$13)&gt;0,('Monthly Detail'!BM29-$E$13)*'People Plan'!$D$13, 0)</f>
        <v/>
      </c>
      <c r="AO13" s="433">
        <f>+IF(('Monthly Detail'!BN29-$E$13)&gt;0,('Monthly Detail'!BN29-$E$13)*'People Plan'!$D$13, 0)</f>
        <v/>
      </c>
      <c r="AP13" s="433">
        <f>+IF(('Monthly Detail'!BO29-$E$13)&gt;0,('Monthly Detail'!BO29-$E$13)*'People Plan'!$D$13, 0)</f>
        <v/>
      </c>
      <c r="AQ13" s="433">
        <f>+IF(('Monthly Detail'!BP29-$E$13)&gt;0,('Monthly Detail'!BP29-$E$13)*'People Plan'!$D$13, 0)</f>
        <v/>
      </c>
      <c r="AR13" s="433">
        <f>+IF(('Monthly Detail'!BQ29-$E$13)&gt;0,('Monthly Detail'!BQ29-$E$13)*'People Plan'!$D$13, 0)</f>
        <v/>
      </c>
      <c r="AS13" s="433">
        <f>+IF(('Monthly Detail'!BR29-$E$13)&gt;0,('Monthly Detail'!BR29-$E$13)*'People Plan'!$D$13, 0)</f>
        <v/>
      </c>
      <c r="AT13" s="433">
        <f>+IF(('Monthly Detail'!BS29-$E$13)&gt;0,('Monthly Detail'!BS29-$E$13)*'People Plan'!$D$13, 0)</f>
        <v/>
      </c>
      <c r="AU13" s="433">
        <f>+IF(('Monthly Detail'!BT29-$E$13)&gt;0,('Monthly Detail'!BT29-$E$13)*'People Plan'!$D$13, 0)</f>
        <v/>
      </c>
      <c r="AV13" s="433">
        <f>+IF(('Monthly Detail'!BU29-$E$13)&gt;0,('Monthly Detail'!BU29-$E$13)*'People Plan'!$D$13, 0)</f>
        <v/>
      </c>
      <c r="AW13" s="433">
        <f>+IF(('Monthly Detail'!BV29-$E$13)&gt;0,('Monthly Detail'!BV29-$E$13)*'People Plan'!$D$13, 0)</f>
        <v/>
      </c>
      <c r="AX13" s="433">
        <f>+IF(('Monthly Detail'!BW29-$E$13)&gt;0,('Monthly Detail'!BW29-$E$13)*'People Plan'!$D$13, 0)</f>
        <v/>
      </c>
      <c r="AY13" s="433">
        <f>+IF(('Monthly Detail'!BX29-$E$13)&gt;0,('Monthly Detail'!BX29-$E$13)*'People Plan'!$D$13, 0)</f>
        <v/>
      </c>
      <c r="AZ13" s="433">
        <f>+IF(('Monthly Detail'!BY29-$E$13)&gt;0,('Monthly Detail'!BY29-$E$13)*'People Plan'!$D$13, 0)</f>
        <v/>
      </c>
      <c r="BA13" s="433">
        <f>+IF(('Monthly Detail'!BZ29-$E$13)&gt;0,('Monthly Detail'!BZ29-$E$13)*'People Plan'!$D$13, 0)</f>
        <v/>
      </c>
      <c r="BB13" s="433">
        <f>+IF(('Monthly Detail'!CA29-$E$13)&gt;0,('Monthly Detail'!CA29-$E$13)*'People Plan'!$D$13, 0)</f>
        <v/>
      </c>
      <c r="BC13" s="433">
        <f>+IF(('Monthly Detail'!CB29-$E$13)&gt;0,('Monthly Detail'!CB29-$E$13)*'People Plan'!$D$13, 0)</f>
        <v/>
      </c>
      <c r="BD13" s="433">
        <f>+IF(('Monthly Detail'!CC29-$E$13)&gt;0,('Monthly Detail'!CC29-$E$13)*'People Plan'!$D$13, 0)</f>
        <v/>
      </c>
      <c r="BE13" s="433">
        <f>+IF(('Monthly Detail'!CD29-$E$13)&gt;0,('Monthly Detail'!CD29-$E$13)*'People Plan'!$D$13, 0)</f>
        <v/>
      </c>
      <c r="BF13" s="433">
        <f>+IF(('Monthly Detail'!CE29-$E$13)&gt;0,('Monthly Detail'!CE29-$E$13)*'People Plan'!$D$13, 0)</f>
        <v/>
      </c>
      <c r="BG13" s="433">
        <f>+IF(('Monthly Detail'!CF29-$E$13)&gt;0,('Monthly Detail'!CF29-$E$13)*'People Plan'!$D$13, 0)</f>
        <v/>
      </c>
      <c r="BH13" s="433">
        <f>+IF(('Monthly Detail'!CG29-$E$13)&gt;0,('Monthly Detail'!CG29-$E$13)*'People Plan'!$D$13, 0)</f>
        <v/>
      </c>
      <c r="BI13" s="433">
        <f>+IF(('Monthly Detail'!CH29-$E$13)&gt;0,('Monthly Detail'!CH29-$E$13)*'People Plan'!$D$13, 0)</f>
        <v/>
      </c>
      <c r="BJ13" s="433">
        <f>+IF(('Monthly Detail'!CI29-$E$13)&gt;0,('Monthly Detail'!CI29-$E$13)*'People Plan'!$D$13, 0)</f>
        <v/>
      </c>
      <c r="BK13" s="433">
        <f>+IF(('Monthly Detail'!CJ29-$E$13)&gt;0,('Monthly Detail'!CJ29-$E$13)*'People Plan'!$D$13, 0)</f>
        <v/>
      </c>
      <c r="BL13" s="433">
        <f>+IF(('Monthly Detail'!CK29-$E$13)&gt;0,('Monthly Detail'!CK29-$E$13)*'People Plan'!$D$13, 0)</f>
        <v/>
      </c>
      <c r="BM13" s="433">
        <f>+IF(('Monthly Detail'!CL29-$E$13)&gt;0,('Monthly Detail'!CL29-$E$13)*'People Plan'!$D$13, 0)</f>
        <v/>
      </c>
      <c r="BN13" s="433">
        <f>+IF(('Monthly Detail'!CM29-$E$13)&gt;0,('Monthly Detail'!CM29-$E$13)*'People Plan'!$D$13, 0)</f>
        <v/>
      </c>
      <c r="BO13" s="433">
        <f>+IF(('Monthly Detail'!CN29-$E$13)&gt;0,('Monthly Detail'!CN29-$E$13)*'People Plan'!$D$13, 0)</f>
        <v/>
      </c>
      <c r="BP13" s="433">
        <f>+IF(('Monthly Detail'!CO29-$E$13)&gt;0,('Monthly Detail'!CO29-$E$13)*'People Plan'!$D$13, 0)</f>
        <v/>
      </c>
      <c r="BQ13" s="433">
        <f>+IF(('Monthly Detail'!CP29-$E$13)&gt;0,('Monthly Detail'!CP29-$E$13)*'People Plan'!$D$13, 0)</f>
        <v/>
      </c>
      <c r="BR13" s="433">
        <f>+IF(('Monthly Detail'!CQ29-$E$13)&gt;0,('Monthly Detail'!CQ29-$E$13)*'People Plan'!$D$13, 0)</f>
        <v/>
      </c>
      <c r="BS13" s="433">
        <f>+IF(('Monthly Detail'!CR29-$E$13)&gt;0,('Monthly Detail'!CR29-$E$13)*'People Plan'!$D$13, 0)</f>
        <v/>
      </c>
      <c r="BT13" s="433">
        <f>+IF(('Monthly Detail'!CS29-$E$13)&gt;0,('Monthly Detail'!CS29-$E$13)*'People Plan'!$D$13, 0)</f>
        <v/>
      </c>
      <c r="BU13" s="433">
        <f>+IF(('Monthly Detail'!CT29-$E$13)&gt;0,('Monthly Detail'!CT29-$E$13)*'People Plan'!$D$13, 0)</f>
        <v/>
      </c>
      <c r="BV13" s="433">
        <f>+IF(('Monthly Detail'!CU29-$E$13)&gt;0,('Monthly Detail'!CU29-$E$13)*'People Plan'!$D$13, 0)</f>
        <v/>
      </c>
      <c r="BW13" s="433">
        <f>+IF(('Monthly Detail'!CV29-$E$13)&gt;0,('Monthly Detail'!CV29-$E$13)*'People Plan'!$D$13, 0)</f>
        <v/>
      </c>
      <c r="BX13" s="433">
        <f>+IF(('Monthly Detail'!CW29-$E$13)&gt;0,('Monthly Detail'!CW29-$E$13)*'People Plan'!$D$13, 0)</f>
        <v/>
      </c>
      <c r="BY13" s="433">
        <f>+IF(('Monthly Detail'!CX29-$E$13)&gt;0,('Monthly Detail'!CX29-$E$13)*'People Plan'!$D$13, 0)</f>
        <v/>
      </c>
      <c r="BZ13" s="433">
        <f>+IF(('Monthly Detail'!CY29-$E$13)&gt;0,('Monthly Detail'!CY29-$E$13)*'People Plan'!$D$13, 0)</f>
        <v/>
      </c>
      <c r="CA13" s="433">
        <f>+IF(('Monthly Detail'!CZ29-$E$13)&gt;0,('Monthly Detail'!CZ29-$E$13)*'People Plan'!$D$13, 0)</f>
        <v/>
      </c>
      <c r="CB13" s="433">
        <f>+IF(('Monthly Detail'!DA29-$E$13)&gt;0,('Monthly Detail'!DA29-$E$13)*'People Plan'!$D$13, 0)</f>
        <v/>
      </c>
      <c r="CC13" s="433">
        <f>+IF(('Monthly Detail'!DB29-$E$13)&gt;0,('Monthly Detail'!DB29-$E$13)*'People Plan'!$D$13, 0)</f>
        <v/>
      </c>
      <c r="CD13" s="433">
        <f>+IF(('Monthly Detail'!DC29-$E$13)&gt;0,('Monthly Detail'!DC29-$E$13)*'People Plan'!$D$13, 0)</f>
        <v/>
      </c>
      <c r="CE13" s="433">
        <f>+IF(('Monthly Detail'!DD29-$E$13)&gt;0,('Monthly Detail'!DD29-$E$13)*'People Plan'!$D$13, 0)</f>
        <v/>
      </c>
      <c r="CF13" s="433">
        <f>+IF(('Monthly Detail'!DE29-$E$13)&gt;0,('Monthly Detail'!DE29-$E$13)*'People Plan'!$D$13, 0)</f>
        <v/>
      </c>
      <c r="CG13" s="433">
        <f>+IF(('Monthly Detail'!DF29-$E$13)&gt;0,('Monthly Detail'!DF29-$E$13)*'People Plan'!$D$13, 0)</f>
        <v/>
      </c>
      <c r="CH13" s="433">
        <f>+IF(('Monthly Detail'!DG29-$E$13)&gt;0,('Monthly Detail'!DG29-$E$13)*'People Plan'!$D$13, 0)</f>
        <v/>
      </c>
      <c r="CI13" s="433">
        <f>+IF(('Monthly Detail'!DH29-$E$13)&gt;0,('Monthly Detail'!DH29-$E$13)*'People Plan'!$D$13, 0)</f>
        <v/>
      </c>
      <c r="CJ13" s="433">
        <f>+IF(('Monthly Detail'!DI29-$E$13)&gt;0,('Monthly Detail'!DI29-$E$13)*'People Plan'!$D$13, 0)</f>
        <v/>
      </c>
      <c r="CK13" s="433">
        <f>+IF(('Monthly Detail'!DJ29-$E$13)&gt;0,('Monthly Detail'!DJ29-$E$13)*'People Plan'!$D$13, 0)</f>
        <v/>
      </c>
      <c r="CL13" s="433">
        <f>+IF(('Monthly Detail'!DK29-$E$13)&gt;0,('Monthly Detail'!DK29-$E$13)*'People Plan'!$D$13, 0)</f>
        <v/>
      </c>
      <c r="CM13" s="433">
        <f>+IF(('Monthly Detail'!DL29-$E$13)&gt;0,('Monthly Detail'!DL29-$E$13)*'People Plan'!$D$13, 0)</f>
        <v/>
      </c>
      <c r="CN13" s="433">
        <f>+IF(('Monthly Detail'!DM29-$E$13)&gt;0,('Monthly Detail'!DM29-$E$13)*'People Plan'!$D$13, 0)</f>
        <v/>
      </c>
      <c r="CO13" s="433">
        <f>+IF(('Monthly Detail'!DN29-$E$13)&gt;0,('Monthly Detail'!DN29-$E$13)*'People Plan'!$D$13, 0)</f>
        <v/>
      </c>
      <c r="CP13" s="433">
        <f>+IF(('Monthly Detail'!DO29-$E$13)&gt;0,('Monthly Detail'!DO29-$E$13)*'People Plan'!$D$13, 0)</f>
        <v/>
      </c>
      <c r="CQ13" s="433">
        <f>+IF(('Monthly Detail'!DP29-$E$13)&gt;0,('Monthly Detail'!DP29-$E$13)*'People Plan'!$D$13, 0)</f>
        <v/>
      </c>
      <c r="CR13" s="433">
        <f>+IF(('Monthly Detail'!DQ29-$E$13)&gt;0,('Monthly Detail'!DQ29-$E$13)*'People Plan'!$D$13, 0)</f>
        <v/>
      </c>
      <c r="CS13" s="433">
        <f>+IF(('Monthly Detail'!DR29-$E$13)&gt;0,('Monthly Detail'!DR29-$E$13)*'People Plan'!$D$13, 0)</f>
        <v/>
      </c>
      <c r="CT13" s="433">
        <f>+IF(('Monthly Detail'!DS29-$E$13)&gt;0,('Monthly Detail'!DS29-$E$13)*'People Plan'!$D$13, 0)</f>
        <v/>
      </c>
      <c r="CU13" s="433">
        <f>+IF(('Monthly Detail'!DT29-$E$13)&gt;0,('Monthly Detail'!DT29-$E$13)*'People Plan'!$D$13, 0)</f>
        <v/>
      </c>
      <c r="CV13" s="433">
        <f>+IF(('Monthly Detail'!DU29-$E$13)&gt;0,('Monthly Detail'!DU29-$E$13)*'People Plan'!$D$13, 0)</f>
        <v/>
      </c>
      <c r="CW13" s="433">
        <f>+IF(('Monthly Detail'!DV29-$E$13)&gt;0,('Monthly Detail'!DV29-$E$13)*'People Plan'!$D$13, 0)</f>
        <v/>
      </c>
      <c r="CX13" s="433">
        <f>+IF(('Monthly Detail'!DW29-$E$13)&gt;0,('Monthly Detail'!DW29-$E$13)*'People Plan'!$D$13, 0)</f>
        <v/>
      </c>
      <c r="CY13" s="433">
        <f>+IF(('Monthly Detail'!DX29-$E$13)&gt;0,('Monthly Detail'!DX29-$E$13)*'People Plan'!$D$13, 0)</f>
        <v/>
      </c>
      <c r="CZ13" s="433">
        <f>+IF(('Monthly Detail'!DY29-$E$13)&gt;0,('Monthly Detail'!DY29-$E$13)*'People Plan'!$D$13, 0)</f>
        <v/>
      </c>
      <c r="DA13" s="433">
        <f>+IF(('Monthly Detail'!DZ29-$E$13)&gt;0,('Monthly Detail'!DZ29-$E$13)*'People Plan'!$D$13, 0)</f>
        <v/>
      </c>
      <c r="DB13" s="433">
        <f>+IF(('Monthly Detail'!EA29-$E$13)&gt;0,('Monthly Detail'!EA29-$E$13)*'People Plan'!$D$13, 0)</f>
        <v/>
      </c>
      <c r="DC13" s="433">
        <f>+IF(('Monthly Detail'!EB29-$E$13)&gt;0,('Monthly Detail'!EB29-$E$13)*'People Plan'!$D$13, 0)</f>
        <v/>
      </c>
      <c r="DD13" s="433">
        <f>+IF(('Monthly Detail'!EC29-$E$13)&gt;0,('Monthly Detail'!EC29-$E$13)*'People Plan'!$D$13, 0)</f>
        <v/>
      </c>
      <c r="DE13" s="433">
        <f>+IF(('Monthly Detail'!ED29-$E$13)&gt;0,('Monthly Detail'!ED29-$E$13)*'People Plan'!$D$13, 0)</f>
        <v/>
      </c>
      <c r="DF13" s="433">
        <f>+IF(('Monthly Detail'!EE29-$E$13)&gt;0,('Monthly Detail'!EE29-$E$13)*'People Plan'!$D$13, 0)</f>
        <v/>
      </c>
      <c r="DG13" s="433">
        <f>+IF(('Monthly Detail'!EF29-$E$13)&gt;0,('Monthly Detail'!EF29-$E$13)*'People Plan'!$D$13, 0)</f>
        <v/>
      </c>
      <c r="DH13" s="433">
        <f>+IF(('Monthly Detail'!EG29-$E$13)&gt;0,('Monthly Detail'!EG29-$E$13)*'People Plan'!$D$13, 0)</f>
        <v/>
      </c>
      <c r="DI13" s="433">
        <f>+IF(('Monthly Detail'!EH29-$E$13)&gt;0,('Monthly Detail'!EH29-$E$13)*'People Plan'!$D$13, 0)</f>
        <v/>
      </c>
      <c r="DJ13" s="433">
        <f>+IF(('Monthly Detail'!EI29-$E$13)&gt;0,('Monthly Detail'!EI29-$E$13)*'People Plan'!$D$13, 0)</f>
        <v/>
      </c>
      <c r="DK13" s="433">
        <f>+IF(('Monthly Detail'!EJ29-$E$13)&gt;0,('Monthly Detail'!EJ29-$E$13)*'People Plan'!$D$13, 0)</f>
        <v/>
      </c>
      <c r="DL13" s="433">
        <f>+IF(('Monthly Detail'!EK29-$E$13)&gt;0,('Monthly Detail'!EK29-$E$13)*'People Plan'!$D$13, 0)</f>
        <v/>
      </c>
      <c r="DM13" s="433">
        <f>+IF(('Monthly Detail'!EL29-$E$13)&gt;0,('Monthly Detail'!EL29-$E$13)*'People Plan'!$D$13, 0)</f>
        <v/>
      </c>
      <c r="DN13" s="433">
        <f>+IF(('Monthly Detail'!EM29-$E$13)&gt;0,('Monthly Detail'!EM29-$E$13)*'People Plan'!$D$13, 0)</f>
        <v/>
      </c>
      <c r="DO13" s="433">
        <f>+IF(('Monthly Detail'!EN29-$E$13)&gt;0,('Monthly Detail'!EN29-$E$13)*'People Plan'!$D$13, 0)</f>
        <v/>
      </c>
      <c r="DP13" s="433">
        <f>+IF(('Monthly Detail'!EO29-$E$13)&gt;0,('Monthly Detail'!EO29-$E$13)*'People Plan'!$D$13, 0)</f>
        <v/>
      </c>
      <c r="DQ13" s="433">
        <f>+IF(('Monthly Detail'!EP29-$E$13)&gt;0,('Monthly Detail'!EP29-$E$13)*'People Plan'!$D$13, 0)</f>
        <v/>
      </c>
      <c r="DR13" s="433">
        <f>+IF(('Monthly Detail'!EQ29-$E$13)&gt;0,('Monthly Detail'!EQ29-$E$13)*'People Plan'!$D$13, 0)</f>
        <v/>
      </c>
      <c r="DS13" s="433">
        <f>+IF(('Monthly Detail'!ER29-$E$13)&gt;0,('Monthly Detail'!ER29-$E$13)*'People Plan'!$D$13, 0)</f>
        <v/>
      </c>
      <c r="DT13" s="433">
        <f>+IF(('Monthly Detail'!ES29-$E$13)&gt;0,('Monthly Detail'!ES29-$E$13)*'People Plan'!$D$13, 0)</f>
        <v/>
      </c>
      <c r="DU13" s="433">
        <f>+IF(('Monthly Detail'!ET29-$E$13)&gt;0,('Monthly Detail'!ET29-$E$13)*'People Plan'!$D$13, 0)</f>
        <v/>
      </c>
      <c r="DV13" s="433">
        <f>+IF(('Monthly Detail'!EU29-$E$13)&gt;0,('Monthly Detail'!EU29-$E$13)*'People Plan'!$D$13, 0)</f>
        <v/>
      </c>
      <c r="DW13" s="433">
        <f>+IF(('Monthly Detail'!EV29-$E$13)&gt;0,('Monthly Detail'!EV29-$E$13)*'People Plan'!$D$13, 0)</f>
        <v/>
      </c>
      <c r="DX13" s="433">
        <f>+IF(('Monthly Detail'!EW29-$E$13)&gt;0,('Monthly Detail'!EW29-$E$13)*'People Plan'!$D$13, 0)</f>
        <v/>
      </c>
      <c r="DY13" s="433">
        <f>+IF(('Monthly Detail'!EX29-$E$13)&gt;0,('Monthly Detail'!EX29-$E$13)*'People Plan'!$D$13, 0)</f>
        <v/>
      </c>
      <c r="DZ13" s="433">
        <f>+IF(('Monthly Detail'!EY29-$E$13)&gt;0,('Monthly Detail'!EY29-$E$13)*'People Plan'!$D$13, 0)</f>
        <v/>
      </c>
      <c r="EA13" s="433">
        <f>+IF(('Monthly Detail'!EZ29-$E$13)&gt;0,('Monthly Detail'!EZ29-$E$13)*'People Plan'!$D$13, 0)</f>
        <v/>
      </c>
      <c r="EB13" s="433">
        <f>+IF(('Monthly Detail'!FA29-$E$13)&gt;0,('Monthly Detail'!FA29-$E$13)*'People Plan'!$D$13, 0)</f>
        <v/>
      </c>
      <c r="EC13" s="433">
        <f>+IF(('Monthly Detail'!FB29-$E$13)&gt;0,('Monthly Detail'!FB29-$E$13)*'People Plan'!$D$13, 0)</f>
        <v/>
      </c>
      <c r="ED13" s="433">
        <f>+IF(('Monthly Detail'!FC29-$E$13)&gt;0,('Monthly Detail'!FC29-$E$13)*'People Plan'!$D$13, 0)</f>
        <v/>
      </c>
      <c r="EE13" s="433">
        <f>+IF(('Monthly Detail'!FD29-$E$13)&gt;0,('Monthly Detail'!FD29-$E$13)*'People Plan'!$D$13, 0)</f>
        <v/>
      </c>
      <c r="EF13" s="433">
        <f>+IF(('Monthly Detail'!FE29-$E$13)&gt;0,('Monthly Detail'!FE29-$E$13)*'People Plan'!$D$13, 0)</f>
        <v/>
      </c>
      <c r="EG13" s="433">
        <f>+IF(('Monthly Detail'!FF29-$E$13)&gt;0,('Monthly Detail'!FF29-$E$13)*'People Plan'!$D$13, 0)</f>
        <v/>
      </c>
      <c r="EH13" s="433">
        <f>+IF(('Monthly Detail'!FG29-$E$13)&gt;0,('Monthly Detail'!FG29-$E$13)*'People Plan'!$D$13, 0)</f>
        <v/>
      </c>
      <c r="EI13" s="433">
        <f>+IF(('Monthly Detail'!FH29-$E$13)&gt;0,('Monthly Detail'!FH29-$E$13)*'People Plan'!$D$13, 0)</f>
        <v/>
      </c>
      <c r="EJ13" s="433">
        <f>+IF(('Monthly Detail'!FI29-$E$13)&gt;0,('Monthly Detail'!FI29-$E$13)*'People Plan'!$D$13, 0)</f>
        <v/>
      </c>
      <c r="EK13" s="433">
        <f>+IF(('Monthly Detail'!FJ29-$E$13)&gt;0,('Monthly Detail'!FJ29-$E$13)*'People Plan'!$D$13, 0)</f>
        <v/>
      </c>
      <c r="EL13" s="433">
        <f>+IF(('Monthly Detail'!FK29-$E$13)&gt;0,('Monthly Detail'!FK29-$E$13)*'People Plan'!$D$13, 0)</f>
        <v/>
      </c>
      <c r="EM13" s="433">
        <f>+IF(('Monthly Detail'!FL29-$E$13)&gt;0,('Monthly Detail'!FL29-$E$13)*'People Plan'!$D$13, 0)</f>
        <v/>
      </c>
      <c r="EN13" s="433">
        <f>+IF(('Monthly Detail'!FM29-$E$13)&gt;0,('Monthly Detail'!FM29-$E$13)*'People Plan'!$D$13, 0)</f>
        <v/>
      </c>
      <c r="EO13" s="433">
        <f>+IF(('Monthly Detail'!FN29-$E$13)&gt;0,('Monthly Detail'!FN29-$E$13)*'People Plan'!$D$13, 0)</f>
        <v/>
      </c>
      <c r="EP13" s="433">
        <f>+IF(('Monthly Detail'!FO29-$E$13)&gt;0,('Monthly Detail'!FO29-$E$13)*'People Plan'!$D$13, 0)</f>
        <v/>
      </c>
      <c r="EQ13" s="433">
        <f>+IF(('Monthly Detail'!FP29-$E$13)&gt;0,('Monthly Detail'!FP29-$E$13)*'People Plan'!$D$13, 0)</f>
        <v/>
      </c>
      <c r="ER13" s="433">
        <f>+IF(('Monthly Detail'!FQ29-$E$13)&gt;0,('Monthly Detail'!FQ29-$E$13)*'People Plan'!$D$13, 0)</f>
        <v/>
      </c>
      <c r="ES13" s="433">
        <f>+IF(('Monthly Detail'!FR29-$E$13)&gt;0,('Monthly Detail'!FR29-$E$13)*'People Plan'!$D$13, 0)</f>
        <v/>
      </c>
      <c r="ET13" s="433">
        <f>+IF(('Monthly Detail'!FS29-$E$13)&gt;0,('Monthly Detail'!FS29-$E$13)*'People Plan'!$D$13, 0)</f>
        <v/>
      </c>
      <c r="EU13" s="433">
        <f>+IF(('Monthly Detail'!FT29-$E$13)&gt;0,('Monthly Detail'!FT29-$E$13)*'People Plan'!$D$13, 0)</f>
        <v/>
      </c>
      <c r="EV13" s="433">
        <f>+IF(('Monthly Detail'!FU29-$E$13)&gt;0,('Monthly Detail'!FU29-$E$13)*'People Plan'!$D$13, 0)</f>
        <v/>
      </c>
      <c r="EW13" s="433">
        <f>+IF(('Monthly Detail'!FV29-$E$13)&gt;0,('Monthly Detail'!FV29-$E$13)*'People Plan'!$D$13, 0)</f>
        <v/>
      </c>
      <c r="EX13" s="433">
        <f>+IF(('Monthly Detail'!FW29-$E$13)&gt;0,('Monthly Detail'!FW29-$E$13)*'People Plan'!$D$13, 0)</f>
        <v/>
      </c>
      <c r="EY13" s="433">
        <f>+IF(('Monthly Detail'!FX29-$E$13)&gt;0,('Monthly Detail'!FX29-$E$13)*'People Plan'!$D$13, 0)</f>
        <v/>
      </c>
      <c r="EZ13" s="433">
        <f>+IF(('Monthly Detail'!FY29-$E$13)&gt;0,('Monthly Detail'!FY29-$E$13)*'People Plan'!$D$13, 0)</f>
        <v/>
      </c>
      <c r="FA13" s="433">
        <f>+IF(('Monthly Detail'!FZ29-$E$13)&gt;0,('Monthly Detail'!FZ29-$E$13)*'People Plan'!$D$13, 0)</f>
        <v/>
      </c>
      <c r="FB13" s="434">
        <f>+IF(('Monthly Detail'!GA29-$E$13)&gt;0,('Monthly Detail'!GA29-$E$13)*'People Plan'!$D$13, 0)</f>
        <v/>
      </c>
    </row>
    <row r="14">
      <c r="B14" s="442" t="n"/>
      <c r="C14" t="inlineStr">
        <is>
          <t>Marketing Coordinator</t>
        </is>
      </c>
      <c r="D14" s="819" t="n">
        <v>75</v>
      </c>
      <c r="E14" s="510" t="n">
        <v>6</v>
      </c>
      <c r="F14" s="7" t="n"/>
      <c r="H14" s="432" t="n"/>
      <c r="I14" s="471" t="n"/>
      <c r="J14" s="471" t="n"/>
      <c r="K14" s="471" t="n"/>
      <c r="L14" s="471" t="n"/>
      <c r="M14" s="471" t="n"/>
      <c r="N14" s="471" t="n"/>
      <c r="O14" s="471" t="n"/>
      <c r="P14" s="471" t="n"/>
      <c r="Q14" s="471" t="n"/>
      <c r="R14" s="471" t="n"/>
      <c r="S14" s="471" t="n"/>
      <c r="T14" s="471" t="n"/>
      <c r="U14" s="471" t="n"/>
      <c r="V14" s="471" t="n"/>
      <c r="W14" s="471" t="n"/>
      <c r="X14" s="709" t="n"/>
      <c r="Y14" s="433" t="n"/>
      <c r="Z14" s="433">
        <f>+IF(('Monthly Detail'!AY30-$E$14)&gt;0,('Monthly Detail'!AY30-$E$14)*$D$14, 0)</f>
        <v/>
      </c>
      <c r="AA14" s="433">
        <f>+IF(('Monthly Detail'!AZ30-$E$14)&gt;0,('Monthly Detail'!AZ30-$E$14)*$D$14, 0)</f>
        <v/>
      </c>
      <c r="AB14" s="433">
        <f>+IF(('Monthly Detail'!BA30-$E$14)&gt;0,('Monthly Detail'!BA30-$E$14)*$D$14, 0)</f>
        <v/>
      </c>
      <c r="AC14" s="433">
        <f>+IF(('Monthly Detail'!BB30-$E$14)&gt;0,('Monthly Detail'!BB30-$E$14)*$D$14, 0)</f>
        <v/>
      </c>
      <c r="AD14" s="433">
        <f>+IF(('Monthly Detail'!BC30-$E$14)&gt;0,('Monthly Detail'!BC30-$E$14)*$D$14, 0)</f>
        <v/>
      </c>
      <c r="AE14" s="433">
        <f>+IF(('Monthly Detail'!BD30-$E$14)&gt;0,('Monthly Detail'!BD30-$E$14)*$D$14, 0)</f>
        <v/>
      </c>
      <c r="AF14" s="433">
        <f>+IF(('Monthly Detail'!BE30-$E$14)&gt;0,('Monthly Detail'!BE30-$E$14)*$D$14, 0)</f>
        <v/>
      </c>
      <c r="AG14" s="433">
        <f>+IF(('Monthly Detail'!BF30-$E$14)&gt;0,('Monthly Detail'!BF30-$E$14)*$D$14, 0)</f>
        <v/>
      </c>
      <c r="AH14" s="433">
        <f>+IF(('Monthly Detail'!BG30-$E$14)&gt;0,('Monthly Detail'!BG30-$E$14)*$D$14, 0)</f>
        <v/>
      </c>
      <c r="AI14" s="433">
        <f>+IF(('Monthly Detail'!BH30-$E$14)&gt;0,('Monthly Detail'!BH30-$E$14)*$D$14, 0)</f>
        <v/>
      </c>
      <c r="AJ14" s="433">
        <f>+IF(('Monthly Detail'!BI30-$E$14)&gt;0,('Monthly Detail'!BI30-$E$14)*$D$14, 0)</f>
        <v/>
      </c>
      <c r="AK14" s="433">
        <f>+IF(('Monthly Detail'!BJ30-$E$14)&gt;0,('Monthly Detail'!BJ30-$E$14)*$D$14, 0)</f>
        <v/>
      </c>
      <c r="AL14" s="433">
        <f>+IF(('Monthly Detail'!BK30-$E$14)&gt;0,('Monthly Detail'!BK30-$E$14)*$D$14, 0)</f>
        <v/>
      </c>
      <c r="AM14" s="433">
        <f>+IF(('Monthly Detail'!BL30-$E$14)&gt;0,('Monthly Detail'!BL30-$E$14)*$D$14, 0)</f>
        <v/>
      </c>
      <c r="AN14" s="433">
        <f>+IF(('Monthly Detail'!BM30-$E$14)&gt;0,('Monthly Detail'!BM30-$E$14)*$D$14, 0)</f>
        <v/>
      </c>
      <c r="AO14" s="433">
        <f>+IF(('Monthly Detail'!BN30-$E$14)&gt;0,('Monthly Detail'!BN30-$E$14)*$D$14, 0)</f>
        <v/>
      </c>
      <c r="AP14" s="433">
        <f>+IF(('Monthly Detail'!BO30-$E$14)&gt;0,('Monthly Detail'!BO30-$E$14)*$D$14, 0)</f>
        <v/>
      </c>
      <c r="AQ14" s="433">
        <f>+IF(('Monthly Detail'!BP30-$E$14)&gt;0,('Monthly Detail'!BP30-$E$14)*$D$14, 0)</f>
        <v/>
      </c>
      <c r="AR14" s="433">
        <f>+IF(('Monthly Detail'!BQ30-$E$14)&gt;0,('Monthly Detail'!BQ30-$E$14)*$D$14, 0)</f>
        <v/>
      </c>
      <c r="AS14" s="433">
        <f>+IF(('Monthly Detail'!BR30-$E$14)&gt;0,('Monthly Detail'!BR30-$E$14)*$D$14, 0)</f>
        <v/>
      </c>
      <c r="AT14" s="433">
        <f>+IF(('Monthly Detail'!BS30-$E$14)&gt;0,('Monthly Detail'!BS30-$E$14)*$D$14, 0)</f>
        <v/>
      </c>
      <c r="AU14" s="433">
        <f>+IF(('Monthly Detail'!BT30-$E$14)&gt;0,('Monthly Detail'!BT30-$E$14)*$D$14, 0)</f>
        <v/>
      </c>
      <c r="AV14" s="433">
        <f>+IF(('Monthly Detail'!BU30-$E$14)&gt;0,('Monthly Detail'!BU30-$E$14)*$D$14, 0)</f>
        <v/>
      </c>
      <c r="AW14" s="433">
        <f>+IF(('Monthly Detail'!BV30-$E$14)&gt;0,('Monthly Detail'!BV30-$E$14)*$D$14, 0)</f>
        <v/>
      </c>
      <c r="AX14" s="433">
        <f>+IF(('Monthly Detail'!BW30-$E$14)&gt;0,('Monthly Detail'!BW30-$E$14)*$D$14, 0)</f>
        <v/>
      </c>
      <c r="AY14" s="433">
        <f>+IF(('Monthly Detail'!BX30-$E$14)&gt;0,('Monthly Detail'!BX30-$E$14)*$D$14, 0)</f>
        <v/>
      </c>
      <c r="AZ14" s="433">
        <f>+IF(('Monthly Detail'!BY30-$E$14)&gt;0,('Monthly Detail'!BY30-$E$14)*$D$14, 0)</f>
        <v/>
      </c>
      <c r="BA14" s="433">
        <f>+IF(('Monthly Detail'!BZ30-$E$14)&gt;0,('Monthly Detail'!BZ30-$E$14)*$D$14, 0)</f>
        <v/>
      </c>
      <c r="BB14" s="433">
        <f>+IF(('Monthly Detail'!CA30-$E$14)&gt;0,('Monthly Detail'!CA30-$E$14)*$D$14, 0)</f>
        <v/>
      </c>
      <c r="BC14" s="433">
        <f>+IF(('Monthly Detail'!CB30-$E$14)&gt;0,('Monthly Detail'!CB30-$E$14)*$D$14, 0)</f>
        <v/>
      </c>
      <c r="BD14" s="433">
        <f>+IF(('Monthly Detail'!CC30-$E$14)&gt;0,('Monthly Detail'!CC30-$E$14)*$D$14, 0)</f>
        <v/>
      </c>
      <c r="BE14" s="433">
        <f>+IF(('Monthly Detail'!CD30-$E$14)&gt;0,('Monthly Detail'!CD30-$E$14)*$D$14, 0)</f>
        <v/>
      </c>
      <c r="BF14" s="433">
        <f>+IF(('Monthly Detail'!CE30-$E$14)&gt;0,('Monthly Detail'!CE30-$E$14)*$D$14, 0)</f>
        <v/>
      </c>
      <c r="BG14" s="433">
        <f>+IF(('Monthly Detail'!CF30-$E$14)&gt;0,('Monthly Detail'!CF30-$E$14)*$D$14, 0)</f>
        <v/>
      </c>
      <c r="BH14" s="433">
        <f>+IF(('Monthly Detail'!CG30-$E$14)&gt;0,('Monthly Detail'!CG30-$E$14)*$D$14, 0)</f>
        <v/>
      </c>
      <c r="BI14" s="433">
        <f>+IF(('Monthly Detail'!CH30-$E$14)&gt;0,('Monthly Detail'!CH30-$E$14)*$D$14, 0)</f>
        <v/>
      </c>
      <c r="BJ14" s="433">
        <f>+IF(('Monthly Detail'!CI30-$E$14)&gt;0,('Monthly Detail'!CI30-$E$14)*$D$14, 0)</f>
        <v/>
      </c>
      <c r="BK14" s="433">
        <f>+IF(('Monthly Detail'!CJ30-$E$14)&gt;0,('Monthly Detail'!CJ30-$E$14)*$D$14, 0)</f>
        <v/>
      </c>
      <c r="BL14" s="433">
        <f>+IF(('Monthly Detail'!CK30-$E$14)&gt;0,('Monthly Detail'!CK30-$E$14)*$D$14, 0)</f>
        <v/>
      </c>
      <c r="BM14" s="433">
        <f>+IF(('Monthly Detail'!CL30-$E$14)&gt;0,('Monthly Detail'!CL30-$E$14)*$D$14, 0)</f>
        <v/>
      </c>
      <c r="BN14" s="433">
        <f>+IF(('Monthly Detail'!CM30-$E$14)&gt;0,('Monthly Detail'!CM30-$E$14)*$D$14, 0)</f>
        <v/>
      </c>
      <c r="BO14" s="433">
        <f>+IF(('Monthly Detail'!CN30-$E$14)&gt;0,('Monthly Detail'!CN30-$E$14)*$D$14, 0)</f>
        <v/>
      </c>
      <c r="BP14" s="433">
        <f>+IF(('Monthly Detail'!CO30-$E$14)&gt;0,('Monthly Detail'!CO30-$E$14)*$D$14, 0)</f>
        <v/>
      </c>
      <c r="BQ14" s="433">
        <f>+IF(('Monthly Detail'!CP30-$E$14)&gt;0,('Monthly Detail'!CP30-$E$14)*$D$14, 0)</f>
        <v/>
      </c>
      <c r="BR14" s="433">
        <f>+IF(('Monthly Detail'!CQ30-$E$14)&gt;0,('Monthly Detail'!CQ30-$E$14)*$D$14, 0)</f>
        <v/>
      </c>
      <c r="BS14" s="433">
        <f>+IF(('Monthly Detail'!CR30-$E$14)&gt;0,('Monthly Detail'!CR30-$E$14)*$D$14, 0)</f>
        <v/>
      </c>
      <c r="BT14" s="433">
        <f>+IF(('Monthly Detail'!CS30-$E$14)&gt;0,('Monthly Detail'!CS30-$E$14)*$D$14, 0)</f>
        <v/>
      </c>
      <c r="BU14" s="433">
        <f>+IF(('Monthly Detail'!CT30-$E$14)&gt;0,('Monthly Detail'!CT30-$E$14)*$D$14, 0)</f>
        <v/>
      </c>
      <c r="BV14" s="433">
        <f>+IF(('Monthly Detail'!CU30-$E$14)&gt;0,('Monthly Detail'!CU30-$E$14)*$D$14, 0)</f>
        <v/>
      </c>
      <c r="BW14" s="433">
        <f>+IF(('Monthly Detail'!CV30-$E$14)&gt;0,('Monthly Detail'!CV30-$E$14)*$D$14, 0)</f>
        <v/>
      </c>
      <c r="BX14" s="433">
        <f>+IF(('Monthly Detail'!CW30-$E$14)&gt;0,('Monthly Detail'!CW30-$E$14)*$D$14, 0)</f>
        <v/>
      </c>
      <c r="BY14" s="433">
        <f>+IF(('Monthly Detail'!CX30-$E$14)&gt;0,('Monthly Detail'!CX30-$E$14)*$D$14, 0)</f>
        <v/>
      </c>
      <c r="BZ14" s="433">
        <f>+IF(('Monthly Detail'!CY30-$E$14)&gt;0,('Monthly Detail'!CY30-$E$14)*$D$14, 0)</f>
        <v/>
      </c>
      <c r="CA14" s="433">
        <f>+IF(('Monthly Detail'!CZ30-$E$14)&gt;0,('Monthly Detail'!CZ30-$E$14)*$D$14, 0)</f>
        <v/>
      </c>
      <c r="CB14" s="433">
        <f>+IF(('Monthly Detail'!DA30-$E$14)&gt;0,('Monthly Detail'!DA30-$E$14)*$D$14, 0)</f>
        <v/>
      </c>
      <c r="CC14" s="433">
        <f>+IF(('Monthly Detail'!DB30-$E$14)&gt;0,('Monthly Detail'!DB30-$E$14)*$D$14, 0)</f>
        <v/>
      </c>
      <c r="CD14" s="433">
        <f>+IF(('Monthly Detail'!DC30-$E$14)&gt;0,('Monthly Detail'!DC30-$E$14)*$D$14, 0)</f>
        <v/>
      </c>
      <c r="CE14" s="433">
        <f>+IF(('Monthly Detail'!DD30-$E$14)&gt;0,('Monthly Detail'!DD30-$E$14)*$D$14, 0)</f>
        <v/>
      </c>
      <c r="CF14" s="433">
        <f>+IF(('Monthly Detail'!DE30-$E$14)&gt;0,('Monthly Detail'!DE30-$E$14)*$D$14, 0)</f>
        <v/>
      </c>
      <c r="CG14" s="433">
        <f>+IF(('Monthly Detail'!DF30-$E$14)&gt;0,('Monthly Detail'!DF30-$E$14)*$D$14, 0)</f>
        <v/>
      </c>
      <c r="CH14" s="433">
        <f>+IF(('Monthly Detail'!DG30-$E$14)&gt;0,('Monthly Detail'!DG30-$E$14)*$D$14, 0)</f>
        <v/>
      </c>
      <c r="CI14" s="433">
        <f>+IF(('Monthly Detail'!DH30-$E$14)&gt;0,('Monthly Detail'!DH30-$E$14)*$D$14, 0)</f>
        <v/>
      </c>
      <c r="CJ14" s="433">
        <f>+IF(('Monthly Detail'!DI30-$E$14)&gt;0,('Monthly Detail'!DI30-$E$14)*$D$14, 0)</f>
        <v/>
      </c>
      <c r="CK14" s="433">
        <f>+IF(('Monthly Detail'!DJ30-$E$14)&gt;0,('Monthly Detail'!DJ30-$E$14)*$D$14, 0)</f>
        <v/>
      </c>
      <c r="CL14" s="433">
        <f>+IF(('Monthly Detail'!DK30-$E$14)&gt;0,('Monthly Detail'!DK30-$E$14)*$D$14, 0)</f>
        <v/>
      </c>
      <c r="CM14" s="433">
        <f>+IF(('Monthly Detail'!DL30-$E$14)&gt;0,('Monthly Detail'!DL30-$E$14)*$D$14, 0)</f>
        <v/>
      </c>
      <c r="CN14" s="433">
        <f>+IF(('Monthly Detail'!DM30-$E$14)&gt;0,('Monthly Detail'!DM30-$E$14)*$D$14, 0)</f>
        <v/>
      </c>
      <c r="CO14" s="433">
        <f>+IF(('Monthly Detail'!DN30-$E$14)&gt;0,('Monthly Detail'!DN30-$E$14)*$D$14, 0)</f>
        <v/>
      </c>
      <c r="CP14" s="433">
        <f>+IF(('Monthly Detail'!DO30-$E$14)&gt;0,('Monthly Detail'!DO30-$E$14)*$D$14, 0)</f>
        <v/>
      </c>
      <c r="CQ14" s="433">
        <f>+IF(('Monthly Detail'!DP30-$E$14)&gt;0,('Monthly Detail'!DP30-$E$14)*$D$14, 0)</f>
        <v/>
      </c>
      <c r="CR14" s="433">
        <f>+IF(('Monthly Detail'!DQ30-$E$14)&gt;0,('Monthly Detail'!DQ30-$E$14)*$D$14, 0)</f>
        <v/>
      </c>
      <c r="CS14" s="433">
        <f>+IF(('Monthly Detail'!DR30-$E$14)&gt;0,('Monthly Detail'!DR30-$E$14)*$D$14, 0)</f>
        <v/>
      </c>
      <c r="CT14" s="433">
        <f>+IF(('Monthly Detail'!DS30-$E$14)&gt;0,('Monthly Detail'!DS30-$E$14)*$D$14, 0)</f>
        <v/>
      </c>
      <c r="CU14" s="433">
        <f>+IF(('Monthly Detail'!DT30-$E$14)&gt;0,('Monthly Detail'!DT30-$E$14)*$D$14, 0)</f>
        <v/>
      </c>
      <c r="CV14" s="433">
        <f>+IF(('Monthly Detail'!DU30-$E$14)&gt;0,('Monthly Detail'!DU30-$E$14)*$D$14, 0)</f>
        <v/>
      </c>
      <c r="CW14" s="433">
        <f>+IF(('Monthly Detail'!DV30-$E$14)&gt;0,('Monthly Detail'!DV30-$E$14)*$D$14, 0)</f>
        <v/>
      </c>
      <c r="CX14" s="433">
        <f>+IF(('Monthly Detail'!DW30-$E$14)&gt;0,('Monthly Detail'!DW30-$E$14)*$D$14, 0)</f>
        <v/>
      </c>
      <c r="CY14" s="433">
        <f>+IF(('Monthly Detail'!DX30-$E$14)&gt;0,('Monthly Detail'!DX30-$E$14)*$D$14, 0)</f>
        <v/>
      </c>
      <c r="CZ14" s="433">
        <f>+IF(('Monthly Detail'!DY30-$E$14)&gt;0,('Monthly Detail'!DY30-$E$14)*$D$14, 0)</f>
        <v/>
      </c>
      <c r="DA14" s="433">
        <f>+IF(('Monthly Detail'!DZ30-$E$14)&gt;0,('Monthly Detail'!DZ30-$E$14)*$D$14, 0)</f>
        <v/>
      </c>
      <c r="DB14" s="433">
        <f>+IF(('Monthly Detail'!EA30-$E$14)&gt;0,('Monthly Detail'!EA30-$E$14)*$D$14, 0)</f>
        <v/>
      </c>
      <c r="DC14" s="433">
        <f>+IF(('Monthly Detail'!EB30-$E$14)&gt;0,('Monthly Detail'!EB30-$E$14)*$D$14, 0)</f>
        <v/>
      </c>
      <c r="DD14" s="433">
        <f>+IF(('Monthly Detail'!EC30-$E$14)&gt;0,('Monthly Detail'!EC30-$E$14)*$D$14, 0)</f>
        <v/>
      </c>
      <c r="DE14" s="433">
        <f>+IF(('Monthly Detail'!ED30-$E$14)&gt;0,('Monthly Detail'!ED30-$E$14)*$D$14, 0)</f>
        <v/>
      </c>
      <c r="DF14" s="433">
        <f>+IF(('Monthly Detail'!EE30-$E$14)&gt;0,('Monthly Detail'!EE30-$E$14)*$D$14, 0)</f>
        <v/>
      </c>
      <c r="DG14" s="433">
        <f>+IF(('Monthly Detail'!EF30-$E$14)&gt;0,('Monthly Detail'!EF30-$E$14)*$D$14, 0)</f>
        <v/>
      </c>
      <c r="DH14" s="433">
        <f>+IF(('Monthly Detail'!EG30-$E$14)&gt;0,('Monthly Detail'!EG30-$E$14)*$D$14, 0)</f>
        <v/>
      </c>
      <c r="DI14" s="433">
        <f>+IF(('Monthly Detail'!EH30-$E$14)&gt;0,('Monthly Detail'!EH30-$E$14)*$D$14, 0)</f>
        <v/>
      </c>
      <c r="DJ14" s="433">
        <f>+IF(('Monthly Detail'!EI30-$E$14)&gt;0,('Monthly Detail'!EI30-$E$14)*$D$14, 0)</f>
        <v/>
      </c>
      <c r="DK14" s="433">
        <f>+IF(('Monthly Detail'!EJ30-$E$14)&gt;0,('Monthly Detail'!EJ30-$E$14)*$D$14, 0)</f>
        <v/>
      </c>
      <c r="DL14" s="433">
        <f>+IF(('Monthly Detail'!EK30-$E$14)&gt;0,('Monthly Detail'!EK30-$E$14)*$D$14, 0)</f>
        <v/>
      </c>
      <c r="DM14" s="433">
        <f>+IF(('Monthly Detail'!EL30-$E$14)&gt;0,('Monthly Detail'!EL30-$E$14)*$D$14, 0)</f>
        <v/>
      </c>
      <c r="DN14" s="433">
        <f>+IF(('Monthly Detail'!EM30-$E$14)&gt;0,('Monthly Detail'!EM30-$E$14)*$D$14, 0)</f>
        <v/>
      </c>
      <c r="DO14" s="433">
        <f>+IF(('Monthly Detail'!EN30-$E$14)&gt;0,('Monthly Detail'!EN30-$E$14)*$D$14, 0)</f>
        <v/>
      </c>
      <c r="DP14" s="433">
        <f>+IF(('Monthly Detail'!EO30-$E$14)&gt;0,('Monthly Detail'!EO30-$E$14)*$D$14, 0)</f>
        <v/>
      </c>
      <c r="DQ14" s="433">
        <f>+IF(('Monthly Detail'!EP30-$E$14)&gt;0,('Monthly Detail'!EP30-$E$14)*$D$14, 0)</f>
        <v/>
      </c>
      <c r="DR14" s="433">
        <f>+IF(('Monthly Detail'!EQ30-$E$14)&gt;0,('Monthly Detail'!EQ30-$E$14)*$D$14, 0)</f>
        <v/>
      </c>
      <c r="DS14" s="433">
        <f>+IF(('Monthly Detail'!ER30-$E$14)&gt;0,('Monthly Detail'!ER30-$E$14)*$D$14, 0)</f>
        <v/>
      </c>
      <c r="DT14" s="433">
        <f>+IF(('Monthly Detail'!ES30-$E$14)&gt;0,('Monthly Detail'!ES30-$E$14)*$D$14, 0)</f>
        <v/>
      </c>
      <c r="DU14" s="433">
        <f>+IF(('Monthly Detail'!ET30-$E$14)&gt;0,('Monthly Detail'!ET30-$E$14)*$D$14, 0)</f>
        <v/>
      </c>
      <c r="DV14" s="433">
        <f>+IF(('Monthly Detail'!EU30-$E$14)&gt;0,('Monthly Detail'!EU30-$E$14)*$D$14, 0)</f>
        <v/>
      </c>
      <c r="DW14" s="433">
        <f>+IF(('Monthly Detail'!EV30-$E$14)&gt;0,('Monthly Detail'!EV30-$E$14)*$D$14, 0)</f>
        <v/>
      </c>
      <c r="DX14" s="433">
        <f>+IF(('Monthly Detail'!EW30-$E$14)&gt;0,('Monthly Detail'!EW30-$E$14)*$D$14, 0)</f>
        <v/>
      </c>
      <c r="DY14" s="433">
        <f>+IF(('Monthly Detail'!EX30-$E$14)&gt;0,('Monthly Detail'!EX30-$E$14)*$D$14, 0)</f>
        <v/>
      </c>
      <c r="DZ14" s="433">
        <f>+IF(('Monthly Detail'!EY30-$E$14)&gt;0,('Monthly Detail'!EY30-$E$14)*$D$14, 0)</f>
        <v/>
      </c>
      <c r="EA14" s="433">
        <f>+IF(('Monthly Detail'!EZ30-$E$14)&gt;0,('Monthly Detail'!EZ30-$E$14)*$D$14, 0)</f>
        <v/>
      </c>
      <c r="EB14" s="433">
        <f>+IF(('Monthly Detail'!FA30-$E$14)&gt;0,('Monthly Detail'!FA30-$E$14)*$D$14, 0)</f>
        <v/>
      </c>
      <c r="EC14" s="433">
        <f>+IF(('Monthly Detail'!FB30-$E$14)&gt;0,('Monthly Detail'!FB30-$E$14)*$D$14, 0)</f>
        <v/>
      </c>
      <c r="ED14" s="433">
        <f>+IF(('Monthly Detail'!FC30-$E$14)&gt;0,('Monthly Detail'!FC30-$E$14)*$D$14, 0)</f>
        <v/>
      </c>
      <c r="EE14" s="433">
        <f>+IF(('Monthly Detail'!FD30-$E$14)&gt;0,('Monthly Detail'!FD30-$E$14)*$D$14, 0)</f>
        <v/>
      </c>
      <c r="EF14" s="433">
        <f>+IF(('Monthly Detail'!FE30-$E$14)&gt;0,('Monthly Detail'!FE30-$E$14)*$D$14, 0)</f>
        <v/>
      </c>
      <c r="EG14" s="433">
        <f>+IF(('Monthly Detail'!FF30-$E$14)&gt;0,('Monthly Detail'!FF30-$E$14)*$D$14, 0)</f>
        <v/>
      </c>
      <c r="EH14" s="433">
        <f>+IF(('Monthly Detail'!FG30-$E$14)&gt;0,('Monthly Detail'!FG30-$E$14)*$D$14, 0)</f>
        <v/>
      </c>
      <c r="EI14" s="433">
        <f>+IF(('Monthly Detail'!FH30-$E$14)&gt;0,('Monthly Detail'!FH30-$E$14)*$D$14, 0)</f>
        <v/>
      </c>
      <c r="EJ14" s="433">
        <f>+IF(('Monthly Detail'!FI30-$E$14)&gt;0,('Monthly Detail'!FI30-$E$14)*$D$14, 0)</f>
        <v/>
      </c>
      <c r="EK14" s="433">
        <f>+IF(('Monthly Detail'!FJ30-$E$14)&gt;0,('Monthly Detail'!FJ30-$E$14)*$D$14, 0)</f>
        <v/>
      </c>
      <c r="EL14" s="433">
        <f>+IF(('Monthly Detail'!FK30-$E$14)&gt;0,('Monthly Detail'!FK30-$E$14)*$D$14, 0)</f>
        <v/>
      </c>
      <c r="EM14" s="433">
        <f>+IF(('Monthly Detail'!FL30-$E$14)&gt;0,('Monthly Detail'!FL30-$E$14)*$D$14, 0)</f>
        <v/>
      </c>
      <c r="EN14" s="433">
        <f>+IF(('Monthly Detail'!FM30-$E$14)&gt;0,('Monthly Detail'!FM30-$E$14)*$D$14, 0)</f>
        <v/>
      </c>
      <c r="EO14" s="433">
        <f>+IF(('Monthly Detail'!FN30-$E$14)&gt;0,('Monthly Detail'!FN30-$E$14)*$D$14, 0)</f>
        <v/>
      </c>
      <c r="EP14" s="433">
        <f>+IF(('Monthly Detail'!FO30-$E$14)&gt;0,('Monthly Detail'!FO30-$E$14)*$D$14, 0)</f>
        <v/>
      </c>
      <c r="EQ14" s="433">
        <f>+IF(('Monthly Detail'!FP30-$E$14)&gt;0,('Monthly Detail'!FP30-$E$14)*$D$14, 0)</f>
        <v/>
      </c>
      <c r="ER14" s="433">
        <f>+IF(('Monthly Detail'!FQ30-$E$14)&gt;0,('Monthly Detail'!FQ30-$E$14)*$D$14, 0)</f>
        <v/>
      </c>
      <c r="ES14" s="433">
        <f>+IF(('Monthly Detail'!FR30-$E$14)&gt;0,('Monthly Detail'!FR30-$E$14)*$D$14, 0)</f>
        <v/>
      </c>
      <c r="ET14" s="433">
        <f>+IF(('Monthly Detail'!FS30-$E$14)&gt;0,('Monthly Detail'!FS30-$E$14)*$D$14, 0)</f>
        <v/>
      </c>
      <c r="EU14" s="433">
        <f>+IF(('Monthly Detail'!FT30-$E$14)&gt;0,('Monthly Detail'!FT30-$E$14)*$D$14, 0)</f>
        <v/>
      </c>
      <c r="EV14" s="433">
        <f>+IF(('Monthly Detail'!FU30-$E$14)&gt;0,('Monthly Detail'!FU30-$E$14)*$D$14, 0)</f>
        <v/>
      </c>
      <c r="EW14" s="433">
        <f>+IF(('Monthly Detail'!FV30-$E$14)&gt;0,('Monthly Detail'!FV30-$E$14)*$D$14, 0)</f>
        <v/>
      </c>
      <c r="EX14" s="433">
        <f>+IF(('Monthly Detail'!FW30-$E$14)&gt;0,('Monthly Detail'!FW30-$E$14)*$D$14, 0)</f>
        <v/>
      </c>
      <c r="EY14" s="433">
        <f>+IF(('Monthly Detail'!FX30-$E$14)&gt;0,('Monthly Detail'!FX30-$E$14)*$D$14, 0)</f>
        <v/>
      </c>
      <c r="EZ14" s="433">
        <f>+IF(('Monthly Detail'!FY30-$E$14)&gt;0,('Monthly Detail'!FY30-$E$14)*$D$14, 0)</f>
        <v/>
      </c>
      <c r="FA14" s="433">
        <f>+IF(('Monthly Detail'!FZ30-$E$14)&gt;0,('Monthly Detail'!FZ30-$E$14)*$D$14, 0)</f>
        <v/>
      </c>
      <c r="FB14" s="434">
        <f>+IF(('Monthly Detail'!GA30-$E$14)&gt;0,('Monthly Detail'!GA30-$E$14)*$D$14, 0)</f>
        <v/>
      </c>
    </row>
    <row r="15">
      <c r="B15" s="442" t="inlineStr">
        <is>
          <t>ChanChal</t>
        </is>
      </c>
      <c r="C15" t="inlineStr">
        <is>
          <t>Subsititute Tutor - SAT/ACT PREP</t>
        </is>
      </c>
      <c r="D15" s="819" t="n"/>
      <c r="E15" s="510" t="n"/>
      <c r="F15" s="7" t="n"/>
      <c r="H15" s="432" t="n"/>
      <c r="I15" s="471" t="n"/>
      <c r="J15" s="471" t="n"/>
      <c r="K15" s="471" t="n"/>
      <c r="L15" s="471" t="n"/>
      <c r="M15" s="471" t="n"/>
      <c r="N15" s="471" t="n"/>
      <c r="O15" s="471" t="n"/>
      <c r="P15" s="471" t="n"/>
      <c r="Q15" s="471" t="n"/>
      <c r="R15" s="471" t="n"/>
      <c r="S15" s="471" t="n"/>
      <c r="T15" s="471" t="n"/>
      <c r="U15" s="471" t="n">
        <v>202.5</v>
      </c>
      <c r="V15" s="471" t="n">
        <v>0</v>
      </c>
      <c r="W15" s="471" t="n">
        <v>2299.98</v>
      </c>
      <c r="X15" s="709" t="n">
        <v>4725</v>
      </c>
      <c r="Y15" s="433">
        <f>+IF(('Monthly Detail'!AX31-$E$13)&gt;0,('Monthly Detail'!AX31-$E$13)*'People Plan'!$D$13, 0)</f>
        <v/>
      </c>
      <c r="Z15" s="433">
        <f>+IF(('Monthly Detail'!AY31-$E$13)&gt;0,('Monthly Detail'!AY31-$E$13)*'People Plan'!$D$13, 0)</f>
        <v/>
      </c>
      <c r="AA15" s="433">
        <f>+IF(('Monthly Detail'!AZ31-$E$13)&gt;0,('Monthly Detail'!AZ31-$E$13)*'People Plan'!$D$13, 0)</f>
        <v/>
      </c>
      <c r="AB15" s="433">
        <f>+IF(('Monthly Detail'!BA31-$E$13)&gt;0,('Monthly Detail'!BA31-$E$13)*'People Plan'!$D$13, 0)</f>
        <v/>
      </c>
      <c r="AC15" s="433">
        <f>+IF(('Monthly Detail'!BB31-$E$13)&gt;0,('Monthly Detail'!BB31-$E$13)*'People Plan'!$D$13, 0)</f>
        <v/>
      </c>
      <c r="AD15" s="433">
        <f>+IF(('Monthly Detail'!BC31-$E$13)&gt;0,('Monthly Detail'!BC31-$E$13)*'People Plan'!$D$13, 0)</f>
        <v/>
      </c>
      <c r="AE15" s="433">
        <f>+IF(('Monthly Detail'!BD31-$E$13)&gt;0,('Monthly Detail'!BD31-$E$13)*'People Plan'!$D$13, 0)</f>
        <v/>
      </c>
      <c r="AF15" s="433">
        <f>+IF(('Monthly Detail'!BE31-$E$13)&gt;0,('Monthly Detail'!BE31-$E$13)*'People Plan'!$D$13, 0)</f>
        <v/>
      </c>
      <c r="AG15" s="433">
        <f>+IF(('Monthly Detail'!BF31-$E$13)&gt;0,('Monthly Detail'!BF31-$E$13)*'People Plan'!$D$13, 0)</f>
        <v/>
      </c>
      <c r="AH15" s="433">
        <f>+IF(('Monthly Detail'!BG31-$E$13)&gt;0,('Monthly Detail'!BG31-$E$13)*'People Plan'!$D$13, 0)</f>
        <v/>
      </c>
      <c r="AI15" s="433">
        <f>+IF(('Monthly Detail'!BH31-$E$13)&gt;0,('Monthly Detail'!BH31-$E$13)*'People Plan'!$D$13, 0)</f>
        <v/>
      </c>
      <c r="AJ15" s="433">
        <f>+IF(('Monthly Detail'!BI31-$E$13)&gt;0,('Monthly Detail'!BI31-$E$13)*'People Plan'!$D$13, 0)</f>
        <v/>
      </c>
      <c r="AK15" s="433">
        <f>+IF(('Monthly Detail'!BJ31-$E$13)&gt;0,('Monthly Detail'!BJ31-$E$13)*'People Plan'!$D$13, 0)</f>
        <v/>
      </c>
      <c r="AL15" s="433">
        <f>+IF(('Monthly Detail'!BK31-$E$13)&gt;0,('Monthly Detail'!BK31-$E$13)*'People Plan'!$D$13, 0)</f>
        <v/>
      </c>
      <c r="AM15" s="433">
        <f>+IF(('Monthly Detail'!BL31-$E$13)&gt;0,('Monthly Detail'!BL31-$E$13)*'People Plan'!$D$13, 0)</f>
        <v/>
      </c>
      <c r="AN15" s="433">
        <f>+IF(('Monthly Detail'!BM31-$E$13)&gt;0,('Monthly Detail'!BM31-$E$13)*'People Plan'!$D$13, 0)</f>
        <v/>
      </c>
      <c r="AO15" s="433">
        <f>+IF(('Monthly Detail'!BN31-$E$13)&gt;0,('Monthly Detail'!BN31-$E$13)*'People Plan'!$D$13, 0)</f>
        <v/>
      </c>
      <c r="AP15" s="433">
        <f>+IF(('Monthly Detail'!BO31-$E$13)&gt;0,('Monthly Detail'!BO31-$E$13)*'People Plan'!$D$13, 0)</f>
        <v/>
      </c>
      <c r="AQ15" s="433">
        <f>+IF(('Monthly Detail'!BP31-$E$13)&gt;0,('Monthly Detail'!BP31-$E$13)*'People Plan'!$D$13, 0)</f>
        <v/>
      </c>
      <c r="AR15" s="433">
        <f>+IF(('Monthly Detail'!BQ31-$E$13)&gt;0,('Monthly Detail'!BQ31-$E$13)*'People Plan'!$D$13, 0)</f>
        <v/>
      </c>
      <c r="AS15" s="433">
        <f>+IF(('Monthly Detail'!BR31-$E$13)&gt;0,('Monthly Detail'!BR31-$E$13)*'People Plan'!$D$13, 0)</f>
        <v/>
      </c>
      <c r="AT15" s="433">
        <f>+IF(('Monthly Detail'!BS31-$E$13)&gt;0,('Monthly Detail'!BS31-$E$13)*'People Plan'!$D$13, 0)</f>
        <v/>
      </c>
      <c r="AU15" s="433">
        <f>+IF(('Monthly Detail'!BT31-$E$13)&gt;0,('Monthly Detail'!BT31-$E$13)*'People Plan'!$D$13, 0)</f>
        <v/>
      </c>
      <c r="AV15" s="433">
        <f>+IF(('Monthly Detail'!BU31-$E$13)&gt;0,('Monthly Detail'!BU31-$E$13)*'People Plan'!$D$13, 0)</f>
        <v/>
      </c>
      <c r="AW15" s="433">
        <f>+IF(('Monthly Detail'!BV31-$E$13)&gt;0,('Monthly Detail'!BV31-$E$13)*'People Plan'!$D$13, 0)</f>
        <v/>
      </c>
      <c r="AX15" s="433">
        <f>+IF(('Monthly Detail'!BW31-$E$13)&gt;0,('Monthly Detail'!BW31-$E$13)*'People Plan'!$D$13, 0)</f>
        <v/>
      </c>
      <c r="AY15" s="433">
        <f>+IF(('Monthly Detail'!BX31-$E$13)&gt;0,('Monthly Detail'!BX31-$E$13)*'People Plan'!$D$13, 0)</f>
        <v/>
      </c>
      <c r="AZ15" s="433">
        <f>+IF(('Monthly Detail'!BY31-$E$13)&gt;0,('Monthly Detail'!BY31-$E$13)*'People Plan'!$D$13, 0)</f>
        <v/>
      </c>
      <c r="BA15" s="433">
        <f>+IF(('Monthly Detail'!BZ31-$E$13)&gt;0,('Monthly Detail'!BZ31-$E$13)*'People Plan'!$D$13, 0)</f>
        <v/>
      </c>
      <c r="BB15" s="433">
        <f>+IF(('Monthly Detail'!CA31-$E$13)&gt;0,('Monthly Detail'!CA31-$E$13)*'People Plan'!$D$13, 0)</f>
        <v/>
      </c>
      <c r="BC15" s="433">
        <f>+IF(('Monthly Detail'!CB31-$E$13)&gt;0,('Monthly Detail'!CB31-$E$13)*'People Plan'!$D$13, 0)</f>
        <v/>
      </c>
      <c r="BD15" s="433">
        <f>+IF(('Monthly Detail'!CC31-$E$13)&gt;0,('Monthly Detail'!CC31-$E$13)*'People Plan'!$D$13, 0)</f>
        <v/>
      </c>
      <c r="BE15" s="433">
        <f>+IF(('Monthly Detail'!CD31-$E$13)&gt;0,('Monthly Detail'!CD31-$E$13)*'People Plan'!$D$13, 0)</f>
        <v/>
      </c>
      <c r="BF15" s="433">
        <f>+IF(('Monthly Detail'!CE31-$E$13)&gt;0,('Monthly Detail'!CE31-$E$13)*'People Plan'!$D$13, 0)</f>
        <v/>
      </c>
      <c r="BG15" s="433">
        <f>+IF(('Monthly Detail'!CF31-$E$13)&gt;0,('Monthly Detail'!CF31-$E$13)*'People Plan'!$D$13, 0)</f>
        <v/>
      </c>
      <c r="BH15" s="433">
        <f>+IF(('Monthly Detail'!CG31-$E$13)&gt;0,('Monthly Detail'!CG31-$E$13)*'People Plan'!$D$13, 0)</f>
        <v/>
      </c>
      <c r="BI15" s="433">
        <f>+IF(('Monthly Detail'!CH31-$E$13)&gt;0,('Monthly Detail'!CH31-$E$13)*'People Plan'!$D$13, 0)</f>
        <v/>
      </c>
      <c r="BJ15" s="433">
        <f>+IF(('Monthly Detail'!CI31-$E$13)&gt;0,('Monthly Detail'!CI31-$E$13)*'People Plan'!$D$13, 0)</f>
        <v/>
      </c>
      <c r="BK15" s="433">
        <f>+IF(('Monthly Detail'!CJ31-$E$13)&gt;0,('Monthly Detail'!CJ31-$E$13)*'People Plan'!$D$13, 0)</f>
        <v/>
      </c>
      <c r="BL15" s="433">
        <f>+IF(('Monthly Detail'!CK31-$E$13)&gt;0,('Monthly Detail'!CK31-$E$13)*'People Plan'!$D$13, 0)</f>
        <v/>
      </c>
      <c r="BM15" s="433">
        <f>+IF(('Monthly Detail'!CL31-$E$13)&gt;0,('Monthly Detail'!CL31-$E$13)*'People Plan'!$D$13, 0)</f>
        <v/>
      </c>
      <c r="BN15" s="433">
        <f>+IF(('Monthly Detail'!CM31-$E$13)&gt;0,('Monthly Detail'!CM31-$E$13)*'People Plan'!$D$13, 0)</f>
        <v/>
      </c>
      <c r="BO15" s="433">
        <f>+IF(('Monthly Detail'!CN31-$E$13)&gt;0,('Monthly Detail'!CN31-$E$13)*'People Plan'!$D$13, 0)</f>
        <v/>
      </c>
      <c r="BP15" s="433">
        <f>+IF(('Monthly Detail'!CO31-$E$13)&gt;0,('Monthly Detail'!CO31-$E$13)*'People Plan'!$D$13, 0)</f>
        <v/>
      </c>
      <c r="BQ15" s="433">
        <f>+IF(('Monthly Detail'!CP31-$E$13)&gt;0,('Monthly Detail'!CP31-$E$13)*'People Plan'!$D$13, 0)</f>
        <v/>
      </c>
      <c r="BR15" s="433">
        <f>+IF(('Monthly Detail'!CQ31-$E$13)&gt;0,('Monthly Detail'!CQ31-$E$13)*'People Plan'!$D$13, 0)</f>
        <v/>
      </c>
      <c r="BS15" s="433">
        <f>+IF(('Monthly Detail'!CR31-$E$13)&gt;0,('Monthly Detail'!CR31-$E$13)*'People Plan'!$D$13, 0)</f>
        <v/>
      </c>
      <c r="BT15" s="433">
        <f>+IF(('Monthly Detail'!CS31-$E$13)&gt;0,('Monthly Detail'!CS31-$E$13)*'People Plan'!$D$13, 0)</f>
        <v/>
      </c>
      <c r="BU15" s="433">
        <f>+IF(('Monthly Detail'!CT31-$E$13)&gt;0,('Monthly Detail'!CT31-$E$13)*'People Plan'!$D$13, 0)</f>
        <v/>
      </c>
      <c r="BV15" s="433">
        <f>+IF(('Monthly Detail'!CU31-$E$13)&gt;0,('Monthly Detail'!CU31-$E$13)*'People Plan'!$D$13, 0)</f>
        <v/>
      </c>
      <c r="BW15" s="433">
        <f>+IF(('Monthly Detail'!CV31-$E$13)&gt;0,('Monthly Detail'!CV31-$E$13)*'People Plan'!$D$13, 0)</f>
        <v/>
      </c>
      <c r="BX15" s="433">
        <f>+IF(('Monthly Detail'!CW31-$E$13)&gt;0,('Monthly Detail'!CW31-$E$13)*'People Plan'!$D$13, 0)</f>
        <v/>
      </c>
      <c r="BY15" s="433">
        <f>+IF(('Monthly Detail'!CX31-$E$13)&gt;0,('Monthly Detail'!CX31-$E$13)*'People Plan'!$D$13, 0)</f>
        <v/>
      </c>
      <c r="BZ15" s="433">
        <f>+IF(('Monthly Detail'!CY31-$E$13)&gt;0,('Monthly Detail'!CY31-$E$13)*'People Plan'!$D$13, 0)</f>
        <v/>
      </c>
      <c r="CA15" s="433">
        <f>+IF(('Monthly Detail'!CZ31-$E$13)&gt;0,('Monthly Detail'!CZ31-$E$13)*'People Plan'!$D$13, 0)</f>
        <v/>
      </c>
      <c r="CB15" s="433">
        <f>+IF(('Monthly Detail'!DA31-$E$13)&gt;0,('Monthly Detail'!DA31-$E$13)*'People Plan'!$D$13, 0)</f>
        <v/>
      </c>
      <c r="CC15" s="433">
        <f>+IF(('Monthly Detail'!DB31-$E$13)&gt;0,('Monthly Detail'!DB31-$E$13)*'People Plan'!$D$13, 0)</f>
        <v/>
      </c>
      <c r="CD15" s="433">
        <f>+IF(('Monthly Detail'!DC31-$E$13)&gt;0,('Monthly Detail'!DC31-$E$13)*'People Plan'!$D$13, 0)</f>
        <v/>
      </c>
      <c r="CE15" s="433">
        <f>+IF(('Monthly Detail'!DD31-$E$13)&gt;0,('Monthly Detail'!DD31-$E$13)*'People Plan'!$D$13, 0)</f>
        <v/>
      </c>
      <c r="CF15" s="433">
        <f>+IF(('Monthly Detail'!DE31-$E$13)&gt;0,('Monthly Detail'!DE31-$E$13)*'People Plan'!$D$13, 0)</f>
        <v/>
      </c>
      <c r="CG15" s="433">
        <f>+IF(('Monthly Detail'!DF31-$E$13)&gt;0,('Monthly Detail'!DF31-$E$13)*'People Plan'!$D$13, 0)</f>
        <v/>
      </c>
      <c r="CH15" s="433">
        <f>+IF(('Monthly Detail'!DG31-$E$13)&gt;0,('Monthly Detail'!DG31-$E$13)*'People Plan'!$D$13, 0)</f>
        <v/>
      </c>
      <c r="CI15" s="433">
        <f>+IF(('Monthly Detail'!DH31-$E$13)&gt;0,('Monthly Detail'!DH31-$E$13)*'People Plan'!$D$13, 0)</f>
        <v/>
      </c>
      <c r="CJ15" s="433">
        <f>+IF(('Monthly Detail'!DI31-$E$13)&gt;0,('Monthly Detail'!DI31-$E$13)*'People Plan'!$D$13, 0)</f>
        <v/>
      </c>
      <c r="CK15" s="433">
        <f>+IF(('Monthly Detail'!DJ31-$E$13)&gt;0,('Monthly Detail'!DJ31-$E$13)*'People Plan'!$D$13, 0)</f>
        <v/>
      </c>
      <c r="CL15" s="433">
        <f>+IF(('Monthly Detail'!DK31-$E$13)&gt;0,('Monthly Detail'!DK31-$E$13)*'People Plan'!$D$13, 0)</f>
        <v/>
      </c>
      <c r="CM15" s="433">
        <f>+IF(('Monthly Detail'!DL31-$E$13)&gt;0,('Monthly Detail'!DL31-$E$13)*'People Plan'!$D$13, 0)</f>
        <v/>
      </c>
      <c r="CN15" s="433">
        <f>+IF(('Monthly Detail'!DM31-$E$13)&gt;0,('Monthly Detail'!DM31-$E$13)*'People Plan'!$D$13, 0)</f>
        <v/>
      </c>
      <c r="CO15" s="433">
        <f>+IF(('Monthly Detail'!DN31-$E$13)&gt;0,('Monthly Detail'!DN31-$E$13)*'People Plan'!$D$13, 0)</f>
        <v/>
      </c>
      <c r="CP15" s="433">
        <f>+IF(('Monthly Detail'!DO31-$E$13)&gt;0,('Monthly Detail'!DO31-$E$13)*'People Plan'!$D$13, 0)</f>
        <v/>
      </c>
      <c r="CQ15" s="433">
        <f>+IF(('Monthly Detail'!DP31-$E$13)&gt;0,('Monthly Detail'!DP31-$E$13)*'People Plan'!$D$13, 0)</f>
        <v/>
      </c>
      <c r="CR15" s="433">
        <f>+IF(('Monthly Detail'!DQ31-$E$13)&gt;0,('Monthly Detail'!DQ31-$E$13)*'People Plan'!$D$13, 0)</f>
        <v/>
      </c>
      <c r="CS15" s="433">
        <f>+IF(('Monthly Detail'!DR31-$E$13)&gt;0,('Monthly Detail'!DR31-$E$13)*'People Plan'!$D$13, 0)</f>
        <v/>
      </c>
      <c r="CT15" s="433">
        <f>+IF(('Monthly Detail'!DS31-$E$13)&gt;0,('Monthly Detail'!DS31-$E$13)*'People Plan'!$D$13, 0)</f>
        <v/>
      </c>
      <c r="CU15" s="433">
        <f>+IF(('Monthly Detail'!DT31-$E$13)&gt;0,('Monthly Detail'!DT31-$E$13)*'People Plan'!$D$13, 0)</f>
        <v/>
      </c>
      <c r="CV15" s="433">
        <f>+IF(('Monthly Detail'!DU31-$E$13)&gt;0,('Monthly Detail'!DU31-$E$13)*'People Plan'!$D$13, 0)</f>
        <v/>
      </c>
      <c r="CW15" s="433">
        <f>+IF(('Monthly Detail'!DV31-$E$13)&gt;0,('Monthly Detail'!DV31-$E$13)*'People Plan'!$D$13, 0)</f>
        <v/>
      </c>
      <c r="CX15" s="433">
        <f>+IF(('Monthly Detail'!DW31-$E$13)&gt;0,('Monthly Detail'!DW31-$E$13)*'People Plan'!$D$13, 0)</f>
        <v/>
      </c>
      <c r="CY15" s="433">
        <f>+IF(('Monthly Detail'!DX31-$E$13)&gt;0,('Monthly Detail'!DX31-$E$13)*'People Plan'!$D$13, 0)</f>
        <v/>
      </c>
      <c r="CZ15" s="433">
        <f>+IF(('Monthly Detail'!DY31-$E$13)&gt;0,('Monthly Detail'!DY31-$E$13)*'People Plan'!$D$13, 0)</f>
        <v/>
      </c>
      <c r="DA15" s="433">
        <f>+IF(('Monthly Detail'!DZ31-$E$13)&gt;0,('Monthly Detail'!DZ31-$E$13)*'People Plan'!$D$13, 0)</f>
        <v/>
      </c>
      <c r="DB15" s="433">
        <f>+IF(('Monthly Detail'!EA31-$E$13)&gt;0,('Monthly Detail'!EA31-$E$13)*'People Plan'!$D$13, 0)</f>
        <v/>
      </c>
      <c r="DC15" s="433">
        <f>+IF(('Monthly Detail'!EB31-$E$13)&gt;0,('Monthly Detail'!EB31-$E$13)*'People Plan'!$D$13, 0)</f>
        <v/>
      </c>
      <c r="DD15" s="433">
        <f>+IF(('Monthly Detail'!EC31-$E$13)&gt;0,('Monthly Detail'!EC31-$E$13)*'People Plan'!$D$13, 0)</f>
        <v/>
      </c>
      <c r="DE15" s="433">
        <f>+IF(('Monthly Detail'!ED31-$E$13)&gt;0,('Monthly Detail'!ED31-$E$13)*'People Plan'!$D$13, 0)</f>
        <v/>
      </c>
      <c r="DF15" s="433">
        <f>+IF(('Monthly Detail'!EE31-$E$13)&gt;0,('Monthly Detail'!EE31-$E$13)*'People Plan'!$D$13, 0)</f>
        <v/>
      </c>
      <c r="DG15" s="433">
        <f>+IF(('Monthly Detail'!EF31-$E$13)&gt;0,('Monthly Detail'!EF31-$E$13)*'People Plan'!$D$13, 0)</f>
        <v/>
      </c>
      <c r="DH15" s="433">
        <f>+IF(('Monthly Detail'!EG31-$E$13)&gt;0,('Monthly Detail'!EG31-$E$13)*'People Plan'!$D$13, 0)</f>
        <v/>
      </c>
      <c r="DI15" s="433">
        <f>+IF(('Monthly Detail'!EH31-$E$13)&gt;0,('Monthly Detail'!EH31-$E$13)*'People Plan'!$D$13, 0)</f>
        <v/>
      </c>
      <c r="DJ15" s="433">
        <f>+IF(('Monthly Detail'!EI31-$E$13)&gt;0,('Monthly Detail'!EI31-$E$13)*'People Plan'!$D$13, 0)</f>
        <v/>
      </c>
      <c r="DK15" s="433">
        <f>+IF(('Monthly Detail'!EJ31-$E$13)&gt;0,('Monthly Detail'!EJ31-$E$13)*'People Plan'!$D$13, 0)</f>
        <v/>
      </c>
      <c r="DL15" s="433">
        <f>+IF(('Monthly Detail'!EK31-$E$13)&gt;0,('Monthly Detail'!EK31-$E$13)*'People Plan'!$D$13, 0)</f>
        <v/>
      </c>
      <c r="DM15" s="433">
        <f>+IF(('Monthly Detail'!EL31-$E$13)&gt;0,('Monthly Detail'!EL31-$E$13)*'People Plan'!$D$13, 0)</f>
        <v/>
      </c>
      <c r="DN15" s="433">
        <f>+IF(('Monthly Detail'!EM31-$E$13)&gt;0,('Monthly Detail'!EM31-$E$13)*'People Plan'!$D$13, 0)</f>
        <v/>
      </c>
      <c r="DO15" s="433">
        <f>+IF(('Monthly Detail'!EN31-$E$13)&gt;0,('Monthly Detail'!EN31-$E$13)*'People Plan'!$D$13, 0)</f>
        <v/>
      </c>
      <c r="DP15" s="433">
        <f>+IF(('Monthly Detail'!EO31-$E$13)&gt;0,('Monthly Detail'!EO31-$E$13)*'People Plan'!$D$13, 0)</f>
        <v/>
      </c>
      <c r="DQ15" s="433">
        <f>+IF(('Monthly Detail'!EP31-$E$13)&gt;0,('Monthly Detail'!EP31-$E$13)*'People Plan'!$D$13, 0)</f>
        <v/>
      </c>
      <c r="DR15" s="433">
        <f>+IF(('Monthly Detail'!EQ31-$E$13)&gt;0,('Monthly Detail'!EQ31-$E$13)*'People Plan'!$D$13, 0)</f>
        <v/>
      </c>
      <c r="DS15" s="433">
        <f>+IF(('Monthly Detail'!ER31-$E$13)&gt;0,('Monthly Detail'!ER31-$E$13)*'People Plan'!$D$13, 0)</f>
        <v/>
      </c>
      <c r="DT15" s="433">
        <f>+IF(('Monthly Detail'!ES31-$E$13)&gt;0,('Monthly Detail'!ES31-$E$13)*'People Plan'!$D$13, 0)</f>
        <v/>
      </c>
      <c r="DU15" s="433">
        <f>+IF(('Monthly Detail'!ET31-$E$13)&gt;0,('Monthly Detail'!ET31-$E$13)*'People Plan'!$D$13, 0)</f>
        <v/>
      </c>
      <c r="DV15" s="433">
        <f>+IF(('Monthly Detail'!EU31-$E$13)&gt;0,('Monthly Detail'!EU31-$E$13)*'People Plan'!$D$13, 0)</f>
        <v/>
      </c>
      <c r="DW15" s="433">
        <f>+IF(('Monthly Detail'!EV31-$E$13)&gt;0,('Monthly Detail'!EV31-$E$13)*'People Plan'!$D$13, 0)</f>
        <v/>
      </c>
      <c r="DX15" s="433">
        <f>+IF(('Monthly Detail'!EW31-$E$13)&gt;0,('Monthly Detail'!EW31-$E$13)*'People Plan'!$D$13, 0)</f>
        <v/>
      </c>
      <c r="DY15" s="433">
        <f>+IF(('Monthly Detail'!EX31-$E$13)&gt;0,('Monthly Detail'!EX31-$E$13)*'People Plan'!$D$13, 0)</f>
        <v/>
      </c>
      <c r="DZ15" s="433">
        <f>+IF(('Monthly Detail'!EY31-$E$13)&gt;0,('Monthly Detail'!EY31-$E$13)*'People Plan'!$D$13, 0)</f>
        <v/>
      </c>
      <c r="EA15" s="433">
        <f>+IF(('Monthly Detail'!EZ31-$E$13)&gt;0,('Monthly Detail'!EZ31-$E$13)*'People Plan'!$D$13, 0)</f>
        <v/>
      </c>
      <c r="EB15" s="433">
        <f>+IF(('Monthly Detail'!FA31-$E$13)&gt;0,('Monthly Detail'!FA31-$E$13)*'People Plan'!$D$13, 0)</f>
        <v/>
      </c>
      <c r="EC15" s="433">
        <f>+IF(('Monthly Detail'!FB31-$E$13)&gt;0,('Monthly Detail'!FB31-$E$13)*'People Plan'!$D$13, 0)</f>
        <v/>
      </c>
      <c r="ED15" s="433">
        <f>+IF(('Monthly Detail'!FC31-$E$13)&gt;0,('Monthly Detail'!FC31-$E$13)*'People Plan'!$D$13, 0)</f>
        <v/>
      </c>
      <c r="EE15" s="433">
        <f>+IF(('Monthly Detail'!FD31-$E$13)&gt;0,('Monthly Detail'!FD31-$E$13)*'People Plan'!$D$13, 0)</f>
        <v/>
      </c>
      <c r="EF15" s="433">
        <f>+IF(('Monthly Detail'!FE31-$E$13)&gt;0,('Monthly Detail'!FE31-$E$13)*'People Plan'!$D$13, 0)</f>
        <v/>
      </c>
      <c r="EG15" s="433">
        <f>+IF(('Monthly Detail'!FF31-$E$13)&gt;0,('Monthly Detail'!FF31-$E$13)*'People Plan'!$D$13, 0)</f>
        <v/>
      </c>
      <c r="EH15" s="433">
        <f>+IF(('Monthly Detail'!FG31-$E$13)&gt;0,('Monthly Detail'!FG31-$E$13)*'People Plan'!$D$13, 0)</f>
        <v/>
      </c>
      <c r="EI15" s="433">
        <f>+IF(('Monthly Detail'!FH31-$E$13)&gt;0,('Monthly Detail'!FH31-$E$13)*'People Plan'!$D$13, 0)</f>
        <v/>
      </c>
      <c r="EJ15" s="433">
        <f>+IF(('Monthly Detail'!FI31-$E$13)&gt;0,('Monthly Detail'!FI31-$E$13)*'People Plan'!$D$13, 0)</f>
        <v/>
      </c>
      <c r="EK15" s="433">
        <f>+IF(('Monthly Detail'!FJ31-$E$13)&gt;0,('Monthly Detail'!FJ31-$E$13)*'People Plan'!$D$13, 0)</f>
        <v/>
      </c>
      <c r="EL15" s="433">
        <f>+IF(('Monthly Detail'!FK31-$E$13)&gt;0,('Monthly Detail'!FK31-$E$13)*'People Plan'!$D$13, 0)</f>
        <v/>
      </c>
      <c r="EM15" s="433">
        <f>+IF(('Monthly Detail'!FL31-$E$13)&gt;0,('Monthly Detail'!FL31-$E$13)*'People Plan'!$D$13, 0)</f>
        <v/>
      </c>
      <c r="EN15" s="433">
        <f>+IF(('Monthly Detail'!FM31-$E$13)&gt;0,('Monthly Detail'!FM31-$E$13)*'People Plan'!$D$13, 0)</f>
        <v/>
      </c>
      <c r="EO15" s="433">
        <f>+IF(('Monthly Detail'!FN31-$E$13)&gt;0,('Monthly Detail'!FN31-$E$13)*'People Plan'!$D$13, 0)</f>
        <v/>
      </c>
      <c r="EP15" s="433">
        <f>+IF(('Monthly Detail'!FO31-$E$13)&gt;0,('Monthly Detail'!FO31-$E$13)*'People Plan'!$D$13, 0)</f>
        <v/>
      </c>
      <c r="EQ15" s="433">
        <f>+IF(('Monthly Detail'!FP31-$E$13)&gt;0,('Monthly Detail'!FP31-$E$13)*'People Plan'!$D$13, 0)</f>
        <v/>
      </c>
      <c r="ER15" s="433">
        <f>+IF(('Monthly Detail'!FQ31-$E$13)&gt;0,('Monthly Detail'!FQ31-$E$13)*'People Plan'!$D$13, 0)</f>
        <v/>
      </c>
      <c r="ES15" s="433">
        <f>+IF(('Monthly Detail'!FR31-$E$13)&gt;0,('Monthly Detail'!FR31-$E$13)*'People Plan'!$D$13, 0)</f>
        <v/>
      </c>
      <c r="ET15" s="433">
        <f>+IF(('Monthly Detail'!FS31-$E$13)&gt;0,('Monthly Detail'!FS31-$E$13)*'People Plan'!$D$13, 0)</f>
        <v/>
      </c>
      <c r="EU15" s="433">
        <f>+IF(('Monthly Detail'!FT31-$E$13)&gt;0,('Monthly Detail'!FT31-$E$13)*'People Plan'!$D$13, 0)</f>
        <v/>
      </c>
      <c r="EV15" s="433">
        <f>+IF(('Monthly Detail'!FU31-$E$13)&gt;0,('Monthly Detail'!FU31-$E$13)*'People Plan'!$D$13, 0)</f>
        <v/>
      </c>
      <c r="EW15" s="433">
        <f>+IF(('Monthly Detail'!FV31-$E$13)&gt;0,('Monthly Detail'!FV31-$E$13)*'People Plan'!$D$13, 0)</f>
        <v/>
      </c>
      <c r="EX15" s="433">
        <f>+IF(('Monthly Detail'!FW31-$E$13)&gt;0,('Monthly Detail'!FW31-$E$13)*'People Plan'!$D$13, 0)</f>
        <v/>
      </c>
      <c r="EY15" s="433">
        <f>+IF(('Monthly Detail'!FX31-$E$13)&gt;0,('Monthly Detail'!FX31-$E$13)*'People Plan'!$D$13, 0)</f>
        <v/>
      </c>
      <c r="EZ15" s="433">
        <f>+IF(('Monthly Detail'!FY31-$E$13)&gt;0,('Monthly Detail'!FY31-$E$13)*'People Plan'!$D$13, 0)</f>
        <v/>
      </c>
      <c r="FA15" s="433">
        <f>+IF(('Monthly Detail'!FZ31-$E$13)&gt;0,('Monthly Detail'!FZ31-$E$13)*'People Plan'!$D$13, 0)</f>
        <v/>
      </c>
      <c r="FB15" s="434">
        <f>+IF(('Monthly Detail'!GA31-$E$13)&gt;0,('Monthly Detail'!GA31-$E$13)*'People Plan'!$D$13, 0)</f>
        <v/>
      </c>
    </row>
    <row r="16">
      <c r="B16" s="442" t="n"/>
      <c r="F16" s="7" t="n"/>
      <c r="H16" s="430" t="n"/>
      <c r="X16" s="431" t="n"/>
      <c r="FB16" s="431" t="n"/>
    </row>
    <row r="17">
      <c r="B17" s="442" t="n"/>
      <c r="F17" s="7" t="n"/>
      <c r="H17" s="430" t="n"/>
      <c r="X17" s="431" t="n"/>
      <c r="FB17" s="431" t="n"/>
    </row>
    <row r="18">
      <c r="B18" s="442" t="inlineStr">
        <is>
          <t>Lauren Est</t>
        </is>
      </c>
      <c r="C18" t="inlineStr">
        <is>
          <t>Owner</t>
        </is>
      </c>
      <c r="D18" s="819" t="n">
        <v>70</v>
      </c>
      <c r="E18" t="n">
        <v>170</v>
      </c>
      <c r="F18" s="7" t="n"/>
      <c r="H18" s="430" t="n"/>
      <c r="O18" s="471" t="n">
        <v>1275</v>
      </c>
      <c r="P18" s="471" t="n">
        <v>4005</v>
      </c>
      <c r="Q18" s="471" t="n">
        <v>4410</v>
      </c>
      <c r="R18" s="471" t="n">
        <v>2450</v>
      </c>
      <c r="S18" s="471" t="n">
        <v>1960</v>
      </c>
      <c r="T18" s="471" t="n">
        <v>2450</v>
      </c>
      <c r="U18" s="471" t="n">
        <v>7280</v>
      </c>
      <c r="V18" s="471" t="n">
        <v>14252.7</v>
      </c>
      <c r="W18" s="471" t="n">
        <v>9800</v>
      </c>
      <c r="X18" s="710" t="n">
        <v>14350</v>
      </c>
      <c r="Y18" s="433">
        <f>+$D$18*'Monthly Detail'!AX34</f>
        <v/>
      </c>
      <c r="Z18" s="433">
        <f>+$D$18*'Monthly Detail'!AY34</f>
        <v/>
      </c>
      <c r="AA18" s="433">
        <f>+$D$18*'Monthly Detail'!AZ34</f>
        <v/>
      </c>
      <c r="AB18" s="433">
        <f>+$D$18*'Monthly Detail'!BA34</f>
        <v/>
      </c>
      <c r="AC18" s="433">
        <f>+$D$18*'Monthly Detail'!BB34</f>
        <v/>
      </c>
      <c r="AD18" s="433">
        <f>+$D$18*'Monthly Detail'!BC34</f>
        <v/>
      </c>
      <c r="AE18" s="433">
        <f>+$D$18*'Monthly Detail'!BD34</f>
        <v/>
      </c>
      <c r="AF18" s="433">
        <f>+$D$18*'Monthly Detail'!BE34</f>
        <v/>
      </c>
      <c r="AG18" s="433">
        <f>+$D$18*'Monthly Detail'!BF34</f>
        <v/>
      </c>
      <c r="AH18" s="433">
        <f>+$D$18*'Monthly Detail'!BG34</f>
        <v/>
      </c>
      <c r="AI18" s="433">
        <f>+$D$18*'Monthly Detail'!BH34</f>
        <v/>
      </c>
      <c r="AJ18" s="433">
        <f>+$D$18*'Monthly Detail'!BI34</f>
        <v/>
      </c>
      <c r="AK18" s="433">
        <f>+$D$18*'Monthly Detail'!BJ34</f>
        <v/>
      </c>
      <c r="AL18" s="433">
        <f>+$D$18*'Monthly Detail'!BK34</f>
        <v/>
      </c>
      <c r="AM18" s="433">
        <f>+$D$18*'Monthly Detail'!BL34</f>
        <v/>
      </c>
      <c r="AN18" s="433">
        <f>+$D$18*'Monthly Detail'!BM34</f>
        <v/>
      </c>
      <c r="AO18" s="433">
        <f>+$D$18*'Monthly Detail'!BN34</f>
        <v/>
      </c>
      <c r="AP18" s="433">
        <f>+$D$18*'Monthly Detail'!BO34</f>
        <v/>
      </c>
      <c r="AQ18" s="433">
        <f>+$D$18*'Monthly Detail'!BP34</f>
        <v/>
      </c>
      <c r="AR18" s="433">
        <f>+$D$18*'Monthly Detail'!BQ34</f>
        <v/>
      </c>
      <c r="AS18" s="433">
        <f>+$D$18*'Monthly Detail'!BR34</f>
        <v/>
      </c>
      <c r="AT18" s="433">
        <f>+$D$18*'Monthly Detail'!BS34</f>
        <v/>
      </c>
      <c r="AU18" s="433">
        <f>+$D$18*'Monthly Detail'!BT34</f>
        <v/>
      </c>
      <c r="AV18" s="433">
        <f>+$D$18*'Monthly Detail'!BU34</f>
        <v/>
      </c>
      <c r="AW18" s="433">
        <f>+$D$18*'Monthly Detail'!BV34</f>
        <v/>
      </c>
      <c r="AX18" s="433">
        <f>+$D$18*'Monthly Detail'!BW34</f>
        <v/>
      </c>
      <c r="AY18" s="433">
        <f>+$D$18*'Monthly Detail'!BX34</f>
        <v/>
      </c>
      <c r="AZ18" s="433">
        <f>+$D$18*'Monthly Detail'!BY34</f>
        <v/>
      </c>
      <c r="BA18" s="433">
        <f>+$D$18*'Monthly Detail'!BZ34</f>
        <v/>
      </c>
      <c r="BB18" s="433">
        <f>+$D$18*'Monthly Detail'!CA34</f>
        <v/>
      </c>
      <c r="BC18" s="433">
        <f>+$D$18*'Monthly Detail'!CB34</f>
        <v/>
      </c>
      <c r="BD18" s="433">
        <f>+$D$18*'Monthly Detail'!CC34</f>
        <v/>
      </c>
      <c r="BE18" s="433">
        <f>+$D$18*'Monthly Detail'!CD34</f>
        <v/>
      </c>
      <c r="BF18" s="433">
        <f>+$D$18*'Monthly Detail'!CE34</f>
        <v/>
      </c>
      <c r="BG18" s="433">
        <f>+$D$18*'Monthly Detail'!CF34</f>
        <v/>
      </c>
      <c r="BH18" s="433">
        <f>+$D$18*'Monthly Detail'!CG34</f>
        <v/>
      </c>
      <c r="BI18" s="433">
        <f>+$D$18*'Monthly Detail'!CH34</f>
        <v/>
      </c>
      <c r="BJ18" s="433">
        <f>+$D$18*'Monthly Detail'!CI34</f>
        <v/>
      </c>
      <c r="BK18" s="433">
        <f>+$D$18*'Monthly Detail'!CJ34</f>
        <v/>
      </c>
      <c r="BL18" s="433">
        <f>+$D$18*'Monthly Detail'!CK34</f>
        <v/>
      </c>
      <c r="BM18" s="433">
        <f>+$D$18*'Monthly Detail'!CL34</f>
        <v/>
      </c>
      <c r="BN18" s="433">
        <f>+$D$18*'Monthly Detail'!CM34</f>
        <v/>
      </c>
      <c r="BO18" s="433">
        <f>+$D$18*'Monthly Detail'!CN34</f>
        <v/>
      </c>
      <c r="BP18" s="433">
        <f>+$D$18*'Monthly Detail'!CO34</f>
        <v/>
      </c>
      <c r="BQ18" s="433">
        <f>+$D$18*'Monthly Detail'!CP34</f>
        <v/>
      </c>
      <c r="BR18" s="433">
        <f>+$D$18*'Monthly Detail'!CQ34</f>
        <v/>
      </c>
      <c r="BS18" s="433">
        <f>+$D$18*'Monthly Detail'!CR34</f>
        <v/>
      </c>
      <c r="BT18" s="433">
        <f>+$D$18*'Monthly Detail'!CS34</f>
        <v/>
      </c>
      <c r="BU18" s="433">
        <f>+$D$18*'Monthly Detail'!CT34</f>
        <v/>
      </c>
      <c r="BV18" s="433">
        <f>+$D$18*'Monthly Detail'!CU34</f>
        <v/>
      </c>
      <c r="BW18" s="433">
        <f>+$D$18*'Monthly Detail'!CV34</f>
        <v/>
      </c>
      <c r="BX18" s="433">
        <f>+$D$18*'Monthly Detail'!CW34</f>
        <v/>
      </c>
      <c r="BY18" s="433">
        <f>+$D$18*'Monthly Detail'!CX34</f>
        <v/>
      </c>
      <c r="BZ18" s="433">
        <f>+$D$18*'Monthly Detail'!CY34</f>
        <v/>
      </c>
      <c r="CA18" s="433">
        <f>+$D$18*'Monthly Detail'!CZ34</f>
        <v/>
      </c>
      <c r="CB18" s="433">
        <f>+$D$18*'Monthly Detail'!DA34</f>
        <v/>
      </c>
      <c r="CC18" s="433">
        <f>+$D$18*'Monthly Detail'!DB34</f>
        <v/>
      </c>
      <c r="CD18" s="433">
        <f>+$D$18*'Monthly Detail'!DC34</f>
        <v/>
      </c>
      <c r="CE18" s="433">
        <f>+$D$18*'Monthly Detail'!DD34</f>
        <v/>
      </c>
      <c r="CF18" s="433">
        <f>+$D$18*'Monthly Detail'!DE34</f>
        <v/>
      </c>
      <c r="CG18" s="433">
        <f>+$D$18*'Monthly Detail'!DF34</f>
        <v/>
      </c>
      <c r="CH18" s="433">
        <f>+$D$18*'Monthly Detail'!DG34</f>
        <v/>
      </c>
      <c r="CI18" s="433">
        <f>+$D$18*'Monthly Detail'!DH34</f>
        <v/>
      </c>
      <c r="CJ18" s="433">
        <f>+$D$18*'Monthly Detail'!DI34</f>
        <v/>
      </c>
      <c r="CK18" s="433">
        <f>+$D$18*'Monthly Detail'!DJ34</f>
        <v/>
      </c>
      <c r="CL18" s="433">
        <f>+$D$18*'Monthly Detail'!DK34</f>
        <v/>
      </c>
      <c r="CM18" s="433">
        <f>+$D$18*'Monthly Detail'!DL34</f>
        <v/>
      </c>
      <c r="CN18" s="433">
        <f>+$D$18*'Monthly Detail'!DM34</f>
        <v/>
      </c>
      <c r="CO18" s="433">
        <f>+$D$18*'Monthly Detail'!DN34</f>
        <v/>
      </c>
      <c r="CP18" s="433">
        <f>+$D$18*'Monthly Detail'!DO34</f>
        <v/>
      </c>
      <c r="CQ18" s="433">
        <f>+$D$18*'Monthly Detail'!DP34</f>
        <v/>
      </c>
      <c r="CR18" s="433">
        <f>+$D$18*'Monthly Detail'!DQ34</f>
        <v/>
      </c>
      <c r="CS18" s="433">
        <f>+$D$18*'Monthly Detail'!DR34</f>
        <v/>
      </c>
      <c r="CT18" s="433">
        <f>+$D$18*'Monthly Detail'!DS34</f>
        <v/>
      </c>
      <c r="CU18" s="433">
        <f>+$D$18*'Monthly Detail'!DT34</f>
        <v/>
      </c>
      <c r="CV18" s="433">
        <f>+$D$18*'Monthly Detail'!DU34</f>
        <v/>
      </c>
      <c r="CW18" s="433">
        <f>+$D$18*'Monthly Detail'!DV34</f>
        <v/>
      </c>
      <c r="CX18" s="433">
        <f>+$D$18*'Monthly Detail'!DW34</f>
        <v/>
      </c>
      <c r="CY18" s="433">
        <f>+$D$18*'Monthly Detail'!DX34</f>
        <v/>
      </c>
      <c r="CZ18" s="433">
        <f>+$D$18*'Monthly Detail'!DY34</f>
        <v/>
      </c>
      <c r="DA18" s="433">
        <f>+$D$18*'Monthly Detail'!DZ34</f>
        <v/>
      </c>
      <c r="DB18" s="433">
        <f>+$D$18*'Monthly Detail'!EA34</f>
        <v/>
      </c>
      <c r="DC18" s="433">
        <f>+$D$18*'Monthly Detail'!EB34</f>
        <v/>
      </c>
      <c r="DD18" s="433">
        <f>+$D$18*'Monthly Detail'!EC34</f>
        <v/>
      </c>
      <c r="DE18" s="433">
        <f>+$D$18*'Monthly Detail'!ED34</f>
        <v/>
      </c>
      <c r="DF18" s="433">
        <f>+$D$18*'Monthly Detail'!EE34</f>
        <v/>
      </c>
      <c r="DG18" s="433">
        <f>+$D$18*'Monthly Detail'!EF34</f>
        <v/>
      </c>
      <c r="DH18" s="433">
        <f>+$D$18*'Monthly Detail'!EG34</f>
        <v/>
      </c>
      <c r="DI18" s="433">
        <f>+$D$18*'Monthly Detail'!EH34</f>
        <v/>
      </c>
      <c r="DJ18" s="433">
        <f>+$D$18*'Monthly Detail'!EI34</f>
        <v/>
      </c>
      <c r="DK18" s="433">
        <f>+$D$18*'Monthly Detail'!EJ34</f>
        <v/>
      </c>
      <c r="DL18" s="433">
        <f>+$D$18*'Monthly Detail'!EK34</f>
        <v/>
      </c>
      <c r="DM18" s="433">
        <f>+$D$18*'Monthly Detail'!EL34</f>
        <v/>
      </c>
      <c r="DN18" s="433">
        <f>+$D$18*'Monthly Detail'!EM34</f>
        <v/>
      </c>
      <c r="DO18" s="433">
        <f>+$D$18*'Monthly Detail'!EN34</f>
        <v/>
      </c>
      <c r="DP18" s="433">
        <f>+$D$18*'Monthly Detail'!EO34</f>
        <v/>
      </c>
      <c r="DQ18" s="433">
        <f>+$D$18*'Monthly Detail'!EP34</f>
        <v/>
      </c>
      <c r="DR18" s="433">
        <f>+$D$18*'Monthly Detail'!EQ34</f>
        <v/>
      </c>
      <c r="DS18" s="433">
        <f>+$D$18*'Monthly Detail'!ER34</f>
        <v/>
      </c>
      <c r="DT18" s="433">
        <f>+$D$18*'Monthly Detail'!ES34</f>
        <v/>
      </c>
      <c r="DU18" s="433">
        <f>+$D$18*'Monthly Detail'!ET34</f>
        <v/>
      </c>
      <c r="DV18" s="433">
        <f>+$D$18*'Monthly Detail'!EU34</f>
        <v/>
      </c>
      <c r="DW18" s="433">
        <f>+$D$18*'Monthly Detail'!EV34</f>
        <v/>
      </c>
      <c r="DX18" s="433">
        <f>+$D$18*'Monthly Detail'!EW34</f>
        <v/>
      </c>
      <c r="DY18" s="433">
        <f>+$D$18*'Monthly Detail'!EX34</f>
        <v/>
      </c>
      <c r="DZ18" s="433">
        <f>+$D$18*'Monthly Detail'!EY34</f>
        <v/>
      </c>
      <c r="EA18" s="433">
        <f>+$D$18*'Monthly Detail'!EZ34</f>
        <v/>
      </c>
      <c r="EB18" s="433">
        <f>+$D$18*'Monthly Detail'!FA34</f>
        <v/>
      </c>
      <c r="EC18" s="433">
        <f>+$D$18*'Monthly Detail'!FB34</f>
        <v/>
      </c>
      <c r="ED18" s="433">
        <f>+$D$18*'Monthly Detail'!FC34</f>
        <v/>
      </c>
      <c r="EE18" s="433">
        <f>+$D$18*'Monthly Detail'!FD34</f>
        <v/>
      </c>
      <c r="EF18" s="433">
        <f>+$D$18*'Monthly Detail'!FE34</f>
        <v/>
      </c>
      <c r="EG18" s="433">
        <f>+$D$18*'Monthly Detail'!FF34</f>
        <v/>
      </c>
      <c r="EH18" s="433">
        <f>+$D$18*'Monthly Detail'!FG34</f>
        <v/>
      </c>
      <c r="EI18" s="433">
        <f>+$D$18*'Monthly Detail'!FH34</f>
        <v/>
      </c>
      <c r="EJ18" s="433">
        <f>+$D$18*'Monthly Detail'!FI34</f>
        <v/>
      </c>
      <c r="EK18" s="433">
        <f>+$D$18*'Monthly Detail'!FJ34</f>
        <v/>
      </c>
      <c r="EL18" s="433">
        <f>+$D$18*'Monthly Detail'!FK34</f>
        <v/>
      </c>
      <c r="EM18" s="433">
        <f>+$D$18*'Monthly Detail'!FL34</f>
        <v/>
      </c>
      <c r="EN18" s="433">
        <f>+$D$18*'Monthly Detail'!FM34</f>
        <v/>
      </c>
      <c r="EO18" s="433">
        <f>+$D$18*'Monthly Detail'!FN34</f>
        <v/>
      </c>
      <c r="EP18" s="433">
        <f>+$D$18*'Monthly Detail'!FO34</f>
        <v/>
      </c>
      <c r="EQ18" s="433">
        <f>+$D$18*'Monthly Detail'!FP34</f>
        <v/>
      </c>
      <c r="ER18" s="433">
        <f>+$D$18*'Monthly Detail'!FQ34</f>
        <v/>
      </c>
      <c r="ES18" s="433">
        <f>+$D$18*'Monthly Detail'!FR34</f>
        <v/>
      </c>
      <c r="ET18" s="433">
        <f>+$D$18*'Monthly Detail'!FS34</f>
        <v/>
      </c>
      <c r="EU18" s="433">
        <f>+$D$18*'Monthly Detail'!FT34</f>
        <v/>
      </c>
      <c r="EV18" s="433">
        <f>+$D$18*'Monthly Detail'!FU34</f>
        <v/>
      </c>
      <c r="EW18" s="433">
        <f>+$D$18*'Monthly Detail'!FV34</f>
        <v/>
      </c>
      <c r="EX18" s="433">
        <f>+$D$18*'Monthly Detail'!FW34</f>
        <v/>
      </c>
      <c r="EY18" s="433">
        <f>+$D$18*'Monthly Detail'!FX34</f>
        <v/>
      </c>
      <c r="EZ18" s="433">
        <f>+$D$18*'Monthly Detail'!FY34</f>
        <v/>
      </c>
      <c r="FA18" s="433">
        <f>+$D$18*'Monthly Detail'!FZ34</f>
        <v/>
      </c>
      <c r="FB18" s="434">
        <f>+$D$18*'Monthly Detail'!GA34</f>
        <v/>
      </c>
    </row>
    <row r="19">
      <c r="B19" s="442" t="n"/>
      <c r="F19" s="7" t="inlineStr">
        <is>
          <t>Total Owner Wages</t>
        </is>
      </c>
      <c r="H19" s="430" t="n"/>
      <c r="O19" s="471">
        <f>SUM(O18)</f>
        <v/>
      </c>
      <c r="P19" s="471">
        <f>SUM(P18)</f>
        <v/>
      </c>
      <c r="Q19" s="471">
        <f>SUM(Q18)</f>
        <v/>
      </c>
      <c r="R19" s="471">
        <f>SUM(R18)</f>
        <v/>
      </c>
      <c r="S19" s="471">
        <f>SUM(S18)</f>
        <v/>
      </c>
      <c r="T19" s="471">
        <f>SUM(T18)</f>
        <v/>
      </c>
      <c r="U19" s="471">
        <f>SUM(U18)</f>
        <v/>
      </c>
      <c r="V19" s="471">
        <f>SUM(V18)</f>
        <v/>
      </c>
      <c r="W19" s="471">
        <f>SUM(W18)</f>
        <v/>
      </c>
      <c r="X19" s="710">
        <f>SUM(X18)</f>
        <v/>
      </c>
      <c r="Y19" s="433">
        <f>SUM(Y18)</f>
        <v/>
      </c>
      <c r="Z19" s="433">
        <f>SUM(Z18)</f>
        <v/>
      </c>
      <c r="AA19" s="433">
        <f>SUM(AA18)</f>
        <v/>
      </c>
      <c r="AB19" s="433">
        <f>SUM(AB18)</f>
        <v/>
      </c>
      <c r="AC19" s="433">
        <f>SUM(AC18)</f>
        <v/>
      </c>
      <c r="AD19" s="433">
        <f>SUM(AD18)</f>
        <v/>
      </c>
      <c r="AE19" s="433">
        <f>SUM(AE18)</f>
        <v/>
      </c>
      <c r="AF19" s="433">
        <f>SUM(AF18)</f>
        <v/>
      </c>
      <c r="AG19" s="433">
        <f>SUM(AG18)</f>
        <v/>
      </c>
      <c r="AH19" s="433">
        <f>SUM(AH18)</f>
        <v/>
      </c>
      <c r="AI19" s="433">
        <f>SUM(AI18)</f>
        <v/>
      </c>
      <c r="AJ19" s="433">
        <f>SUM(AJ18)</f>
        <v/>
      </c>
      <c r="AK19" s="433">
        <f>SUM(AK18)</f>
        <v/>
      </c>
      <c r="AL19" s="433">
        <f>SUM(AL18)</f>
        <v/>
      </c>
      <c r="AM19" s="433">
        <f>SUM(AM18)</f>
        <v/>
      </c>
      <c r="AN19" s="433">
        <f>SUM(AN18)</f>
        <v/>
      </c>
      <c r="AO19" s="433">
        <f>SUM(AO18)</f>
        <v/>
      </c>
      <c r="AP19" s="433">
        <f>SUM(AP18)</f>
        <v/>
      </c>
      <c r="AQ19" s="433">
        <f>SUM(AQ18)</f>
        <v/>
      </c>
      <c r="AR19" s="433">
        <f>SUM(AR18)</f>
        <v/>
      </c>
      <c r="AS19" s="433">
        <f>SUM(AS18)</f>
        <v/>
      </c>
      <c r="AT19" s="433">
        <f>SUM(AT18)</f>
        <v/>
      </c>
      <c r="AU19" s="433">
        <f>SUM(AU18)</f>
        <v/>
      </c>
      <c r="AV19" s="433">
        <f>SUM(AV18)</f>
        <v/>
      </c>
      <c r="AW19" s="433">
        <f>SUM(AW18)</f>
        <v/>
      </c>
      <c r="AX19" s="433">
        <f>SUM(AX18)</f>
        <v/>
      </c>
      <c r="AY19" s="433">
        <f>SUM(AY18)</f>
        <v/>
      </c>
      <c r="AZ19" s="433">
        <f>SUM(AZ18)</f>
        <v/>
      </c>
      <c r="BA19" s="433">
        <f>SUM(BA18)</f>
        <v/>
      </c>
      <c r="BB19" s="433">
        <f>SUM(BB18)</f>
        <v/>
      </c>
      <c r="BC19" s="433">
        <f>SUM(BC18)</f>
        <v/>
      </c>
      <c r="BD19" s="433">
        <f>SUM(BD18)</f>
        <v/>
      </c>
      <c r="BE19" s="433">
        <f>SUM(BE18)</f>
        <v/>
      </c>
      <c r="BF19" s="433">
        <f>SUM(BF18)</f>
        <v/>
      </c>
      <c r="BG19" s="433">
        <f>SUM(BG18)</f>
        <v/>
      </c>
      <c r="BH19" s="433">
        <f>SUM(BH18)</f>
        <v/>
      </c>
      <c r="BI19" s="433">
        <f>SUM(BI18)</f>
        <v/>
      </c>
      <c r="BJ19" s="433">
        <f>SUM(BJ18)</f>
        <v/>
      </c>
      <c r="BK19" s="433">
        <f>SUM(BK18)</f>
        <v/>
      </c>
      <c r="BL19" s="433">
        <f>SUM(BL18)</f>
        <v/>
      </c>
      <c r="BM19" s="433">
        <f>SUM(BM18)</f>
        <v/>
      </c>
      <c r="BN19" s="433">
        <f>SUM(BN18)</f>
        <v/>
      </c>
      <c r="BO19" s="433">
        <f>SUM(BO18)</f>
        <v/>
      </c>
      <c r="BP19" s="433">
        <f>SUM(BP18)</f>
        <v/>
      </c>
      <c r="BQ19" s="433">
        <f>SUM(BQ18)</f>
        <v/>
      </c>
      <c r="BR19" s="433">
        <f>SUM(BR18)</f>
        <v/>
      </c>
      <c r="BS19" s="433">
        <f>SUM(BS18)</f>
        <v/>
      </c>
      <c r="BT19" s="433">
        <f>SUM(BT18)</f>
        <v/>
      </c>
      <c r="BU19" s="433">
        <f>SUM(BU18)</f>
        <v/>
      </c>
      <c r="BV19" s="433">
        <f>SUM(BV18)</f>
        <v/>
      </c>
      <c r="BW19" s="433">
        <f>SUM(BW18)</f>
        <v/>
      </c>
      <c r="BX19" s="433">
        <f>SUM(BX18)</f>
        <v/>
      </c>
      <c r="BY19" s="433">
        <f>SUM(BY18)</f>
        <v/>
      </c>
      <c r="BZ19" s="433">
        <f>SUM(BZ18)</f>
        <v/>
      </c>
      <c r="CA19" s="433">
        <f>SUM(CA18)</f>
        <v/>
      </c>
      <c r="CB19" s="433">
        <f>SUM(CB18)</f>
        <v/>
      </c>
      <c r="CC19" s="433">
        <f>SUM(CC18)</f>
        <v/>
      </c>
      <c r="CD19" s="433">
        <f>SUM(CD18)</f>
        <v/>
      </c>
      <c r="CE19" s="433">
        <f>SUM(CE18)</f>
        <v/>
      </c>
      <c r="CF19" s="433">
        <f>SUM(CF18)</f>
        <v/>
      </c>
      <c r="CG19" s="433">
        <f>SUM(CG18)</f>
        <v/>
      </c>
      <c r="CH19" s="433">
        <f>SUM(CH18)</f>
        <v/>
      </c>
      <c r="CI19" s="433">
        <f>SUM(CI18)</f>
        <v/>
      </c>
      <c r="CJ19" s="433">
        <f>SUM(CJ18)</f>
        <v/>
      </c>
      <c r="CK19" s="433">
        <f>SUM(CK18)</f>
        <v/>
      </c>
      <c r="CL19" s="433">
        <f>SUM(CL18)</f>
        <v/>
      </c>
      <c r="CM19" s="433">
        <f>SUM(CM18)</f>
        <v/>
      </c>
      <c r="CN19" s="433">
        <f>SUM(CN18)</f>
        <v/>
      </c>
      <c r="CO19" s="433">
        <f>SUM(CO18)</f>
        <v/>
      </c>
      <c r="CP19" s="433">
        <f>SUM(CP18)</f>
        <v/>
      </c>
      <c r="CQ19" s="433">
        <f>SUM(CQ18)</f>
        <v/>
      </c>
      <c r="CR19" s="433">
        <f>SUM(CR18)</f>
        <v/>
      </c>
      <c r="CS19" s="433">
        <f>SUM(CS18)</f>
        <v/>
      </c>
      <c r="CT19" s="433">
        <f>SUM(CT18)</f>
        <v/>
      </c>
      <c r="CU19" s="433">
        <f>SUM(CU18)</f>
        <v/>
      </c>
      <c r="CV19" s="433">
        <f>SUM(CV18)</f>
        <v/>
      </c>
      <c r="CW19" s="433">
        <f>SUM(CW18)</f>
        <v/>
      </c>
      <c r="CX19" s="433">
        <f>SUM(CX18)</f>
        <v/>
      </c>
      <c r="CY19" s="433">
        <f>SUM(CY18)</f>
        <v/>
      </c>
      <c r="CZ19" s="433">
        <f>SUM(CZ18)</f>
        <v/>
      </c>
      <c r="DA19" s="433">
        <f>SUM(DA18)</f>
        <v/>
      </c>
      <c r="DB19" s="433">
        <f>SUM(DB18)</f>
        <v/>
      </c>
      <c r="DC19" s="433">
        <f>SUM(DC18)</f>
        <v/>
      </c>
      <c r="DD19" s="433">
        <f>SUM(DD18)</f>
        <v/>
      </c>
      <c r="DE19" s="433">
        <f>SUM(DE18)</f>
        <v/>
      </c>
      <c r="DF19" s="433">
        <f>SUM(DF18)</f>
        <v/>
      </c>
      <c r="DG19" s="433">
        <f>SUM(DG18)</f>
        <v/>
      </c>
      <c r="DH19" s="433">
        <f>SUM(DH18)</f>
        <v/>
      </c>
      <c r="DI19" s="433">
        <f>SUM(DI18)</f>
        <v/>
      </c>
      <c r="DJ19" s="433">
        <f>SUM(DJ18)</f>
        <v/>
      </c>
      <c r="DK19" s="433">
        <f>SUM(DK18)</f>
        <v/>
      </c>
      <c r="DL19" s="433">
        <f>SUM(DL18)</f>
        <v/>
      </c>
      <c r="DM19" s="433">
        <f>SUM(DM18)</f>
        <v/>
      </c>
      <c r="DN19" s="433">
        <f>SUM(DN18)</f>
        <v/>
      </c>
      <c r="DO19" s="433">
        <f>SUM(DO18)</f>
        <v/>
      </c>
      <c r="DP19" s="433">
        <f>SUM(DP18)</f>
        <v/>
      </c>
      <c r="DQ19" s="433">
        <f>SUM(DQ18)</f>
        <v/>
      </c>
      <c r="DR19" s="433">
        <f>SUM(DR18)</f>
        <v/>
      </c>
      <c r="DS19" s="433">
        <f>SUM(DS18)</f>
        <v/>
      </c>
      <c r="DT19" s="433">
        <f>SUM(DT18)</f>
        <v/>
      </c>
      <c r="DU19" s="433">
        <f>SUM(DU18)</f>
        <v/>
      </c>
      <c r="DV19" s="433">
        <f>SUM(DV18)</f>
        <v/>
      </c>
      <c r="DW19" s="433">
        <f>SUM(DW18)</f>
        <v/>
      </c>
      <c r="DX19" s="433">
        <f>SUM(DX18)</f>
        <v/>
      </c>
      <c r="DY19" s="433">
        <f>SUM(DY18)</f>
        <v/>
      </c>
      <c r="DZ19" s="433">
        <f>SUM(DZ18)</f>
        <v/>
      </c>
      <c r="EA19" s="433">
        <f>SUM(EA18)</f>
        <v/>
      </c>
      <c r="EB19" s="433">
        <f>SUM(EB18)</f>
        <v/>
      </c>
      <c r="EC19" s="433">
        <f>SUM(EC18)</f>
        <v/>
      </c>
      <c r="ED19" s="433">
        <f>SUM(ED18)</f>
        <v/>
      </c>
      <c r="EE19" s="433">
        <f>SUM(EE18)</f>
        <v/>
      </c>
      <c r="EF19" s="433">
        <f>SUM(EF18)</f>
        <v/>
      </c>
      <c r="EG19" s="433">
        <f>SUM(EG18)</f>
        <v/>
      </c>
      <c r="EH19" s="433">
        <f>SUM(EH18)</f>
        <v/>
      </c>
      <c r="EI19" s="433">
        <f>SUM(EI18)</f>
        <v/>
      </c>
      <c r="EJ19" s="433">
        <f>SUM(EJ18)</f>
        <v/>
      </c>
      <c r="EK19" s="433">
        <f>SUM(EK18)</f>
        <v/>
      </c>
      <c r="EL19" s="433">
        <f>SUM(EL18)</f>
        <v/>
      </c>
      <c r="EM19" s="433">
        <f>SUM(EM18)</f>
        <v/>
      </c>
      <c r="EN19" s="433">
        <f>SUM(EN18)</f>
        <v/>
      </c>
      <c r="EO19" s="433">
        <f>SUM(EO18)</f>
        <v/>
      </c>
      <c r="EP19" s="433">
        <f>SUM(EP18)</f>
        <v/>
      </c>
      <c r="EQ19" s="433">
        <f>SUM(EQ18)</f>
        <v/>
      </c>
      <c r="ER19" s="433">
        <f>SUM(ER18)</f>
        <v/>
      </c>
      <c r="ES19" s="433">
        <f>SUM(ES18)</f>
        <v/>
      </c>
      <c r="ET19" s="433">
        <f>SUM(ET18)</f>
        <v/>
      </c>
      <c r="EU19" s="433">
        <f>SUM(EU18)</f>
        <v/>
      </c>
      <c r="EV19" s="433">
        <f>SUM(EV18)</f>
        <v/>
      </c>
      <c r="EW19" s="433">
        <f>SUM(EW18)</f>
        <v/>
      </c>
      <c r="EX19" s="433">
        <f>SUM(EX18)</f>
        <v/>
      </c>
      <c r="EY19" s="433">
        <f>SUM(EY18)</f>
        <v/>
      </c>
      <c r="EZ19" s="433">
        <f>SUM(EZ18)</f>
        <v/>
      </c>
      <c r="FA19" s="433">
        <f>SUM(FA18)</f>
        <v/>
      </c>
      <c r="FB19" s="434">
        <f>SUM(FB18)</f>
        <v/>
      </c>
    </row>
    <row r="20">
      <c r="B20" s="442" t="n"/>
      <c r="F20" s="7" t="inlineStr">
        <is>
          <t>Total Tutors Expense</t>
        </is>
      </c>
      <c r="H20" s="435">
        <f>SUM(H11:H16)</f>
        <v/>
      </c>
      <c r="I20" s="433">
        <f>SUM(I11:I16)</f>
        <v/>
      </c>
      <c r="J20" s="433">
        <f>SUM(J11:J16)</f>
        <v/>
      </c>
      <c r="K20" s="433">
        <f>SUM(K11:K16)</f>
        <v/>
      </c>
      <c r="L20" s="433">
        <f>SUM(L11:L16)</f>
        <v/>
      </c>
      <c r="M20" s="433">
        <f>SUM(M11:M16)</f>
        <v/>
      </c>
      <c r="N20" s="433">
        <f>SUM(N11:N16)</f>
        <v/>
      </c>
      <c r="O20" s="433">
        <f>SUM(O11:O16)</f>
        <v/>
      </c>
      <c r="P20" s="433">
        <f>SUM(P11:P16)</f>
        <v/>
      </c>
      <c r="Q20" s="433">
        <f>SUM(Q11:Q16)</f>
        <v/>
      </c>
      <c r="R20" s="433">
        <f>SUM(R11:R16)</f>
        <v/>
      </c>
      <c r="S20" s="433">
        <f>SUM(S11:S16)</f>
        <v/>
      </c>
      <c r="T20" s="433">
        <f>SUM(T11:T16)</f>
        <v/>
      </c>
      <c r="U20" s="433">
        <f>SUM(U11:U16)</f>
        <v/>
      </c>
      <c r="V20" s="433">
        <f>SUM(V11:V16)</f>
        <v/>
      </c>
      <c r="W20" s="433">
        <f>SUM(W11:W16)</f>
        <v/>
      </c>
      <c r="X20" s="434">
        <f>SUM(X11:X16)</f>
        <v/>
      </c>
      <c r="Y20" s="433">
        <f>SUM(Y11:Y16)</f>
        <v/>
      </c>
      <c r="Z20" s="433">
        <f>SUM(Z11:Z16)</f>
        <v/>
      </c>
      <c r="AA20" s="433">
        <f>SUM(AA11:AA16)</f>
        <v/>
      </c>
      <c r="AB20" s="433">
        <f>SUM(AB11:AB16)</f>
        <v/>
      </c>
      <c r="AC20" s="433">
        <f>SUM(AC11:AC16)</f>
        <v/>
      </c>
      <c r="AD20" s="433">
        <f>SUM(AD11:AD16)</f>
        <v/>
      </c>
      <c r="AE20" s="433">
        <f>SUM(AE11:AE16)</f>
        <v/>
      </c>
      <c r="AF20" s="433">
        <f>SUM(AF11:AF16)</f>
        <v/>
      </c>
      <c r="AG20" s="433">
        <f>SUM(AG11:AG16)</f>
        <v/>
      </c>
      <c r="AH20" s="433">
        <f>SUM(AH11:AH16)</f>
        <v/>
      </c>
      <c r="AI20" s="433">
        <f>SUM(AI11:AI16)</f>
        <v/>
      </c>
      <c r="AJ20" s="433">
        <f>SUM(AJ11:AJ16)</f>
        <v/>
      </c>
      <c r="AK20" s="433">
        <f>SUM(AK11:AK16)</f>
        <v/>
      </c>
      <c r="AL20" s="433">
        <f>SUM(AL11:AL16)</f>
        <v/>
      </c>
      <c r="AM20" s="433">
        <f>SUM(AM11:AM16)</f>
        <v/>
      </c>
      <c r="AN20" s="433">
        <f>SUM(AN11:AN16)</f>
        <v/>
      </c>
      <c r="AO20" s="433">
        <f>SUM(AO11:AO16)</f>
        <v/>
      </c>
      <c r="AP20" s="433">
        <f>SUM(AP11:AP16)</f>
        <v/>
      </c>
      <c r="AQ20" s="433">
        <f>SUM(AQ11:AQ16)</f>
        <v/>
      </c>
      <c r="AR20" s="433">
        <f>SUM(AR11:AR16)</f>
        <v/>
      </c>
      <c r="AS20" s="433">
        <f>SUM(AS11:AS16)</f>
        <v/>
      </c>
      <c r="AT20" s="433">
        <f>SUM(AT11:AT16)</f>
        <v/>
      </c>
      <c r="AU20" s="433">
        <f>SUM(AU11:AU16)</f>
        <v/>
      </c>
      <c r="AV20" s="433">
        <f>SUM(AV11:AV16)</f>
        <v/>
      </c>
      <c r="AW20" s="433">
        <f>SUM(AW11:AW16)</f>
        <v/>
      </c>
      <c r="AX20" s="433">
        <f>SUM(AX11:AX16)</f>
        <v/>
      </c>
      <c r="AY20" s="433">
        <f>SUM(AY11:AY16)</f>
        <v/>
      </c>
      <c r="AZ20" s="433">
        <f>SUM(AZ11:AZ16)</f>
        <v/>
      </c>
      <c r="BA20" s="433">
        <f>SUM(BA11:BA16)</f>
        <v/>
      </c>
      <c r="BB20" s="433">
        <f>SUM(BB11:BB16)</f>
        <v/>
      </c>
      <c r="BC20" s="433">
        <f>SUM(BC11:BC16)</f>
        <v/>
      </c>
      <c r="BD20" s="433">
        <f>SUM(BD11:BD16)</f>
        <v/>
      </c>
      <c r="BE20" s="433">
        <f>SUM(BE11:BE16)</f>
        <v/>
      </c>
      <c r="BF20" s="433">
        <f>SUM(BF11:BF16)</f>
        <v/>
      </c>
      <c r="BG20" s="433">
        <f>SUM(BG11:BG16)</f>
        <v/>
      </c>
      <c r="BH20" s="433">
        <f>SUM(BH11:BH16)</f>
        <v/>
      </c>
      <c r="BI20" s="433">
        <f>SUM(BI11:BI16)</f>
        <v/>
      </c>
      <c r="BJ20" s="433">
        <f>SUM(BJ11:BJ16)</f>
        <v/>
      </c>
      <c r="BK20" s="433">
        <f>SUM(BK11:BK16)</f>
        <v/>
      </c>
      <c r="BL20" s="433">
        <f>SUM(BL11:BL16)</f>
        <v/>
      </c>
      <c r="BM20" s="433">
        <f>SUM(BM11:BM16)</f>
        <v/>
      </c>
      <c r="BN20" s="433">
        <f>SUM(BN11:BN16)</f>
        <v/>
      </c>
      <c r="BO20" s="433">
        <f>SUM(BO11:BO16)</f>
        <v/>
      </c>
      <c r="BP20" s="433">
        <f>SUM(BP11:BP16)</f>
        <v/>
      </c>
      <c r="BQ20" s="433">
        <f>SUM(BQ11:BQ16)</f>
        <v/>
      </c>
      <c r="BR20" s="433">
        <f>SUM(BR11:BR16)</f>
        <v/>
      </c>
      <c r="BS20" s="433">
        <f>SUM(BS11:BS16)</f>
        <v/>
      </c>
      <c r="BT20" s="433">
        <f>SUM(BT11:BT16)</f>
        <v/>
      </c>
      <c r="BU20" s="433">
        <f>SUM(BU11:BU16)</f>
        <v/>
      </c>
      <c r="BV20" s="433">
        <f>SUM(BV11:BV16)</f>
        <v/>
      </c>
      <c r="BW20" s="433">
        <f>SUM(BW11:BW16)</f>
        <v/>
      </c>
      <c r="BX20" s="433">
        <f>SUM(BX11:BX16)</f>
        <v/>
      </c>
      <c r="BY20" s="433">
        <f>SUM(BY11:BY16)</f>
        <v/>
      </c>
      <c r="BZ20" s="433">
        <f>SUM(BZ11:BZ16)</f>
        <v/>
      </c>
      <c r="CA20" s="433">
        <f>SUM(CA11:CA16)</f>
        <v/>
      </c>
      <c r="CB20" s="433">
        <f>SUM(CB11:CB16)</f>
        <v/>
      </c>
      <c r="CC20" s="433">
        <f>SUM(CC11:CC16)</f>
        <v/>
      </c>
      <c r="CD20" s="433">
        <f>SUM(CD11:CD16)</f>
        <v/>
      </c>
      <c r="CE20" s="433">
        <f>SUM(CE11:CE16)</f>
        <v/>
      </c>
      <c r="CF20" s="433">
        <f>SUM(CF11:CF16)</f>
        <v/>
      </c>
      <c r="CG20" s="433">
        <f>SUM(CG11:CG16)</f>
        <v/>
      </c>
      <c r="CH20" s="433">
        <f>SUM(CH11:CH16)</f>
        <v/>
      </c>
      <c r="CI20" s="433">
        <f>SUM(CI11:CI16)</f>
        <v/>
      </c>
      <c r="CJ20" s="433">
        <f>SUM(CJ11:CJ16)</f>
        <v/>
      </c>
      <c r="CK20" s="433">
        <f>SUM(CK11:CK16)</f>
        <v/>
      </c>
      <c r="CL20" s="433">
        <f>SUM(CL11:CL16)</f>
        <v/>
      </c>
      <c r="CM20" s="433">
        <f>SUM(CM11:CM16)</f>
        <v/>
      </c>
      <c r="CN20" s="433">
        <f>SUM(CN11:CN16)</f>
        <v/>
      </c>
      <c r="CO20" s="433">
        <f>SUM(CO11:CO16)</f>
        <v/>
      </c>
      <c r="CP20" s="433">
        <f>SUM(CP11:CP16)</f>
        <v/>
      </c>
      <c r="CQ20" s="433">
        <f>SUM(CQ11:CQ16)</f>
        <v/>
      </c>
      <c r="CR20" s="433">
        <f>SUM(CR11:CR16)</f>
        <v/>
      </c>
      <c r="CS20" s="433">
        <f>SUM(CS11:CS16)</f>
        <v/>
      </c>
      <c r="CT20" s="433">
        <f>SUM(CT11:CT16)</f>
        <v/>
      </c>
      <c r="CU20" s="433">
        <f>SUM(CU11:CU16)</f>
        <v/>
      </c>
      <c r="CV20" s="433">
        <f>SUM(CV11:CV16)</f>
        <v/>
      </c>
      <c r="CW20" s="433">
        <f>SUM(CW11:CW16)</f>
        <v/>
      </c>
      <c r="CX20" s="433">
        <f>SUM(CX11:CX16)</f>
        <v/>
      </c>
      <c r="CY20" s="433">
        <f>SUM(CY11:CY16)</f>
        <v/>
      </c>
      <c r="CZ20" s="433">
        <f>SUM(CZ11:CZ16)</f>
        <v/>
      </c>
      <c r="DA20" s="433">
        <f>SUM(DA11:DA16)</f>
        <v/>
      </c>
      <c r="DB20" s="433">
        <f>SUM(DB11:DB16)</f>
        <v/>
      </c>
      <c r="DC20" s="433">
        <f>SUM(DC11:DC16)</f>
        <v/>
      </c>
      <c r="DD20" s="433">
        <f>SUM(DD11:DD16)</f>
        <v/>
      </c>
      <c r="DE20" s="433">
        <f>SUM(DE11:DE16)</f>
        <v/>
      </c>
      <c r="DF20" s="433">
        <f>SUM(DF11:DF16)</f>
        <v/>
      </c>
      <c r="DG20" s="433">
        <f>SUM(DG11:DG16)</f>
        <v/>
      </c>
      <c r="DH20" s="433">
        <f>SUM(DH11:DH16)</f>
        <v/>
      </c>
      <c r="DI20" s="433">
        <f>SUM(DI11:DI16)</f>
        <v/>
      </c>
      <c r="DJ20" s="433">
        <f>SUM(DJ11:DJ16)</f>
        <v/>
      </c>
      <c r="DK20" s="433">
        <f>SUM(DK11:DK16)</f>
        <v/>
      </c>
      <c r="DL20" s="433">
        <f>SUM(DL11:DL16)</f>
        <v/>
      </c>
      <c r="DM20" s="433">
        <f>SUM(DM11:DM16)</f>
        <v/>
      </c>
      <c r="DN20" s="433">
        <f>SUM(DN11:DN16)</f>
        <v/>
      </c>
      <c r="DO20" s="433">
        <f>SUM(DO11:DO16)</f>
        <v/>
      </c>
      <c r="DP20" s="433">
        <f>SUM(DP11:DP16)</f>
        <v/>
      </c>
      <c r="DQ20" s="433">
        <f>SUM(DQ11:DQ16)</f>
        <v/>
      </c>
      <c r="DR20" s="433">
        <f>SUM(DR11:DR16)</f>
        <v/>
      </c>
      <c r="DS20" s="433">
        <f>SUM(DS11:DS16)</f>
        <v/>
      </c>
      <c r="DT20" s="433">
        <f>SUM(DT11:DT16)</f>
        <v/>
      </c>
      <c r="DU20" s="433">
        <f>SUM(DU11:DU16)</f>
        <v/>
      </c>
      <c r="DV20" s="433">
        <f>SUM(DV11:DV16)</f>
        <v/>
      </c>
      <c r="DW20" s="433">
        <f>SUM(DW11:DW16)</f>
        <v/>
      </c>
      <c r="DX20" s="433">
        <f>SUM(DX11:DX16)</f>
        <v/>
      </c>
      <c r="DY20" s="433">
        <f>SUM(DY11:DY16)</f>
        <v/>
      </c>
      <c r="DZ20" s="433">
        <f>SUM(DZ11:DZ16)</f>
        <v/>
      </c>
      <c r="EA20" s="433">
        <f>SUM(EA11:EA16)</f>
        <v/>
      </c>
      <c r="EB20" s="433">
        <f>SUM(EB11:EB16)</f>
        <v/>
      </c>
      <c r="EC20" s="433">
        <f>SUM(EC11:EC16)</f>
        <v/>
      </c>
      <c r="ED20" s="433">
        <f>SUM(ED11:ED16)</f>
        <v/>
      </c>
      <c r="EE20" s="433">
        <f>SUM(EE11:EE16)</f>
        <v/>
      </c>
      <c r="EF20" s="433">
        <f>SUM(EF11:EF16)</f>
        <v/>
      </c>
      <c r="EG20" s="433">
        <f>SUM(EG11:EG16)</f>
        <v/>
      </c>
      <c r="EH20" s="433">
        <f>SUM(EH11:EH16)</f>
        <v/>
      </c>
      <c r="EI20" s="433">
        <f>SUM(EI11:EI16)</f>
        <v/>
      </c>
      <c r="EJ20" s="433">
        <f>SUM(EJ11:EJ16)</f>
        <v/>
      </c>
      <c r="EK20" s="433">
        <f>SUM(EK11:EK16)</f>
        <v/>
      </c>
      <c r="EL20" s="433">
        <f>SUM(EL11:EL16)</f>
        <v/>
      </c>
      <c r="EM20" s="433">
        <f>SUM(EM11:EM16)</f>
        <v/>
      </c>
      <c r="EN20" s="433">
        <f>SUM(EN11:EN16)</f>
        <v/>
      </c>
      <c r="EO20" s="433">
        <f>SUM(EO11:EO16)</f>
        <v/>
      </c>
      <c r="EP20" s="433">
        <f>SUM(EP11:EP16)</f>
        <v/>
      </c>
      <c r="EQ20" s="433">
        <f>SUM(EQ11:EQ16)</f>
        <v/>
      </c>
      <c r="ER20" s="433">
        <f>SUM(ER11:ER16)</f>
        <v/>
      </c>
      <c r="ES20" s="433">
        <f>SUM(ES11:ES16)</f>
        <v/>
      </c>
      <c r="ET20" s="433">
        <f>SUM(ET11:ET16)</f>
        <v/>
      </c>
      <c r="EU20" s="433">
        <f>SUM(EU11:EU16)</f>
        <v/>
      </c>
      <c r="EV20" s="433">
        <f>SUM(EV11:EV16)</f>
        <v/>
      </c>
      <c r="EW20" s="433">
        <f>SUM(EW11:EW16)</f>
        <v/>
      </c>
      <c r="EX20" s="433">
        <f>SUM(EX11:EX16)</f>
        <v/>
      </c>
      <c r="EY20" s="433">
        <f>SUM(EY11:EY16)</f>
        <v/>
      </c>
      <c r="EZ20" s="433">
        <f>SUM(EZ11:EZ16)</f>
        <v/>
      </c>
      <c r="FA20" s="433">
        <f>SUM(FA11:FA16)</f>
        <v/>
      </c>
      <c r="FB20" s="434">
        <f>SUM(FB11:FB16)</f>
        <v/>
      </c>
    </row>
    <row r="21" ht="15" customHeight="1" thickBot="1">
      <c r="B21" s="443" t="n"/>
      <c r="C21" s="166" t="n"/>
      <c r="D21" s="166" t="n"/>
      <c r="E21" s="166" t="n"/>
      <c r="F21" s="444" t="inlineStr">
        <is>
          <t>Total Contractors Expense</t>
        </is>
      </c>
      <c r="G21" s="166" t="n"/>
      <c r="H21" s="436">
        <f>+H8+H20</f>
        <v/>
      </c>
      <c r="I21" s="437">
        <f>+I8+I20</f>
        <v/>
      </c>
      <c r="J21" s="437">
        <f>+J8+J20</f>
        <v/>
      </c>
      <c r="K21" s="437">
        <f>+K8+K20</f>
        <v/>
      </c>
      <c r="L21" s="437">
        <f>+L8+L20</f>
        <v/>
      </c>
      <c r="M21" s="437">
        <f>+M8+M20</f>
        <v/>
      </c>
      <c r="N21" s="437">
        <f>+N8+N20</f>
        <v/>
      </c>
      <c r="O21" s="437">
        <f>+O8+O20</f>
        <v/>
      </c>
      <c r="P21" s="437">
        <f>+P8+P20</f>
        <v/>
      </c>
      <c r="Q21" s="437">
        <f>+Q8+Q20</f>
        <v/>
      </c>
      <c r="R21" s="437">
        <f>+R8+R20</f>
        <v/>
      </c>
      <c r="S21" s="437">
        <f>+S8+S20</f>
        <v/>
      </c>
      <c r="T21" s="437">
        <f>+T8+T20</f>
        <v/>
      </c>
      <c r="U21" s="437">
        <f>+U8+U20</f>
        <v/>
      </c>
      <c r="V21" s="437">
        <f>+V8+V20</f>
        <v/>
      </c>
      <c r="W21" s="437">
        <f>+W8+W20</f>
        <v/>
      </c>
      <c r="X21" s="438">
        <f>+X8+X20</f>
        <v/>
      </c>
      <c r="Y21" s="437">
        <f>+Y8+Y20</f>
        <v/>
      </c>
      <c r="Z21" s="437">
        <f>+Z8+Z20</f>
        <v/>
      </c>
      <c r="AA21" s="437">
        <f>+AA8+AA20</f>
        <v/>
      </c>
      <c r="AB21" s="437">
        <f>+AB8+AB20</f>
        <v/>
      </c>
      <c r="AC21" s="437">
        <f>+AC8+AC20</f>
        <v/>
      </c>
      <c r="AD21" s="437">
        <f>+AD8+AD20</f>
        <v/>
      </c>
      <c r="AE21" s="437">
        <f>+AE8+AE20</f>
        <v/>
      </c>
      <c r="AF21" s="437">
        <f>+AF8+AF20</f>
        <v/>
      </c>
      <c r="AG21" s="437">
        <f>+AG8+AG20</f>
        <v/>
      </c>
      <c r="AH21" s="437">
        <f>+AH8+AH20</f>
        <v/>
      </c>
      <c r="AI21" s="437">
        <f>+AI8+AI20</f>
        <v/>
      </c>
      <c r="AJ21" s="437">
        <f>+AJ8+AJ20</f>
        <v/>
      </c>
      <c r="AK21" s="437">
        <f>+AK8+AK20</f>
        <v/>
      </c>
      <c r="AL21" s="437">
        <f>+AL8+AL20</f>
        <v/>
      </c>
      <c r="AM21" s="437">
        <f>+AM8+AM20</f>
        <v/>
      </c>
      <c r="AN21" s="437">
        <f>+AN8+AN20</f>
        <v/>
      </c>
      <c r="AO21" s="437">
        <f>+AO8+AO20</f>
        <v/>
      </c>
      <c r="AP21" s="437">
        <f>+AP8+AP20</f>
        <v/>
      </c>
      <c r="AQ21" s="437">
        <f>+AQ8+AQ20</f>
        <v/>
      </c>
      <c r="AR21" s="437">
        <f>+AR8+AR20</f>
        <v/>
      </c>
      <c r="AS21" s="437">
        <f>+AS8+AS20</f>
        <v/>
      </c>
      <c r="AT21" s="437">
        <f>+AT8+AT20</f>
        <v/>
      </c>
      <c r="AU21" s="437">
        <f>+AU8+AU20</f>
        <v/>
      </c>
      <c r="AV21" s="437">
        <f>+AV8+AV20</f>
        <v/>
      </c>
      <c r="AW21" s="437">
        <f>+AW8+AW20</f>
        <v/>
      </c>
      <c r="AX21" s="437">
        <f>+AX8+AX20</f>
        <v/>
      </c>
      <c r="AY21" s="437">
        <f>+AY8+AY20</f>
        <v/>
      </c>
      <c r="AZ21" s="437">
        <f>+AZ8+AZ20</f>
        <v/>
      </c>
      <c r="BA21" s="437">
        <f>+BA8+BA20</f>
        <v/>
      </c>
      <c r="BB21" s="437">
        <f>+BB8+BB20</f>
        <v/>
      </c>
      <c r="BC21" s="437">
        <f>+BC8+BC20</f>
        <v/>
      </c>
      <c r="BD21" s="437">
        <f>+BD8+BD20</f>
        <v/>
      </c>
      <c r="BE21" s="437">
        <f>+BE8+BE20</f>
        <v/>
      </c>
      <c r="BF21" s="437">
        <f>+BF8+BF20</f>
        <v/>
      </c>
      <c r="BG21" s="437">
        <f>+BG8+BG20</f>
        <v/>
      </c>
      <c r="BH21" s="437">
        <f>+BH8+BH20</f>
        <v/>
      </c>
      <c r="BI21" s="437">
        <f>+BI8+BI20</f>
        <v/>
      </c>
      <c r="BJ21" s="437">
        <f>+BJ8+BJ20</f>
        <v/>
      </c>
      <c r="BK21" s="437">
        <f>+BK8+BK20</f>
        <v/>
      </c>
      <c r="BL21" s="437">
        <f>+BL8+BL20</f>
        <v/>
      </c>
      <c r="BM21" s="437">
        <f>+BM8+BM20</f>
        <v/>
      </c>
      <c r="BN21" s="437">
        <f>+BN8+BN20</f>
        <v/>
      </c>
      <c r="BO21" s="437">
        <f>+BO8+BO20</f>
        <v/>
      </c>
      <c r="BP21" s="437">
        <f>+BP8+BP20</f>
        <v/>
      </c>
      <c r="BQ21" s="437">
        <f>+BQ8+BQ20</f>
        <v/>
      </c>
      <c r="BR21" s="437">
        <f>+BR8+BR20</f>
        <v/>
      </c>
      <c r="BS21" s="437">
        <f>+BS8+BS20</f>
        <v/>
      </c>
      <c r="BT21" s="437">
        <f>+BT8+BT20</f>
        <v/>
      </c>
      <c r="BU21" s="437">
        <f>+BU8+BU20</f>
        <v/>
      </c>
      <c r="BV21" s="437">
        <f>+BV8+BV20</f>
        <v/>
      </c>
      <c r="BW21" s="437">
        <f>+BW8+BW20</f>
        <v/>
      </c>
      <c r="BX21" s="437">
        <f>+BX8+BX20</f>
        <v/>
      </c>
      <c r="BY21" s="437">
        <f>+BY8+BY20</f>
        <v/>
      </c>
      <c r="BZ21" s="437">
        <f>+BZ8+BZ20</f>
        <v/>
      </c>
      <c r="CA21" s="437">
        <f>+CA8+CA20</f>
        <v/>
      </c>
      <c r="CB21" s="437">
        <f>+CB8+CB20</f>
        <v/>
      </c>
      <c r="CC21" s="437">
        <f>+CC8+CC20</f>
        <v/>
      </c>
      <c r="CD21" s="437">
        <f>+CD8+CD20</f>
        <v/>
      </c>
      <c r="CE21" s="437">
        <f>+CE8+CE20</f>
        <v/>
      </c>
      <c r="CF21" s="437">
        <f>+CF8+CF20</f>
        <v/>
      </c>
      <c r="CG21" s="437">
        <f>+CG8+CG20</f>
        <v/>
      </c>
      <c r="CH21" s="437">
        <f>+CH8+CH20</f>
        <v/>
      </c>
      <c r="CI21" s="437">
        <f>+CI8+CI20</f>
        <v/>
      </c>
      <c r="CJ21" s="437">
        <f>+CJ8+CJ20</f>
        <v/>
      </c>
      <c r="CK21" s="437">
        <f>+CK8+CK20</f>
        <v/>
      </c>
      <c r="CL21" s="437">
        <f>+CL8+CL20</f>
        <v/>
      </c>
      <c r="CM21" s="437">
        <f>+CM8+CM20</f>
        <v/>
      </c>
      <c r="CN21" s="437">
        <f>+CN8+CN20</f>
        <v/>
      </c>
      <c r="CO21" s="437">
        <f>+CO8+CO20</f>
        <v/>
      </c>
      <c r="CP21" s="437">
        <f>+CP8+CP20</f>
        <v/>
      </c>
      <c r="CQ21" s="437">
        <f>+CQ8+CQ20</f>
        <v/>
      </c>
      <c r="CR21" s="437">
        <f>+CR8+CR20</f>
        <v/>
      </c>
      <c r="CS21" s="437">
        <f>+CS8+CS20</f>
        <v/>
      </c>
      <c r="CT21" s="437">
        <f>+CT8+CT20</f>
        <v/>
      </c>
      <c r="CU21" s="437">
        <f>+CU8+CU20</f>
        <v/>
      </c>
      <c r="CV21" s="437">
        <f>+CV8+CV20</f>
        <v/>
      </c>
      <c r="CW21" s="437">
        <f>+CW8+CW20</f>
        <v/>
      </c>
      <c r="CX21" s="437">
        <f>+CX8+CX20</f>
        <v/>
      </c>
      <c r="CY21" s="437">
        <f>+CY8+CY20</f>
        <v/>
      </c>
      <c r="CZ21" s="437">
        <f>+CZ8+CZ20</f>
        <v/>
      </c>
      <c r="DA21" s="437">
        <f>+DA8+DA20</f>
        <v/>
      </c>
      <c r="DB21" s="437">
        <f>+DB8+DB20</f>
        <v/>
      </c>
      <c r="DC21" s="437">
        <f>+DC8+DC20</f>
        <v/>
      </c>
      <c r="DD21" s="437">
        <f>+DD8+DD20</f>
        <v/>
      </c>
      <c r="DE21" s="437">
        <f>+DE8+DE20</f>
        <v/>
      </c>
      <c r="DF21" s="437">
        <f>+DF8+DF20</f>
        <v/>
      </c>
      <c r="DG21" s="437">
        <f>+DG8+DG20</f>
        <v/>
      </c>
      <c r="DH21" s="437">
        <f>+DH8+DH20</f>
        <v/>
      </c>
      <c r="DI21" s="437">
        <f>+DI8+DI20</f>
        <v/>
      </c>
      <c r="DJ21" s="437">
        <f>+DJ8+DJ20</f>
        <v/>
      </c>
      <c r="DK21" s="437">
        <f>+DK8+DK20</f>
        <v/>
      </c>
      <c r="DL21" s="437">
        <f>+DL8+DL20</f>
        <v/>
      </c>
      <c r="DM21" s="437">
        <f>+DM8+DM20</f>
        <v/>
      </c>
      <c r="DN21" s="437">
        <f>+DN8+DN20</f>
        <v/>
      </c>
      <c r="DO21" s="437">
        <f>+DO8+DO20</f>
        <v/>
      </c>
      <c r="DP21" s="437">
        <f>+DP8+DP20</f>
        <v/>
      </c>
      <c r="DQ21" s="437">
        <f>+DQ8+DQ20</f>
        <v/>
      </c>
      <c r="DR21" s="437">
        <f>+DR8+DR20</f>
        <v/>
      </c>
      <c r="DS21" s="437">
        <f>+DS8+DS20</f>
        <v/>
      </c>
      <c r="DT21" s="437">
        <f>+DT8+DT20</f>
        <v/>
      </c>
      <c r="DU21" s="437">
        <f>+DU8+DU20</f>
        <v/>
      </c>
      <c r="DV21" s="437">
        <f>+DV8+DV20</f>
        <v/>
      </c>
      <c r="DW21" s="437">
        <f>+DW8+DW20</f>
        <v/>
      </c>
      <c r="DX21" s="437">
        <f>+DX8+DX20</f>
        <v/>
      </c>
      <c r="DY21" s="437">
        <f>+DY8+DY20</f>
        <v/>
      </c>
      <c r="DZ21" s="437">
        <f>+DZ8+DZ20</f>
        <v/>
      </c>
      <c r="EA21" s="437">
        <f>+EA8+EA20</f>
        <v/>
      </c>
      <c r="EB21" s="437">
        <f>+EB8+EB20</f>
        <v/>
      </c>
      <c r="EC21" s="437">
        <f>+EC8+EC20</f>
        <v/>
      </c>
      <c r="ED21" s="437">
        <f>+ED8+ED20</f>
        <v/>
      </c>
      <c r="EE21" s="437">
        <f>+EE8+EE20</f>
        <v/>
      </c>
      <c r="EF21" s="437">
        <f>+EF8+EF20</f>
        <v/>
      </c>
      <c r="EG21" s="437">
        <f>+EG8+EG20</f>
        <v/>
      </c>
      <c r="EH21" s="437">
        <f>+EH8+EH20</f>
        <v/>
      </c>
      <c r="EI21" s="437">
        <f>+EI8+EI20</f>
        <v/>
      </c>
      <c r="EJ21" s="437">
        <f>+EJ8+EJ20</f>
        <v/>
      </c>
      <c r="EK21" s="437">
        <f>+EK8+EK20</f>
        <v/>
      </c>
      <c r="EL21" s="437">
        <f>+EL8+EL20</f>
        <v/>
      </c>
      <c r="EM21" s="437">
        <f>+EM8+EM20</f>
        <v/>
      </c>
      <c r="EN21" s="437">
        <f>+EN8+EN20</f>
        <v/>
      </c>
      <c r="EO21" s="437">
        <f>+EO8+EO20</f>
        <v/>
      </c>
      <c r="EP21" s="437">
        <f>+EP8+EP20</f>
        <v/>
      </c>
      <c r="EQ21" s="437">
        <f>+EQ8+EQ20</f>
        <v/>
      </c>
      <c r="ER21" s="437">
        <f>+ER8+ER20</f>
        <v/>
      </c>
      <c r="ES21" s="437">
        <f>+ES8+ES20</f>
        <v/>
      </c>
      <c r="ET21" s="437">
        <f>+ET8+ET20</f>
        <v/>
      </c>
      <c r="EU21" s="437">
        <f>+EU8+EU20</f>
        <v/>
      </c>
      <c r="EV21" s="437">
        <f>+EV8+EV20</f>
        <v/>
      </c>
      <c r="EW21" s="437">
        <f>+EW8+EW20</f>
        <v/>
      </c>
      <c r="EX21" s="437">
        <f>+EX8+EX20</f>
        <v/>
      </c>
      <c r="EY21" s="437">
        <f>+EY8+EY20</f>
        <v/>
      </c>
      <c r="EZ21" s="437">
        <f>+EZ8+EZ20</f>
        <v/>
      </c>
      <c r="FA21" s="437">
        <f>+FA8+FA20</f>
        <v/>
      </c>
      <c r="FB21" s="438">
        <f>+FB8+FB20</f>
        <v/>
      </c>
    </row>
    <row r="22" ht="15" customHeight="1" thickTop="1"/>
  </sheetData>
  <pageMargins left="0.7" right="0.7" top="0.75" bottom="0.75" header="0.3" footer="0.3"/>
  <pageSetup orientation="portrait" horizontalDpi="1200" verticalDpi="1200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CF52"/>
  <sheetViews>
    <sheetView topLeftCell="B2" zoomScaleNormal="100" workbookViewId="0">
      <selection activeCell="CC9" sqref="CC9"/>
    </sheetView>
  </sheetViews>
  <sheetFormatPr baseColWidth="8" defaultColWidth="8.6640625" defaultRowHeight="14.4"/>
  <cols>
    <col width="17" bestFit="1" customWidth="1" style="262" min="2" max="2"/>
    <col width="24.6640625" bestFit="1" customWidth="1" style="262" min="3" max="3"/>
    <col hidden="1" outlineLevel="1" width="11.109375" customWidth="1" min="4" max="6"/>
    <col hidden="1" outlineLevel="1" collapsed="1" width="11.109375" customWidth="1" min="7" max="7"/>
    <col hidden="1" outlineLevel="1" width="11.109375" customWidth="1" min="8" max="10"/>
    <col hidden="1" outlineLevel="1" collapsed="1" width="11.109375" customWidth="1" min="11" max="13"/>
    <col hidden="1" outlineLevel="1" width="12.44140625" customWidth="1" min="14" max="14"/>
    <col hidden="1" outlineLevel="1" collapsed="1" width="12.44140625" customWidth="1" min="15" max="16"/>
    <col hidden="1" outlineLevel="1" width="12.44140625" customWidth="1" min="17" max="17"/>
    <col hidden="1" outlineLevel="1" collapsed="1" width="12.44140625" customWidth="1" min="18" max="18"/>
    <col hidden="1" outlineLevel="1" width="12.44140625" customWidth="1" min="19" max="27"/>
    <col hidden="1" outlineLevel="1" width="11.109375" customWidth="1" min="28" max="28"/>
    <col collapsed="1" width="12.44140625" customWidth="1" min="29" max="29"/>
    <col hidden="1" width="11.109375" customWidth="1" min="30" max="30"/>
    <col hidden="1" outlineLevel="1" collapsed="1" width="11.109375" customWidth="1" min="31" max="32"/>
    <col hidden="1" outlineLevel="1" width="11.109375" customWidth="1" min="33" max="34"/>
    <col hidden="1" outlineLevel="1" width="11.6640625" customWidth="1" min="35" max="36"/>
    <col hidden="1" outlineLevel="1" width="11.109375" customWidth="1" min="37" max="37"/>
    <col hidden="1" outlineLevel="1" collapsed="1" width="11.109375" customWidth="1" min="38" max="41"/>
    <col hidden="1" outlineLevel="1" collapsed="1" width="12" customWidth="1" min="42" max="42"/>
    <col hidden="1" outlineLevel="1" width="12" customWidth="1" min="43" max="44"/>
    <col hidden="1" outlineLevel="1" collapsed="1" width="10.6640625" customWidth="1" min="45" max="45"/>
    <col hidden="1" outlineLevel="1" width="12.44140625" customWidth="1" min="46" max="48"/>
    <col hidden="1" outlineLevel="1" collapsed="1" width="12.44140625" customWidth="1" min="49" max="49"/>
    <col hidden="1" outlineLevel="1" width="12.44140625" customWidth="1" min="50" max="55"/>
    <col collapsed="1" width="12.88671875" bestFit="1" customWidth="1" min="56" max="56"/>
    <col hidden="1" outlineLevel="1" width="11.6640625" customWidth="1" min="57" max="57"/>
    <col hidden="1" width="10.44140625" customWidth="1" min="58" max="59"/>
    <col hidden="1" outlineLevel="1" collapsed="1" width="10.44140625" customWidth="1" min="60" max="60"/>
    <col hidden="1" outlineLevel="1" collapsed="1" width="12" customWidth="1" min="61" max="61"/>
    <col hidden="1" outlineLevel="1" collapsed="1" width="10.44140625" customWidth="1" min="62" max="62"/>
    <col hidden="1" outlineLevel="1" collapsed="1" width="12" customWidth="1" min="63" max="63"/>
    <col hidden="1" outlineLevel="1" collapsed="1" width="12.6640625" customWidth="1" min="64" max="64"/>
    <col hidden="1" outlineLevel="1" width="11.44140625" customWidth="1" min="65" max="65"/>
    <col hidden="1" outlineLevel="1" collapsed="1" width="11.44140625" customWidth="1" min="66" max="66"/>
    <col hidden="1" outlineLevel="1" width="11.109375" customWidth="1" min="67" max="67"/>
    <col hidden="1" outlineLevel="1" collapsed="1" width="12.33203125" customWidth="1" min="68" max="68"/>
    <col hidden="1" outlineLevel="1" collapsed="1" width="11.6640625" customWidth="1" min="69" max="69"/>
    <col hidden="1" outlineLevel="1" width="11.109375" customWidth="1" min="70" max="70"/>
    <col hidden="1" outlineLevel="1" collapsed="1" width="12.77734375" customWidth="1" min="71" max="71"/>
    <col hidden="1" outlineLevel="1" collapsed="1" width="11.44140625" customWidth="1" min="72" max="72"/>
    <col hidden="1" outlineLevel="1" collapsed="1" width="12" customWidth="1" min="73" max="73"/>
    <col hidden="1" outlineLevel="1" width="10.6640625" customWidth="1" min="74" max="74"/>
    <col hidden="1" outlineLevel="1" width="12" customWidth="1" min="75" max="75"/>
    <col hidden="1" outlineLevel="1" width="12.6640625" customWidth="1" min="76" max="76"/>
    <col hidden="1" outlineLevel="1" width="11.44140625" customWidth="1" min="77" max="77"/>
    <col collapsed="1" width="11.44140625" customWidth="1" min="78" max="78"/>
    <col hidden="1" outlineLevel="1" width="11.109375" customWidth="1" min="79" max="79"/>
    <col hidden="1" outlineLevel="1" width="10.6640625" customWidth="1" min="80" max="80"/>
    <col collapsed="1" width="21.44140625" customWidth="1" min="81" max="81"/>
    <col width="20.109375" bestFit="1" customWidth="1" min="82" max="82"/>
  </cols>
  <sheetData>
    <row r="1">
      <c r="AD1" s="1013" t="n"/>
      <c r="AQ1" t="inlineStr">
        <is>
          <t xml:space="preserve"> </t>
        </is>
      </c>
      <c r="BF1" s="1013" t="n"/>
    </row>
    <row r="2">
      <c r="AD2" s="1013" t="n"/>
      <c r="BF2" s="1013" t="n"/>
    </row>
    <row r="3">
      <c r="AD3" s="1013" t="n"/>
      <c r="BF3" s="1013" t="n"/>
    </row>
    <row r="4">
      <c r="AD4" s="1013" t="n"/>
      <c r="BF4" s="1013" t="n"/>
    </row>
    <row r="5">
      <c r="AD5" s="1013" t="n"/>
      <c r="BF5" s="1013" t="n"/>
    </row>
    <row r="6">
      <c r="AD6" s="1013" t="n"/>
      <c r="BF6" s="1013" t="n"/>
    </row>
    <row r="7">
      <c r="AD7" s="1013" t="n"/>
      <c r="BF7" s="1013" t="n"/>
    </row>
    <row r="8">
      <c r="AD8" s="1013" t="n"/>
      <c r="BF8" s="1013" t="n"/>
    </row>
    <row r="9">
      <c r="AD9" s="1013" t="n"/>
      <c r="BF9" s="1013" t="n"/>
    </row>
    <row r="10">
      <c r="AD10" s="1013" t="n"/>
      <c r="BF10" s="1013" t="n"/>
    </row>
    <row r="11">
      <c r="AD11" s="1013" t="n"/>
      <c r="BF11" s="1013" t="n"/>
    </row>
    <row r="12">
      <c r="AD12" s="1013" t="n"/>
      <c r="BF12" s="1013" t="n"/>
    </row>
    <row r="13" ht="15" customHeight="1" thickBot="1">
      <c r="AD13" s="1013" t="n"/>
      <c r="BF13" s="1013" t="n"/>
    </row>
    <row r="14" ht="16.8" customHeight="1" thickBot="1" thickTop="1">
      <c r="B14" s="921" t="n">
        <v>45991</v>
      </c>
      <c r="C14" s="1014" t="n"/>
      <c r="D14" s="1014" t="n"/>
      <c r="E14" s="1014" t="n"/>
      <c r="F14" s="1014" t="n"/>
      <c r="G14" s="1014" t="n"/>
      <c r="H14" s="1014" t="n"/>
      <c r="I14" s="1014" t="n"/>
      <c r="J14" s="1014" t="n"/>
      <c r="K14" s="1014" t="n"/>
      <c r="L14" s="1014" t="n"/>
      <c r="M14" s="1014" t="n"/>
      <c r="N14" s="1014" t="n"/>
      <c r="O14" s="1014" t="n"/>
      <c r="P14" s="1014" t="n"/>
      <c r="Q14" s="1014" t="n"/>
      <c r="R14" s="1014" t="n"/>
      <c r="S14" s="1014" t="n"/>
      <c r="T14" s="1014" t="n"/>
      <c r="U14" s="1014" t="n"/>
      <c r="V14" s="1014" t="n"/>
      <c r="W14" s="1014" t="n"/>
      <c r="X14" s="1014" t="n"/>
      <c r="Y14" s="1014" t="n"/>
      <c r="Z14" s="1014" t="n"/>
      <c r="AA14" s="1014" t="n"/>
      <c r="AB14" s="1014" t="n"/>
      <c r="AC14" s="1014" t="n"/>
      <c r="AD14" s="1014" t="n"/>
      <c r="AE14" s="1014" t="n"/>
      <c r="AF14" s="1014" t="n"/>
      <c r="AG14" s="1014" t="n"/>
      <c r="AH14" s="1014" t="n"/>
      <c r="AI14" s="1014" t="n"/>
      <c r="AJ14" s="1014" t="n"/>
      <c r="AK14" s="1014" t="n"/>
      <c r="AL14" s="1014" t="n"/>
      <c r="AM14" s="1014" t="n"/>
      <c r="AN14" s="1014" t="n"/>
      <c r="AO14" s="1014" t="n"/>
      <c r="AP14" s="1014" t="n"/>
      <c r="AQ14" s="1014" t="n"/>
      <c r="AR14" s="1014" t="n"/>
      <c r="AS14" s="1014" t="n"/>
      <c r="AT14" s="1014" t="n"/>
      <c r="AU14" s="1014" t="n"/>
      <c r="AV14" s="1014" t="n"/>
      <c r="AW14" s="1014" t="n"/>
      <c r="AX14" s="1014" t="n"/>
      <c r="AY14" s="1014" t="n"/>
      <c r="AZ14" s="1014" t="n"/>
      <c r="BA14" s="1014" t="n"/>
      <c r="BB14" s="1014" t="n"/>
      <c r="BC14" s="1014" t="n"/>
      <c r="BD14" s="1014" t="n"/>
      <c r="BE14" s="1014" t="n"/>
      <c r="BF14" s="1014" t="n"/>
      <c r="BG14" s="1014" t="n"/>
      <c r="BH14" s="1014" t="n"/>
      <c r="BI14" s="1014" t="n"/>
      <c r="BJ14" s="1014" t="n"/>
      <c r="BK14" s="1014" t="n"/>
      <c r="BL14" s="1014" t="n"/>
      <c r="BM14" s="1014" t="n"/>
      <c r="BN14" s="1014" t="n"/>
      <c r="BO14" s="1014" t="n"/>
      <c r="BP14" s="1014" t="n"/>
      <c r="BQ14" s="1014" t="n"/>
      <c r="BR14" s="1014" t="n"/>
      <c r="BS14" s="1014" t="n"/>
      <c r="BT14" s="1014" t="n"/>
      <c r="BU14" s="1014" t="n"/>
      <c r="BV14" s="1014" t="n"/>
      <c r="BW14" s="1014" t="n"/>
      <c r="BX14" s="1014" t="n"/>
      <c r="BY14" s="1014" t="n"/>
      <c r="BZ14" s="1014" t="n"/>
      <c r="CA14" s="1014" t="n"/>
      <c r="CB14" s="1014" t="n"/>
      <c r="CC14" s="1014" t="n"/>
      <c r="CD14" s="1014" t="n"/>
      <c r="CE14" s="1014" t="n"/>
      <c r="CF14" s="1015" t="n"/>
    </row>
    <row r="15" ht="15" customHeight="1" thickTop="1">
      <c r="B15" s="268" t="n"/>
      <c r="C15" s="298" t="n"/>
      <c r="D15" s="599" t="n">
        <v>45169</v>
      </c>
      <c r="E15" s="599" t="n">
        <v>45199</v>
      </c>
      <c r="F15" s="599" t="n">
        <v>45230</v>
      </c>
      <c r="G15" s="599" t="n">
        <v>45260</v>
      </c>
      <c r="H15" s="599" t="n">
        <v>45291</v>
      </c>
      <c r="I15" s="599" t="n">
        <v>45322</v>
      </c>
      <c r="J15" s="599" t="n">
        <v>45351</v>
      </c>
      <c r="K15" s="599" t="n">
        <v>45382</v>
      </c>
      <c r="L15" s="599" t="n">
        <v>45412</v>
      </c>
      <c r="M15" s="599" t="n">
        <v>45443</v>
      </c>
      <c r="N15" s="599" t="n">
        <v>45473</v>
      </c>
      <c r="O15" s="599" t="n">
        <v>45504</v>
      </c>
      <c r="P15" s="599" t="n">
        <v>45535</v>
      </c>
      <c r="Q15" s="599" t="n">
        <v>45596</v>
      </c>
      <c r="R15" s="599" t="n">
        <v>45626</v>
      </c>
      <c r="S15" s="599" t="n">
        <v>45657</v>
      </c>
      <c r="T15" s="599" t="n">
        <v>45688</v>
      </c>
      <c r="U15" s="599" t="n">
        <v>45716</v>
      </c>
      <c r="V15" s="599" t="n">
        <v>45747</v>
      </c>
      <c r="W15" s="599" t="n">
        <v>45777</v>
      </c>
      <c r="X15" s="599" t="n">
        <v>45808</v>
      </c>
      <c r="Y15" s="599" t="n">
        <v>45838</v>
      </c>
      <c r="Z15" s="599" t="n">
        <v>45869</v>
      </c>
      <c r="AA15" s="599" t="n">
        <v>45900</v>
      </c>
      <c r="AB15" s="599" t="n">
        <v>45930</v>
      </c>
      <c r="AC15" s="261" t="inlineStr">
        <is>
          <t>10/31/2025</t>
        </is>
      </c>
      <c r="AD15" s="284" t="inlineStr">
        <is>
          <t>Forecast</t>
        </is>
      </c>
      <c r="AE15" s="284" t="n">
        <v>45169</v>
      </c>
      <c r="AF15" s="284" t="n">
        <v>45199</v>
      </c>
      <c r="AG15" s="284" t="n">
        <v>45230</v>
      </c>
      <c r="AH15" s="284" t="n">
        <v>45260</v>
      </c>
      <c r="AI15" s="284" t="n">
        <v>45291</v>
      </c>
      <c r="AJ15" s="284" t="n">
        <v>45322</v>
      </c>
      <c r="AK15" s="284" t="n">
        <v>45351</v>
      </c>
      <c r="AL15" s="284" t="n">
        <v>45382</v>
      </c>
      <c r="AM15" s="284" t="n">
        <v>45412</v>
      </c>
      <c r="AN15" s="284" t="n">
        <v>45443</v>
      </c>
      <c r="AO15" s="284" t="n">
        <v>45473</v>
      </c>
      <c r="AP15" s="284" t="n">
        <v>45504</v>
      </c>
      <c r="AQ15" s="284" t="n">
        <v>45535</v>
      </c>
      <c r="AR15" s="284" t="n">
        <v>45565</v>
      </c>
      <c r="AS15" s="284" t="n">
        <v>45596</v>
      </c>
      <c r="AT15" s="284" t="n">
        <v>45626</v>
      </c>
      <c r="AU15" s="284" t="n">
        <v>45657</v>
      </c>
      <c r="AV15" s="284" t="n">
        <v>45688</v>
      </c>
      <c r="AW15" s="284" t="n">
        <v>45716</v>
      </c>
      <c r="AX15" s="284" t="n">
        <v>45747</v>
      </c>
      <c r="AY15" s="284" t="n">
        <v>45777</v>
      </c>
      <c r="AZ15" s="284" t="n">
        <v>45808</v>
      </c>
      <c r="BA15" s="284" t="n">
        <v>45838</v>
      </c>
      <c r="BB15" s="284" t="n">
        <v>45869</v>
      </c>
      <c r="BC15" s="284" t="n">
        <v>45900</v>
      </c>
      <c r="BD15" s="284" t="n">
        <v>45930</v>
      </c>
      <c r="BE15" s="284" t="inlineStr">
        <is>
          <t>10/31/2025</t>
        </is>
      </c>
      <c r="BF15" s="284" t="inlineStr">
        <is>
          <t>Actual</t>
        </is>
      </c>
      <c r="BG15" s="285" t="n">
        <v>45322</v>
      </c>
      <c r="BH15" s="285" t="n">
        <v>45351</v>
      </c>
      <c r="BI15" s="286" t="n">
        <v>45382</v>
      </c>
      <c r="BJ15" s="284" t="n">
        <v>45412</v>
      </c>
      <c r="BK15" s="284" t="n">
        <v>45443</v>
      </c>
      <c r="BL15" s="286" t="n">
        <v>45473</v>
      </c>
      <c r="BM15" s="284" t="n">
        <v>45504</v>
      </c>
      <c r="BN15" s="286" t="n">
        <v>45535</v>
      </c>
      <c r="BO15" s="284" t="n">
        <v>45565</v>
      </c>
      <c r="BP15" s="286" t="n">
        <v>45596</v>
      </c>
      <c r="BQ15" s="271" t="n">
        <v>45626</v>
      </c>
      <c r="BR15" s="286" t="n">
        <v>45657</v>
      </c>
      <c r="BS15" s="285" t="n">
        <v>45688</v>
      </c>
      <c r="BT15" s="286" t="n">
        <v>45716</v>
      </c>
      <c r="BU15" s="285" t="n">
        <v>45747</v>
      </c>
      <c r="BV15" s="285" t="n">
        <v>45777</v>
      </c>
      <c r="BW15" s="285" t="n">
        <v>45808</v>
      </c>
      <c r="BX15" s="285" t="n">
        <v>45838</v>
      </c>
      <c r="BY15" s="285" t="n">
        <v>45869</v>
      </c>
      <c r="BZ15" s="285" t="n">
        <v>45900</v>
      </c>
      <c r="CA15" s="285" t="n">
        <v>45930</v>
      </c>
      <c r="CB15" s="285" t="inlineStr">
        <is>
          <t>10/31/2025</t>
        </is>
      </c>
      <c r="CC15" s="285" t="inlineStr">
        <is>
          <t>Budget</t>
        </is>
      </c>
      <c r="CD15" s="285" t="n">
        <v>46022</v>
      </c>
      <c r="CE15" s="267" t="inlineStr">
        <is>
          <t>Variance (Forecast)</t>
        </is>
      </c>
      <c r="CF15" s="269" t="inlineStr">
        <is>
          <t>Variance (Budget)</t>
        </is>
      </c>
    </row>
    <row r="16">
      <c r="B16" s="922" t="inlineStr">
        <is>
          <t>Total Income</t>
        </is>
      </c>
      <c r="C16" s="260" t="n"/>
      <c r="D16" s="923" t="n">
        <v>4938</v>
      </c>
      <c r="E16" s="923" t="n">
        <v>4489.499999999999</v>
      </c>
      <c r="F16" s="923" t="n">
        <v>5810.25</v>
      </c>
      <c r="G16" s="923" t="n">
        <v>4881.37</v>
      </c>
      <c r="H16" s="923" t="n">
        <v>8589.370000000001</v>
      </c>
      <c r="I16" s="923" t="n">
        <v>3066.479166666667</v>
      </c>
      <c r="J16" s="924" t="n">
        <v>3175.021359649123</v>
      </c>
      <c r="K16" s="923" t="n">
        <v>2422.279891304348</v>
      </c>
      <c r="L16" s="923" t="n">
        <v>4440.42415135824</v>
      </c>
      <c r="M16" s="923" t="n">
        <v>6044.678739806321</v>
      </c>
      <c r="N16" s="643" t="n">
        <v>4035.013906467195</v>
      </c>
      <c r="O16" s="643" t="n">
        <v>6070.864784478588</v>
      </c>
      <c r="P16" s="644" t="n">
        <v>9070.643292986097</v>
      </c>
      <c r="Q16" s="644" t="n">
        <v>11517.5517267196</v>
      </c>
      <c r="R16" s="645" t="n">
        <v>8370.892449175197</v>
      </c>
      <c r="S16" s="645" t="n">
        <v>5536.928571757005</v>
      </c>
      <c r="T16" s="643" t="n">
        <v>5536.928571757005</v>
      </c>
      <c r="U16" s="643" t="n">
        <v>5536.928571757005</v>
      </c>
      <c r="V16" s="643" t="n">
        <v>5536.928571757005</v>
      </c>
      <c r="W16" s="643" t="n">
        <v>6629.613526124418</v>
      </c>
      <c r="X16" s="643" t="n">
        <v>6629.613526124418</v>
      </c>
      <c r="Y16" s="643" t="n">
        <v>6629.613526124418</v>
      </c>
      <c r="Z16" s="643" t="n">
        <v>10577.15205066544</v>
      </c>
      <c r="AA16" s="643" t="n">
        <v>17228.12892164422</v>
      </c>
      <c r="AB16" s="923" t="n">
        <v>17092.78954071294</v>
      </c>
      <c r="AC16" s="415" t="n">
        <v>23851.26990236532</v>
      </c>
      <c r="AD16" s="1016">
        <f>+SUMIF('Monthly Detail'!$4:$4, $B$14,'Monthly Detail'!$14:$14)</f>
        <v/>
      </c>
      <c r="AE16" s="923">
        <f>+SUMIF('[1]Monthly Detail'!$4:$4, AD15,'[1]Monthly Detail'!$14:$14)</f>
        <v/>
      </c>
      <c r="AF16" s="923">
        <f>+SUMIF('[1]Monthly Detail'!$4:$4, AE15,'[1]Monthly Detail'!$14:$14)</f>
        <v/>
      </c>
      <c r="AG16" s="923">
        <f>+SUMIF('[1]Monthly Detail'!$4:$4, AF15,'[1]Monthly Detail'!$14:$14)</f>
        <v/>
      </c>
      <c r="AH16" s="923">
        <f>+SUMIF('[1]Monthly Detail'!$4:$4, AG15,'[1]Monthly Detail'!$14:$14)</f>
        <v/>
      </c>
      <c r="AI16" s="923">
        <f>+SUMIF('[1]Monthly Detail'!$4:$4, AH15,'[1]Monthly Detail'!$14:$14)</f>
        <v/>
      </c>
      <c r="AJ16" s="923">
        <f>+SUMIF('[1]Monthly Detail'!$4:$4, AI15,'[1]Monthly Detail'!$14:$14)</f>
        <v/>
      </c>
      <c r="AK16" s="923">
        <f>+SUMIF('[1]Monthly Detail'!$4:$4, AJ15,'[1]Monthly Detail'!$14:$14)</f>
        <v/>
      </c>
      <c r="AL16" s="923">
        <f>+SUMIF('[1]Monthly Detail'!$4:$4, AK15,'[1]Monthly Detail'!$14:$14)</f>
        <v/>
      </c>
      <c r="AM16" s="923">
        <f>+SUMIF('[1]Monthly Detail'!$4:$4, AL15,'[1]Monthly Detail'!$14:$14)</f>
        <v/>
      </c>
      <c r="AN16" s="923" t="n">
        <v>5705.08</v>
      </c>
      <c r="AO16" s="643" t="n">
        <v>4308.26</v>
      </c>
      <c r="AP16" s="643" t="n">
        <v>9060.890000000001</v>
      </c>
      <c r="AQ16" s="643" t="n">
        <v>14111.26</v>
      </c>
      <c r="AR16" s="643" t="n"/>
      <c r="AS16" s="643" t="n"/>
      <c r="AT16" s="643" t="n">
        <v>9573.5</v>
      </c>
      <c r="AU16" s="643" t="n">
        <v>5194</v>
      </c>
      <c r="AV16" s="643" t="n">
        <v>6585.5</v>
      </c>
      <c r="AW16" s="643" t="n">
        <v>8112.12</v>
      </c>
      <c r="AX16" s="644" t="n">
        <v>7682.37</v>
      </c>
      <c r="AY16" s="644" t="n">
        <v>3756.25</v>
      </c>
      <c r="AZ16" s="644" t="n">
        <v>6044.5</v>
      </c>
      <c r="BA16" s="644" t="n">
        <v>6916</v>
      </c>
      <c r="BB16" s="644" t="n">
        <v>6916</v>
      </c>
      <c r="BC16" s="644" t="n">
        <v>6916</v>
      </c>
      <c r="BD16" s="644" t="n">
        <v>6916</v>
      </c>
      <c r="BE16" s="415" t="n">
        <v>6916</v>
      </c>
      <c r="BF16" s="1016">
        <f>+SUMIF('Monthly Detail'!$4:$4, $B$14,'Monthly Detail'!$14:$14)</f>
        <v/>
      </c>
      <c r="BG16" s="644">
        <f>+'2024 AOP'!C14</f>
        <v/>
      </c>
      <c r="BH16" s="645">
        <f>+'2024 AOP'!D14</f>
        <v/>
      </c>
      <c r="BI16" s="645">
        <f>+'2024 AOP'!E14</f>
        <v/>
      </c>
      <c r="BJ16" s="643">
        <f>+'2024 AOP'!F14</f>
        <v/>
      </c>
      <c r="BK16" s="643">
        <f>+'2024 AOP'!G14</f>
        <v/>
      </c>
      <c r="BL16" s="693">
        <f>+'2024 AOP'!H14</f>
        <v/>
      </c>
      <c r="BM16" s="645">
        <f>+'2024 AOP'!I14</f>
        <v/>
      </c>
      <c r="BN16" s="645">
        <f>+'2024 AOP'!J14</f>
        <v/>
      </c>
      <c r="BO16" s="645">
        <f>+'2024 AOP'!L14</f>
        <v/>
      </c>
      <c r="BP16" s="645" t="n">
        <v>6042.6640625</v>
      </c>
      <c r="BQ16" s="645">
        <f>+'2024 AOP'!M14</f>
        <v/>
      </c>
      <c r="BR16" s="645">
        <f>+'2024 AOP'!N14</f>
        <v/>
      </c>
      <c r="BS16" s="645" t="n">
        <v>9543.353747161058</v>
      </c>
      <c r="BT16" s="645" t="n">
        <v>12714.96379311757</v>
      </c>
      <c r="BU16" s="645" t="n">
        <v>7487.450712153591</v>
      </c>
      <c r="BV16" s="645" t="n">
        <v>9849.796650042883</v>
      </c>
      <c r="BW16" s="645" t="n">
        <v>10751.93156248462</v>
      </c>
      <c r="BX16" s="645" t="n">
        <v>5819.964161952904</v>
      </c>
      <c r="BY16" s="416" t="n">
        <v>10878.58795785395</v>
      </c>
      <c r="BZ16" s="416" t="n">
        <v>15891.04413907066</v>
      </c>
      <c r="CA16" s="416" t="n">
        <v>12144.42784159414</v>
      </c>
      <c r="CB16" s="416" t="n">
        <v>15655.28590221598</v>
      </c>
      <c r="CC16" s="416" t="n">
        <v>8813.267146899947</v>
      </c>
      <c r="CD16" s="416" t="n">
        <v>6298.87817752382</v>
      </c>
      <c r="CE16" s="925">
        <f>BF16-AD16</f>
        <v/>
      </c>
      <c r="CF16" s="925">
        <f>BF16-CC16</f>
        <v/>
      </c>
    </row>
    <row r="17" ht="14.7" customHeight="1">
      <c r="B17" s="763" t="inlineStr">
        <is>
          <t>KPIs</t>
        </is>
      </c>
      <c r="C17" s="419" t="inlineStr">
        <is>
          <t># of Students</t>
        </is>
      </c>
      <c r="D17" s="605" t="n">
        <v>17</v>
      </c>
      <c r="E17" s="605" t="n">
        <v>17</v>
      </c>
      <c r="F17" s="605" t="n">
        <v>20</v>
      </c>
      <c r="G17" s="605" t="n">
        <v>18</v>
      </c>
      <c r="H17" s="605" t="n">
        <v>34</v>
      </c>
      <c r="I17" s="605" t="n">
        <v>21</v>
      </c>
      <c r="J17" s="606" t="n">
        <v>21</v>
      </c>
      <c r="K17" s="605" t="n">
        <v>21</v>
      </c>
      <c r="L17" s="605" t="n">
        <v>27</v>
      </c>
      <c r="M17" s="605" t="n">
        <v>22</v>
      </c>
      <c r="N17" s="605" t="n">
        <v>22</v>
      </c>
      <c r="O17" s="607" t="n">
        <v>19</v>
      </c>
      <c r="P17" s="608" t="n">
        <v>32</v>
      </c>
      <c r="Q17" s="608" t="n">
        <v>41</v>
      </c>
      <c r="R17" s="609" t="n">
        <v>44</v>
      </c>
      <c r="S17" s="609" t="n">
        <v>41</v>
      </c>
      <c r="T17" s="607" t="n">
        <v>41</v>
      </c>
      <c r="U17" s="607" t="n">
        <v>41</v>
      </c>
      <c r="V17" s="607" t="n">
        <v>41</v>
      </c>
      <c r="W17" s="607" t="n">
        <v>25</v>
      </c>
      <c r="X17" s="607" t="n">
        <v>25</v>
      </c>
      <c r="Y17" s="607" t="n">
        <v>25</v>
      </c>
      <c r="Z17" s="607" t="n">
        <v>24</v>
      </c>
      <c r="AA17" s="607" t="n">
        <v>36</v>
      </c>
      <c r="AB17" s="607" t="n">
        <v>50</v>
      </c>
      <c r="AC17" s="417" t="n">
        <v>55</v>
      </c>
      <c r="AD17" s="1017">
        <f>+SUMIF('Monthly Detail'!$4:$4, $B$14,'Monthly Detail'!17:17)</f>
        <v/>
      </c>
      <c r="AE17" s="607">
        <f>+SUMIF('[1]Monthly Detail'!$4:$4, AD15,'[1]Monthly Detail'!17:17)</f>
        <v/>
      </c>
      <c r="AF17" s="607">
        <f>+SUMIF('[1]Monthly Detail'!$4:$4, AE15,'[1]Monthly Detail'!17:17)</f>
        <v/>
      </c>
      <c r="AG17" s="607">
        <f>+SUMIF('[1]Monthly Detail'!$4:$4, AF15,'[1]Monthly Detail'!17:17)</f>
        <v/>
      </c>
      <c r="AH17" s="607">
        <f>+SUMIF('[1]Monthly Detail'!$4:$4, AG15,'[1]Monthly Detail'!17:17)</f>
        <v/>
      </c>
      <c r="AI17" s="607">
        <f>+SUMIF('[1]Monthly Detail'!$4:$4, AH15,'[1]Monthly Detail'!17:17)</f>
        <v/>
      </c>
      <c r="AJ17" s="607">
        <f>+SUMIF('[1]Monthly Detail'!$4:$4, AI15,'[1]Monthly Detail'!17:17)</f>
        <v/>
      </c>
      <c r="AK17" s="607">
        <f>+SUMIF('[1]Monthly Detail'!$4:$4, AJ15,'[1]Monthly Detail'!17:17)</f>
        <v/>
      </c>
      <c r="AL17" s="607">
        <f>+SUMIF('[1]Monthly Detail'!$4:$4, AK15,'[1]Monthly Detail'!17:17)</f>
        <v/>
      </c>
      <c r="AM17" s="607">
        <f>+SUMIF('[1]Monthly Detail'!$4:$4, AL15,'[1]Monthly Detail'!17:17)</f>
        <v/>
      </c>
      <c r="AN17" s="607" t="n">
        <v>22</v>
      </c>
      <c r="AO17" s="607" t="n">
        <v>16</v>
      </c>
      <c r="AP17" s="607" t="n">
        <v>30</v>
      </c>
      <c r="AQ17" s="607" t="n">
        <v>38</v>
      </c>
      <c r="AR17" s="607" t="n"/>
      <c r="AS17" s="607" t="n"/>
      <c r="AT17" s="607" t="n">
        <v>44</v>
      </c>
      <c r="AU17" s="607" t="n">
        <v>23</v>
      </c>
      <c r="AV17" s="607" t="n">
        <v>24</v>
      </c>
      <c r="AW17" s="607" t="n">
        <v>28</v>
      </c>
      <c r="AX17" s="608" t="n">
        <v>24</v>
      </c>
      <c r="AY17" s="608" t="n">
        <v>23</v>
      </c>
      <c r="AZ17" s="608" t="n">
        <v>20</v>
      </c>
      <c r="BA17" s="608" t="n">
        <v>25</v>
      </c>
      <c r="BB17" s="608" t="n">
        <v>25</v>
      </c>
      <c r="BC17" s="608" t="n">
        <v>25</v>
      </c>
      <c r="BD17" s="608" t="n">
        <v>25</v>
      </c>
      <c r="BE17" s="417" t="n">
        <v>25</v>
      </c>
      <c r="BF17" s="1017">
        <f>+SUMIF('Monthly Detail'!$4:$4, $B$14,'Monthly Detail'!17:17)</f>
        <v/>
      </c>
      <c r="BG17" s="682" t="n">
        <v>21</v>
      </c>
      <c r="BH17" s="683" t="n">
        <v>33</v>
      </c>
      <c r="BI17" s="683" t="n">
        <v>35</v>
      </c>
      <c r="BJ17" s="605" t="n">
        <v>33</v>
      </c>
      <c r="BK17" s="605" t="n">
        <v>34</v>
      </c>
      <c r="BL17" s="684" t="n">
        <v>34</v>
      </c>
      <c r="BM17" s="609" t="n">
        <v>31</v>
      </c>
      <c r="BN17" s="683" t="n">
        <v>32</v>
      </c>
      <c r="BO17" s="683" t="n">
        <v>43</v>
      </c>
      <c r="BP17" s="683" t="n">
        <v>38</v>
      </c>
      <c r="BQ17" s="683" t="n">
        <v>38</v>
      </c>
      <c r="BR17" s="683" t="n">
        <v>38</v>
      </c>
      <c r="BS17" s="683" t="n">
        <v>24</v>
      </c>
      <c r="BT17" s="683" t="n">
        <v>35.8</v>
      </c>
      <c r="BU17" s="683" t="n">
        <v>33.59999999999999</v>
      </c>
      <c r="BV17" s="683" t="n">
        <v>32.39999999999999</v>
      </c>
      <c r="BW17" s="683" t="n">
        <v>33.39999999999999</v>
      </c>
      <c r="BX17" s="683" t="n">
        <v>29.19999999999999</v>
      </c>
      <c r="BY17" s="223" t="n">
        <v>31.19999999999999</v>
      </c>
      <c r="BZ17" s="223" t="n">
        <v>37.19999999999999</v>
      </c>
      <c r="CA17" s="223" t="n">
        <v>43.19999999999999</v>
      </c>
      <c r="CB17" s="223" t="n">
        <v>44.99999999999999</v>
      </c>
      <c r="CC17" s="223" t="n">
        <v>43.59999999999999</v>
      </c>
      <c r="CD17" s="223" t="n">
        <v>42.19999999999999</v>
      </c>
      <c r="CE17" s="465">
        <f>BF17-AD17</f>
        <v/>
      </c>
      <c r="CF17" s="465">
        <f>BF17-CC17</f>
        <v/>
      </c>
    </row>
    <row r="18">
      <c r="B18" s="442" t="n"/>
      <c r="C18" s="420" t="inlineStr">
        <is>
          <t>Net New Students</t>
        </is>
      </c>
      <c r="D18" s="610" t="n">
        <v>2</v>
      </c>
      <c r="E18" s="610" t="n">
        <v>0</v>
      </c>
      <c r="F18" s="610" t="n">
        <v>2</v>
      </c>
      <c r="G18" s="610" t="n">
        <v>2</v>
      </c>
      <c r="H18" s="610" t="n">
        <v>2</v>
      </c>
      <c r="I18" s="610" t="n">
        <v>2</v>
      </c>
      <c r="J18" s="611" t="n">
        <v>2</v>
      </c>
      <c r="K18" s="610" t="n">
        <v>2</v>
      </c>
      <c r="L18" s="610" t="n">
        <v>2</v>
      </c>
      <c r="M18" s="610" t="n">
        <v>2</v>
      </c>
      <c r="N18" s="612" t="n">
        <v>0</v>
      </c>
      <c r="O18" s="612" t="n">
        <v>3</v>
      </c>
      <c r="P18" s="613" t="n">
        <v>2</v>
      </c>
      <c r="Q18" s="613" t="n">
        <v>-1</v>
      </c>
      <c r="R18" s="614" t="n">
        <v>-4</v>
      </c>
      <c r="S18" s="614" t="n">
        <v>-3</v>
      </c>
      <c r="T18" s="615" t="n">
        <v>-3</v>
      </c>
      <c r="U18" s="615" t="n">
        <v>-3</v>
      </c>
      <c r="V18" s="615" t="n">
        <v>-3</v>
      </c>
      <c r="W18" s="615" t="n">
        <v>3</v>
      </c>
      <c r="X18" s="615" t="n">
        <v>3</v>
      </c>
      <c r="Y18" s="615" t="n">
        <v>3</v>
      </c>
      <c r="Z18" s="615" t="n">
        <v>-1</v>
      </c>
      <c r="AA18" s="615" t="n">
        <v>1</v>
      </c>
      <c r="AB18" s="612" t="n">
        <v>1</v>
      </c>
      <c r="AC18" s="473" t="n">
        <v>-2</v>
      </c>
      <c r="AD18" s="1018">
        <f>+SUMIF('Monthly Detail'!$4:$4, $B$14,'Monthly Detail'!19:19)</f>
        <v/>
      </c>
      <c r="AE18" s="612">
        <f>+SUMIF('[1]Monthly Detail'!$4:$4, AD15,'[1]Monthly Detail'!19:19)</f>
        <v/>
      </c>
      <c r="AF18" s="612">
        <f>+SUMIF('[1]Monthly Detail'!$4:$4, AE15,'[1]Monthly Detail'!19:19)</f>
        <v/>
      </c>
      <c r="AG18" s="612">
        <f>+SUMIF('[1]Monthly Detail'!$4:$4, AF15,'[1]Monthly Detail'!19:19)</f>
        <v/>
      </c>
      <c r="AH18" s="612">
        <f>+SUMIF('[1]Monthly Detail'!$4:$4, AG15,'[1]Monthly Detail'!19:19)</f>
        <v/>
      </c>
      <c r="AI18" s="612">
        <f>+SUMIF('[1]Monthly Detail'!$4:$4, AH15,'[1]Monthly Detail'!19:19)</f>
        <v/>
      </c>
      <c r="AJ18" s="612">
        <f>+SUMIF('[1]Monthly Detail'!$4:$4, AI15,'[1]Monthly Detail'!19:19)</f>
        <v/>
      </c>
      <c r="AK18" s="612">
        <f>+SUMIF('[1]Monthly Detail'!$4:$4, AJ15,'[1]Monthly Detail'!19:19)</f>
        <v/>
      </c>
      <c r="AL18" s="612">
        <f>+SUMIF('[1]Monthly Detail'!$4:$4, AK15,'[1]Monthly Detail'!19:19)</f>
        <v/>
      </c>
      <c r="AM18" s="612">
        <f>+SUMIF('[1]Monthly Detail'!$4:$4, AL15,'[1]Monthly Detail'!19:19)</f>
        <v/>
      </c>
      <c r="AN18" s="615" t="n">
        <v>2</v>
      </c>
      <c r="AO18" s="612" t="n">
        <v>-6</v>
      </c>
      <c r="AP18" s="612" t="n">
        <v>6</v>
      </c>
      <c r="AQ18" s="615" t="n">
        <v>8</v>
      </c>
      <c r="AR18" s="615" t="n"/>
      <c r="AS18" s="615" t="n"/>
      <c r="AT18" s="613" t="n">
        <v>-4</v>
      </c>
      <c r="AU18" s="613" t="n">
        <v>-21</v>
      </c>
      <c r="AV18" s="615" t="n">
        <v>1</v>
      </c>
      <c r="AW18" s="615" t="n">
        <v>4</v>
      </c>
      <c r="AX18" s="613" t="n">
        <v>-4</v>
      </c>
      <c r="AY18" s="613" t="n">
        <v>-1</v>
      </c>
      <c r="AZ18" s="613" t="n">
        <v>-3</v>
      </c>
      <c r="BA18" s="613" t="n">
        <v>5</v>
      </c>
      <c r="BB18" s="613" t="n">
        <v>5</v>
      </c>
      <c r="BC18" s="613" t="n">
        <v>5</v>
      </c>
      <c r="BD18" s="613" t="n">
        <v>5</v>
      </c>
      <c r="BE18" s="473" t="n">
        <v>5</v>
      </c>
      <c r="BF18" s="1018">
        <f>+SUMIF('Monthly Detail'!$4:$4, $B$14,'Monthly Detail'!19:19)</f>
        <v/>
      </c>
      <c r="BG18" s="615" t="n">
        <v>2</v>
      </c>
      <c r="BH18" s="618" t="n">
        <v>12</v>
      </c>
      <c r="BI18" s="615" t="n">
        <v>2</v>
      </c>
      <c r="BJ18" s="615" t="n">
        <v>-2</v>
      </c>
      <c r="BK18" s="615" t="n">
        <v>1</v>
      </c>
      <c r="BL18" s="685" t="n">
        <v>0</v>
      </c>
      <c r="BM18" s="686" t="n">
        <v>-3</v>
      </c>
      <c r="BN18" s="618" t="n">
        <v>1</v>
      </c>
      <c r="BO18" s="618" t="n">
        <v>11</v>
      </c>
      <c r="BP18" s="615" t="n">
        <v>0</v>
      </c>
      <c r="BQ18" s="613" t="n">
        <v>0</v>
      </c>
      <c r="BR18" s="613" t="n">
        <v>0</v>
      </c>
      <c r="BS18" s="613" t="n">
        <v>7</v>
      </c>
      <c r="BT18" s="613" t="n">
        <v>1</v>
      </c>
      <c r="BU18" s="613" t="n">
        <v>-2.200000000000001</v>
      </c>
      <c r="BV18" s="613" t="n">
        <v>-1.200000000000001</v>
      </c>
      <c r="BW18" s="613" t="n">
        <v>1</v>
      </c>
      <c r="BX18" s="613" t="n">
        <v>-4.200000000000001</v>
      </c>
      <c r="BY18" s="473" t="n">
        <v>2</v>
      </c>
      <c r="BZ18" s="473" t="n">
        <v>6</v>
      </c>
      <c r="CA18" s="473" t="n">
        <v>6</v>
      </c>
      <c r="CB18" s="473" t="n">
        <v>1.799999999999999</v>
      </c>
      <c r="CC18" s="473" t="n">
        <v>-1.4</v>
      </c>
      <c r="CD18" s="473" t="n">
        <v>-1.4</v>
      </c>
      <c r="CE18" s="319">
        <f>BF18-AD18</f>
        <v/>
      </c>
      <c r="CF18" s="319">
        <f>BF18-CC18</f>
        <v/>
      </c>
    </row>
    <row r="19">
      <c r="B19" s="442" t="n"/>
      <c r="C19" s="421" t="inlineStr">
        <is>
          <t># of Sessions</t>
        </is>
      </c>
      <c r="D19" s="616" t="n">
        <v>70</v>
      </c>
      <c r="E19" s="610" t="n">
        <v>50</v>
      </c>
      <c r="F19" s="610" t="n">
        <v>28</v>
      </c>
      <c r="G19" s="610" t="n">
        <v>28</v>
      </c>
      <c r="H19" s="610" t="n">
        <v>28</v>
      </c>
      <c r="I19" s="610" t="n">
        <v>72.66666666666667</v>
      </c>
      <c r="J19" s="611" t="n">
        <v>28</v>
      </c>
      <c r="K19" s="610" t="n">
        <v>28</v>
      </c>
      <c r="L19" s="610" t="n">
        <v>28</v>
      </c>
      <c r="M19" s="610" t="n">
        <v>59</v>
      </c>
      <c r="N19" s="610" t="n">
        <v>65.33333333333333</v>
      </c>
      <c r="O19" s="610" t="n">
        <v>60</v>
      </c>
      <c r="P19" s="617" t="n">
        <v>79.66666666666667</v>
      </c>
      <c r="Q19" s="617" t="n">
        <v>137.3333333333333</v>
      </c>
      <c r="R19" s="618" t="n">
        <v>155.6666666666667</v>
      </c>
      <c r="S19" s="618" t="n">
        <v>129.3333333333333</v>
      </c>
      <c r="T19" s="610" t="n">
        <v>129.3333333333333</v>
      </c>
      <c r="U19" s="610" t="n">
        <v>129.3333333333333</v>
      </c>
      <c r="V19" s="610" t="n">
        <v>129.3333333333333</v>
      </c>
      <c r="W19" s="610" t="n">
        <v>57.33333333333334</v>
      </c>
      <c r="X19" s="610" t="n">
        <v>57.33333333333334</v>
      </c>
      <c r="Y19" s="610" t="n">
        <v>57.33333333333334</v>
      </c>
      <c r="Z19" s="610" t="n">
        <v>50</v>
      </c>
      <c r="AA19" s="610" t="n">
        <v>77.66666666666667</v>
      </c>
      <c r="AB19" s="610" t="n">
        <v>111.6666666666667</v>
      </c>
      <c r="AC19" s="288" t="n">
        <v>174.3333333333333</v>
      </c>
      <c r="AD19" s="1019">
        <f>+SUMIF('Monthly Detail'!$4:$4, $B$14,'Monthly Detail'!22:22)</f>
        <v/>
      </c>
      <c r="AE19" s="610">
        <f>+SUMIF('[1]Monthly Detail'!$4:$4, AD15,'[1]Monthly Detail'!22:22)</f>
        <v/>
      </c>
      <c r="AF19" s="610">
        <f>+SUMIF('[1]Monthly Detail'!$4:$4, AE15,'[1]Monthly Detail'!22:22)</f>
        <v/>
      </c>
      <c r="AG19" s="610">
        <f>+SUMIF('[1]Monthly Detail'!$4:$4, AF15,'[1]Monthly Detail'!22:22)</f>
        <v/>
      </c>
      <c r="AH19" s="610">
        <f>+SUMIF('[1]Monthly Detail'!$4:$4, AG15,'[1]Monthly Detail'!22:22)</f>
        <v/>
      </c>
      <c r="AI19" s="610">
        <f>+SUMIF('[1]Monthly Detail'!$4:$4, AH15,'[1]Monthly Detail'!22:22)</f>
        <v/>
      </c>
      <c r="AJ19" s="610">
        <f>+SUMIF('[1]Monthly Detail'!$4:$4, AI15,'[1]Monthly Detail'!22:22)</f>
        <v/>
      </c>
      <c r="AK19" s="610">
        <f>+SUMIF('[1]Monthly Detail'!$4:$4, AJ15,'[1]Monthly Detail'!22:22)</f>
        <v/>
      </c>
      <c r="AL19" s="610">
        <f>+SUMIF('[1]Monthly Detail'!$4:$4, AK15,'[1]Monthly Detail'!22:22)</f>
        <v/>
      </c>
      <c r="AM19" s="610">
        <f>+SUMIF('[1]Monthly Detail'!$4:$4, AL15,'[1]Monthly Detail'!22:22)</f>
        <v/>
      </c>
      <c r="AN19" s="610" t="n">
        <v>85</v>
      </c>
      <c r="AO19" s="610" t="n">
        <v>30</v>
      </c>
      <c r="AP19" s="610" t="n">
        <v>118</v>
      </c>
      <c r="AQ19" s="610" t="n">
        <v>169</v>
      </c>
      <c r="AR19" s="610" t="n"/>
      <c r="AS19" s="610" t="n"/>
      <c r="AT19" s="610" t="n">
        <v>90</v>
      </c>
      <c r="AU19" s="610" t="n">
        <v>50</v>
      </c>
      <c r="AV19" s="610" t="n">
        <v>56</v>
      </c>
      <c r="AW19" s="610" t="n">
        <v>66</v>
      </c>
      <c r="AX19" s="617" t="n">
        <v>73</v>
      </c>
      <c r="AY19" s="617" t="n">
        <v>37</v>
      </c>
      <c r="AZ19" s="617" t="n">
        <v>62</v>
      </c>
      <c r="BA19" s="617" t="n">
        <v>51</v>
      </c>
      <c r="BB19" s="617" t="n">
        <v>51</v>
      </c>
      <c r="BC19" s="617" t="n">
        <v>51</v>
      </c>
      <c r="BD19" s="617" t="n">
        <v>51</v>
      </c>
      <c r="BE19" s="288" t="n">
        <v>51</v>
      </c>
      <c r="BF19" s="1019">
        <f>+SUMIF('Monthly Detail'!$4:$4, $B$14,'Monthly Detail'!22:22)</f>
        <v/>
      </c>
      <c r="BG19" s="617" t="n">
        <v>28</v>
      </c>
      <c r="BH19" s="618" t="n">
        <v>44.95772282967198</v>
      </c>
      <c r="BI19" s="618" t="n">
        <v>36.60937718138135</v>
      </c>
      <c r="BJ19" s="610" t="n">
        <v>54.89555639954425</v>
      </c>
      <c r="BK19" s="610" t="n">
        <v>94.49987915616478</v>
      </c>
      <c r="BL19" s="687" t="n">
        <v>62.00387328032945</v>
      </c>
      <c r="BM19" s="618" t="n">
        <v>91.12799088492214</v>
      </c>
      <c r="BN19" s="618" t="n">
        <v>85.37867301018063</v>
      </c>
      <c r="BO19" s="618" t="n">
        <v>115.3682760525617</v>
      </c>
      <c r="BP19" s="618" t="n">
        <v>55.62139626419916</v>
      </c>
      <c r="BQ19" s="618" t="n">
        <v>55.62139626419916</v>
      </c>
      <c r="BR19" s="618" t="n">
        <v>37.70327659427546</v>
      </c>
      <c r="BS19" s="618" t="n">
        <v>65.33333333333333</v>
      </c>
      <c r="BT19" s="618" t="n">
        <v>294.1845504141722</v>
      </c>
      <c r="BU19" s="618" t="n">
        <v>175.8439589961117</v>
      </c>
      <c r="BV19" s="618" t="n">
        <v>230.9412014222443</v>
      </c>
      <c r="BW19" s="618" t="n">
        <v>248.3679034431175</v>
      </c>
      <c r="BX19" s="618" t="n">
        <v>132.0501790974431</v>
      </c>
      <c r="BY19" s="224" t="n">
        <v>245.2642771297277</v>
      </c>
      <c r="BZ19" s="224" t="n">
        <v>359.9819338667694</v>
      </c>
      <c r="CA19" s="224" t="n">
        <v>268.1597506871253</v>
      </c>
      <c r="CB19" s="224" t="n">
        <v>344.8703163662071</v>
      </c>
      <c r="CC19" s="224" t="n">
        <v>193.6633567916707</v>
      </c>
      <c r="CD19" s="224" t="n">
        <v>147.1311938382542</v>
      </c>
      <c r="CE19" s="319">
        <f>BF19-AD19</f>
        <v/>
      </c>
      <c r="CF19" s="319">
        <f>BF19-CC19</f>
        <v/>
      </c>
    </row>
    <row r="20">
      <c r="B20" s="442" t="n"/>
      <c r="C20" s="422" t="inlineStr">
        <is>
          <t>Hours / Day</t>
        </is>
      </c>
      <c r="D20" s="616" t="n">
        <v>0.2</v>
      </c>
      <c r="E20" s="616" t="n">
        <v>0.21</v>
      </c>
      <c r="F20" s="616" t="n">
        <v>0.21</v>
      </c>
      <c r="G20" s="616" t="n">
        <v>0.21</v>
      </c>
      <c r="H20" s="616" t="n">
        <v>0.21</v>
      </c>
      <c r="I20" s="616" t="n">
        <v>0.104484126984127</v>
      </c>
      <c r="J20" s="619" t="n">
        <v>0.1118421052631579</v>
      </c>
      <c r="K20" s="616" t="n">
        <v>0.08586956521739131</v>
      </c>
      <c r="L20" s="616" t="n">
        <v>0.1303571428571429</v>
      </c>
      <c r="M20" s="616" t="n">
        <v>0.2133838383838384</v>
      </c>
      <c r="N20" s="616" t="n">
        <v>0.1590909090909091</v>
      </c>
      <c r="O20" s="616" t="n">
        <v>0.1984375</v>
      </c>
      <c r="P20" s="620" t="n">
        <v>0.19279176201373</v>
      </c>
      <c r="Q20" s="620" t="n">
        <v>0.1935369318181818</v>
      </c>
      <c r="R20" s="621" t="n">
        <v>0.13125</v>
      </c>
      <c r="S20" s="621" t="n">
        <v>0.09556786703601108</v>
      </c>
      <c r="T20" s="616" t="n">
        <v>0.09556786703601108</v>
      </c>
      <c r="U20" s="616" t="n">
        <v>0.09556786703601108</v>
      </c>
      <c r="V20" s="616" t="n">
        <v>0.09556786703601108</v>
      </c>
      <c r="W20" s="616" t="n">
        <v>0.1434523809523809</v>
      </c>
      <c r="X20" s="616" t="n">
        <v>0.1434523809523809</v>
      </c>
      <c r="Y20" s="616" t="n">
        <v>0.1434523809523809</v>
      </c>
      <c r="Z20" s="616" t="n">
        <v>0.2056818181818182</v>
      </c>
      <c r="AA20" s="616" t="n">
        <v>0.2652511961722488</v>
      </c>
      <c r="AB20" s="616" t="n">
        <v>0.1624149659863945</v>
      </c>
      <c r="AC20" s="289" t="n">
        <v>0.1918025362318841</v>
      </c>
      <c r="AD20" s="1020">
        <f>+SUMIF('Monthly Detail'!$4:$4, $B$14,'Monthly Detail'!25:25)</f>
        <v/>
      </c>
      <c r="AE20" s="616">
        <f>+SUMIF('[1]Monthly Detail'!$4:$4, AD15,'[1]Monthly Detail'!25:25)</f>
        <v/>
      </c>
      <c r="AF20" s="616">
        <f>+SUMIF('[1]Monthly Detail'!$4:$4, AE15,'[1]Monthly Detail'!25:25)</f>
        <v/>
      </c>
      <c r="AG20" s="616">
        <f>+SUMIF('[1]Monthly Detail'!$4:$4, AF15,'[1]Monthly Detail'!25:25)</f>
        <v/>
      </c>
      <c r="AH20" s="616">
        <f>+SUMIF('[1]Monthly Detail'!$4:$4, AG15,'[1]Monthly Detail'!25:25)</f>
        <v/>
      </c>
      <c r="AI20" s="616">
        <f>+SUMIF('[1]Monthly Detail'!$4:$4, AH15,'[1]Monthly Detail'!25:25)</f>
        <v/>
      </c>
      <c r="AJ20" s="616">
        <f>+SUMIF('[1]Monthly Detail'!$4:$4, AI15,'[1]Monthly Detail'!25:25)</f>
        <v/>
      </c>
      <c r="AK20" s="616">
        <f>+SUMIF('[1]Monthly Detail'!$4:$4, AJ15,'[1]Monthly Detail'!25:25)</f>
        <v/>
      </c>
      <c r="AL20" s="616">
        <f>+SUMIF('[1]Monthly Detail'!$4:$4, AK15,'[1]Monthly Detail'!25:25)</f>
        <v/>
      </c>
      <c r="AM20" s="616">
        <f>+SUMIF('[1]Monthly Detail'!$4:$4, AL15,'[1]Monthly Detail'!25:25)</f>
        <v/>
      </c>
      <c r="AN20" s="616" t="n">
        <v>0.1862648221343873</v>
      </c>
      <c r="AO20" s="616" t="n">
        <v>0.159375</v>
      </c>
      <c r="AP20" s="616" t="n">
        <v>0.2056818181818182</v>
      </c>
      <c r="AQ20" s="616" t="n">
        <v>0.2652511961722488</v>
      </c>
      <c r="AR20" s="616" t="n"/>
      <c r="AS20" s="616" t="n"/>
      <c r="AT20" s="616" t="n">
        <v>0.1420454545454546</v>
      </c>
      <c r="AU20" s="616" t="n">
        <v>0.1435926773455378</v>
      </c>
      <c r="AV20" s="616" t="n">
        <v>0.1693840579710145</v>
      </c>
      <c r="AW20" s="616" t="n">
        <v>0.1803571428571429</v>
      </c>
      <c r="AX20" s="620" t="n">
        <v>0.1994047619047619</v>
      </c>
      <c r="AY20" s="620" t="n">
        <v>0.09436758893280632</v>
      </c>
      <c r="AZ20" s="620" t="n">
        <v>0.1721590909090909</v>
      </c>
      <c r="BA20" s="620" t="n">
        <v>0.12</v>
      </c>
      <c r="BB20" s="620" t="n">
        <v>0.12</v>
      </c>
      <c r="BC20" s="620" t="n">
        <v>0.12</v>
      </c>
      <c r="BD20" s="620" t="n">
        <v>0.12</v>
      </c>
      <c r="BE20" s="289" t="n">
        <v>0.12</v>
      </c>
      <c r="BF20" s="1020">
        <f>+SUMIF('Monthly Detail'!$4:$4, $B$14,'Monthly Detail'!25:25)</f>
        <v/>
      </c>
      <c r="BG20" s="620" t="n">
        <v>0.104484126984127</v>
      </c>
      <c r="BH20" s="621" t="n">
        <v>0.1118421052631579</v>
      </c>
      <c r="BI20" s="621" t="n">
        <v>0.08586956521739131</v>
      </c>
      <c r="BJ20" s="616" t="n">
        <v>0.1303571428571429</v>
      </c>
      <c r="BK20" s="616" t="n">
        <v>0.2083333333333333</v>
      </c>
      <c r="BL20" s="688" t="n">
        <v>0.1571969696969697</v>
      </c>
      <c r="BM20" s="621" t="n">
        <v>0.2303571428571429</v>
      </c>
      <c r="BN20" s="621" t="n">
        <v>0.209079283887468</v>
      </c>
      <c r="BO20" s="621" t="n">
        <v>0.2202586206896552</v>
      </c>
      <c r="BP20" s="621" t="n">
        <v>0.1328125</v>
      </c>
      <c r="BQ20" s="621" t="n">
        <v>0.1328125</v>
      </c>
      <c r="BR20" s="621" t="n">
        <v>0.09002770083102493</v>
      </c>
      <c r="BS20" s="621" t="n">
        <v>0.2365079365079365</v>
      </c>
      <c r="BT20" s="621" t="n">
        <v>0.2365079365079365</v>
      </c>
      <c r="BU20" s="621" t="n">
        <v>0.1434523809523809</v>
      </c>
      <c r="BV20" s="621" t="n">
        <v>0.1864973262032086</v>
      </c>
      <c r="BW20" s="621" t="n">
        <v>0.1945652173913043</v>
      </c>
      <c r="BX20" s="621" t="n">
        <v>0.1239583333333333</v>
      </c>
      <c r="BY20" s="225" t="n">
        <v>0.2056818181818182</v>
      </c>
      <c r="BZ20" s="225" t="n">
        <v>0.2652511961722488</v>
      </c>
      <c r="CA20" s="225" t="n">
        <v>0.1624149659863945</v>
      </c>
      <c r="CB20" s="225" t="n">
        <v>0.1918025362318841</v>
      </c>
      <c r="CC20" s="225" t="n">
        <v>0.1420454545454546</v>
      </c>
      <c r="CD20" s="225" t="n">
        <v>0.09556786703601108</v>
      </c>
      <c r="CE20" s="319">
        <f>BF20-AD20</f>
        <v/>
      </c>
      <c r="CF20" s="319">
        <f>BF20-CC20</f>
        <v/>
      </c>
    </row>
    <row r="21">
      <c r="B21" s="442" t="n"/>
      <c r="C21" s="422" t="inlineStr">
        <is>
          <t>Total Bill Hours</t>
        </is>
      </c>
      <c r="D21" s="616" t="n">
        <v>78.2</v>
      </c>
      <c r="E21" s="616" t="n">
        <v>71</v>
      </c>
      <c r="F21" s="616" t="n">
        <v>92.39999999999999</v>
      </c>
      <c r="G21" s="616" t="n">
        <v>75.59999999999999</v>
      </c>
      <c r="H21" s="616" t="n">
        <v>135.66</v>
      </c>
      <c r="I21" s="616" t="n">
        <v>48.27166666666666</v>
      </c>
      <c r="J21" s="619" t="n">
        <v>49.32236842105263</v>
      </c>
      <c r="K21" s="616" t="n">
        <v>37.86847826086957</v>
      </c>
      <c r="L21" s="616" t="n">
        <v>77.43214285714286</v>
      </c>
      <c r="M21" s="616" t="n">
        <v>107.9722222222222</v>
      </c>
      <c r="N21" s="616" t="n">
        <v>70</v>
      </c>
      <c r="O21" s="616" t="n">
        <v>82.94687499999999</v>
      </c>
      <c r="P21" s="620" t="n">
        <v>135.7254004576659</v>
      </c>
      <c r="Q21" s="620" t="n">
        <v>182.5053267045455</v>
      </c>
      <c r="R21" s="621" t="n">
        <v>131.4483333333334</v>
      </c>
      <c r="S21" s="621" t="n">
        <v>74.44736842105263</v>
      </c>
      <c r="T21" s="616" t="n">
        <v>74.44736842105263</v>
      </c>
      <c r="U21" s="616" t="n">
        <v>74.44736842105263</v>
      </c>
      <c r="V21" s="616" t="n">
        <v>74.44736842105263</v>
      </c>
      <c r="W21" s="616" t="n">
        <v>87.3125</v>
      </c>
      <c r="X21" s="616" t="n">
        <v>87.3125</v>
      </c>
      <c r="Y21" s="616" t="n">
        <v>87.3125</v>
      </c>
      <c r="Z21" s="616" t="n">
        <v>120.6</v>
      </c>
      <c r="AA21" s="616" t="n">
        <v>212.5299043062201</v>
      </c>
      <c r="AB21" s="616" t="n">
        <v>190.656462585034</v>
      </c>
      <c r="AC21" s="289" t="n">
        <v>242.6302083333333</v>
      </c>
      <c r="AD21" s="1020">
        <f>+SUMIF('Monthly Detail'!$4:$4, $B$14,'Monthly Detail'!26:26)</f>
        <v/>
      </c>
      <c r="AE21" s="616">
        <f>+SUMIF('[1]Monthly Detail'!$4:$4, AD15,'[1]Monthly Detail'!26:26)</f>
        <v/>
      </c>
      <c r="AF21" s="616">
        <f>+SUMIF('[1]Monthly Detail'!$4:$4, AE15,'[1]Monthly Detail'!26:26)</f>
        <v/>
      </c>
      <c r="AG21" s="616">
        <f>+SUMIF('[1]Monthly Detail'!$4:$4, AF15,'[1]Monthly Detail'!26:26)</f>
        <v/>
      </c>
      <c r="AH21" s="616">
        <f>+SUMIF('[1]Monthly Detail'!$4:$4, AG15,'[1]Monthly Detail'!26:26)</f>
        <v/>
      </c>
      <c r="AI21" s="616">
        <f>+SUMIF('[1]Monthly Detail'!$4:$4, AH15,'[1]Monthly Detail'!26:26)</f>
        <v/>
      </c>
      <c r="AJ21" s="616">
        <f>+SUMIF('[1]Monthly Detail'!$4:$4, AI15,'[1]Monthly Detail'!26:26)</f>
        <v/>
      </c>
      <c r="AK21" s="616">
        <f>+SUMIF('[1]Monthly Detail'!$4:$4, AJ15,'[1]Monthly Detail'!26:26)</f>
        <v/>
      </c>
      <c r="AL21" s="616">
        <f>+SUMIF('[1]Monthly Detail'!$4:$4, AK15,'[1]Monthly Detail'!26:26)</f>
        <v/>
      </c>
      <c r="AM21" s="616">
        <f>+SUMIF('[1]Monthly Detail'!$4:$4, AL15,'[1]Monthly Detail'!26:26)</f>
        <v/>
      </c>
      <c r="AN21" s="616" t="n">
        <v>94.25</v>
      </c>
      <c r="AO21" s="616" t="n">
        <v>51</v>
      </c>
      <c r="AP21" s="616" t="n">
        <v>135.75</v>
      </c>
      <c r="AQ21" s="616" t="n">
        <v>221.75</v>
      </c>
      <c r="AR21" s="616" t="n"/>
      <c r="AS21" s="616" t="n"/>
      <c r="AT21" s="616" t="n">
        <v>118.75</v>
      </c>
      <c r="AU21" s="616" t="n">
        <v>62.75</v>
      </c>
      <c r="AV21" s="616" t="n">
        <v>93.5</v>
      </c>
      <c r="AW21" s="616" t="n">
        <v>101</v>
      </c>
      <c r="AX21" s="620" t="n">
        <v>100.5</v>
      </c>
      <c r="AY21" s="620" t="n">
        <v>47.75</v>
      </c>
      <c r="AZ21" s="620" t="n">
        <v>75.75</v>
      </c>
      <c r="BA21" s="620" t="n">
        <v>63</v>
      </c>
      <c r="BB21" s="620" t="n">
        <v>63</v>
      </c>
      <c r="BC21" s="620" t="n">
        <v>63</v>
      </c>
      <c r="BD21" s="620" t="n">
        <v>63</v>
      </c>
      <c r="BE21" s="289" t="n">
        <v>63</v>
      </c>
      <c r="BF21" s="1020">
        <f>+SUMIF('Monthly Detail'!$4:$4, $B$14,'Monthly Detail'!26:26)</f>
        <v/>
      </c>
      <c r="BG21" s="620" t="n">
        <v>48.27166666666666</v>
      </c>
      <c r="BH21" s="621" t="n">
        <v>77.50657894736842</v>
      </c>
      <c r="BI21" s="621" t="n">
        <v>63.11413043478261</v>
      </c>
      <c r="BJ21" s="616" t="n">
        <v>94.63928571428572</v>
      </c>
      <c r="BK21" s="616" t="n">
        <v>162.9166666666667</v>
      </c>
      <c r="BL21" s="688" t="n">
        <v>106.8939393939394</v>
      </c>
      <c r="BM21" s="621" t="n">
        <v>157.1035714285714</v>
      </c>
      <c r="BN21" s="621" t="n">
        <v>147.1918158567775</v>
      </c>
      <c r="BO21" s="621" t="n">
        <v>198.8935344827586</v>
      </c>
      <c r="BP21" s="621" t="n">
        <v>95.890625</v>
      </c>
      <c r="BQ21" s="621" t="n">
        <v>95.890625</v>
      </c>
      <c r="BR21" s="621" t="n">
        <v>65</v>
      </c>
      <c r="BS21" s="621" t="n">
        <v>125.5238095238095</v>
      </c>
      <c r="BT21" s="621" t="n">
        <v>169.3396825396825</v>
      </c>
      <c r="BU21" s="621" t="n">
        <v>101.22</v>
      </c>
      <c r="BV21" s="621" t="n">
        <v>132.935294117647</v>
      </c>
      <c r="BW21" s="621" t="n">
        <v>142.9665217391304</v>
      </c>
      <c r="BX21" s="621" t="n">
        <v>76.01124999999998</v>
      </c>
      <c r="BY21" s="225" t="n">
        <v>141.1799999999999</v>
      </c>
      <c r="BZ21" s="225" t="n">
        <v>207.2142344497607</v>
      </c>
      <c r="CA21" s="225" t="n">
        <v>154.3591836734693</v>
      </c>
      <c r="CB21" s="225" t="n">
        <v>198.515625</v>
      </c>
      <c r="CC21" s="225" t="n">
        <v>111.4772727272727</v>
      </c>
      <c r="CD21" s="225" t="n">
        <v>84.692243767313</v>
      </c>
      <c r="CE21" s="319">
        <f>BF21-AD21</f>
        <v/>
      </c>
      <c r="CF21" s="319">
        <f>BF21-CC21</f>
        <v/>
      </c>
    </row>
    <row r="22" hidden="1" ht="14.7" customHeight="1">
      <c r="B22" s="442" t="n"/>
      <c r="C22" s="422" t="inlineStr">
        <is>
          <t>River Hours</t>
        </is>
      </c>
      <c r="D22" s="622" t="n">
        <v>0</v>
      </c>
      <c r="E22" s="622" t="n"/>
      <c r="F22" s="622" t="n">
        <v>0</v>
      </c>
      <c r="G22" s="622" t="n">
        <v>0</v>
      </c>
      <c r="H22" s="622" t="n"/>
      <c r="I22" s="622" t="n">
        <v>0</v>
      </c>
      <c r="J22" s="623" t="n">
        <v>0</v>
      </c>
      <c r="K22" s="622" t="n">
        <v>0</v>
      </c>
      <c r="L22" s="622" t="n">
        <v>0</v>
      </c>
      <c r="M22" s="622" t="n">
        <v>0</v>
      </c>
      <c r="N22" s="622" t="n">
        <v>0</v>
      </c>
      <c r="O22" s="616" t="n">
        <v>0</v>
      </c>
      <c r="P22" s="620" t="n">
        <v>0</v>
      </c>
      <c r="Q22" s="620" t="n">
        <v>0</v>
      </c>
      <c r="R22" s="621" t="n">
        <v>0</v>
      </c>
      <c r="S22" s="621" t="n">
        <v>0</v>
      </c>
      <c r="T22" s="616" t="n">
        <v>0</v>
      </c>
      <c r="U22" s="616" t="n">
        <v>0</v>
      </c>
      <c r="V22" s="616" t="n">
        <v>0</v>
      </c>
      <c r="W22" s="616" t="n">
        <v>0</v>
      </c>
      <c r="X22" s="616" t="n">
        <v>0</v>
      </c>
      <c r="Y22" s="616" t="n">
        <v>0</v>
      </c>
      <c r="Z22" s="616" t="n">
        <v>0</v>
      </c>
      <c r="AA22" s="616" t="n">
        <v>0</v>
      </c>
      <c r="AB22" s="616" t="n">
        <v>0</v>
      </c>
      <c r="AC22" s="289" t="n">
        <v>0</v>
      </c>
      <c r="AD22" s="1020">
        <f>+SUMIF('Monthly Detail'!$4:$4, N14,'Monthly Detail'!27:27)</f>
        <v/>
      </c>
      <c r="AE22" s="616">
        <f>+SUMIF('[1]Monthly Detail'!$4:$4, AD15,'[1]Monthly Detail'!27:27)</f>
        <v/>
      </c>
      <c r="AF22" s="616">
        <f>+SUMIF('[1]Monthly Detail'!$4:$4, AE15,'[1]Monthly Detail'!27:27)</f>
        <v/>
      </c>
      <c r="AG22" s="616">
        <f>+SUMIF('[1]Monthly Detail'!$4:$4, AF15,'[1]Monthly Detail'!27:27)</f>
        <v/>
      </c>
      <c r="AH22" s="616">
        <f>+SUMIF('[1]Monthly Detail'!$4:$4, AG15,'[1]Monthly Detail'!27:27)</f>
        <v/>
      </c>
      <c r="AI22" s="616">
        <f>+SUMIF('[1]Monthly Detail'!$4:$4, AH15,'[1]Monthly Detail'!27:27)</f>
        <v/>
      </c>
      <c r="AJ22" s="616">
        <f>+SUMIF('[1]Monthly Detail'!$4:$4, AI15,'[1]Monthly Detail'!27:27)</f>
        <v/>
      </c>
      <c r="AK22" s="616">
        <f>+SUMIF('[1]Monthly Detail'!$4:$4, AJ15,'[1]Monthly Detail'!27:27)</f>
        <v/>
      </c>
      <c r="AL22" s="616">
        <f>+SUMIF('[1]Monthly Detail'!$4:$4, AK15,'[1]Monthly Detail'!27:27)</f>
        <v/>
      </c>
      <c r="AM22" s="616">
        <f>+SUMIF('[1]Monthly Detail'!$4:$4, AL15,'[1]Monthly Detail'!27:27)</f>
        <v/>
      </c>
      <c r="AN22" s="616" t="n">
        <v>0</v>
      </c>
      <c r="AO22" s="616" t="n">
        <v>0</v>
      </c>
      <c r="AP22" s="616" t="n">
        <v>0</v>
      </c>
      <c r="AQ22" s="616" t="n">
        <v>0</v>
      </c>
      <c r="AR22" s="616" t="n"/>
      <c r="AS22" s="616" t="n"/>
      <c r="AT22" s="616" t="n">
        <v>0</v>
      </c>
      <c r="AU22" s="616" t="n">
        <v>0</v>
      </c>
      <c r="AV22" s="616" t="n">
        <v>0</v>
      </c>
      <c r="AW22" s="616" t="n">
        <v>0</v>
      </c>
      <c r="AX22" s="620" t="n">
        <v>0</v>
      </c>
      <c r="AY22" s="620" t="n">
        <v>0</v>
      </c>
      <c r="AZ22" s="620" t="n">
        <v>0</v>
      </c>
      <c r="BA22" s="620" t="n">
        <v>0</v>
      </c>
      <c r="BB22" s="620" t="n">
        <v>0</v>
      </c>
      <c r="BC22" s="620" t="n">
        <v>0</v>
      </c>
      <c r="BD22" s="620" t="n">
        <v>0</v>
      </c>
      <c r="BE22" s="289" t="n">
        <v>0</v>
      </c>
      <c r="BF22" s="1020">
        <f>+SUMIF('Monthly Detail'!$4:$4, N14,'Monthly Detail'!27:27)</f>
        <v/>
      </c>
      <c r="BG22" s="629" t="n">
        <v>0</v>
      </c>
      <c r="BH22" s="630" t="n">
        <v>0</v>
      </c>
      <c r="BI22" s="630" t="n">
        <v>0</v>
      </c>
      <c r="BJ22" s="622" t="n">
        <v>0</v>
      </c>
      <c r="BK22" s="622" t="n">
        <v>0</v>
      </c>
      <c r="BL22" s="689" t="n">
        <v>0</v>
      </c>
      <c r="BM22" s="630" t="n">
        <v>0</v>
      </c>
      <c r="BN22" s="630" t="n">
        <v>0</v>
      </c>
      <c r="BO22" s="630" t="n">
        <v>0</v>
      </c>
      <c r="BP22" s="630" t="n">
        <v>0</v>
      </c>
      <c r="BQ22" s="630" t="n">
        <v>0</v>
      </c>
      <c r="BR22" s="630" t="n">
        <v>0</v>
      </c>
      <c r="BS22" s="630" t="n">
        <v>0</v>
      </c>
      <c r="BT22" s="630" t="n">
        <v>0</v>
      </c>
      <c r="BU22" s="630" t="n">
        <v>0</v>
      </c>
      <c r="BV22" s="630" t="n">
        <v>0</v>
      </c>
      <c r="BW22" s="630" t="n">
        <v>0</v>
      </c>
      <c r="BX22" s="630" t="n">
        <v>0</v>
      </c>
      <c r="BY22" s="226" t="n">
        <v>0</v>
      </c>
      <c r="BZ22" s="226" t="n">
        <v>0</v>
      </c>
      <c r="CA22" s="226" t="n">
        <v>0</v>
      </c>
      <c r="CB22" s="226" t="n">
        <v>0</v>
      </c>
      <c r="CC22" s="226" t="n">
        <v>0</v>
      </c>
      <c r="CD22" s="226" t="n">
        <v>0</v>
      </c>
      <c r="CE22" s="926">
        <f>BF22-AD22</f>
        <v/>
      </c>
      <c r="CF22" s="926">
        <f>BF22-CC22</f>
        <v/>
      </c>
    </row>
    <row r="23">
      <c r="B23" s="442" t="n"/>
      <c r="C23" s="422" t="inlineStr">
        <is>
          <t>Realized / Effective Bill Rate</t>
        </is>
      </c>
      <c r="D23" s="927" t="n">
        <v>62.5</v>
      </c>
      <c r="E23" s="927" t="n">
        <v>62.5</v>
      </c>
      <c r="F23" s="927" t="n">
        <v>62.5</v>
      </c>
      <c r="G23" s="927" t="n">
        <v>62.5</v>
      </c>
      <c r="H23" s="927" t="n">
        <v>62.5</v>
      </c>
      <c r="I23" s="927" t="n">
        <v>62.5</v>
      </c>
      <c r="J23" s="928" t="n">
        <v>62.5</v>
      </c>
      <c r="K23" s="927" t="n">
        <v>62.5</v>
      </c>
      <c r="L23" s="927" t="n">
        <v>62.5</v>
      </c>
      <c r="M23" s="927" t="n">
        <v>62.5</v>
      </c>
      <c r="N23" s="927" t="n">
        <v>62.5</v>
      </c>
      <c r="O23" s="927" t="n">
        <v>73.18979508846583</v>
      </c>
      <c r="P23" s="929" t="n">
        <v>66.83084568105821</v>
      </c>
      <c r="Q23" s="929" t="n">
        <v>63.10803051444713</v>
      </c>
      <c r="R23" s="930" t="n">
        <v>63.6819976100257</v>
      </c>
      <c r="S23" s="930" t="n">
        <v>74.3737312572521</v>
      </c>
      <c r="T23" s="927" t="n">
        <v>74.3737312572521</v>
      </c>
      <c r="U23" s="927" t="n">
        <v>74.3737312572521</v>
      </c>
      <c r="V23" s="927" t="n">
        <v>74.3737312572521</v>
      </c>
      <c r="W23" s="927" t="n">
        <v>75.92971826627823</v>
      </c>
      <c r="X23" s="927" t="n">
        <v>75.92971826627823</v>
      </c>
      <c r="Y23" s="927" t="n">
        <v>75.92971826627823</v>
      </c>
      <c r="Z23" s="927" t="n">
        <v>87.70441169706001</v>
      </c>
      <c r="AA23" s="927" t="n">
        <v>81.06214030389513</v>
      </c>
      <c r="AB23" s="927" t="n">
        <v>89.65229559469796</v>
      </c>
      <c r="AC23" s="931" t="n">
        <v>98.30296922301473</v>
      </c>
      <c r="AD23" s="1021">
        <f>+SUMIF('Monthly Detail'!$4:$4, $B$14,'Monthly Detail'!35:35)</f>
        <v/>
      </c>
      <c r="AE23" s="927">
        <f>+SUMIF('[1]Monthly Detail'!$4:$4, AD15,'[1]Monthly Detail'!33:33)</f>
        <v/>
      </c>
      <c r="AF23" s="927">
        <f>+SUMIF('[1]Monthly Detail'!$4:$4, AE15,'[1]Monthly Detail'!33:33)</f>
        <v/>
      </c>
      <c r="AG23" s="927">
        <f>+SUMIF('[1]Monthly Detail'!$4:$4, AF15,'[1]Monthly Detail'!33:33)</f>
        <v/>
      </c>
      <c r="AH23" s="927">
        <f>+SUMIF('[1]Monthly Detail'!$4:$4, AG15,'[1]Monthly Detail'!33:33)</f>
        <v/>
      </c>
      <c r="AI23" s="927">
        <f>+SUMIF('[1]Monthly Detail'!$4:$4, AH15,'[1]Monthly Detail'!33:33)</f>
        <v/>
      </c>
      <c r="AJ23" s="927">
        <f>+SUMIF('[1]Monthly Detail'!$4:$4, AI15,'[1]Monthly Detail'!33:33)</f>
        <v/>
      </c>
      <c r="AK23" s="927">
        <f>+SUMIF('[1]Monthly Detail'!$4:$4, AJ15,'[1]Monthly Detail'!33:33)</f>
        <v/>
      </c>
      <c r="AL23" s="927">
        <f>+SUMIF('[1]Monthly Detail'!$4:$4, AK15,'[1]Monthly Detail'!33:33)</f>
        <v/>
      </c>
      <c r="AM23" s="927">
        <f>+SUMIF('[1]Monthly Detail'!$4:$4, AL15,'[1]Monthly Detail'!33:33)</f>
        <v/>
      </c>
      <c r="AN23" s="927" t="n">
        <v>60.53135278514588</v>
      </c>
      <c r="AO23" s="927" t="n">
        <v>84.47568627450981</v>
      </c>
      <c r="AP23" s="927" t="n">
        <v>66.74688766114181</v>
      </c>
      <c r="AQ23" s="927" t="n">
        <v>63.63589627959414</v>
      </c>
      <c r="AR23" s="927" t="n"/>
      <c r="AS23" s="927" t="n"/>
      <c r="AT23" s="927" t="n">
        <v>80.61894736842105</v>
      </c>
      <c r="AU23" s="927" t="n">
        <v>82.77290836653387</v>
      </c>
      <c r="AV23" s="927" t="n">
        <v>70.43315508021391</v>
      </c>
      <c r="AW23" s="927" t="n">
        <v>80.3180198019802</v>
      </c>
      <c r="AX23" s="929" t="n">
        <v>76.44149253731344</v>
      </c>
      <c r="AY23" s="929" t="n">
        <v>78.66492146596859</v>
      </c>
      <c r="AZ23" s="929" t="n">
        <v>79.79537953795379</v>
      </c>
      <c r="BA23" s="929" t="n">
        <v>109.7777777777778</v>
      </c>
      <c r="BB23" s="929" t="n">
        <v>109.7777777777778</v>
      </c>
      <c r="BC23" s="929" t="n">
        <v>109.7777777777778</v>
      </c>
      <c r="BD23" s="929" t="n">
        <v>109.7777777777778</v>
      </c>
      <c r="BE23" s="931" t="n">
        <v>109.7777777777778</v>
      </c>
      <c r="BF23" s="1021">
        <f>+SUMIF('Monthly Detail'!$4:$4, $B$14,'Monthly Detail'!35:35)</f>
        <v/>
      </c>
      <c r="BG23" s="929" t="n">
        <v>62.5</v>
      </c>
      <c r="BH23" s="930" t="n">
        <v>62.5</v>
      </c>
      <c r="BI23" s="930" t="n">
        <v>62.5</v>
      </c>
      <c r="BJ23" s="927" t="n">
        <v>62.5</v>
      </c>
      <c r="BK23" s="927" t="n">
        <v>62.5</v>
      </c>
      <c r="BL23" s="932" t="n">
        <v>62.5</v>
      </c>
      <c r="BM23" s="930" t="n">
        <v>62.5</v>
      </c>
      <c r="BN23" s="930" t="n">
        <v>62.5</v>
      </c>
      <c r="BO23" s="930" t="n">
        <v>62.5</v>
      </c>
      <c r="BP23" s="930" t="n">
        <v>62.5</v>
      </c>
      <c r="BQ23" s="930" t="n">
        <v>62.5</v>
      </c>
      <c r="BR23" s="930" t="n">
        <v>62.5</v>
      </c>
      <c r="BS23" s="930" t="n">
        <v>76.02823546676109</v>
      </c>
      <c r="BT23" s="930" t="n">
        <v>75.08555350065676</v>
      </c>
      <c r="BU23" s="930" t="n">
        <v>73.97204813429749</v>
      </c>
      <c r="BV23" s="930" t="n">
        <v>74.09466925559938</v>
      </c>
      <c r="BW23" s="930" t="n">
        <v>75.20593934644062</v>
      </c>
      <c r="BX23" s="930" t="n">
        <v>76.56714186324926</v>
      </c>
      <c r="BY23" s="933" t="n">
        <v>77.05473833300715</v>
      </c>
      <c r="BZ23" s="933" t="n">
        <v>76.68896000927704</v>
      </c>
      <c r="CA23" s="933" t="n">
        <v>78.67641919695821</v>
      </c>
      <c r="CB23" s="933" t="n">
        <v>78.86173142399235</v>
      </c>
      <c r="CC23" s="933" t="n">
        <v>79.05886941153878</v>
      </c>
      <c r="CD23" s="933" t="n">
        <v>74.37373125725209</v>
      </c>
      <c r="CE23" s="319">
        <f>BF23-AD23</f>
        <v/>
      </c>
      <c r="CF23" s="319">
        <f>BF23-CC23</f>
        <v/>
      </c>
    </row>
    <row r="24" ht="2.7" customHeight="1">
      <c r="B24" s="263" t="n"/>
      <c r="C24" s="422" t="n"/>
      <c r="D24" s="622" t="n"/>
      <c r="E24" s="622" t="n"/>
      <c r="F24" s="622" t="n"/>
      <c r="G24" s="622" t="n"/>
      <c r="H24" s="622" t="n"/>
      <c r="I24" s="622" t="n"/>
      <c r="J24" s="623" t="n"/>
      <c r="K24" s="622" t="n"/>
      <c r="L24" s="622" t="n"/>
      <c r="M24" s="622" t="n"/>
      <c r="N24" s="622" t="n"/>
      <c r="O24" s="622" t="n"/>
      <c r="P24" s="629" t="n"/>
      <c r="Q24" s="629" t="n"/>
      <c r="R24" s="630" t="n"/>
      <c r="S24" s="630" t="n"/>
      <c r="T24" s="622" t="n"/>
      <c r="U24" s="622" t="n"/>
      <c r="V24" s="622" t="n"/>
      <c r="W24" s="622" t="n"/>
      <c r="X24" s="622" t="n"/>
      <c r="Y24" s="622" t="n"/>
      <c r="Z24" s="622" t="n"/>
      <c r="AA24" s="622" t="n"/>
      <c r="AB24" s="622" t="n"/>
      <c r="AC24" s="290" t="n"/>
      <c r="AD24" s="1022" t="n"/>
      <c r="AE24" s="622" t="n"/>
      <c r="AF24" s="622" t="n"/>
      <c r="AG24" s="622" t="n"/>
      <c r="AH24" s="622" t="n"/>
      <c r="AI24" s="622" t="n"/>
      <c r="AJ24" s="622" t="n"/>
      <c r="AK24" s="622" t="n"/>
      <c r="AL24" s="622" t="n"/>
      <c r="AM24" s="622" t="n"/>
      <c r="AN24" s="622" t="n"/>
      <c r="AO24" s="622" t="n"/>
      <c r="AP24" s="622" t="n"/>
      <c r="AQ24" s="622" t="n"/>
      <c r="AR24" s="622" t="n"/>
      <c r="AS24" s="622" t="n"/>
      <c r="AT24" s="622" t="n"/>
      <c r="AU24" s="622" t="n"/>
      <c r="AV24" s="622" t="n"/>
      <c r="AW24" s="622" t="n"/>
      <c r="AX24" s="629" t="n"/>
      <c r="AY24" s="629" t="n"/>
      <c r="AZ24" s="629" t="n"/>
      <c r="BA24" s="629" t="n"/>
      <c r="BB24" s="629" t="n"/>
      <c r="BC24" s="629" t="n"/>
      <c r="BD24" s="629" t="n"/>
      <c r="BE24" s="290" t="n"/>
      <c r="BF24" s="1022" t="n"/>
      <c r="BG24" s="629" t="n"/>
      <c r="BH24" s="630" t="n"/>
      <c r="BI24" s="630" t="n"/>
      <c r="BJ24" s="622" t="n"/>
      <c r="BK24" s="622" t="n"/>
      <c r="BL24" s="689" t="n"/>
      <c r="BM24" s="630" t="n"/>
      <c r="BN24" s="630" t="n"/>
      <c r="BO24" s="630" t="n"/>
      <c r="BP24" s="630" t="n"/>
      <c r="BQ24" s="630" t="n"/>
      <c r="BR24" s="630" t="n"/>
      <c r="BS24" s="630" t="n"/>
      <c r="BT24" s="630" t="n"/>
      <c r="BU24" s="630" t="n"/>
      <c r="BV24" s="630" t="n"/>
      <c r="BW24" s="630" t="n"/>
      <c r="BX24" s="630" t="n"/>
      <c r="BY24" s="226" t="n"/>
      <c r="BZ24" s="226" t="n"/>
      <c r="CA24" s="226" t="n"/>
      <c r="CB24" s="226" t="n"/>
      <c r="CC24" s="226" t="n"/>
      <c r="CD24" s="226" t="n"/>
      <c r="CE24" s="926">
        <f>BF24-AD24</f>
        <v/>
      </c>
      <c r="CF24" s="926">
        <f>BF24-CC24</f>
        <v/>
      </c>
    </row>
    <row r="25" ht="15" customHeight="1" thickBot="1">
      <c r="B25" s="264" t="n"/>
      <c r="C25" s="423" t="inlineStr">
        <is>
          <t>Utilization %</t>
        </is>
      </c>
      <c r="D25" s="633" t="n">
        <v>0.025</v>
      </c>
      <c r="E25" s="633" t="n">
        <v>0.02625</v>
      </c>
      <c r="F25" s="633" t="n">
        <v>0.02625</v>
      </c>
      <c r="G25" s="633" t="n">
        <v>0.02625</v>
      </c>
      <c r="H25" s="633" t="n">
        <v>0.02625</v>
      </c>
      <c r="I25" s="633" t="n">
        <v>0.01306051587301587</v>
      </c>
      <c r="J25" s="632" t="n">
        <v>0.01398026315789474</v>
      </c>
      <c r="K25" s="633" t="n">
        <v>0.01073369565217391</v>
      </c>
      <c r="L25" s="633" t="n">
        <v>0.01629464285714286</v>
      </c>
      <c r="M25" s="633" t="n">
        <v>0.0266729797979798</v>
      </c>
      <c r="N25" s="633" t="n">
        <v>0.01988636363636364</v>
      </c>
      <c r="O25" s="633" t="n">
        <v>0.0248046875</v>
      </c>
      <c r="P25" s="634" t="n">
        <v>0.02409897025171625</v>
      </c>
      <c r="Q25" s="634" t="n">
        <v>0.02419211647727273</v>
      </c>
      <c r="R25" s="635" t="n">
        <v>0.01640625</v>
      </c>
      <c r="S25" s="635" t="n">
        <v>0.01194598337950139</v>
      </c>
      <c r="T25" s="633" t="n">
        <v>0.01194598337950139</v>
      </c>
      <c r="U25" s="633" t="n">
        <v>0.01194598337950139</v>
      </c>
      <c r="V25" s="633" t="n">
        <v>0.01194598337950139</v>
      </c>
      <c r="W25" s="633" t="n">
        <v>0.01793154761904762</v>
      </c>
      <c r="X25" s="633" t="n">
        <v>0.01793154761904762</v>
      </c>
      <c r="Y25" s="633" t="n">
        <v>0.01793154761904762</v>
      </c>
      <c r="Z25" s="633" t="n">
        <v>0.02571022727272727</v>
      </c>
      <c r="AA25" s="633" t="n">
        <v>0.0331563995215311</v>
      </c>
      <c r="AB25" s="633" t="n">
        <v>0.02030187074829932</v>
      </c>
      <c r="AC25" s="292" t="n">
        <v>0.02397531702898551</v>
      </c>
      <c r="AD25" s="1023">
        <f>+SUMIF('Monthly Detail'!$4:$4, $B$14,'Monthly Detail'!51:51)</f>
        <v/>
      </c>
      <c r="AE25" s="633">
        <f>+SUMIF('[1]Monthly Detail'!$4:$4, AD15,'[1]Monthly Detail'!49:49)</f>
        <v/>
      </c>
      <c r="AF25" s="633">
        <f>+SUMIF('[1]Monthly Detail'!$4:$4, AE15,'[1]Monthly Detail'!49:49)</f>
        <v/>
      </c>
      <c r="AG25" s="633">
        <f>+SUMIF('[1]Monthly Detail'!$4:$4, AF15,'[1]Monthly Detail'!49:49)</f>
        <v/>
      </c>
      <c r="AH25" s="633">
        <f>+SUMIF('[1]Monthly Detail'!$4:$4, AG15,'[1]Monthly Detail'!49:49)</f>
        <v/>
      </c>
      <c r="AI25" s="633">
        <f>+SUMIF('[1]Monthly Detail'!$4:$4, AH15,'[1]Monthly Detail'!49:49)</f>
        <v/>
      </c>
      <c r="AJ25" s="633">
        <f>+SUMIF('[1]Monthly Detail'!$4:$4, AI15,'[1]Monthly Detail'!49:49)</f>
        <v/>
      </c>
      <c r="AK25" s="633">
        <f>+SUMIF('[1]Monthly Detail'!$4:$4, AJ15,'[1]Monthly Detail'!49:49)</f>
        <v/>
      </c>
      <c r="AL25" s="633">
        <f>+SUMIF('[1]Monthly Detail'!$4:$4, AK15,'[1]Monthly Detail'!49:49)</f>
        <v/>
      </c>
      <c r="AM25" s="633">
        <f>+SUMIF('[1]Monthly Detail'!$4:$4, AL15,'[1]Monthly Detail'!49:49)</f>
        <v/>
      </c>
      <c r="AN25" s="633" t="n">
        <v>0.02328310276679842</v>
      </c>
      <c r="AO25" s="633" t="n">
        <v>0.019921875</v>
      </c>
      <c r="AP25" s="633" t="n">
        <v>0.02571022727272727</v>
      </c>
      <c r="AQ25" s="633" t="n">
        <v>0.0331563995215311</v>
      </c>
      <c r="AR25" s="633" t="n"/>
      <c r="AS25" s="633" t="n"/>
      <c r="AT25" s="633" t="n">
        <v>0.01775568181818182</v>
      </c>
      <c r="AU25" s="633" t="n">
        <v>0.01794908466819222</v>
      </c>
      <c r="AV25" s="633" t="n">
        <v>0.02117300724637681</v>
      </c>
      <c r="AW25" s="633" t="n">
        <v>0.02254464285714286</v>
      </c>
      <c r="AX25" s="634" t="n">
        <v>0.02492559523809524</v>
      </c>
      <c r="AY25" s="634" t="n">
        <v>0.01179594861660079</v>
      </c>
      <c r="AZ25" s="634" t="n">
        <v>0.02151988636363637</v>
      </c>
      <c r="BA25" s="634" t="n">
        <v>0.015</v>
      </c>
      <c r="BB25" s="634" t="n">
        <v>0.015</v>
      </c>
      <c r="BC25" s="634" t="n">
        <v>0.015</v>
      </c>
      <c r="BD25" s="634" t="n">
        <v>0.015</v>
      </c>
      <c r="BE25" s="292" t="n">
        <v>0.015</v>
      </c>
      <c r="BF25" s="1023">
        <f>+SUMIF('Monthly Detail'!$4:$4, $B$14,'Monthly Detail'!51:51)</f>
        <v/>
      </c>
      <c r="BG25" s="634" t="n">
        <v>0.01306051587301587</v>
      </c>
      <c r="BH25" s="635" t="n">
        <v>0.01398026315789474</v>
      </c>
      <c r="BI25" s="635" t="n">
        <v>0.01073369565217391</v>
      </c>
      <c r="BJ25" s="633" t="n">
        <v>0.01629464285714286</v>
      </c>
      <c r="BK25" s="633" t="n">
        <v>0.02604166666666667</v>
      </c>
      <c r="BL25" s="691" t="n">
        <v>0.01964962121212121</v>
      </c>
      <c r="BM25" s="635" t="n">
        <v>0.02879464285714286</v>
      </c>
      <c r="BN25" s="635" t="n">
        <v>0.0261349104859335</v>
      </c>
      <c r="BO25" s="635" t="n">
        <v>0.0275323275862069</v>
      </c>
      <c r="BP25" s="635" t="n">
        <v>0.0166015625</v>
      </c>
      <c r="BQ25" s="635" t="n">
        <v>0.0166015625</v>
      </c>
      <c r="BR25" s="635" t="n">
        <v>0.01125346260387812</v>
      </c>
      <c r="BS25" s="635" t="n">
        <v>0.02956349206349206</v>
      </c>
      <c r="BT25" s="635" t="n">
        <v>0.02956349206349206</v>
      </c>
      <c r="BU25" s="635" t="n">
        <v>0.01793154761904762</v>
      </c>
      <c r="BV25" s="635" t="n">
        <v>0.02331216577540107</v>
      </c>
      <c r="BW25" s="635" t="n">
        <v>0.02432065217391304</v>
      </c>
      <c r="BX25" s="635" t="n">
        <v>0.01549479166666667</v>
      </c>
      <c r="BY25" s="228" t="n">
        <v>0.02571022727272727</v>
      </c>
      <c r="BZ25" s="228" t="n">
        <v>0.0331563995215311</v>
      </c>
      <c r="CA25" s="228" t="n">
        <v>0.02030187074829932</v>
      </c>
      <c r="CB25" s="228" t="n">
        <v>0.02397531702898551</v>
      </c>
      <c r="CC25" s="228" t="n">
        <v>0.01775568181818182</v>
      </c>
      <c r="CD25" s="228" t="n">
        <v>0.01194598337950139</v>
      </c>
      <c r="CE25" s="467">
        <f>BF25-AD25</f>
        <v/>
      </c>
      <c r="CF25" s="467">
        <f>BF25-CC25</f>
        <v/>
      </c>
    </row>
    <row r="26">
      <c r="B26" s="934" t="inlineStr">
        <is>
          <t>Expenses</t>
        </is>
      </c>
      <c r="C26" s="935" t="n"/>
      <c r="D26" s="636" t="n"/>
      <c r="E26" s="636" t="n"/>
      <c r="F26" s="636" t="n"/>
      <c r="G26" s="636" t="n"/>
      <c r="H26" s="636" t="n"/>
      <c r="I26" s="636" t="n"/>
      <c r="J26" s="637" t="n"/>
      <c r="K26" s="636" t="n"/>
      <c r="L26" s="636" t="n"/>
      <c r="M26" s="636" t="n"/>
      <c r="N26" s="638" t="n"/>
      <c r="O26" s="638" t="n"/>
      <c r="P26" s="639" t="n"/>
      <c r="Q26" s="639" t="n"/>
      <c r="R26" s="640" t="n"/>
      <c r="S26" s="640" t="n"/>
      <c r="T26" s="638" t="n"/>
      <c r="U26" s="638" t="n"/>
      <c r="V26" s="638" t="n"/>
      <c r="W26" s="638" t="n"/>
      <c r="X26" s="638" t="n"/>
      <c r="Y26" s="638" t="n"/>
      <c r="Z26" s="638" t="n"/>
      <c r="AA26" s="638" t="n"/>
      <c r="AB26" s="638" t="n"/>
      <c r="AC26" s="413" t="n"/>
      <c r="AD26" s="1024" t="n"/>
      <c r="AE26" s="638" t="n"/>
      <c r="AF26" s="638" t="n"/>
      <c r="AG26" s="638" t="n"/>
      <c r="AH26" s="638" t="n"/>
      <c r="AI26" s="638" t="n"/>
      <c r="AJ26" s="638" t="n"/>
      <c r="AK26" s="638" t="n"/>
      <c r="AL26" s="638" t="n"/>
      <c r="AM26" s="638" t="n"/>
      <c r="AN26" s="638" t="n"/>
      <c r="AO26" s="638" t="n"/>
      <c r="AP26" s="638" t="n"/>
      <c r="AQ26" s="638" t="n"/>
      <c r="AR26" s="638" t="n"/>
      <c r="AS26" s="638" t="n"/>
      <c r="AT26" s="638" t="n"/>
      <c r="AU26" s="638" t="n"/>
      <c r="AV26" s="638" t="n"/>
      <c r="AW26" s="638" t="n"/>
      <c r="AX26" s="639" t="n"/>
      <c r="AY26" s="639" t="n"/>
      <c r="AZ26" s="639" t="n"/>
      <c r="BA26" s="639" t="n"/>
      <c r="BB26" s="639" t="n"/>
      <c r="BC26" s="639" t="n"/>
      <c r="BD26" s="639" t="n"/>
      <c r="BE26" s="413" t="n"/>
      <c r="BF26" s="1024" t="n"/>
      <c r="BG26" s="639" t="n"/>
      <c r="BH26" s="640" t="n"/>
      <c r="BI26" s="640" t="n"/>
      <c r="BJ26" s="638" t="n"/>
      <c r="BK26" s="638" t="n"/>
      <c r="BL26" s="692" t="n"/>
      <c r="BM26" s="640" t="n"/>
      <c r="BN26" s="640" t="n"/>
      <c r="BO26" s="640" t="n"/>
      <c r="BP26" s="640" t="n"/>
      <c r="BQ26" s="640" t="n"/>
      <c r="BR26" s="640" t="n"/>
      <c r="BS26" s="640" t="n"/>
      <c r="BT26" s="640" t="n"/>
      <c r="BU26" s="640" t="n"/>
      <c r="BV26" s="640" t="n"/>
      <c r="BW26" s="640" t="n"/>
      <c r="BX26" s="640" t="n"/>
      <c r="BY26" s="414" t="n"/>
      <c r="BZ26" s="414" t="n"/>
      <c r="CA26" s="414" t="n"/>
      <c r="CB26" s="414" t="n"/>
      <c r="CC26" s="414" t="n"/>
      <c r="CD26" s="414" t="n"/>
      <c r="CE26" s="936">
        <f>BF26-AD26</f>
        <v/>
      </c>
      <c r="CF26" s="936">
        <f>BF26-CC26</f>
        <v/>
      </c>
    </row>
    <row r="27">
      <c r="B27" s="937" t="inlineStr">
        <is>
          <t>Subcontractors</t>
        </is>
      </c>
      <c r="C27" s="184" t="n"/>
      <c r="D27" s="923" t="n"/>
      <c r="E27" s="923" t="n"/>
      <c r="F27" s="923" t="n"/>
      <c r="G27" s="923" t="n"/>
      <c r="H27" s="923" t="n"/>
      <c r="I27" s="923" t="n"/>
      <c r="J27" s="924" t="n"/>
      <c r="K27" s="923" t="n"/>
      <c r="L27" s="923" t="n"/>
      <c r="M27" s="923" t="n">
        <v>0</v>
      </c>
      <c r="N27" s="643" t="n">
        <v>0</v>
      </c>
      <c r="O27" s="643" t="n">
        <v>650</v>
      </c>
      <c r="P27" s="644" t="n">
        <v>1612.624027459954</v>
      </c>
      <c r="Q27" s="644" t="n">
        <v>3394.866335227273</v>
      </c>
      <c r="R27" s="645" t="n">
        <v>1928.183333333334</v>
      </c>
      <c r="S27" s="645" t="n">
        <v>0</v>
      </c>
      <c r="T27" s="643" t="n">
        <v>0</v>
      </c>
      <c r="U27" s="643" t="n">
        <v>0</v>
      </c>
      <c r="V27" s="643" t="n">
        <v>0</v>
      </c>
      <c r="W27" s="643" t="n">
        <v>450</v>
      </c>
      <c r="X27" s="643" t="n">
        <v>450</v>
      </c>
      <c r="Y27" s="643" t="n">
        <v>450</v>
      </c>
      <c r="Z27" s="643" t="n">
        <v>981.6574585635365</v>
      </c>
      <c r="AA27" s="643" t="n">
        <v>4023.994446632107</v>
      </c>
      <c r="AB27" s="643" t="n">
        <v>450</v>
      </c>
      <c r="AC27" s="415" t="n">
        <v>1081.770833333333</v>
      </c>
      <c r="AD27" s="1016">
        <f>+SUMIF('Monthly Detail'!$4:$4, $B$14,'Monthly Detail'!65:65)</f>
        <v/>
      </c>
      <c r="AE27" s="643" t="n"/>
      <c r="AF27" s="643" t="n"/>
      <c r="AG27" s="643" t="n"/>
      <c r="AH27" s="643" t="n"/>
      <c r="AI27" s="643" t="n"/>
      <c r="AJ27" s="643" t="n"/>
      <c r="AK27" s="643" t="n"/>
      <c r="AL27" s="643" t="n"/>
      <c r="AM27" s="643" t="n"/>
      <c r="AN27" s="643" t="n">
        <v>0</v>
      </c>
      <c r="AO27" s="643" t="n">
        <v>0</v>
      </c>
      <c r="AP27" s="643" t="n">
        <v>610</v>
      </c>
      <c r="AQ27" s="643" t="n">
        <v>900</v>
      </c>
      <c r="AR27" s="643" t="n"/>
      <c r="AS27" s="643" t="n"/>
      <c r="AT27" s="643" t="n">
        <v>170</v>
      </c>
      <c r="AU27" s="643" t="n">
        <v>599</v>
      </c>
      <c r="AV27" s="643" t="n">
        <v>0</v>
      </c>
      <c r="AW27" s="643" t="n">
        <v>450</v>
      </c>
      <c r="AX27" s="644" t="n">
        <v>0</v>
      </c>
      <c r="AY27" s="644" t="n">
        <v>0</v>
      </c>
      <c r="AZ27" s="644" t="n">
        <v>270</v>
      </c>
      <c r="BA27" s="644" t="n">
        <v>0</v>
      </c>
      <c r="BB27" s="644" t="n">
        <v>0</v>
      </c>
      <c r="BC27" s="644" t="n">
        <v>0</v>
      </c>
      <c r="BD27" s="644" t="n">
        <v>0</v>
      </c>
      <c r="BE27" s="415" t="n">
        <v>0</v>
      </c>
      <c r="BF27" s="1016">
        <f>+SUMIF('Monthly Detail'!$4:$4, $B$14,'Monthly Detail'!65:65)</f>
        <v/>
      </c>
      <c r="BG27" s="644" t="n"/>
      <c r="BH27" s="645" t="n"/>
      <c r="BI27" s="645" t="n"/>
      <c r="BJ27" s="643" t="n"/>
      <c r="BK27" s="643" t="n">
        <v>0</v>
      </c>
      <c r="BL27" s="693" t="n">
        <v>0</v>
      </c>
      <c r="BM27" s="645" t="n">
        <v>0</v>
      </c>
      <c r="BN27" s="645" t="n">
        <v>0</v>
      </c>
      <c r="BO27" s="645" t="n">
        <v>1035.741379310346</v>
      </c>
      <c r="BP27" s="645" t="n">
        <v>0</v>
      </c>
      <c r="BQ27" s="645" t="n"/>
      <c r="BR27" s="645" t="n">
        <v>0</v>
      </c>
      <c r="BS27" s="645" t="n">
        <v>919.6069031639499</v>
      </c>
      <c r="BT27" s="645" t="n">
        <v>2106.190476190476</v>
      </c>
      <c r="BU27" s="645" t="n">
        <v>600</v>
      </c>
      <c r="BV27" s="645" t="n">
        <v>1173.235294117646</v>
      </c>
      <c r="BW27" s="645" t="n">
        <v>2952.076086956521</v>
      </c>
      <c r="BX27" s="645" t="n">
        <v>600</v>
      </c>
      <c r="BY27" s="416" t="n">
        <v>1648.999999999999</v>
      </c>
      <c r="BZ27" s="416" t="n">
        <v>3994.425837320572</v>
      </c>
      <c r="CA27" s="416" t="n">
        <v>821.6326530612242</v>
      </c>
      <c r="CB27" s="416" t="n">
        <v>1007.8125</v>
      </c>
      <c r="CC27" s="416" t="n">
        <v>82.14114832535884</v>
      </c>
      <c r="CD27" s="416" t="n">
        <v>0</v>
      </c>
      <c r="CE27" s="925">
        <f>BF27-AD27</f>
        <v/>
      </c>
      <c r="CF27" s="925">
        <f>BF27-CC27</f>
        <v/>
      </c>
    </row>
    <row r="28">
      <c r="B28" s="938" t="inlineStr">
        <is>
          <t>Gross Proft</t>
        </is>
      </c>
      <c r="C28" s="939" t="n"/>
      <c r="D28" s="940">
        <f>+D2-D27</f>
        <v/>
      </c>
      <c r="E28" s="940">
        <f>+E2-E27</f>
        <v/>
      </c>
      <c r="F28" s="940" t="n">
        <v>5166.626666666666</v>
      </c>
      <c r="G28" s="940" t="n">
        <v>3957.721666666667</v>
      </c>
      <c r="H28" s="940" t="n">
        <v>7569.723333333334</v>
      </c>
      <c r="I28" s="940" t="n">
        <v>2255.7185</v>
      </c>
      <c r="J28" s="941" t="n">
        <v>1022.18802631579</v>
      </c>
      <c r="K28" s="940" t="n">
        <v>1435.429891304348</v>
      </c>
      <c r="L28" s="940" t="n">
        <v>3942.562484691571</v>
      </c>
      <c r="M28" s="940" t="n">
        <v>4387.407073139654</v>
      </c>
      <c r="N28" s="940" t="n">
        <v>3311.227239800528</v>
      </c>
      <c r="O28" s="940">
        <f>+O16-O27</f>
        <v/>
      </c>
      <c r="P28" s="942" t="n">
        <v>7458.019265526143</v>
      </c>
      <c r="Q28" s="942" t="n">
        <v>8122.685391492324</v>
      </c>
      <c r="R28" s="943" t="n">
        <v>6442.709115841863</v>
      </c>
      <c r="S28" s="943" t="n">
        <v>4937.928571757005</v>
      </c>
      <c r="T28" s="940" t="n">
        <v>4937.928571757005</v>
      </c>
      <c r="U28" s="940" t="n">
        <v>4937.928571757005</v>
      </c>
      <c r="V28" s="940" t="n">
        <v>4937.928571757005</v>
      </c>
      <c r="W28" s="940" t="n">
        <v>6179.613526124418</v>
      </c>
      <c r="X28" s="940" t="n">
        <v>6179.613526124418</v>
      </c>
      <c r="Y28" s="940" t="n">
        <v>6179.613526124418</v>
      </c>
      <c r="Z28" s="940" t="n">
        <v>9595.494592101901</v>
      </c>
      <c r="AA28" s="940" t="n">
        <v>13204.13447501211</v>
      </c>
      <c r="AB28" s="940" t="n">
        <v>16642.78954071294</v>
      </c>
      <c r="AC28" s="944" t="n">
        <v>22769.49906903199</v>
      </c>
      <c r="AD28" s="1025">
        <f>+BD16-BD27</f>
        <v/>
      </c>
      <c r="AE28" s="940">
        <f>+AD2-AD27</f>
        <v/>
      </c>
      <c r="AF28" s="940">
        <f>+AE2-AE27</f>
        <v/>
      </c>
      <c r="AG28" s="940">
        <f>+AF2-AF27</f>
        <v/>
      </c>
      <c r="AH28" s="940">
        <f>+AG2-AG27</f>
        <v/>
      </c>
      <c r="AI28" s="940">
        <f>+AH2-AH27</f>
        <v/>
      </c>
      <c r="AJ28" s="940">
        <f>+AI2-AI27</f>
        <v/>
      </c>
      <c r="AK28" s="940">
        <f>+AJ2-AJ27</f>
        <v/>
      </c>
      <c r="AL28" s="940">
        <f>+AK2-AK27</f>
        <v/>
      </c>
      <c r="AM28" s="940">
        <f>+AL2-AL27</f>
        <v/>
      </c>
      <c r="AN28" s="940" t="n">
        <v>5015.13</v>
      </c>
      <c r="AO28" s="940" t="n">
        <v>4308.26</v>
      </c>
      <c r="AP28" s="940" t="n">
        <v>8450.890000000001</v>
      </c>
      <c r="AQ28" s="940" t="n">
        <v>13211.26</v>
      </c>
      <c r="AR28" s="940" t="n"/>
      <c r="AS28" s="940" t="n"/>
      <c r="AT28" s="940" t="n">
        <v>9403.5</v>
      </c>
      <c r="AU28" s="940" t="n">
        <v>4595</v>
      </c>
      <c r="AV28" s="940" t="n">
        <v>6585.5</v>
      </c>
      <c r="AW28" s="940" t="n">
        <v>7662.12</v>
      </c>
      <c r="AX28" s="942" t="n">
        <v>7682.37</v>
      </c>
      <c r="AY28" s="942" t="n">
        <v>3756.25</v>
      </c>
      <c r="AZ28" s="942" t="n">
        <v>5774.5</v>
      </c>
      <c r="BA28" s="942" t="n">
        <v>6916</v>
      </c>
      <c r="BB28" s="942" t="n">
        <v>6916</v>
      </c>
      <c r="BC28" s="942" t="n">
        <v>6916</v>
      </c>
      <c r="BD28" s="942" t="n">
        <v>6916</v>
      </c>
      <c r="BE28" s="944" t="n">
        <v>6916</v>
      </c>
      <c r="BF28" s="1025">
        <f>+BD16-BD27</f>
        <v/>
      </c>
      <c r="BG28" s="942">
        <f>+BE2-BE27</f>
        <v/>
      </c>
      <c r="BH28" s="943">
        <f>+BF2-BF27</f>
        <v/>
      </c>
      <c r="BI28" s="943">
        <f>+BG2-BG27</f>
        <v/>
      </c>
      <c r="BJ28" s="940">
        <f>+BH2-BH27</f>
        <v/>
      </c>
      <c r="BK28" s="940">
        <f>+BI2-BI27</f>
        <v/>
      </c>
      <c r="BL28" s="945">
        <f>+BJ16-BJ27</f>
        <v/>
      </c>
      <c r="BM28" s="943">
        <f>+BK16-BK27</f>
        <v/>
      </c>
      <c r="BN28" s="943">
        <f>+BL16-BL27</f>
        <v/>
      </c>
      <c r="BO28" s="943">
        <f>+BM2-BM27</f>
        <v/>
      </c>
      <c r="BP28" s="943" t="n">
        <v>0</v>
      </c>
      <c r="BQ28" s="943">
        <f>+BO2-BO27</f>
        <v/>
      </c>
      <c r="BR28" s="943">
        <f>+BP16-BP27</f>
        <v/>
      </c>
      <c r="BS28" s="943" t="n">
        <v>8623.746843997109</v>
      </c>
      <c r="BT28" s="943" t="n">
        <v>10608.77331692709</v>
      </c>
      <c r="BU28" s="943" t="n">
        <v>6887.450712153591</v>
      </c>
      <c r="BV28" s="943" t="n">
        <v>8676.561355925236</v>
      </c>
      <c r="BW28" s="943" t="n">
        <v>7799.855475528103</v>
      </c>
      <c r="BX28" s="943" t="n">
        <v>5219.964161952904</v>
      </c>
      <c r="BY28" s="946" t="n">
        <v>9229.587957853948</v>
      </c>
      <c r="BZ28" s="946" t="n">
        <v>11896.61830175008</v>
      </c>
      <c r="CA28" s="946" t="n">
        <v>11322.79518853292</v>
      </c>
      <c r="CB28" s="946" t="n">
        <v>14647.47340221598</v>
      </c>
      <c r="CC28" s="946" t="n">
        <v>8731.125998574587</v>
      </c>
      <c r="CD28" s="946" t="n">
        <v>6298.87817752382</v>
      </c>
      <c r="CE28" s="947">
        <f>BF28-AD28</f>
        <v/>
      </c>
      <c r="CF28" s="947">
        <f>BF28-CC28</f>
        <v/>
      </c>
    </row>
    <row r="29">
      <c r="B29" s="948" t="inlineStr">
        <is>
          <t>GM%</t>
        </is>
      </c>
      <c r="C29" s="939" t="n"/>
      <c r="D29" s="949" t="n"/>
      <c r="E29" s="949" t="n"/>
      <c r="F29" s="949" t="n"/>
      <c r="G29" s="949" t="n"/>
      <c r="H29" s="949" t="n"/>
      <c r="I29" s="949" t="n"/>
      <c r="J29" s="950">
        <f>+J28/J2</f>
        <v/>
      </c>
      <c r="K29" s="951" t="n">
        <v>0.5925945620311444</v>
      </c>
      <c r="L29" s="951" t="n">
        <v>0.8878797047992857</v>
      </c>
      <c r="M29" s="951" t="n">
        <v>0.7258296531537808</v>
      </c>
      <c r="N29" s="951" t="n">
        <v>0.8206235013201307</v>
      </c>
      <c r="O29" s="951">
        <f>+O28/O16</f>
        <v/>
      </c>
      <c r="P29" s="952" t="n">
        <v>0.8222150320135595</v>
      </c>
      <c r="Q29" s="952" t="n">
        <v>0.7052440991125297</v>
      </c>
      <c r="R29" s="953" t="n">
        <v>0.7696561812207583</v>
      </c>
      <c r="S29" s="953" t="n">
        <v>0.8918172787968759</v>
      </c>
      <c r="T29" s="951" t="n">
        <v>0.8918172787968759</v>
      </c>
      <c r="U29" s="951" t="n">
        <v>0.8918172787968759</v>
      </c>
      <c r="V29" s="951" t="n">
        <v>0.8918172787968759</v>
      </c>
      <c r="W29" s="951" t="n">
        <v>0.9321227401526883</v>
      </c>
      <c r="X29" s="951" t="n">
        <v>0.9321227401526883</v>
      </c>
      <c r="Y29" s="951" t="n">
        <v>0.9321227401526883</v>
      </c>
      <c r="Z29" s="951" t="n">
        <v>0.9071907585462214</v>
      </c>
      <c r="AA29" s="951" t="n">
        <v>0.7664288173757139</v>
      </c>
      <c r="AB29" s="949" t="n">
        <v>0.9736731094168009</v>
      </c>
      <c r="AC29" s="954" t="n">
        <v>0.9546451472914633</v>
      </c>
      <c r="AD29" s="1026">
        <f>+BD28/BD16</f>
        <v/>
      </c>
      <c r="AE29" s="949" t="n"/>
      <c r="AF29" s="949" t="n"/>
      <c r="AG29" s="949" t="n"/>
      <c r="AH29" s="949" t="n"/>
      <c r="AI29" s="949" t="n"/>
      <c r="AJ29" s="949" t="n"/>
      <c r="AK29" s="953" t="n">
        <v>0.8790639219783071</v>
      </c>
      <c r="AL29" s="953" t="n">
        <v>0.8790639219783071</v>
      </c>
      <c r="AM29" s="953" t="n">
        <v>0.8790639219783071</v>
      </c>
      <c r="AN29" s="955" t="n">
        <v>0.8790639219783071</v>
      </c>
      <c r="AO29" s="951" t="n">
        <v>1</v>
      </c>
      <c r="AP29" s="951" t="n">
        <v>0.9326776950167147</v>
      </c>
      <c r="AQ29" s="951" t="n">
        <v>0.9362211453831905</v>
      </c>
      <c r="AR29" s="951" t="n"/>
      <c r="AS29" s="951" t="n"/>
      <c r="AT29" s="951" t="n">
        <v>0.9822426489789523</v>
      </c>
      <c r="AU29" s="951" t="n">
        <v>0.8846746245668079</v>
      </c>
      <c r="AV29" s="951" t="n">
        <v>1</v>
      </c>
      <c r="AW29" s="951" t="n">
        <v>0.9445274478188193</v>
      </c>
      <c r="AX29" s="952" t="n">
        <v>1</v>
      </c>
      <c r="AY29" s="952" t="n">
        <v>1</v>
      </c>
      <c r="AZ29" s="952" t="n">
        <v>0.9553312929109108</v>
      </c>
      <c r="BA29" s="952" t="n">
        <v>1</v>
      </c>
      <c r="BB29" s="952" t="n">
        <v>1</v>
      </c>
      <c r="BC29" s="952" t="n">
        <v>1</v>
      </c>
      <c r="BD29" s="952" t="n">
        <v>1</v>
      </c>
      <c r="BE29" s="954" t="n">
        <v>1</v>
      </c>
      <c r="BF29" s="1026">
        <f>+BD28/BD16</f>
        <v/>
      </c>
      <c r="BG29" s="952">
        <f>+BE28/BE16</f>
        <v/>
      </c>
      <c r="BH29" s="953">
        <f>+BF28/BF16</f>
        <v/>
      </c>
      <c r="BI29" s="955">
        <f>+BG28/BG16</f>
        <v/>
      </c>
      <c r="BJ29" s="951">
        <f>+BH28/BH16</f>
        <v/>
      </c>
      <c r="BK29" s="951">
        <f>+BI28/BI16</f>
        <v/>
      </c>
      <c r="BL29" s="956">
        <f>+BJ28/BJ16</f>
        <v/>
      </c>
      <c r="BM29" s="953">
        <f>+BK28/BK16</f>
        <v/>
      </c>
      <c r="BN29" s="953">
        <f>+BL28/BL16</f>
        <v/>
      </c>
      <c r="BO29" s="953">
        <f>+BM28/BM16</f>
        <v/>
      </c>
      <c r="BP29" s="953" t="n">
        <v>0</v>
      </c>
      <c r="BQ29" s="953">
        <f>+BO28/BO16</f>
        <v/>
      </c>
      <c r="BR29" s="953">
        <f>+BP28/BP16</f>
        <v/>
      </c>
      <c r="BS29" s="953" t="n">
        <v>0.9036390217183857</v>
      </c>
      <c r="BT29" s="953" t="n">
        <v>0.8343534035597863</v>
      </c>
      <c r="BU29" s="953" t="n">
        <v>0.9198659165761074</v>
      </c>
      <c r="BV29" s="953" t="n">
        <v>0.8808873588154189</v>
      </c>
      <c r="BW29" s="953" t="n">
        <v>0.7254376044154863</v>
      </c>
      <c r="BX29" s="953" t="n">
        <v>0.8969065816723744</v>
      </c>
      <c r="BY29" s="957" t="n">
        <v>0.8484178271675893</v>
      </c>
      <c r="BZ29" s="957" t="n">
        <v>0.7486366658878228</v>
      </c>
      <c r="CA29" s="957" t="n">
        <v>0.9323448857551635</v>
      </c>
      <c r="CB29" s="957" t="n">
        <v>0.9356247783467598</v>
      </c>
      <c r="CC29" s="957" t="n">
        <v>0.990679829970404</v>
      </c>
      <c r="CD29" s="957" t="n">
        <v>1</v>
      </c>
      <c r="CE29" s="958">
        <f>BF29-AD29</f>
        <v/>
      </c>
      <c r="CF29" s="958">
        <f>BF29-CC29</f>
        <v/>
      </c>
    </row>
    <row r="30">
      <c r="B30" s="937" t="inlineStr">
        <is>
          <t>Events</t>
        </is>
      </c>
      <c r="C30" s="184" t="n"/>
      <c r="D30" s="655" t="n"/>
      <c r="E30" s="655" t="n"/>
      <c r="F30" s="655" t="n"/>
      <c r="G30" s="655" t="n"/>
      <c r="H30" s="655" t="n"/>
      <c r="I30" s="655" t="n"/>
      <c r="J30" s="923" t="n">
        <v>1179.44</v>
      </c>
      <c r="K30" s="923" t="n">
        <v>0</v>
      </c>
      <c r="L30" s="923" t="n">
        <v>2358.88</v>
      </c>
      <c r="M30" s="923" t="n">
        <v>1179.44</v>
      </c>
      <c r="N30" s="643" t="n">
        <v>0</v>
      </c>
      <c r="O30" s="643" t="n">
        <v>0</v>
      </c>
      <c r="P30" s="644" t="n">
        <v>0</v>
      </c>
      <c r="Q30" s="644" t="n">
        <v>1400</v>
      </c>
      <c r="R30" s="645" t="n">
        <v>0</v>
      </c>
      <c r="S30" s="645" t="n">
        <v>0</v>
      </c>
      <c r="T30" s="643" t="n"/>
      <c r="U30" s="643" t="n"/>
      <c r="V30" s="643" t="n"/>
      <c r="W30" s="643" t="n">
        <v>0</v>
      </c>
      <c r="X30" s="643" t="n">
        <v>0</v>
      </c>
      <c r="Y30" s="643" t="n">
        <v>0</v>
      </c>
      <c r="Z30" s="643" t="n">
        <v>0</v>
      </c>
      <c r="AA30" s="643" t="n">
        <v>0</v>
      </c>
      <c r="AB30" s="679" t="n">
        <v>0</v>
      </c>
      <c r="AC30" s="415" t="n">
        <v>0</v>
      </c>
      <c r="AD30" s="1016">
        <f>+SUMIF('Monthly Detail'!$4:$4, $B$14,'Monthly Detail'!71:71)</f>
        <v/>
      </c>
      <c r="AE30" s="679" t="n"/>
      <c r="AF30" s="679" t="n"/>
      <c r="AG30" s="679" t="n"/>
      <c r="AH30" s="679" t="n"/>
      <c r="AI30" s="679" t="n"/>
      <c r="AJ30" s="679" t="n"/>
      <c r="AK30" s="643">
        <f>+SUMIF('[1]Monthly Detail'!$4:$4, AJ15,'[1]Monthly Detail'!69:69)</f>
        <v/>
      </c>
      <c r="AL30" s="643">
        <f>+SUMIF('[1]Monthly Detail'!$4:$4, AK15,'[1]Monthly Detail'!69:69)</f>
        <v/>
      </c>
      <c r="AM30" s="643">
        <f>+SUMIF('[1]Monthly Detail'!$4:$4, AL15,'[1]Monthly Detail'!69:69)</f>
        <v/>
      </c>
      <c r="AN30" s="643" t="n">
        <v>0</v>
      </c>
      <c r="AO30" s="643" t="n">
        <v>665.5599999999999</v>
      </c>
      <c r="AP30" s="643" t="n">
        <v>0</v>
      </c>
      <c r="AQ30" s="643" t="n">
        <v>0</v>
      </c>
      <c r="AR30" s="643" t="n"/>
      <c r="AS30" s="643" t="n"/>
      <c r="AT30" s="643" t="n">
        <v>0</v>
      </c>
      <c r="AU30" s="643" t="n">
        <v>0</v>
      </c>
      <c r="AV30" s="643" t="n">
        <v>0</v>
      </c>
      <c r="AW30" s="643" t="n">
        <v>0</v>
      </c>
      <c r="AX30" s="644" t="n">
        <v>0</v>
      </c>
      <c r="AY30" s="644" t="n">
        <v>0</v>
      </c>
      <c r="AZ30" s="644" t="n">
        <v>0</v>
      </c>
      <c r="BA30" s="644" t="n">
        <v>0</v>
      </c>
      <c r="BB30" s="644" t="n">
        <v>0</v>
      </c>
      <c r="BC30" s="644" t="n">
        <v>0</v>
      </c>
      <c r="BD30" s="644" t="n">
        <v>0</v>
      </c>
      <c r="BE30" s="415" t="n">
        <v>0</v>
      </c>
      <c r="BF30" s="1016">
        <f>+SUMIF('Monthly Detail'!$4:$4, $B$14,'Monthly Detail'!71:71)</f>
        <v/>
      </c>
      <c r="BG30" s="696" t="n"/>
      <c r="BH30" s="645" t="n">
        <v>0</v>
      </c>
      <c r="BI30" s="697" t="n"/>
      <c r="BJ30" s="679" t="n"/>
      <c r="BK30" s="679" t="n"/>
      <c r="BL30" s="698" t="n">
        <v>0</v>
      </c>
      <c r="BM30" s="697" t="n">
        <v>0</v>
      </c>
      <c r="BN30" s="697" t="n">
        <v>0</v>
      </c>
      <c r="BO30" s="697" t="n"/>
      <c r="BP30" s="645" t="n">
        <v>0</v>
      </c>
      <c r="BQ30" s="697" t="n"/>
      <c r="BR30" s="697" t="n">
        <v>0</v>
      </c>
      <c r="BS30" s="645" t="n">
        <v>0</v>
      </c>
      <c r="BT30" s="645" t="n">
        <v>0</v>
      </c>
      <c r="BU30" s="645" t="n">
        <v>0</v>
      </c>
      <c r="BV30" s="645" t="n">
        <v>0</v>
      </c>
      <c r="BW30" s="645" t="n">
        <v>0</v>
      </c>
      <c r="BX30" s="645" t="n">
        <v>0</v>
      </c>
      <c r="BY30" s="416" t="n">
        <v>0</v>
      </c>
      <c r="BZ30" s="416" t="n">
        <v>0</v>
      </c>
      <c r="CA30" s="416" t="n">
        <v>0</v>
      </c>
      <c r="CB30" s="416" t="n">
        <v>0</v>
      </c>
      <c r="CC30" s="416" t="n">
        <v>0</v>
      </c>
      <c r="CD30" s="416" t="n">
        <v>0</v>
      </c>
      <c r="CE30" s="925">
        <f>BF30-AD30</f>
        <v/>
      </c>
      <c r="CF30" s="925">
        <f>BF30-CC30</f>
        <v/>
      </c>
    </row>
    <row r="31">
      <c r="B31" s="937" t="inlineStr">
        <is>
          <t>Owner Payroll Burden</t>
        </is>
      </c>
      <c r="C31" s="184" t="n"/>
      <c r="D31" s="655" t="n"/>
      <c r="E31" s="655" t="n"/>
      <c r="F31" s="655" t="n"/>
      <c r="G31" s="655" t="n"/>
      <c r="H31" s="655" t="n"/>
      <c r="I31" s="655" t="n"/>
      <c r="J31" s="923" t="n"/>
      <c r="K31" s="923" t="n"/>
      <c r="L31" s="923" t="n"/>
      <c r="M31" s="923" t="n"/>
      <c r="N31" s="643" t="n"/>
      <c r="O31" s="643" t="n"/>
      <c r="P31" s="644" t="n"/>
      <c r="Q31" s="644" t="n"/>
      <c r="R31" s="645" t="n"/>
      <c r="S31" s="645" t="n"/>
      <c r="T31" s="643" t="n"/>
      <c r="U31" s="643" t="n"/>
      <c r="V31" s="643" t="n"/>
      <c r="W31" s="643" t="n">
        <v>2172.5375</v>
      </c>
      <c r="X31" s="643" t="n">
        <v>2172.5375</v>
      </c>
      <c r="Y31" s="643" t="n">
        <v>2172.5375</v>
      </c>
      <c r="Z31" s="643" t="n">
        <v>3660.1</v>
      </c>
      <c r="AA31" s="643" t="n">
        <v>3660.1</v>
      </c>
      <c r="AB31" s="679" t="n">
        <v>5274.85</v>
      </c>
      <c r="AC31" s="415" t="n">
        <v>12810.35</v>
      </c>
      <c r="AD31" s="1016">
        <f>+SUMIF('Monthly Detail'!$4:$4, $B$14,'Monthly Detail'!80:80)</f>
        <v/>
      </c>
      <c r="AE31" s="679" t="n"/>
      <c r="AF31" s="679" t="n"/>
      <c r="AG31" s="679" t="n"/>
      <c r="AH31" s="679" t="n"/>
      <c r="AI31" s="679" t="n"/>
      <c r="AJ31" s="679" t="n"/>
      <c r="AK31" s="643" t="n"/>
      <c r="AL31" s="643" t="n"/>
      <c r="AM31" s="643" t="n"/>
      <c r="AN31" s="643" t="n"/>
      <c r="AO31" s="643" t="n"/>
      <c r="AP31" s="643" t="n"/>
      <c r="AQ31" s="643" t="n"/>
      <c r="AR31" s="643" t="n"/>
      <c r="AS31" s="643" t="n"/>
      <c r="AT31" s="643" t="n"/>
      <c r="AU31" s="643" t="n"/>
      <c r="AV31" s="643" t="n">
        <v>2407.42</v>
      </c>
      <c r="AW31" s="643" t="n">
        <v>5055.82</v>
      </c>
      <c r="AX31" s="644" t="n">
        <v>4826.3</v>
      </c>
      <c r="AY31" s="644" t="n">
        <v>2637.43</v>
      </c>
      <c r="AZ31" s="644" t="n">
        <v>2109.94</v>
      </c>
      <c r="BA31" s="644" t="n">
        <v>2637.42</v>
      </c>
      <c r="BB31" s="644" t="n">
        <v>2637.42</v>
      </c>
      <c r="BC31" s="644" t="n">
        <v>2637.42</v>
      </c>
      <c r="BD31" s="644" t="n">
        <v>2637.42</v>
      </c>
      <c r="BE31" s="415" t="n">
        <v>2637.42</v>
      </c>
      <c r="BF31" s="1016">
        <f>+SUMIF('Monthly Detail'!$4:$4, $B$14,'Monthly Detail'!80:80)</f>
        <v/>
      </c>
      <c r="BG31" s="696" t="n"/>
      <c r="BH31" s="645" t="n"/>
      <c r="BI31" s="697" t="n"/>
      <c r="BJ31" s="679" t="n"/>
      <c r="BK31" s="679" t="n"/>
      <c r="BL31" s="698" t="n"/>
      <c r="BM31" s="697" t="n"/>
      <c r="BN31" s="697" t="n"/>
      <c r="BO31" s="697" t="n"/>
      <c r="BP31" s="645" t="n"/>
      <c r="BQ31" s="697" t="n"/>
      <c r="BR31" s="697" t="n"/>
      <c r="BS31" s="645" t="n">
        <v>2367.8875</v>
      </c>
      <c r="BT31" s="645" t="n">
        <v>2172.5375</v>
      </c>
      <c r="BU31" s="645" t="n">
        <v>2172.5375</v>
      </c>
      <c r="BV31" s="645" t="n">
        <v>2172.5375</v>
      </c>
      <c r="BW31" s="645" t="n">
        <v>2172.5375</v>
      </c>
      <c r="BX31" s="645" t="n">
        <v>2172.5375</v>
      </c>
      <c r="BY31" s="416" t="n">
        <v>2172.5375</v>
      </c>
      <c r="BZ31" s="416" t="n">
        <v>2172.5375</v>
      </c>
      <c r="CA31" s="416" t="n">
        <v>2172.5375</v>
      </c>
      <c r="CB31" s="416" t="n">
        <v>2172.5375</v>
      </c>
      <c r="CC31" s="416" t="n">
        <v>2172.5375</v>
      </c>
      <c r="CD31" s="416" t="n">
        <v>2172.5375</v>
      </c>
      <c r="CE31" s="925">
        <f>BF31-AD31</f>
        <v/>
      </c>
      <c r="CF31" s="925">
        <f>BF31-CC31</f>
        <v/>
      </c>
    </row>
    <row r="32">
      <c r="B32" s="937" t="inlineStr">
        <is>
          <t>Travel</t>
        </is>
      </c>
      <c r="C32" s="184" t="n"/>
      <c r="D32" s="655" t="n"/>
      <c r="E32" s="655" t="n"/>
      <c r="F32" s="655" t="n"/>
      <c r="G32" s="655" t="n"/>
      <c r="H32" s="655" t="n"/>
      <c r="I32" s="655" t="n"/>
      <c r="J32" s="923" t="n"/>
      <c r="K32" s="923" t="n"/>
      <c r="L32" s="923" t="n"/>
      <c r="M32" s="923" t="n"/>
      <c r="N32" s="643" t="n"/>
      <c r="O32" s="643" t="n">
        <v>0</v>
      </c>
      <c r="P32" s="644" t="n">
        <v>75</v>
      </c>
      <c r="Q32" s="644" t="n">
        <v>75</v>
      </c>
      <c r="R32" s="645" t="n">
        <v>75</v>
      </c>
      <c r="S32" s="645" t="n">
        <v>75</v>
      </c>
      <c r="T32" s="643" t="n">
        <v>75</v>
      </c>
      <c r="U32" s="643" t="n">
        <v>75</v>
      </c>
      <c r="V32" s="643" t="n">
        <v>75</v>
      </c>
      <c r="W32" s="643" t="n">
        <v>75</v>
      </c>
      <c r="X32" s="643" t="n">
        <v>75</v>
      </c>
      <c r="Y32" s="643" t="n">
        <v>75</v>
      </c>
      <c r="Z32" s="643" t="n">
        <v>75</v>
      </c>
      <c r="AA32" s="643" t="n">
        <v>75</v>
      </c>
      <c r="AB32" s="679" t="n">
        <v>75</v>
      </c>
      <c r="AC32" s="415" t="n">
        <v>75</v>
      </c>
      <c r="AD32" s="1016">
        <f>+SUMIF('Monthly Detail'!$4:$4, $B$14,'Monthly Detail'!84:84)</f>
        <v/>
      </c>
      <c r="AE32" s="679" t="n"/>
      <c r="AF32" s="679" t="n"/>
      <c r="AG32" s="679" t="n"/>
      <c r="AH32" s="679" t="n"/>
      <c r="AI32" s="679" t="n"/>
      <c r="AJ32" s="679" t="n"/>
      <c r="AK32" s="643" t="n"/>
      <c r="AL32" s="643" t="n"/>
      <c r="AM32" s="643" t="n"/>
      <c r="AN32" s="643" t="n"/>
      <c r="AO32" s="643" t="n"/>
      <c r="AP32" s="643" t="n">
        <v>17.54</v>
      </c>
      <c r="AQ32" s="643" t="n">
        <v>15.71</v>
      </c>
      <c r="AR32" s="643" t="n"/>
      <c r="AS32" s="643" t="n"/>
      <c r="AT32" s="643" t="n">
        <v>0</v>
      </c>
      <c r="AU32" s="643" t="n">
        <v>0</v>
      </c>
      <c r="AV32" s="643" t="n">
        <v>0</v>
      </c>
      <c r="AW32" s="643" t="n">
        <v>0</v>
      </c>
      <c r="AX32" s="644" t="n">
        <v>0</v>
      </c>
      <c r="AY32" s="644" t="n">
        <v>0</v>
      </c>
      <c r="AZ32" s="644" t="n">
        <v>44.17</v>
      </c>
      <c r="BA32" s="644" t="n">
        <v>49.63</v>
      </c>
      <c r="BB32" s="644" t="n">
        <v>49.63</v>
      </c>
      <c r="BC32" s="644" t="n">
        <v>49.63</v>
      </c>
      <c r="BD32" s="644" t="n">
        <v>49.63</v>
      </c>
      <c r="BE32" s="415" t="n">
        <v>49.63</v>
      </c>
      <c r="BF32" s="1016">
        <f>+SUMIF('Monthly Detail'!$4:$4, $B$14,'Monthly Detail'!84:84)</f>
        <v/>
      </c>
      <c r="BG32" s="696" t="n"/>
      <c r="BH32" s="645" t="n"/>
      <c r="BI32" s="697" t="n"/>
      <c r="BJ32" s="679" t="n"/>
      <c r="BK32" s="679" t="n"/>
      <c r="BL32" s="698" t="n"/>
      <c r="BM32" s="697" t="n">
        <v>0</v>
      </c>
      <c r="BN32" s="697" t="n">
        <v>0</v>
      </c>
      <c r="BO32" s="697" t="n"/>
      <c r="BP32" s="645" t="n">
        <v>0</v>
      </c>
      <c r="BQ32" s="697" t="n"/>
      <c r="BR32" s="697" t="n">
        <v>0</v>
      </c>
      <c r="BS32" s="645" t="n">
        <v>75</v>
      </c>
      <c r="BT32" s="645" t="n">
        <v>75</v>
      </c>
      <c r="BU32" s="645" t="n">
        <v>75</v>
      </c>
      <c r="BV32" s="645" t="n">
        <v>75</v>
      </c>
      <c r="BW32" s="645" t="n">
        <v>75</v>
      </c>
      <c r="BX32" s="645" t="n">
        <v>75</v>
      </c>
      <c r="BY32" s="416" t="n">
        <v>75</v>
      </c>
      <c r="BZ32" s="416" t="n">
        <v>75</v>
      </c>
      <c r="CA32" s="416" t="n">
        <v>75</v>
      </c>
      <c r="CB32" s="416" t="n">
        <v>75</v>
      </c>
      <c r="CC32" s="416" t="n">
        <v>75</v>
      </c>
      <c r="CD32" s="416" t="n">
        <v>75</v>
      </c>
      <c r="CE32" s="925">
        <f>BF32-AD32</f>
        <v/>
      </c>
      <c r="CF32" s="925">
        <f>BF32-CC32</f>
        <v/>
      </c>
    </row>
    <row r="33">
      <c r="B33" s="937" t="inlineStr">
        <is>
          <t xml:space="preserve">   Computer &amp; Software</t>
        </is>
      </c>
      <c r="C33" s="184" t="n"/>
      <c r="D33" s="923" t="n">
        <v>12</v>
      </c>
      <c r="E33" s="923" t="n">
        <v>12</v>
      </c>
      <c r="F33" s="923" t="n">
        <v>12</v>
      </c>
      <c r="G33" s="923" t="n">
        <v>12</v>
      </c>
      <c r="H33" s="923" t="n">
        <v>12</v>
      </c>
      <c r="I33" s="923" t="n">
        <v>12</v>
      </c>
      <c r="J33" s="924" t="n">
        <v>12</v>
      </c>
      <c r="K33" s="923" t="n">
        <v>12</v>
      </c>
      <c r="L33" s="923" t="n">
        <v>12</v>
      </c>
      <c r="M33" s="923" t="n">
        <v>12</v>
      </c>
      <c r="N33" s="643" t="n">
        <v>114.8983333333334</v>
      </c>
      <c r="O33" s="643" t="n">
        <v>1300.766666666667</v>
      </c>
      <c r="P33" s="644" t="n">
        <v>111.7666666666667</v>
      </c>
      <c r="Q33" s="644" t="n">
        <v>304.7866666666667</v>
      </c>
      <c r="R33" s="645" t="n">
        <v>303.2133333333334</v>
      </c>
      <c r="S33" s="645" t="n">
        <v>316.3483333333334</v>
      </c>
      <c r="T33" s="643" t="n">
        <v>316.3483333333334</v>
      </c>
      <c r="U33" s="643" t="n">
        <v>316.3483333333334</v>
      </c>
      <c r="V33" s="643" t="n">
        <v>316.3483333333334</v>
      </c>
      <c r="W33" s="643" t="n">
        <v>150</v>
      </c>
      <c r="X33" s="643" t="n">
        <v>150</v>
      </c>
      <c r="Y33" s="643" t="n">
        <v>150</v>
      </c>
      <c r="Z33" s="643" t="n">
        <v>150</v>
      </c>
      <c r="AA33" s="643" t="n">
        <v>150</v>
      </c>
      <c r="AB33" s="643" t="n">
        <v>150</v>
      </c>
      <c r="AC33" s="415" t="n">
        <v>150</v>
      </c>
      <c r="AD33" s="1016">
        <f>+SUMIF('Monthly Detail'!$4:$4, $B$14,'Monthly Detail'!85:85)</f>
        <v/>
      </c>
      <c r="AE33" s="643">
        <f>+SUMIF('[1]Monthly Detail'!$4:$4, AD15,'[1]Monthly Detail'!83:83)</f>
        <v/>
      </c>
      <c r="AF33" s="643">
        <f>+SUMIF('[1]Monthly Detail'!$4:$4, AE15,'[1]Monthly Detail'!83:83)</f>
        <v/>
      </c>
      <c r="AG33" s="643">
        <f>+SUMIF('[1]Monthly Detail'!$4:$4, AF15,'[1]Monthly Detail'!83:83)</f>
        <v/>
      </c>
      <c r="AH33" s="643">
        <f>+SUMIF('[1]Monthly Detail'!$4:$4, AG15,'[1]Monthly Detail'!83:83)</f>
        <v/>
      </c>
      <c r="AI33" s="643">
        <f>+SUMIF('[1]Monthly Detail'!$4:$4, AH15,'[1]Monthly Detail'!83:83)</f>
        <v/>
      </c>
      <c r="AJ33" s="643">
        <f>+SUMIF('[1]Monthly Detail'!$4:$4, AI15,'[1]Monthly Detail'!83:83)</f>
        <v/>
      </c>
      <c r="AK33" s="643">
        <f>+SUMIF('[1]Monthly Detail'!$4:$4, AJ15,'[1]Monthly Detail'!83:83)</f>
        <v/>
      </c>
      <c r="AL33" s="643">
        <f>+SUMIF('[1]Monthly Detail'!$4:$4, AK15,'[1]Monthly Detail'!83:83)</f>
        <v/>
      </c>
      <c r="AM33" s="643">
        <f>+SUMIF('[1]Monthly Detail'!$4:$4, AL15,'[1]Monthly Detail'!83:83)</f>
        <v/>
      </c>
      <c r="AN33" s="643" t="n">
        <v>154.47</v>
      </c>
      <c r="AO33" s="643" t="n">
        <v>310.12</v>
      </c>
      <c r="AP33" s="643" t="n">
        <v>1251.13</v>
      </c>
      <c r="AQ33" s="643" t="n">
        <v>14.81</v>
      </c>
      <c r="AR33" s="643" t="n"/>
      <c r="AS33" s="643" t="n"/>
      <c r="AT33" s="643" t="n">
        <v>100.41</v>
      </c>
      <c r="AU33" s="643" t="n">
        <v>107.82</v>
      </c>
      <c r="AV33" s="643" t="n">
        <v>218.17</v>
      </c>
      <c r="AW33" s="643" t="n">
        <v>118.63</v>
      </c>
      <c r="AX33" s="644" t="n">
        <v>118.81</v>
      </c>
      <c r="AY33" s="644" t="n">
        <v>202.32</v>
      </c>
      <c r="AZ33" s="644" t="n">
        <v>241.38</v>
      </c>
      <c r="BA33" s="644" t="n">
        <v>433.68</v>
      </c>
      <c r="BB33" s="644" t="n">
        <v>433.68</v>
      </c>
      <c r="BC33" s="644" t="n">
        <v>433.68</v>
      </c>
      <c r="BD33" s="644" t="n">
        <v>433.68</v>
      </c>
      <c r="BE33" s="415" t="n">
        <v>433.68</v>
      </c>
      <c r="BF33" s="1016">
        <f>+SUMIF('Monthly Detail'!$4:$4, $B$14,'Monthly Detail'!85:85)</f>
        <v/>
      </c>
      <c r="BG33" s="644" t="n">
        <v>12</v>
      </c>
      <c r="BH33" s="645" t="n">
        <v>12</v>
      </c>
      <c r="BI33" s="645" t="n">
        <v>12</v>
      </c>
      <c r="BJ33" s="643" t="n">
        <v>12</v>
      </c>
      <c r="BK33" s="643" t="n">
        <v>12</v>
      </c>
      <c r="BL33" s="693" t="n">
        <v>12</v>
      </c>
      <c r="BM33" s="645" t="n">
        <v>12</v>
      </c>
      <c r="BN33" s="645" t="n">
        <v>12</v>
      </c>
      <c r="BO33" s="645" t="n">
        <v>12</v>
      </c>
      <c r="BP33" s="645" t="n">
        <v>12</v>
      </c>
      <c r="BQ33" s="645" t="n">
        <v>12</v>
      </c>
      <c r="BR33" s="645" t="n">
        <v>12</v>
      </c>
      <c r="BS33" s="645" t="n">
        <v>150</v>
      </c>
      <c r="BT33" s="645" t="n">
        <v>150</v>
      </c>
      <c r="BU33" s="645" t="n">
        <v>150</v>
      </c>
      <c r="BV33" s="645" t="n">
        <v>150</v>
      </c>
      <c r="BW33" s="645" t="n">
        <v>150</v>
      </c>
      <c r="BX33" s="645" t="n">
        <v>150</v>
      </c>
      <c r="BY33" s="416" t="n">
        <v>150</v>
      </c>
      <c r="BZ33" s="416" t="n">
        <v>150</v>
      </c>
      <c r="CA33" s="416" t="n">
        <v>150</v>
      </c>
      <c r="CB33" s="416" t="n">
        <v>150</v>
      </c>
      <c r="CC33" s="416" t="n">
        <v>150</v>
      </c>
      <c r="CD33" s="416" t="n">
        <v>150</v>
      </c>
      <c r="CE33" s="925">
        <f>BF33-AD33</f>
        <v/>
      </c>
      <c r="CF33" s="925">
        <f>BF33-CC33</f>
        <v/>
      </c>
    </row>
    <row r="34">
      <c r="B34" s="937" t="inlineStr">
        <is>
          <t>Donations/Gifts</t>
        </is>
      </c>
      <c r="C34" s="184" t="n"/>
      <c r="D34" s="923" t="n">
        <v>100</v>
      </c>
      <c r="E34" s="923" t="n">
        <v>100</v>
      </c>
      <c r="F34" s="923" t="n">
        <v>100</v>
      </c>
      <c r="G34" s="923" t="n">
        <v>100</v>
      </c>
      <c r="H34" s="923" t="n">
        <v>100</v>
      </c>
      <c r="I34" s="923" t="n">
        <v>100</v>
      </c>
      <c r="J34" s="924" t="n">
        <v>100</v>
      </c>
      <c r="K34" s="923" t="n">
        <v>100</v>
      </c>
      <c r="L34" s="923" t="n">
        <v>100</v>
      </c>
      <c r="M34" s="923" t="n">
        <v>100</v>
      </c>
      <c r="N34" s="643" t="n">
        <v>100</v>
      </c>
      <c r="O34" s="643" t="n">
        <v>100</v>
      </c>
      <c r="P34" s="644" t="n">
        <v>100</v>
      </c>
      <c r="Q34" s="644" t="n">
        <v>100</v>
      </c>
      <c r="R34" s="645" t="n">
        <v>100</v>
      </c>
      <c r="S34" s="645" t="n">
        <v>100</v>
      </c>
      <c r="T34" s="643" t="n">
        <v>100</v>
      </c>
      <c r="U34" s="643" t="n">
        <v>100</v>
      </c>
      <c r="V34" s="643" t="n">
        <v>100</v>
      </c>
      <c r="W34" s="643" t="n">
        <v>100</v>
      </c>
      <c r="X34" s="643" t="n">
        <v>100</v>
      </c>
      <c r="Y34" s="643" t="n">
        <v>100</v>
      </c>
      <c r="Z34" s="643" t="n">
        <v>100</v>
      </c>
      <c r="AA34" s="643" t="n">
        <v>100</v>
      </c>
      <c r="AB34" s="643" t="n">
        <v>100</v>
      </c>
      <c r="AC34" s="415" t="n">
        <v>100</v>
      </c>
      <c r="AD34" s="1016">
        <f>+SUMIF('Monthly Detail'!$4:$4, $B$14,'Monthly Detail'!86:86)</f>
        <v/>
      </c>
      <c r="AE34" s="643">
        <f>+SUMIF('[1]Monthly Detail'!$4:$4, AD15,'[1]Monthly Detail'!84:84)</f>
        <v/>
      </c>
      <c r="AF34" s="643">
        <f>+SUMIF('[1]Monthly Detail'!$4:$4, AE15,'[1]Monthly Detail'!84:84)</f>
        <v/>
      </c>
      <c r="AG34" s="643">
        <f>+SUMIF('[1]Monthly Detail'!$4:$4, AF15,'[1]Monthly Detail'!84:84)</f>
        <v/>
      </c>
      <c r="AH34" s="643">
        <f>+SUMIF('[1]Monthly Detail'!$4:$4, AG15,'[1]Monthly Detail'!84:84)</f>
        <v/>
      </c>
      <c r="AI34" s="643">
        <f>+SUMIF('[1]Monthly Detail'!$4:$4, AH15,'[1]Monthly Detail'!84:84)</f>
        <v/>
      </c>
      <c r="AJ34" s="643">
        <f>+SUMIF('[1]Monthly Detail'!$4:$4, AI15,'[1]Monthly Detail'!84:84)</f>
        <v/>
      </c>
      <c r="AK34" s="643">
        <f>+SUMIF('[1]Monthly Detail'!$4:$4, AJ15,'[1]Monthly Detail'!84:84)</f>
        <v/>
      </c>
      <c r="AL34" s="643">
        <f>+SUMIF('[1]Monthly Detail'!$4:$4, AK15,'[1]Monthly Detail'!84:84)</f>
        <v/>
      </c>
      <c r="AM34" s="643">
        <f>+SUMIF('[1]Monthly Detail'!$4:$4, AL15,'[1]Monthly Detail'!84:84)</f>
        <v/>
      </c>
      <c r="AN34" s="643" t="n">
        <v>141.19</v>
      </c>
      <c r="AO34" s="643" t="n">
        <v>0</v>
      </c>
      <c r="AP34" s="643" t="n">
        <v>0</v>
      </c>
      <c r="AQ34" s="643" t="n">
        <v>0</v>
      </c>
      <c r="AR34" s="643" t="n"/>
      <c r="AS34" s="643" t="n"/>
      <c r="AT34" s="643" t="n">
        <v>472.9</v>
      </c>
      <c r="AU34" s="643" t="n">
        <v>45</v>
      </c>
      <c r="AV34" s="643" t="n">
        <v>485</v>
      </c>
      <c r="AW34" s="643" t="n">
        <v>424</v>
      </c>
      <c r="AX34" s="644" t="n">
        <v>152.63</v>
      </c>
      <c r="AY34" s="644" t="n">
        <v>0</v>
      </c>
      <c r="AZ34" s="644" t="n">
        <v>246.05</v>
      </c>
      <c r="BA34" s="644" t="n">
        <v>100</v>
      </c>
      <c r="BB34" s="644" t="n">
        <v>100</v>
      </c>
      <c r="BC34" s="644" t="n">
        <v>100</v>
      </c>
      <c r="BD34" s="644" t="n">
        <v>100</v>
      </c>
      <c r="BE34" s="415" t="n">
        <v>100</v>
      </c>
      <c r="BF34" s="1016">
        <f>+SUMIF('Monthly Detail'!$4:$4, $B$14,'Monthly Detail'!86:86)</f>
        <v/>
      </c>
      <c r="BG34" s="644" t="n">
        <v>100</v>
      </c>
      <c r="BH34" s="645" t="n">
        <v>100</v>
      </c>
      <c r="BI34" s="645" t="n">
        <v>100</v>
      </c>
      <c r="BJ34" s="643" t="n">
        <v>100</v>
      </c>
      <c r="BK34" s="643" t="n">
        <v>100</v>
      </c>
      <c r="BL34" s="693" t="n">
        <v>100</v>
      </c>
      <c r="BM34" s="645" t="n">
        <v>100</v>
      </c>
      <c r="BN34" s="645" t="n">
        <v>100</v>
      </c>
      <c r="BO34" s="645" t="n">
        <v>100</v>
      </c>
      <c r="BP34" s="645" t="n">
        <v>100</v>
      </c>
      <c r="BQ34" s="645" t="n">
        <v>100</v>
      </c>
      <c r="BR34" s="645" t="n">
        <v>100</v>
      </c>
      <c r="BS34" s="645" t="n">
        <v>100</v>
      </c>
      <c r="BT34" s="645" t="n">
        <v>0</v>
      </c>
      <c r="BU34" s="645" t="n">
        <v>0</v>
      </c>
      <c r="BV34" s="645" t="n">
        <v>50</v>
      </c>
      <c r="BW34" s="645" t="n">
        <v>0</v>
      </c>
      <c r="BX34" s="645" t="n">
        <v>0</v>
      </c>
      <c r="BY34" s="416" t="n">
        <v>50</v>
      </c>
      <c r="BZ34" s="416" t="n">
        <v>0</v>
      </c>
      <c r="CA34" s="416" t="n">
        <v>0</v>
      </c>
      <c r="CB34" s="416" t="n">
        <v>50</v>
      </c>
      <c r="CC34" s="416" t="n">
        <v>50</v>
      </c>
      <c r="CD34" s="416" t="n">
        <v>50</v>
      </c>
      <c r="CE34" s="925">
        <f>BF34-AD34</f>
        <v/>
      </c>
      <c r="CF34" s="925">
        <f>BF34-CC34</f>
        <v/>
      </c>
    </row>
    <row r="35">
      <c r="B35" s="937" t="inlineStr">
        <is>
          <t>Fees/Subscriptions</t>
        </is>
      </c>
      <c r="C35" s="184" t="n"/>
      <c r="D35" s="923" t="n">
        <v>0</v>
      </c>
      <c r="E35" s="923" t="n">
        <v>0</v>
      </c>
      <c r="F35" s="923" t="n">
        <v>0</v>
      </c>
      <c r="G35" s="923" t="n">
        <v>13.86</v>
      </c>
      <c r="H35" s="923" t="n">
        <v>0</v>
      </c>
      <c r="I35" s="923" t="n">
        <v>0</v>
      </c>
      <c r="J35" s="924" t="n">
        <v>0</v>
      </c>
      <c r="K35" s="923" t="n">
        <v>0</v>
      </c>
      <c r="L35" s="923" t="n">
        <v>0</v>
      </c>
      <c r="M35" s="923" t="n">
        <v>0</v>
      </c>
      <c r="N35" s="643" t="n">
        <v>0</v>
      </c>
      <c r="O35" s="643" t="n">
        <v>0</v>
      </c>
      <c r="P35" s="644" t="n">
        <v>0</v>
      </c>
      <c r="Q35" s="644" t="n">
        <v>42.58</v>
      </c>
      <c r="R35" s="645" t="n">
        <v>42.58</v>
      </c>
      <c r="S35" s="645" t="n">
        <v>42.58</v>
      </c>
      <c r="T35" s="643" t="n">
        <v>42.58</v>
      </c>
      <c r="U35" s="643" t="n">
        <v>42.58</v>
      </c>
      <c r="V35" s="643" t="n">
        <v>42.58</v>
      </c>
      <c r="W35" s="643" t="n">
        <v>42.58</v>
      </c>
      <c r="X35" s="643" t="n">
        <v>42.58</v>
      </c>
      <c r="Y35" s="643" t="n">
        <v>42.58</v>
      </c>
      <c r="Z35" s="643" t="n">
        <v>0</v>
      </c>
      <c r="AA35" s="643" t="n">
        <v>0</v>
      </c>
      <c r="AB35" s="643" t="n">
        <v>0</v>
      </c>
      <c r="AC35" s="415" t="n">
        <v>0</v>
      </c>
      <c r="AD35" s="1016">
        <f>+SUMIF('Monthly Detail'!$4:$4, $B$14,'Monthly Detail'!87:87)</f>
        <v/>
      </c>
      <c r="AE35" s="643">
        <f>+SUMIF('[1]Monthly Detail'!$4:$4, AD15,'[1]Monthly Detail'!85:85)</f>
        <v/>
      </c>
      <c r="AF35" s="643">
        <f>+SUMIF('[1]Monthly Detail'!$4:$4, AE15,'[1]Monthly Detail'!85:85)</f>
        <v/>
      </c>
      <c r="AG35" s="643">
        <f>+SUMIF('[1]Monthly Detail'!$4:$4, AF15,'[1]Monthly Detail'!85:85)</f>
        <v/>
      </c>
      <c r="AH35" s="643">
        <f>+SUMIF('[1]Monthly Detail'!$4:$4, AG15,'[1]Monthly Detail'!85:85)</f>
        <v/>
      </c>
      <c r="AI35" s="643">
        <f>+SUMIF('[1]Monthly Detail'!$4:$4, AH15,'[1]Monthly Detail'!85:85)</f>
        <v/>
      </c>
      <c r="AJ35" s="643">
        <f>+SUMIF('[1]Monthly Detail'!$4:$4, AI15,'[1]Monthly Detail'!85:85)</f>
        <v/>
      </c>
      <c r="AK35" s="643">
        <f>+SUMIF('[1]Monthly Detail'!$4:$4, AJ15,'[1]Monthly Detail'!85:85)</f>
        <v/>
      </c>
      <c r="AL35" s="643">
        <f>+SUMIF('[1]Monthly Detail'!$4:$4, AK15,'[1]Monthly Detail'!85:85)</f>
        <v/>
      </c>
      <c r="AM35" s="643">
        <f>+SUMIF('[1]Monthly Detail'!$4:$4, AL15,'[1]Monthly Detail'!85:85)</f>
        <v/>
      </c>
      <c r="AN35" s="643" t="n">
        <v>0</v>
      </c>
      <c r="AO35" s="643" t="n">
        <v>0</v>
      </c>
      <c r="AP35" s="643" t="n">
        <v>0</v>
      </c>
      <c r="AQ35" s="643" t="n">
        <v>42.58</v>
      </c>
      <c r="AR35" s="643" t="n"/>
      <c r="AS35" s="643" t="n"/>
      <c r="AT35" s="643" t="n">
        <v>0</v>
      </c>
      <c r="AU35" s="643" t="n">
        <v>0</v>
      </c>
      <c r="AV35" s="643" t="n">
        <v>0</v>
      </c>
      <c r="AW35" s="643" t="n">
        <v>0</v>
      </c>
      <c r="AX35" s="644" t="n">
        <v>0</v>
      </c>
      <c r="AY35" s="644" t="n">
        <v>0</v>
      </c>
      <c r="AZ35" s="644" t="n">
        <v>0</v>
      </c>
      <c r="BA35" s="644" t="n">
        <v>0</v>
      </c>
      <c r="BB35" s="644" t="n">
        <v>0</v>
      </c>
      <c r="BC35" s="644" t="n">
        <v>0</v>
      </c>
      <c r="BD35" s="644" t="n">
        <v>0</v>
      </c>
      <c r="BE35" s="415" t="n">
        <v>0</v>
      </c>
      <c r="BF35" s="1016">
        <f>+SUMIF('Monthly Detail'!$4:$4, $B$14,'Monthly Detail'!87:87)</f>
        <v/>
      </c>
      <c r="BG35" s="644" t="n">
        <v>0</v>
      </c>
      <c r="BH35" s="645" t="n">
        <v>0</v>
      </c>
      <c r="BI35" s="645" t="n">
        <v>0</v>
      </c>
      <c r="BJ35" s="643" t="n">
        <v>0</v>
      </c>
      <c r="BK35" s="643" t="n">
        <v>0</v>
      </c>
      <c r="BL35" s="693" t="n">
        <v>0</v>
      </c>
      <c r="BM35" s="645" t="n">
        <v>0</v>
      </c>
      <c r="BN35" s="645" t="n">
        <v>0</v>
      </c>
      <c r="BO35" s="645" t="n">
        <v>0</v>
      </c>
      <c r="BP35" s="645" t="n">
        <v>0</v>
      </c>
      <c r="BQ35" s="645" t="n">
        <v>0</v>
      </c>
      <c r="BR35" s="645" t="n">
        <v>0</v>
      </c>
      <c r="BS35" s="645" t="n">
        <v>42.58</v>
      </c>
      <c r="BT35" s="645" t="n">
        <v>42.58</v>
      </c>
      <c r="BU35" s="645" t="n">
        <v>42.58</v>
      </c>
      <c r="BV35" s="645" t="n">
        <v>42.58</v>
      </c>
      <c r="BW35" s="645" t="n">
        <v>42.58</v>
      </c>
      <c r="BX35" s="645" t="n">
        <v>42.58</v>
      </c>
      <c r="BY35" s="416" t="n">
        <v>42.58</v>
      </c>
      <c r="BZ35" s="416" t="n">
        <v>42.58</v>
      </c>
      <c r="CA35" s="416" t="n">
        <v>42.58</v>
      </c>
      <c r="CB35" s="416" t="n">
        <v>42.58</v>
      </c>
      <c r="CC35" s="416" t="n">
        <v>42.58</v>
      </c>
      <c r="CD35" s="416" t="n">
        <v>42.58</v>
      </c>
      <c r="CE35" s="925">
        <f>BF35-AD35</f>
        <v/>
      </c>
      <c r="CF35" s="925">
        <f>BF35-CC35</f>
        <v/>
      </c>
    </row>
    <row r="36">
      <c r="B36" s="937" t="inlineStr">
        <is>
          <t>Finance &amp; Accounting</t>
        </is>
      </c>
      <c r="C36" s="184" t="n"/>
      <c r="D36" s="923" t="n">
        <v>75</v>
      </c>
      <c r="E36" s="923" t="n">
        <v>225</v>
      </c>
      <c r="F36" s="923" t="n">
        <v>75</v>
      </c>
      <c r="G36" s="923" t="n">
        <v>75</v>
      </c>
      <c r="H36" s="923" t="n">
        <v>225</v>
      </c>
      <c r="I36" s="923" t="n">
        <v>75</v>
      </c>
      <c r="J36" s="924" t="n">
        <v>112.5</v>
      </c>
      <c r="K36" s="923" t="n">
        <v>225</v>
      </c>
      <c r="L36" s="923" t="n">
        <v>75</v>
      </c>
      <c r="M36" s="923" t="n">
        <v>75</v>
      </c>
      <c r="N36" s="643" t="n">
        <v>225</v>
      </c>
      <c r="O36" s="643" t="n">
        <v>150</v>
      </c>
      <c r="P36" s="644" t="n">
        <v>200</v>
      </c>
      <c r="Q36" s="644" t="n">
        <v>200</v>
      </c>
      <c r="R36" s="645" t="n">
        <v>200</v>
      </c>
      <c r="S36" s="645" t="n">
        <v>200</v>
      </c>
      <c r="T36" s="643" t="n">
        <v>200</v>
      </c>
      <c r="U36" s="643" t="n">
        <v>200</v>
      </c>
      <c r="V36" s="643" t="n">
        <v>200</v>
      </c>
      <c r="W36" s="643" t="n">
        <v>200</v>
      </c>
      <c r="X36" s="643" t="n">
        <v>200</v>
      </c>
      <c r="Y36" s="643" t="n">
        <v>200</v>
      </c>
      <c r="Z36" s="643" t="n">
        <v>375</v>
      </c>
      <c r="AA36" s="643" t="n">
        <v>500</v>
      </c>
      <c r="AB36" s="643" t="n">
        <v>275</v>
      </c>
      <c r="AC36" s="415" t="n">
        <v>600</v>
      </c>
      <c r="AD36" s="1016">
        <f>+SUMIF('Monthly Detail'!$4:$4, $B$14,'Monthly Detail'!88:88)</f>
        <v/>
      </c>
      <c r="AE36" s="643">
        <f>+SUMIF('[1]Monthly Detail'!$4:$4, AD15,'[1]Monthly Detail'!86:86)</f>
        <v/>
      </c>
      <c r="AF36" s="643">
        <f>+SUMIF('[1]Monthly Detail'!$4:$4, AE15,'[1]Monthly Detail'!86:86)</f>
        <v/>
      </c>
      <c r="AG36" s="643">
        <f>+SUMIF('[1]Monthly Detail'!$4:$4, AF15,'[1]Monthly Detail'!86:86)</f>
        <v/>
      </c>
      <c r="AH36" s="643">
        <f>+SUMIF('[1]Monthly Detail'!$4:$4, AG15,'[1]Monthly Detail'!86:86)</f>
        <v/>
      </c>
      <c r="AI36" s="643">
        <f>+SUMIF('[1]Monthly Detail'!$4:$4, AH15,'[1]Monthly Detail'!86:86)</f>
        <v/>
      </c>
      <c r="AJ36" s="643">
        <f>+SUMIF('[1]Monthly Detail'!$4:$4, AI15,'[1]Monthly Detail'!86:86)</f>
        <v/>
      </c>
      <c r="AK36" s="643">
        <f>+SUMIF('[1]Monthly Detail'!$4:$4, AJ15,'[1]Monthly Detail'!86:86)</f>
        <v/>
      </c>
      <c r="AL36" s="643">
        <f>+SUMIF('[1]Monthly Detail'!$4:$4, AK15,'[1]Monthly Detail'!86:86)</f>
        <v/>
      </c>
      <c r="AM36" s="643">
        <f>+SUMIF('[1]Monthly Detail'!$4:$4, AL15,'[1]Monthly Detail'!86:86)</f>
        <v/>
      </c>
      <c r="AN36" s="643" t="n">
        <v>75</v>
      </c>
      <c r="AO36" s="643" t="n">
        <v>225</v>
      </c>
      <c r="AP36" s="643" t="n">
        <v>185</v>
      </c>
      <c r="AQ36" s="643" t="n">
        <v>207.5</v>
      </c>
      <c r="AR36" s="643" t="n"/>
      <c r="AS36" s="643" t="n"/>
      <c r="AT36" s="643" t="n">
        <v>241.25</v>
      </c>
      <c r="AU36" s="643" t="n">
        <v>140</v>
      </c>
      <c r="AV36" s="643" t="n">
        <v>711.25</v>
      </c>
      <c r="AW36" s="643" t="n">
        <v>412.5</v>
      </c>
      <c r="AX36" s="644" t="n">
        <v>1155.73</v>
      </c>
      <c r="AY36" s="644" t="n">
        <v>415</v>
      </c>
      <c r="AZ36" s="644" t="n">
        <v>356.25</v>
      </c>
      <c r="BA36" s="644" t="n">
        <v>281.25</v>
      </c>
      <c r="BB36" s="644" t="n">
        <v>281.25</v>
      </c>
      <c r="BC36" s="644" t="n">
        <v>281.25</v>
      </c>
      <c r="BD36" s="644" t="n">
        <v>281.25</v>
      </c>
      <c r="BE36" s="415" t="n">
        <v>281.25</v>
      </c>
      <c r="BF36" s="1016">
        <f>+SUMIF('Monthly Detail'!$4:$4, $B$14,'Monthly Detail'!88:88)</f>
        <v/>
      </c>
      <c r="BG36" s="644" t="n">
        <v>75</v>
      </c>
      <c r="BH36" s="645" t="n">
        <v>75</v>
      </c>
      <c r="BI36" s="645" t="n">
        <v>225</v>
      </c>
      <c r="BJ36" s="643" t="n">
        <v>75</v>
      </c>
      <c r="BK36" s="643" t="n">
        <v>75</v>
      </c>
      <c r="BL36" s="693" t="n">
        <v>225</v>
      </c>
      <c r="BM36" s="645" t="n">
        <v>75</v>
      </c>
      <c r="BN36" s="645" t="n">
        <v>75</v>
      </c>
      <c r="BO36" s="645" t="n">
        <v>225</v>
      </c>
      <c r="BP36" s="645" t="n">
        <v>75</v>
      </c>
      <c r="BQ36" s="645" t="n">
        <v>75</v>
      </c>
      <c r="BR36" s="645" t="n">
        <v>225</v>
      </c>
      <c r="BS36" s="645" t="n">
        <v>200</v>
      </c>
      <c r="BT36" s="645" t="n">
        <v>200</v>
      </c>
      <c r="BU36" s="645" t="n">
        <v>600</v>
      </c>
      <c r="BV36" s="645" t="n">
        <v>350</v>
      </c>
      <c r="BW36" s="645" t="n">
        <v>200</v>
      </c>
      <c r="BX36" s="645" t="n">
        <v>200</v>
      </c>
      <c r="BY36" s="416" t="n">
        <v>350</v>
      </c>
      <c r="BZ36" s="416" t="n">
        <v>200</v>
      </c>
      <c r="CA36" s="416" t="n">
        <v>200</v>
      </c>
      <c r="CB36" s="416" t="n">
        <v>350</v>
      </c>
      <c r="CC36" s="416" t="n">
        <v>200</v>
      </c>
      <c r="CD36" s="416" t="n">
        <v>200</v>
      </c>
      <c r="CE36" s="925">
        <f>BF36-AD36</f>
        <v/>
      </c>
      <c r="CF36" s="925">
        <f>BF36-CC36</f>
        <v/>
      </c>
    </row>
    <row r="37">
      <c r="B37" s="937" t="inlineStr">
        <is>
          <t>Bank Fees</t>
        </is>
      </c>
      <c r="C37" s="184" t="n"/>
      <c r="D37" s="923" t="n">
        <v>28.905</v>
      </c>
      <c r="E37" s="923" t="n">
        <v>20.33666666666667</v>
      </c>
      <c r="F37" s="923" t="n">
        <v>58.91333333333333</v>
      </c>
      <c r="G37" s="923" t="n">
        <v>38.105</v>
      </c>
      <c r="H37" s="923" t="n">
        <v>30.79166666666667</v>
      </c>
      <c r="I37" s="923" t="n">
        <v>31.454</v>
      </c>
      <c r="J37" s="924" t="n">
        <v>23.345</v>
      </c>
      <c r="K37" s="923" t="n">
        <v>17.71833333333333</v>
      </c>
      <c r="L37" s="923" t="n">
        <v>9.958333333333334</v>
      </c>
      <c r="M37" s="923" t="n">
        <v>5.883333333333333</v>
      </c>
      <c r="N37" s="643" t="n">
        <v>2.45</v>
      </c>
      <c r="O37" s="643" t="n">
        <v>2.45</v>
      </c>
      <c r="P37" s="644" t="n">
        <v>8.280000000000001</v>
      </c>
      <c r="Q37" s="644" t="n">
        <v>13.21666666666667</v>
      </c>
      <c r="R37" s="645" t="n">
        <v>21.36666666666666</v>
      </c>
      <c r="S37" s="645" t="n">
        <v>30.3</v>
      </c>
      <c r="T37" s="643" t="n">
        <v>30.3</v>
      </c>
      <c r="U37" s="643" t="n">
        <v>30.3</v>
      </c>
      <c r="V37" s="643" t="n">
        <v>30.3</v>
      </c>
      <c r="W37" s="643" t="n">
        <v>29</v>
      </c>
      <c r="X37" s="643" t="n">
        <v>29</v>
      </c>
      <c r="Y37" s="643" t="n">
        <v>29</v>
      </c>
      <c r="Z37" s="643" t="n">
        <v>13</v>
      </c>
      <c r="AA37" s="643" t="n">
        <v>10.4</v>
      </c>
      <c r="AB37" s="643" t="n">
        <v>8.666666666666666</v>
      </c>
      <c r="AC37" s="415" t="n">
        <v>0.3333333333333333</v>
      </c>
      <c r="AD37" s="1016">
        <f>+SUMIF('Monthly Detail'!$4:$4, $B$14,'Monthly Detail'!89:89)</f>
        <v/>
      </c>
      <c r="AE37" s="643">
        <f>+SUMIF('[1]Monthly Detail'!$4:$4, AD15,'[1]Monthly Detail'!87:87)</f>
        <v/>
      </c>
      <c r="AF37" s="643">
        <f>+SUMIF('[1]Monthly Detail'!$4:$4, AE15,'[1]Monthly Detail'!87:87)</f>
        <v/>
      </c>
      <c r="AG37" s="643">
        <f>+SUMIF('[1]Monthly Detail'!$4:$4, AF15,'[1]Monthly Detail'!87:87)</f>
        <v/>
      </c>
      <c r="AH37" s="643">
        <f>+SUMIF('[1]Monthly Detail'!$4:$4, AG15,'[1]Monthly Detail'!87:87)</f>
        <v/>
      </c>
      <c r="AI37" s="643">
        <f>+SUMIF('[1]Monthly Detail'!$4:$4, AH15,'[1]Monthly Detail'!87:87)</f>
        <v/>
      </c>
      <c r="AJ37" s="643">
        <f>+SUMIF('[1]Monthly Detail'!$4:$4, AI15,'[1]Monthly Detail'!87:87)</f>
        <v/>
      </c>
      <c r="AK37" s="643">
        <f>+SUMIF('[1]Monthly Detail'!$4:$4, AJ15,'[1]Monthly Detail'!87:87)</f>
        <v/>
      </c>
      <c r="AL37" s="643">
        <f>+SUMIF('[1]Monthly Detail'!$4:$4, AK15,'[1]Monthly Detail'!87:87)</f>
        <v/>
      </c>
      <c r="AM37" s="643">
        <f>+SUMIF('[1]Monthly Detail'!$4:$4, AL15,'[1]Monthly Detail'!87:87)</f>
        <v/>
      </c>
      <c r="AN37" s="643" t="n">
        <v>3.5</v>
      </c>
      <c r="AO37" s="643" t="n">
        <v>0</v>
      </c>
      <c r="AP37" s="643" t="n">
        <v>31.6</v>
      </c>
      <c r="AQ37" s="643" t="n">
        <v>0</v>
      </c>
      <c r="AR37" s="643" t="n"/>
      <c r="AS37" s="643" t="n"/>
      <c r="AT37" s="643" t="n">
        <v>0</v>
      </c>
      <c r="AU37" s="643" t="n">
        <v>0</v>
      </c>
      <c r="AV37" s="643" t="n">
        <v>0</v>
      </c>
      <c r="AW37" s="643" t="n">
        <v>0</v>
      </c>
      <c r="AX37" s="644" t="n">
        <v>52</v>
      </c>
      <c r="AY37" s="644" t="n">
        <v>0</v>
      </c>
      <c r="AZ37" s="644" t="n">
        <v>0</v>
      </c>
      <c r="BA37" s="644" t="n">
        <v>0</v>
      </c>
      <c r="BB37" s="644" t="n">
        <v>0</v>
      </c>
      <c r="BC37" s="644" t="n">
        <v>0</v>
      </c>
      <c r="BD37" s="644" t="n">
        <v>0</v>
      </c>
      <c r="BE37" s="415" t="n">
        <v>0</v>
      </c>
      <c r="BF37" s="1016">
        <f>+SUMIF('Monthly Detail'!$4:$4, $B$14,'Monthly Detail'!89:89)</f>
        <v/>
      </c>
      <c r="BG37" s="644" t="n">
        <v>31.454</v>
      </c>
      <c r="BH37" s="645" t="n">
        <v>31.454</v>
      </c>
      <c r="BI37" s="645" t="n">
        <v>31.454</v>
      </c>
      <c r="BJ37" s="643" t="n">
        <v>31.454</v>
      </c>
      <c r="BK37" s="643" t="n">
        <v>31.454</v>
      </c>
      <c r="BL37" s="693" t="n">
        <v>31.454</v>
      </c>
      <c r="BM37" s="645" t="n">
        <v>31.454</v>
      </c>
      <c r="BN37" s="645" t="n">
        <v>31.454</v>
      </c>
      <c r="BO37" s="645" t="n">
        <v>31.454</v>
      </c>
      <c r="BP37" s="645" t="n">
        <v>31.454</v>
      </c>
      <c r="BQ37" s="645" t="n">
        <v>31.454</v>
      </c>
      <c r="BR37" s="645" t="n">
        <v>31.454</v>
      </c>
      <c r="BS37" s="645" t="n">
        <v>29</v>
      </c>
      <c r="BT37" s="645" t="n">
        <v>30.3</v>
      </c>
      <c r="BU37" s="645" t="n">
        <v>30.3</v>
      </c>
      <c r="BV37" s="645" t="n">
        <v>30.3</v>
      </c>
      <c r="BW37" s="645" t="n">
        <v>30.3</v>
      </c>
      <c r="BX37" s="645" t="n">
        <v>30.3</v>
      </c>
      <c r="BY37" s="416" t="n">
        <v>30.3</v>
      </c>
      <c r="BZ37" s="416" t="n">
        <v>30.3</v>
      </c>
      <c r="CA37" s="416" t="n">
        <v>30.3</v>
      </c>
      <c r="CB37" s="416" t="n">
        <v>30.3</v>
      </c>
      <c r="CC37" s="416" t="n">
        <v>30.3</v>
      </c>
      <c r="CD37" s="416" t="n">
        <v>30.3</v>
      </c>
      <c r="CE37" s="925">
        <f>BF37-AD37</f>
        <v/>
      </c>
      <c r="CF37" s="925">
        <f>BF37-CC37</f>
        <v/>
      </c>
    </row>
    <row r="38">
      <c r="B38" s="937" t="inlineStr">
        <is>
          <t>Meals and Entertainment</t>
        </is>
      </c>
      <c r="C38" s="184" t="n"/>
      <c r="D38" s="923" t="n">
        <v>0</v>
      </c>
      <c r="E38" s="923" t="n"/>
      <c r="F38" s="923" t="n">
        <v>0</v>
      </c>
      <c r="G38" s="923" t="n">
        <v>0</v>
      </c>
      <c r="H38" s="923" t="n">
        <v>0</v>
      </c>
      <c r="I38" s="923" t="n"/>
      <c r="J38" s="924" t="n">
        <v>0</v>
      </c>
      <c r="K38" s="923" t="n">
        <v>0</v>
      </c>
      <c r="L38" s="923" t="n">
        <v>0</v>
      </c>
      <c r="M38" s="923" t="n">
        <v>0</v>
      </c>
      <c r="N38" s="643" t="n">
        <v>0</v>
      </c>
      <c r="O38" s="643" t="n">
        <v>0</v>
      </c>
      <c r="P38" s="644" t="n">
        <v>218.02</v>
      </c>
      <c r="Q38" s="644" t="n">
        <v>106.4966666666667</v>
      </c>
      <c r="R38" s="645" t="n">
        <v>121.3</v>
      </c>
      <c r="S38" s="645" t="n">
        <v>289.14</v>
      </c>
      <c r="T38" s="643" t="n">
        <v>289.14</v>
      </c>
      <c r="U38" s="643" t="n">
        <v>289.14</v>
      </c>
      <c r="V38" s="643" t="n">
        <v>289.14</v>
      </c>
      <c r="W38" s="643" t="n">
        <v>295.735</v>
      </c>
      <c r="X38" s="643" t="n">
        <v>295.735</v>
      </c>
      <c r="Y38" s="643" t="n">
        <v>295.735</v>
      </c>
      <c r="Z38" s="643" t="n">
        <v>225.6</v>
      </c>
      <c r="AA38" s="643" t="n">
        <v>294.6475</v>
      </c>
      <c r="AB38" s="643" t="n">
        <v>352.7975</v>
      </c>
      <c r="AC38" s="415" t="n">
        <v>358.896</v>
      </c>
      <c r="AD38" s="1016">
        <f>+SUMIF('Monthly Detail'!$4:$4, $B$14,'Monthly Detail'!90:90)</f>
        <v/>
      </c>
      <c r="AE38" s="643">
        <f>+SUMIF('[1]Monthly Detail'!$4:$4, AD15,'[1]Monthly Detail'!88:88)</f>
        <v/>
      </c>
      <c r="AF38" s="643">
        <f>+SUMIF('[1]Monthly Detail'!$4:$4, AE15,'[1]Monthly Detail'!88:88)</f>
        <v/>
      </c>
      <c r="AG38" s="643">
        <f>+SUMIF('[1]Monthly Detail'!$4:$4, AF15,'[1]Monthly Detail'!88:88)</f>
        <v/>
      </c>
      <c r="AH38" s="643">
        <f>+SUMIF('[1]Monthly Detail'!$4:$4, AG15,'[1]Monthly Detail'!88:88)</f>
        <v/>
      </c>
      <c r="AI38" s="643">
        <f>+SUMIF('[1]Monthly Detail'!$4:$4, AH15,'[1]Monthly Detail'!88:88)</f>
        <v/>
      </c>
      <c r="AJ38" s="643">
        <f>+SUMIF('[1]Monthly Detail'!$4:$4, AI15,'[1]Monthly Detail'!88:88)</f>
        <v/>
      </c>
      <c r="AK38" s="643">
        <f>+SUMIF('[1]Monthly Detail'!$4:$4, AJ15,'[1]Monthly Detail'!88:88)</f>
        <v/>
      </c>
      <c r="AL38" s="643">
        <f>+SUMIF('[1]Monthly Detail'!$4:$4, AK15,'[1]Monthly Detail'!88:88)</f>
        <v/>
      </c>
      <c r="AM38" s="643">
        <f>+SUMIF('[1]Monthly Detail'!$4:$4, AL15,'[1]Monthly Detail'!88:88)</f>
        <v/>
      </c>
      <c r="AN38" s="643" t="n">
        <v>0</v>
      </c>
      <c r="AO38" s="643" t="n">
        <v>0</v>
      </c>
      <c r="AP38" s="643" t="n">
        <v>218.02</v>
      </c>
      <c r="AQ38" s="643" t="n">
        <v>57.06</v>
      </c>
      <c r="AR38" s="643" t="n"/>
      <c r="AS38" s="643" t="n"/>
      <c r="AT38" s="643" t="n">
        <v>837.0700000000001</v>
      </c>
      <c r="AU38" s="643" t="n">
        <v>0</v>
      </c>
      <c r="AV38" s="643" t="n">
        <v>50</v>
      </c>
      <c r="AW38" s="643" t="n">
        <v>251.46</v>
      </c>
      <c r="AX38" s="644" t="n">
        <v>0</v>
      </c>
      <c r="AY38" s="644" t="n">
        <v>0</v>
      </c>
      <c r="AZ38" s="644" t="n">
        <v>285.65</v>
      </c>
      <c r="BA38" s="644" t="n">
        <v>315.29</v>
      </c>
      <c r="BB38" s="644" t="n">
        <v>315.29</v>
      </c>
      <c r="BC38" s="644" t="n">
        <v>315.29</v>
      </c>
      <c r="BD38" s="644" t="n">
        <v>315.29</v>
      </c>
      <c r="BE38" s="415" t="n">
        <v>315.29</v>
      </c>
      <c r="BF38" s="1016">
        <f>+SUMIF('Monthly Detail'!$4:$4, $B$14,'Monthly Detail'!90:90)</f>
        <v/>
      </c>
      <c r="BG38" s="644" t="n"/>
      <c r="BH38" s="645" t="n"/>
      <c r="BI38" s="645" t="n"/>
      <c r="BJ38" s="643" t="n"/>
      <c r="BK38" s="643" t="n"/>
      <c r="BL38" s="693" t="n">
        <v>0</v>
      </c>
      <c r="BM38" s="645" t="n">
        <v>0</v>
      </c>
      <c r="BN38" s="645" t="n">
        <v>0</v>
      </c>
      <c r="BO38" s="645" t="n"/>
      <c r="BP38" s="645" t="n"/>
      <c r="BQ38" s="645" t="n"/>
      <c r="BR38" s="645" t="n"/>
      <c r="BS38" s="645" t="n">
        <v>247.135</v>
      </c>
      <c r="BT38" s="645" t="n">
        <v>289.14</v>
      </c>
      <c r="BU38" s="645" t="n">
        <v>289.14</v>
      </c>
      <c r="BV38" s="645" t="n">
        <v>289.14</v>
      </c>
      <c r="BW38" s="645" t="n">
        <v>289.14</v>
      </c>
      <c r="BX38" s="645" t="n">
        <v>289.14</v>
      </c>
      <c r="BY38" s="416" t="n">
        <v>289.14</v>
      </c>
      <c r="BZ38" s="416" t="n">
        <v>289.14</v>
      </c>
      <c r="CA38" s="416" t="n">
        <v>289.14</v>
      </c>
      <c r="CB38" s="416" t="n">
        <v>289.14</v>
      </c>
      <c r="CC38" s="416" t="n">
        <v>289.14</v>
      </c>
      <c r="CD38" s="416" t="n">
        <v>289.14</v>
      </c>
      <c r="CE38" s="925">
        <f>BF38-AD38</f>
        <v/>
      </c>
      <c r="CF38" s="925">
        <f>BF38-CC38</f>
        <v/>
      </c>
    </row>
    <row r="39">
      <c r="B39" s="937" t="inlineStr">
        <is>
          <t>QBO Fees</t>
        </is>
      </c>
      <c r="C39" s="184" t="n"/>
      <c r="D39" s="923" t="n">
        <v>93.20999999999999</v>
      </c>
      <c r="E39" s="923" t="n">
        <v>194.71</v>
      </c>
      <c r="F39" s="923" t="n">
        <v>210.47</v>
      </c>
      <c r="G39" s="923" t="n">
        <v>313.34</v>
      </c>
      <c r="H39" s="923" t="n">
        <v>226.36</v>
      </c>
      <c r="I39" s="923" t="n">
        <v>105.16</v>
      </c>
      <c r="J39" s="924" t="n">
        <v>124.93</v>
      </c>
      <c r="K39" s="923" t="n">
        <v>156.19</v>
      </c>
      <c r="L39" s="923" t="n">
        <v>141.67</v>
      </c>
      <c r="M39" s="923" t="n">
        <v>145.28</v>
      </c>
      <c r="N39" s="643" t="n">
        <v>141.1</v>
      </c>
      <c r="O39" s="643" t="n">
        <v>247.6391117014493</v>
      </c>
      <c r="P39" s="644" t="n">
        <v>339.0333367468691</v>
      </c>
      <c r="Q39" s="644" t="n">
        <v>335.8984771030269</v>
      </c>
      <c r="R39" s="645" t="n">
        <v>257.5207706245716</v>
      </c>
      <c r="S39" s="645" t="n">
        <v>178.5279525095095</v>
      </c>
      <c r="T39" s="643" t="n">
        <v>178.5279525095095</v>
      </c>
      <c r="U39" s="643" t="n">
        <v>178.5279525095095</v>
      </c>
      <c r="V39" s="643" t="n">
        <v>178.5279525095095</v>
      </c>
      <c r="W39" s="643" t="n">
        <v>238.928545570323</v>
      </c>
      <c r="X39" s="643" t="n">
        <v>238.928545570323</v>
      </c>
      <c r="Y39" s="643" t="n">
        <v>238.928545570323</v>
      </c>
      <c r="Z39" s="643" t="n">
        <v>364.6741452642563</v>
      </c>
      <c r="AA39" s="643" t="n">
        <v>509.5502825619494</v>
      </c>
      <c r="AB39" s="643" t="n">
        <v>527.3824289644602</v>
      </c>
      <c r="AC39" s="415" t="n">
        <v>677.1233525383925</v>
      </c>
      <c r="AD39" s="1016">
        <f>+SUMIF('Monthly Detail'!$4:$4, $B$14,'Monthly Detail'!91:91)</f>
        <v/>
      </c>
      <c r="AE39" s="643">
        <f>+SUMIF('[1]Monthly Detail'!$4:$4, AD15,'[1]Monthly Detail'!89:89)</f>
        <v/>
      </c>
      <c r="AF39" s="643">
        <f>+SUMIF('[1]Monthly Detail'!$4:$4, AE15,'[1]Monthly Detail'!89:89)</f>
        <v/>
      </c>
      <c r="AG39" s="643">
        <f>+SUMIF('[1]Monthly Detail'!$4:$4, AF15,'[1]Monthly Detail'!89:89)</f>
        <v/>
      </c>
      <c r="AH39" s="643">
        <f>+SUMIF('[1]Monthly Detail'!$4:$4, AG15,'[1]Monthly Detail'!89:89)</f>
        <v/>
      </c>
      <c r="AI39" s="643">
        <f>+SUMIF('[1]Monthly Detail'!$4:$4, AH15,'[1]Monthly Detail'!89:89)</f>
        <v/>
      </c>
      <c r="AJ39" s="643">
        <f>+SUMIF('[1]Monthly Detail'!$4:$4, AI15,'[1]Monthly Detail'!89:89)</f>
        <v/>
      </c>
      <c r="AK39" s="643">
        <f>+SUMIF('[1]Monthly Detail'!$4:$4, AJ15,'[1]Monthly Detail'!89:89)</f>
        <v/>
      </c>
      <c r="AL39" s="643">
        <f>+SUMIF('[1]Monthly Detail'!$4:$4, AK15,'[1]Monthly Detail'!89:89)</f>
        <v/>
      </c>
      <c r="AM39" s="643">
        <f>+SUMIF('[1]Monthly Detail'!$4:$4, AL15,'[1]Monthly Detail'!89:89)</f>
        <v/>
      </c>
      <c r="AN39" s="643" t="n">
        <v>173.37</v>
      </c>
      <c r="AO39" s="643" t="n">
        <v>236.32</v>
      </c>
      <c r="AP39" s="643" t="n">
        <v>228.28</v>
      </c>
      <c r="AQ39" s="643" t="n">
        <v>404.2</v>
      </c>
      <c r="AR39" s="643" t="n"/>
      <c r="AS39" s="643" t="n"/>
      <c r="AT39" s="643" t="n">
        <v>315.97</v>
      </c>
      <c r="AU39" s="643" t="n">
        <v>199.98</v>
      </c>
      <c r="AV39" s="643" t="n">
        <v>229.96</v>
      </c>
      <c r="AW39" s="643" t="n">
        <v>281.21</v>
      </c>
      <c r="AX39" s="644" t="n">
        <v>303.5</v>
      </c>
      <c r="AY39" s="644" t="n">
        <v>167.72</v>
      </c>
      <c r="AZ39" s="644" t="n">
        <v>171.91</v>
      </c>
      <c r="BA39" s="644" t="n">
        <v>212.1</v>
      </c>
      <c r="BB39" s="644" t="n">
        <v>212.1</v>
      </c>
      <c r="BC39" s="644" t="n">
        <v>212.1</v>
      </c>
      <c r="BD39" s="644" t="n">
        <v>212.1</v>
      </c>
      <c r="BE39" s="415" t="n">
        <v>212.1</v>
      </c>
      <c r="BF39" s="1016">
        <f>+SUMIF('Monthly Detail'!$4:$4, $B$14,'Monthly Detail'!91:91)</f>
        <v/>
      </c>
      <c r="BG39" s="644" t="n">
        <v>105.16</v>
      </c>
      <c r="BH39" s="645" t="n">
        <v>105.16</v>
      </c>
      <c r="BI39" s="645" t="n">
        <v>105.16</v>
      </c>
      <c r="BJ39" s="643" t="n">
        <v>105.16</v>
      </c>
      <c r="BK39" s="643" t="n">
        <v>105.16</v>
      </c>
      <c r="BL39" s="693" t="n">
        <v>105.16</v>
      </c>
      <c r="BM39" s="645" t="n">
        <v>105.16</v>
      </c>
      <c r="BN39" s="645" t="n">
        <v>105.16</v>
      </c>
      <c r="BO39" s="645" t="n">
        <v>105.16</v>
      </c>
      <c r="BP39" s="645" t="n">
        <v>105.16</v>
      </c>
      <c r="BQ39" s="645" t="n">
        <v>105.16</v>
      </c>
      <c r="BR39" s="645" t="n">
        <v>105.16</v>
      </c>
      <c r="BS39" s="645" t="n">
        <v>340.0568486568493</v>
      </c>
      <c r="BT39" s="645" t="n">
        <v>409.9703333354553</v>
      </c>
      <c r="BU39" s="645" t="n">
        <v>241.4189072214228</v>
      </c>
      <c r="BV39" s="645" t="n">
        <v>317.5883535028477</v>
      </c>
      <c r="BW39" s="645" t="n">
        <v>346.6760140565873</v>
      </c>
      <c r="BX39" s="645" t="n">
        <v>187.6539081273477</v>
      </c>
      <c r="BY39" s="416" t="n">
        <v>350.7598137019103</v>
      </c>
      <c r="BZ39" s="416" t="n">
        <v>512.3771305011212</v>
      </c>
      <c r="CA39" s="416" t="n">
        <v>391.5744638676611</v>
      </c>
      <c r="CB39" s="416" t="n">
        <v>504.7755451153878</v>
      </c>
      <c r="CC39" s="416" t="n">
        <v>284.167389603166</v>
      </c>
      <c r="CD39" s="416" t="n">
        <v>203.095598862551</v>
      </c>
      <c r="CE39" s="925">
        <f>BF39-AD39</f>
        <v/>
      </c>
      <c r="CF39" s="925">
        <f>BF39-CC39</f>
        <v/>
      </c>
    </row>
    <row r="40">
      <c r="B40" s="937" t="inlineStr">
        <is>
          <t>Professional/Legal Fees</t>
        </is>
      </c>
      <c r="C40" s="184" t="n"/>
      <c r="D40" s="923" t="n">
        <v>0</v>
      </c>
      <c r="E40" s="923" t="n">
        <v>0</v>
      </c>
      <c r="F40" s="923" t="n">
        <v>0</v>
      </c>
      <c r="G40" s="923" t="n">
        <v>171.4166666666667</v>
      </c>
      <c r="H40" s="923" t="n">
        <v>234.625</v>
      </c>
      <c r="I40" s="923" t="n">
        <v>296.1666666666667</v>
      </c>
      <c r="J40" s="924" t="n">
        <v>416.75</v>
      </c>
      <c r="K40" s="923" t="n">
        <v>316.75</v>
      </c>
      <c r="L40" s="923" t="n">
        <v>0</v>
      </c>
      <c r="M40" s="923" t="n">
        <v>0</v>
      </c>
      <c r="N40" s="643" t="n">
        <v>0</v>
      </c>
      <c r="O40" s="643" t="n">
        <v>0</v>
      </c>
      <c r="P40" s="644" t="n">
        <v>0</v>
      </c>
      <c r="Q40" s="644" t="n">
        <v>490</v>
      </c>
      <c r="R40" s="645" t="n">
        <v>376.25</v>
      </c>
      <c r="S40" s="645" t="n">
        <v>376.25</v>
      </c>
      <c r="T40" s="643" t="n">
        <v>376.25</v>
      </c>
      <c r="U40" s="643" t="n">
        <v>376.25</v>
      </c>
      <c r="V40" s="643" t="n">
        <v>376.25</v>
      </c>
      <c r="W40" s="643" t="n">
        <v>262.5</v>
      </c>
      <c r="X40" s="643" t="n">
        <v>262.5</v>
      </c>
      <c r="Y40" s="643" t="n">
        <v>262.5</v>
      </c>
      <c r="Z40" s="643" t="n">
        <v>471.25</v>
      </c>
      <c r="AA40" s="643" t="n">
        <v>405.8333333333333</v>
      </c>
      <c r="AB40" s="643" t="n">
        <v>326.375</v>
      </c>
      <c r="AC40" s="415" t="n">
        <v>199.5</v>
      </c>
      <c r="AD40" s="1016">
        <f>+SUMIF('Monthly Detail'!$4:$4, $B$14,'Monthly Detail'!92:92)</f>
        <v/>
      </c>
      <c r="AE40" s="643">
        <f>+SUMIF('[1]Monthly Detail'!$4:$4, AD15,'[1]Monthly Detail'!90:90)</f>
        <v/>
      </c>
      <c r="AF40" s="643">
        <f>+SUMIF('[1]Monthly Detail'!$4:$4, AE15,'[1]Monthly Detail'!90:90)</f>
        <v/>
      </c>
      <c r="AG40" s="643">
        <f>+SUMIF('[1]Monthly Detail'!$4:$4, AF15,'[1]Monthly Detail'!90:90)</f>
        <v/>
      </c>
      <c r="AH40" s="643">
        <f>+SUMIF('[1]Monthly Detail'!$4:$4, AG15,'[1]Monthly Detail'!90:90)</f>
        <v/>
      </c>
      <c r="AI40" s="643">
        <f>+SUMIF('[1]Monthly Detail'!$4:$4, AH15,'[1]Monthly Detail'!90:90)</f>
        <v/>
      </c>
      <c r="AJ40" s="643">
        <f>+SUMIF('[1]Monthly Detail'!$4:$4, AI15,'[1]Monthly Detail'!90:90)</f>
        <v/>
      </c>
      <c r="AK40" s="643">
        <f>+SUMIF('[1]Monthly Detail'!$4:$4, AJ15,'[1]Monthly Detail'!90:90)</f>
        <v/>
      </c>
      <c r="AL40" s="643">
        <f>+SUMIF('[1]Monthly Detail'!$4:$4, AK15,'[1]Monthly Detail'!90:90)</f>
        <v/>
      </c>
      <c r="AM40" s="643">
        <f>+SUMIF('[1]Monthly Detail'!$4:$4, AL15,'[1]Monthly Detail'!90:90)</f>
        <v/>
      </c>
      <c r="AN40" s="643" t="n">
        <v>0</v>
      </c>
      <c r="AO40" s="643" t="n">
        <v>0</v>
      </c>
      <c r="AP40" s="643" t="n">
        <v>0</v>
      </c>
      <c r="AQ40" s="643" t="n">
        <v>490</v>
      </c>
      <c r="AR40" s="643" t="n"/>
      <c r="AS40" s="643" t="n"/>
      <c r="AT40" s="643" t="n">
        <v>0</v>
      </c>
      <c r="AU40" s="643" t="n">
        <v>0</v>
      </c>
      <c r="AV40" s="643" t="n">
        <v>0</v>
      </c>
      <c r="AW40" s="643" t="n">
        <v>0</v>
      </c>
      <c r="AX40" s="644" t="n">
        <v>707</v>
      </c>
      <c r="AY40" s="644" t="n">
        <v>235.5</v>
      </c>
      <c r="AZ40" s="644" t="n">
        <v>0</v>
      </c>
      <c r="BA40" s="644" t="n">
        <v>0</v>
      </c>
      <c r="BB40" s="644" t="n">
        <v>0</v>
      </c>
      <c r="BC40" s="644" t="n">
        <v>0</v>
      </c>
      <c r="BD40" s="644" t="n">
        <v>0</v>
      </c>
      <c r="BE40" s="415" t="n">
        <v>0</v>
      </c>
      <c r="BF40" s="1016">
        <f>+SUMIF('Monthly Detail'!$4:$4, $B$14,'Monthly Detail'!92:92)</f>
        <v/>
      </c>
      <c r="BG40" s="644" t="n">
        <v>296.1666666666667</v>
      </c>
      <c r="BH40" s="645" t="n">
        <v>296.1666666666667</v>
      </c>
      <c r="BI40" s="645" t="n">
        <v>296.1666666666667</v>
      </c>
      <c r="BJ40" s="643" t="n">
        <v>296.1666666666667</v>
      </c>
      <c r="BK40" s="643" t="n">
        <v>296.1666666666667</v>
      </c>
      <c r="BL40" s="693" t="n">
        <v>296.1666666666667</v>
      </c>
      <c r="BM40" s="645" t="n">
        <v>296.1666666666667</v>
      </c>
      <c r="BN40" s="645" t="n">
        <v>296.1666666666667</v>
      </c>
      <c r="BO40" s="645" t="n">
        <v>296.1666666666667</v>
      </c>
      <c r="BP40" s="645" t="n">
        <v>296.1666666666667</v>
      </c>
      <c r="BQ40" s="645" t="n">
        <v>296.1666666666667</v>
      </c>
      <c r="BR40" s="645" t="n">
        <v>296.1666666666667</v>
      </c>
      <c r="BS40" s="645" t="n">
        <v>376.25</v>
      </c>
      <c r="BT40" s="645" t="n">
        <v>0</v>
      </c>
      <c r="BU40" s="645" t="n">
        <v>0</v>
      </c>
      <c r="BV40" s="645" t="n">
        <v>0</v>
      </c>
      <c r="BW40" s="645" t="n">
        <v>0</v>
      </c>
      <c r="BX40" s="645" t="n">
        <v>0</v>
      </c>
      <c r="BY40" s="416" t="n">
        <v>0</v>
      </c>
      <c r="BZ40" s="416" t="n">
        <v>490</v>
      </c>
      <c r="CA40" s="416" t="n">
        <v>0</v>
      </c>
      <c r="CB40" s="416" t="n">
        <v>262.5</v>
      </c>
      <c r="CC40" s="416" t="n">
        <v>0</v>
      </c>
      <c r="CD40" s="416" t="n">
        <v>376.25</v>
      </c>
      <c r="CE40" s="925">
        <f>BF40-AD40</f>
        <v/>
      </c>
      <c r="CF40" s="925">
        <f>BF40-CC40</f>
        <v/>
      </c>
    </row>
    <row r="41">
      <c r="B41" s="937" t="inlineStr">
        <is>
          <t>Utilities</t>
        </is>
      </c>
      <c r="C41" s="184" t="n"/>
      <c r="D41" s="923" t="n">
        <v>170.5166666666667</v>
      </c>
      <c r="E41" s="923" t="n">
        <v>199.5075</v>
      </c>
      <c r="F41" s="923" t="n">
        <v>187.24</v>
      </c>
      <c r="G41" s="923" t="n">
        <v>199.9266666666666</v>
      </c>
      <c r="H41" s="923" t="n">
        <v>190.87</v>
      </c>
      <c r="I41" s="923" t="n">
        <v>190.98</v>
      </c>
      <c r="J41" s="924" t="n">
        <v>183.8683333333333</v>
      </c>
      <c r="K41" s="923" t="n">
        <v>159.1916666666666</v>
      </c>
      <c r="L41" s="923" t="n">
        <v>159.2333333333333</v>
      </c>
      <c r="M41" s="923" t="n">
        <v>139.6683333333333</v>
      </c>
      <c r="N41" s="643" t="n">
        <v>140.3383333333333</v>
      </c>
      <c r="O41" s="643" t="n">
        <v>141.0083333333333</v>
      </c>
      <c r="P41" s="644" t="n">
        <v>202.29</v>
      </c>
      <c r="Q41" s="644" t="n">
        <v>378.53</v>
      </c>
      <c r="R41" s="645" t="n">
        <v>260.35</v>
      </c>
      <c r="S41" s="645" t="n">
        <v>169.03</v>
      </c>
      <c r="T41" s="643" t="n">
        <v>169.03</v>
      </c>
      <c r="U41" s="643" t="n">
        <v>169.03</v>
      </c>
      <c r="V41" s="643" t="n">
        <v>169.03</v>
      </c>
      <c r="W41" s="643" t="n">
        <v>155.68</v>
      </c>
      <c r="X41" s="643" t="n">
        <v>155.68</v>
      </c>
      <c r="Y41" s="643" t="n">
        <v>155.68</v>
      </c>
      <c r="Z41" s="643" t="n">
        <v>123.01</v>
      </c>
      <c r="AA41" s="643" t="n">
        <v>123.01</v>
      </c>
      <c r="AB41" s="643" t="n">
        <v>122.99</v>
      </c>
      <c r="AC41" s="415" t="n">
        <v>161.99</v>
      </c>
      <c r="AD41" s="1016">
        <f>+SUMIF('Monthly Detail'!$4:$4, $B$14,'Monthly Detail'!93:93)</f>
        <v/>
      </c>
      <c r="AE41" s="643">
        <f>+SUMIF('[1]Monthly Detail'!$4:$4, AD15,'[1]Monthly Detail'!91:91)</f>
        <v/>
      </c>
      <c r="AF41" s="643">
        <f>+SUMIF('[1]Monthly Detail'!$4:$4, AE15,'[1]Monthly Detail'!91:91)</f>
        <v/>
      </c>
      <c r="AG41" s="643">
        <f>+SUMIF('[1]Monthly Detail'!$4:$4, AF15,'[1]Monthly Detail'!91:91)</f>
        <v/>
      </c>
      <c r="AH41" s="643">
        <f>+SUMIF('[1]Monthly Detail'!$4:$4, AG15,'[1]Monthly Detail'!91:91)</f>
        <v/>
      </c>
      <c r="AI41" s="643">
        <f>+SUMIF('[1]Monthly Detail'!$4:$4, AH15,'[1]Monthly Detail'!91:91)</f>
        <v/>
      </c>
      <c r="AJ41" s="643">
        <f>+SUMIF('[1]Monthly Detail'!$4:$4, AI15,'[1]Monthly Detail'!91:91)</f>
        <v/>
      </c>
      <c r="AK41" s="643">
        <f>+SUMIF('[1]Monthly Detail'!$4:$4, AJ15,'[1]Monthly Detail'!91:91)</f>
        <v/>
      </c>
      <c r="AL41" s="643">
        <f>+SUMIF('[1]Monthly Detail'!$4:$4, AK15,'[1]Monthly Detail'!91:91)</f>
        <v/>
      </c>
      <c r="AM41" s="643">
        <f>+SUMIF('[1]Monthly Detail'!$4:$4, AL15,'[1]Monthly Detail'!91:91)</f>
        <v/>
      </c>
      <c r="AN41" s="643" t="n">
        <v>142.42</v>
      </c>
      <c r="AO41" s="643" t="n">
        <v>142.42</v>
      </c>
      <c r="AP41" s="643" t="n">
        <v>202.29</v>
      </c>
      <c r="AQ41" s="643" t="n">
        <v>164.46</v>
      </c>
      <c r="AR41" s="643" t="n"/>
      <c r="AS41" s="643" t="n"/>
      <c r="AT41" s="643" t="n">
        <v>169.03</v>
      </c>
      <c r="AU41" s="643" t="n">
        <v>127.41</v>
      </c>
      <c r="AV41" s="643" t="n">
        <v>128.5</v>
      </c>
      <c r="AW41" s="643" t="n">
        <v>155.68</v>
      </c>
      <c r="AX41" s="644" t="n">
        <v>123.02</v>
      </c>
      <c r="AY41" s="644" t="n">
        <v>123.02</v>
      </c>
      <c r="AZ41" s="644" t="n">
        <v>123.01</v>
      </c>
      <c r="BA41" s="644" t="n">
        <v>123.01</v>
      </c>
      <c r="BB41" s="644" t="n">
        <v>123.01</v>
      </c>
      <c r="BC41" s="644" t="n">
        <v>123.01</v>
      </c>
      <c r="BD41" s="644" t="n">
        <v>123.01</v>
      </c>
      <c r="BE41" s="415" t="n">
        <v>123.01</v>
      </c>
      <c r="BF41" s="1016">
        <f>+SUMIF('Monthly Detail'!$4:$4, $B$14,'Monthly Detail'!93:93)</f>
        <v/>
      </c>
      <c r="BG41" s="644" t="n">
        <v>190.98</v>
      </c>
      <c r="BH41" s="645" t="n">
        <v>190.98</v>
      </c>
      <c r="BI41" s="645" t="n">
        <v>190.98</v>
      </c>
      <c r="BJ41" s="643" t="n">
        <v>190.98</v>
      </c>
      <c r="BK41" s="643" t="n">
        <v>190.98</v>
      </c>
      <c r="BL41" s="693" t="n">
        <v>190.98</v>
      </c>
      <c r="BM41" s="645" t="n">
        <v>190.98</v>
      </c>
      <c r="BN41" s="645" t="n">
        <v>190.98</v>
      </c>
      <c r="BO41" s="645" t="n">
        <v>190.98</v>
      </c>
      <c r="BP41" s="645" t="n">
        <v>190.98</v>
      </c>
      <c r="BQ41" s="645" t="n">
        <v>190.98</v>
      </c>
      <c r="BR41" s="645" t="n">
        <v>190.98</v>
      </c>
      <c r="BS41" s="645" t="n">
        <v>128.5</v>
      </c>
      <c r="BT41" s="645" t="n">
        <v>169.03</v>
      </c>
      <c r="BU41" s="645" t="n">
        <v>169.03</v>
      </c>
      <c r="BV41" s="645" t="n">
        <v>169.03</v>
      </c>
      <c r="BW41" s="645" t="n">
        <v>169.03</v>
      </c>
      <c r="BX41" s="645" t="n">
        <v>169.03</v>
      </c>
      <c r="BY41" s="416" t="n">
        <v>169.03</v>
      </c>
      <c r="BZ41" s="416" t="n">
        <v>169.03</v>
      </c>
      <c r="CA41" s="416" t="n">
        <v>169.03</v>
      </c>
      <c r="CB41" s="416" t="n">
        <v>169.03</v>
      </c>
      <c r="CC41" s="416" t="n">
        <v>169.03</v>
      </c>
      <c r="CD41" s="416" t="n">
        <v>169.03</v>
      </c>
      <c r="CE41" s="925">
        <f>BF41-AD41</f>
        <v/>
      </c>
      <c r="CF41" s="925">
        <f>BF41-CC41</f>
        <v/>
      </c>
    </row>
    <row r="42">
      <c r="B42" s="937" t="inlineStr">
        <is>
          <t>Taxes/Licenses</t>
        </is>
      </c>
      <c r="C42" s="184" t="n"/>
      <c r="D42" s="923" t="n"/>
      <c r="E42" s="923" t="n"/>
      <c r="F42" s="923" t="n"/>
      <c r="G42" s="923" t="n"/>
      <c r="H42" s="923" t="n"/>
      <c r="I42" s="923" t="n"/>
      <c r="J42" s="924" t="n"/>
      <c r="K42" s="923" t="n"/>
      <c r="L42" s="923" t="n"/>
      <c r="M42" s="923" t="n">
        <v>0</v>
      </c>
      <c r="N42" s="643" t="n">
        <v>0</v>
      </c>
      <c r="O42" s="643" t="n">
        <v>0</v>
      </c>
      <c r="P42" s="644" t="n">
        <v>0</v>
      </c>
      <c r="Q42" s="644" t="n">
        <v>50</v>
      </c>
      <c r="R42" s="645" t="n">
        <v>50</v>
      </c>
      <c r="S42" s="645" t="n">
        <v>50</v>
      </c>
      <c r="T42" s="643" t="n">
        <v>50</v>
      </c>
      <c r="U42" s="643" t="n">
        <v>50</v>
      </c>
      <c r="V42" s="643" t="n">
        <v>50</v>
      </c>
      <c r="W42" s="643" t="n">
        <v>50</v>
      </c>
      <c r="X42" s="643" t="n">
        <v>50</v>
      </c>
      <c r="Y42" s="643" t="n">
        <v>50</v>
      </c>
      <c r="Z42" s="643" t="n">
        <v>0</v>
      </c>
      <c r="AA42" s="643" t="n">
        <v>16.66666666666667</v>
      </c>
      <c r="AB42" s="643" t="n">
        <v>16.66666666666667</v>
      </c>
      <c r="AC42" s="415" t="n">
        <v>16.66666666666667</v>
      </c>
      <c r="AD42" s="1016">
        <f>+SUMIF('Monthly Detail'!$4:$4, $B$14,'Monthly Detail'!94:94)</f>
        <v/>
      </c>
      <c r="AE42" s="643" t="n"/>
      <c r="AF42" s="643" t="n"/>
      <c r="AG42" s="643" t="n"/>
      <c r="AH42" s="643" t="n"/>
      <c r="AI42" s="643" t="n"/>
      <c r="AJ42" s="643" t="n"/>
      <c r="AK42" s="643" t="n"/>
      <c r="AL42" s="643" t="n"/>
      <c r="AM42" s="643" t="n"/>
      <c r="AN42" s="643" t="n">
        <v>0</v>
      </c>
      <c r="AO42" s="643" t="n">
        <v>0</v>
      </c>
      <c r="AP42" s="643" t="n">
        <v>0</v>
      </c>
      <c r="AQ42" s="643" t="n">
        <v>50</v>
      </c>
      <c r="AR42" s="643" t="n"/>
      <c r="AS42" s="643" t="n"/>
      <c r="AT42" s="643" t="n">
        <v>0</v>
      </c>
      <c r="AU42" s="643" t="n">
        <v>0</v>
      </c>
      <c r="AV42" s="643" t="n">
        <v>0</v>
      </c>
      <c r="AW42" s="643" t="n">
        <v>0</v>
      </c>
      <c r="AX42" s="644" t="n">
        <v>0</v>
      </c>
      <c r="AY42" s="644" t="n">
        <v>0</v>
      </c>
      <c r="AZ42" s="644" t="n">
        <v>0</v>
      </c>
      <c r="BA42" s="644" t="n">
        <v>0</v>
      </c>
      <c r="BB42" s="644" t="n">
        <v>0</v>
      </c>
      <c r="BC42" s="644" t="n">
        <v>0</v>
      </c>
      <c r="BD42" s="644" t="n">
        <v>0</v>
      </c>
      <c r="BE42" s="415" t="n">
        <v>0</v>
      </c>
      <c r="BF42" s="1016">
        <f>+SUMIF('Monthly Detail'!$4:$4, $B$14,'Monthly Detail'!94:94)</f>
        <v/>
      </c>
      <c r="BG42" s="644" t="n"/>
      <c r="BH42" s="645" t="n"/>
      <c r="BI42" s="645" t="n"/>
      <c r="BJ42" s="643" t="n"/>
      <c r="BK42" s="643" t="n">
        <v>0</v>
      </c>
      <c r="BL42" s="693" t="n">
        <v>0</v>
      </c>
      <c r="BM42" s="645" t="n">
        <v>0</v>
      </c>
      <c r="BN42" s="645" t="n">
        <v>0</v>
      </c>
      <c r="BO42" s="645" t="n"/>
      <c r="BP42" s="645" t="n"/>
      <c r="BQ42" s="645" t="n"/>
      <c r="BR42" s="645" t="n">
        <v>0</v>
      </c>
      <c r="BS42" s="645" t="n">
        <v>50</v>
      </c>
      <c r="BT42" s="645" t="n">
        <v>50</v>
      </c>
      <c r="BU42" s="645" t="n">
        <v>50</v>
      </c>
      <c r="BV42" s="645" t="n">
        <v>50</v>
      </c>
      <c r="BW42" s="645" t="n">
        <v>50</v>
      </c>
      <c r="BX42" s="645" t="n">
        <v>50</v>
      </c>
      <c r="BY42" s="416" t="n">
        <v>50</v>
      </c>
      <c r="BZ42" s="416" t="n">
        <v>50</v>
      </c>
      <c r="CA42" s="416" t="n">
        <v>50</v>
      </c>
      <c r="CB42" s="416" t="n">
        <v>50</v>
      </c>
      <c r="CC42" s="416" t="n">
        <v>50</v>
      </c>
      <c r="CD42" s="416" t="n">
        <v>50</v>
      </c>
      <c r="CE42" s="925">
        <f>BF42-AD42</f>
        <v/>
      </c>
      <c r="CF42" s="925">
        <f>BF42-CC42</f>
        <v/>
      </c>
    </row>
    <row r="43">
      <c r="B43" s="938" t="inlineStr">
        <is>
          <t>Total Expenses</t>
        </is>
      </c>
      <c r="C43" s="939" t="n"/>
      <c r="D43" s="940">
        <f>SUM(D33:D41)</f>
        <v/>
      </c>
      <c r="E43" s="940">
        <f>SUM(E33:E41)</f>
        <v/>
      </c>
      <c r="F43" s="940" t="n">
        <v>643.6233333333333</v>
      </c>
      <c r="G43" s="940" t="n">
        <v>923.6483333333332</v>
      </c>
      <c r="H43" s="940" t="n">
        <v>1019.64666666667</v>
      </c>
      <c r="I43" s="940" t="n">
        <v>810.7606666666668</v>
      </c>
      <c r="J43" s="941" t="n">
        <v>2152.833333333333</v>
      </c>
      <c r="K43" s="940" t="n">
        <v>986.8499999999999</v>
      </c>
      <c r="L43" s="940">
        <f>+SUM(L30:L42)</f>
        <v/>
      </c>
      <c r="M43" s="940" t="n">
        <v>1657.271666666667</v>
      </c>
      <c r="N43" s="940" t="n">
        <v>723.7866666666667</v>
      </c>
      <c r="O43" s="940" t="n">
        <v>1941.864111701449</v>
      </c>
      <c r="P43" s="942" t="n">
        <v>1254.390003413536</v>
      </c>
      <c r="Q43" s="942" t="n">
        <v>3496.508477103027</v>
      </c>
      <c r="R43" s="943" t="n">
        <v>1807.580770624572</v>
      </c>
      <c r="S43" s="943" t="n">
        <v>1827.176285842843</v>
      </c>
      <c r="T43" s="940" t="n">
        <v>1827.176285842843</v>
      </c>
      <c r="U43" s="940" t="n">
        <v>1827.176285842843</v>
      </c>
      <c r="V43" s="940" t="n">
        <v>1827.176285842843</v>
      </c>
      <c r="W43" s="940" t="n">
        <v>3771.961045570323</v>
      </c>
      <c r="X43" s="940" t="n">
        <v>3771.961045570323</v>
      </c>
      <c r="Y43" s="940" t="n">
        <v>3771.961045570323</v>
      </c>
      <c r="Z43" s="940" t="n">
        <v>5557.634145264257</v>
      </c>
      <c r="AA43" s="940" t="n">
        <v>5845.20778256195</v>
      </c>
      <c r="AB43" s="940" t="n">
        <v>7229.728262297794</v>
      </c>
      <c r="AC43" s="944" t="n">
        <v>15149.85935253839</v>
      </c>
      <c r="AD43" s="1025">
        <f>+SUM(BD30:BD42)</f>
        <v/>
      </c>
      <c r="AE43" s="940">
        <f>SUM(AD33:AD41)</f>
        <v/>
      </c>
      <c r="AF43" s="940">
        <f>SUM(AE33:AE41)</f>
        <v/>
      </c>
      <c r="AG43" s="940">
        <f>SUM(AF33:AF41)</f>
        <v/>
      </c>
      <c r="AH43" s="940">
        <f>SUM(AG33:AG41)</f>
        <v/>
      </c>
      <c r="AI43" s="940">
        <f>SUM(AH33:AH41)</f>
        <v/>
      </c>
      <c r="AJ43" s="940">
        <f>SUM(AI33:AI41)</f>
        <v/>
      </c>
      <c r="AK43" s="940">
        <f>SUM(AJ33:AJ41)</f>
        <v/>
      </c>
      <c r="AL43" s="940">
        <f>SUM(AK33:AK41)</f>
        <v/>
      </c>
      <c r="AM43" s="940">
        <f>SUM(AL33:AL41)</f>
        <v/>
      </c>
      <c r="AN43" s="940" t="n">
        <v>689.9499999999999</v>
      </c>
      <c r="AO43" s="940" t="n">
        <v>1579.42</v>
      </c>
      <c r="AP43" s="940" t="n">
        <v>2133.86</v>
      </c>
      <c r="AQ43" s="940" t="n">
        <v>1446.32</v>
      </c>
      <c r="AR43" s="940" t="n"/>
      <c r="AS43" s="940" t="n"/>
      <c r="AT43" s="940" t="n">
        <v>2136.63</v>
      </c>
      <c r="AU43" s="940" t="n">
        <v>620.2099999999999</v>
      </c>
      <c r="AV43" s="940" t="n">
        <v>4230.3</v>
      </c>
      <c r="AW43" s="940" t="n">
        <v>6699.3</v>
      </c>
      <c r="AX43" s="942" t="n">
        <v>7438.990000000002</v>
      </c>
      <c r="AY43" s="942" t="n">
        <v>3780.99</v>
      </c>
      <c r="AZ43" s="942" t="n">
        <v>3578.360000000001</v>
      </c>
      <c r="BA43" s="942" t="n">
        <v>4152.38</v>
      </c>
      <c r="BB43" s="942" t="n">
        <v>4152.38</v>
      </c>
      <c r="BC43" s="942" t="n">
        <v>4152.38</v>
      </c>
      <c r="BD43" s="942" t="n">
        <v>4152.38</v>
      </c>
      <c r="BE43" s="944" t="n">
        <v>4152.38</v>
      </c>
      <c r="BF43" s="1025">
        <f>+SUM(BD30:BD42)</f>
        <v/>
      </c>
      <c r="BG43" s="942" t="n">
        <v>810.7606666666668</v>
      </c>
      <c r="BH43" s="943" t="n">
        <v>810.7606666666668</v>
      </c>
      <c r="BI43" s="943" t="n">
        <v>810.7606666666668</v>
      </c>
      <c r="BJ43" s="940" t="n">
        <v>960.7606666666668</v>
      </c>
      <c r="BK43" s="940" t="n">
        <v>810.7606666666668</v>
      </c>
      <c r="BL43" s="945" t="n">
        <v>810.7606666666668</v>
      </c>
      <c r="BM43" s="943" t="n">
        <v>960.7606666666668</v>
      </c>
      <c r="BN43" s="943" t="n">
        <v>810.7606666666668</v>
      </c>
      <c r="BO43" s="943" t="n">
        <v>1846.502045977012</v>
      </c>
      <c r="BP43" s="943" t="n">
        <v>810.7606666666668</v>
      </c>
      <c r="BQ43" s="943" t="n">
        <v>810.7606666666668</v>
      </c>
      <c r="BR43" s="943" t="n">
        <v>810.7606666666668</v>
      </c>
      <c r="BS43" s="943">
        <f>SUM(BQ30:BQ42)</f>
        <v/>
      </c>
      <c r="BT43" s="943">
        <f>SUM(BR30:BR42)</f>
        <v/>
      </c>
      <c r="BU43" s="943">
        <f>SUM(BS30:BS42)</f>
        <v/>
      </c>
      <c r="BV43" s="943">
        <f>SUM(BT30:BT42)</f>
        <v/>
      </c>
      <c r="BW43" s="943">
        <f>SUM(BU30:BU42)</f>
        <v/>
      </c>
      <c r="BX43" s="943">
        <f>SUM(BV30:BV42)</f>
        <v/>
      </c>
      <c r="BY43" s="946">
        <f>SUM(BW30:BW42)</f>
        <v/>
      </c>
      <c r="BZ43" s="946">
        <f>SUM(BX30:BX42)</f>
        <v/>
      </c>
      <c r="CA43" s="946">
        <f>SUM(BY30:BY42)</f>
        <v/>
      </c>
      <c r="CB43" s="946">
        <f>SUM(BZ30:BZ42)</f>
        <v/>
      </c>
      <c r="CC43" s="946">
        <f>SUM(CA30:CA42)</f>
        <v/>
      </c>
      <c r="CD43" s="946">
        <f>SUM(CB30:CB42)</f>
        <v/>
      </c>
      <c r="CE43" s="947">
        <f>BF43-AD43</f>
        <v/>
      </c>
      <c r="CF43" s="947">
        <f>BF43-CC43</f>
        <v/>
      </c>
    </row>
    <row r="44">
      <c r="B44" s="959" t="inlineStr">
        <is>
          <t>Net Operating Income</t>
        </is>
      </c>
      <c r="C44" s="960" t="n"/>
      <c r="D44" s="961">
        <f>+D16-D43</f>
        <v/>
      </c>
      <c r="E44" s="961">
        <f>+E16-E43</f>
        <v/>
      </c>
      <c r="F44" s="961" t="n">
        <v>5166.626666666666</v>
      </c>
      <c r="G44" s="961" t="n">
        <v>3957.721666666667</v>
      </c>
      <c r="H44" s="961" t="n">
        <v>7569.723333333334</v>
      </c>
      <c r="I44" s="961" t="n">
        <v>2255.7185</v>
      </c>
      <c r="J44" s="962" t="n">
        <v>1022.18802631579</v>
      </c>
      <c r="K44" s="961" t="n">
        <v>1435.429891304348</v>
      </c>
      <c r="L44" s="961" t="n">
        <v>3942.562484691571</v>
      </c>
      <c r="M44" s="961" t="n">
        <v>4387.407073139654</v>
      </c>
      <c r="N44" s="961" t="n">
        <v>3311.227239800528</v>
      </c>
      <c r="O44" s="961">
        <f>+O28-O43</f>
        <v/>
      </c>
      <c r="P44" s="963" t="n">
        <v>6203.629262112607</v>
      </c>
      <c r="Q44" s="963" t="n">
        <v>4626.176914389297</v>
      </c>
      <c r="R44" s="964" t="n">
        <v>4635.12834521729</v>
      </c>
      <c r="S44" s="964" t="n">
        <v>3110.752285914162</v>
      </c>
      <c r="T44" s="961" t="n">
        <v>3110.752285914162</v>
      </c>
      <c r="U44" s="961" t="n">
        <v>3110.752285914162</v>
      </c>
      <c r="V44" s="961" t="n">
        <v>3110.752285914162</v>
      </c>
      <c r="W44" s="961" t="n">
        <v>2407.652480554095</v>
      </c>
      <c r="X44" s="961" t="n">
        <v>2407.652480554095</v>
      </c>
      <c r="Y44" s="961" t="n">
        <v>2407.652480554095</v>
      </c>
      <c r="Z44" s="961" t="n">
        <v>4037.860446837643</v>
      </c>
      <c r="AA44" s="961" t="n">
        <v>7358.926692450164</v>
      </c>
      <c r="AB44" s="961" t="n">
        <v>9413.061278415145</v>
      </c>
      <c r="AC44" s="965" t="n">
        <v>7619.639716493593</v>
      </c>
      <c r="AD44" s="1027">
        <f>+BD28-BD43</f>
        <v/>
      </c>
      <c r="AE44" s="961">
        <f>+AD16-AD43</f>
        <v/>
      </c>
      <c r="AF44" s="961">
        <f>+AE16-AE43</f>
        <v/>
      </c>
      <c r="AG44" s="961">
        <f>+AF16-AF43</f>
        <v/>
      </c>
      <c r="AH44" s="961">
        <f>+AG16-AG43</f>
        <v/>
      </c>
      <c r="AI44" s="961">
        <f>+AH16-AH43</f>
        <v/>
      </c>
      <c r="AJ44" s="961">
        <f>+AI16-AI43</f>
        <v/>
      </c>
      <c r="AK44" s="961">
        <f>+AJ16-AJ43</f>
        <v/>
      </c>
      <c r="AL44" s="961">
        <f>+AK16-AK43</f>
        <v/>
      </c>
      <c r="AM44" s="961">
        <f>+AL16-AL43</f>
        <v/>
      </c>
      <c r="AN44" s="961" t="n">
        <v>5015.13</v>
      </c>
      <c r="AO44" s="961" t="n">
        <v>2728.84</v>
      </c>
      <c r="AP44" s="961" t="n">
        <v>6317.030000000001</v>
      </c>
      <c r="AQ44" s="961" t="n">
        <v>11764.94</v>
      </c>
      <c r="AR44" s="961" t="n"/>
      <c r="AS44" s="961" t="n"/>
      <c r="AT44" s="961" t="n">
        <v>7266.87</v>
      </c>
      <c r="AU44" s="961" t="n">
        <v>3974.79</v>
      </c>
      <c r="AV44" s="961" t="n">
        <v>2355.2</v>
      </c>
      <c r="AW44" s="961" t="n">
        <v>962.8199999999997</v>
      </c>
      <c r="AX44" s="963" t="n">
        <v>243.3799999999983</v>
      </c>
      <c r="AY44" s="963" t="n">
        <v>-24.73999999999978</v>
      </c>
      <c r="AZ44" s="963" t="n">
        <v>2196.139999999999</v>
      </c>
      <c r="BA44" s="963" t="n">
        <v>2763.62</v>
      </c>
      <c r="BB44" s="963" t="n">
        <v>2763.62</v>
      </c>
      <c r="BC44" s="963" t="n">
        <v>2763.62</v>
      </c>
      <c r="BD44" s="963" t="n">
        <v>2763.62</v>
      </c>
      <c r="BE44" s="965" t="n">
        <v>2763.62</v>
      </c>
      <c r="BF44" s="1027">
        <f>+BD28-BD43</f>
        <v/>
      </c>
      <c r="BG44" s="963">
        <f>+BE16-BE43</f>
        <v/>
      </c>
      <c r="BH44" s="964">
        <f>+BF16-BF43</f>
        <v/>
      </c>
      <c r="BI44" s="964">
        <f>+BG16-BG43</f>
        <v/>
      </c>
      <c r="BJ44" s="961">
        <f>+BH16-BH43</f>
        <v/>
      </c>
      <c r="BK44" s="961">
        <f>+BI16-BI43</f>
        <v/>
      </c>
      <c r="BL44" s="966">
        <f>+BJ16-BJ43</f>
        <v/>
      </c>
      <c r="BM44" s="964">
        <f>+BK28-BK43</f>
        <v/>
      </c>
      <c r="BN44" s="964">
        <f>+BL28-BL43</f>
        <v/>
      </c>
      <c r="BO44" s="964">
        <f>+BM28-BM43</f>
        <v/>
      </c>
      <c r="BP44" s="964">
        <f>+BN28-BN43</f>
        <v/>
      </c>
      <c r="BQ44" s="964">
        <f>+BO28-BO43</f>
        <v/>
      </c>
      <c r="BR44" s="964">
        <f>+BP28-BP43</f>
        <v/>
      </c>
      <c r="BS44" s="964">
        <f>+BQ28-BQ43</f>
        <v/>
      </c>
      <c r="BT44" s="964">
        <f>+BR28-BR43</f>
        <v/>
      </c>
      <c r="BU44" s="964">
        <f>+BS28-BS43</f>
        <v/>
      </c>
      <c r="BV44" s="964">
        <f>+BT28-BT43</f>
        <v/>
      </c>
      <c r="BW44" s="964">
        <f>+BU28-BU43</f>
        <v/>
      </c>
      <c r="BX44" s="964">
        <f>+BV28-BV43</f>
        <v/>
      </c>
      <c r="BY44" s="967">
        <f>+BW28-BW43</f>
        <v/>
      </c>
      <c r="BZ44" s="967">
        <f>+BX28-BX43</f>
        <v/>
      </c>
      <c r="CA44" s="967">
        <f>+BY28-BY43</f>
        <v/>
      </c>
      <c r="CB44" s="967">
        <f>+BZ28-BZ43</f>
        <v/>
      </c>
      <c r="CC44" s="967">
        <f>+CA28-CA43</f>
        <v/>
      </c>
      <c r="CD44" s="967">
        <f>+CB28-CB43</f>
        <v/>
      </c>
      <c r="CE44" s="925">
        <f>BF44-AD44</f>
        <v/>
      </c>
      <c r="CF44" s="925">
        <f>BF44-CC44</f>
        <v/>
      </c>
    </row>
    <row r="45">
      <c r="B45" s="968" t="inlineStr">
        <is>
          <t>NOI%</t>
        </is>
      </c>
      <c r="C45" s="960" t="n"/>
      <c r="D45" s="969" t="n"/>
      <c r="E45" s="969" t="n"/>
      <c r="F45" s="969" t="n"/>
      <c r="G45" s="969" t="n"/>
      <c r="H45" s="969" t="n"/>
      <c r="I45" s="969" t="n"/>
      <c r="J45" s="970">
        <f>+J44/J16</f>
        <v/>
      </c>
      <c r="K45" s="971" t="n">
        <v>0.5925945620311444</v>
      </c>
      <c r="L45" s="971" t="n">
        <v>0.8878797047992857</v>
      </c>
      <c r="M45" s="971" t="n">
        <v>0.7258296531537808</v>
      </c>
      <c r="N45" s="971" t="n">
        <v>0.8206235013201307</v>
      </c>
      <c r="O45" s="971">
        <f>+O44/O16</f>
        <v/>
      </c>
      <c r="P45" s="972" t="n">
        <v>0.6839238477065439</v>
      </c>
      <c r="Q45" s="972" t="n">
        <v>0.4016632201144812</v>
      </c>
      <c r="R45" s="973" t="n">
        <v>0.5537197345874394</v>
      </c>
      <c r="S45" s="973" t="n">
        <v>0.5618191106494702</v>
      </c>
      <c r="T45" s="971" t="n">
        <v>0.5618191106494702</v>
      </c>
      <c r="U45" s="971" t="n">
        <v>0.5618191106494702</v>
      </c>
      <c r="V45" s="971" t="n">
        <v>0.5618191106494702</v>
      </c>
      <c r="W45" s="971" t="n">
        <v>0.3631663400991002</v>
      </c>
      <c r="X45" s="971" t="n">
        <v>0.3631663400991002</v>
      </c>
      <c r="Y45" s="971" t="n">
        <v>0.3631663400991002</v>
      </c>
      <c r="Z45" s="971" t="n">
        <v>0.3817530869837132</v>
      </c>
      <c r="AA45" s="971" t="n">
        <v>0.4271460195079526</v>
      </c>
      <c r="AB45" s="969" t="n">
        <v>0.5507036318439644</v>
      </c>
      <c r="AC45" s="974" t="n">
        <v>0.3194647390970976</v>
      </c>
      <c r="AD45" s="1028">
        <f>+BD44/BD16</f>
        <v/>
      </c>
      <c r="AE45" s="969" t="n"/>
      <c r="AF45" s="969" t="n"/>
      <c r="AG45" s="969" t="n"/>
      <c r="AH45" s="969" t="n"/>
      <c r="AI45" s="969" t="n"/>
      <c r="AJ45" s="969" t="n"/>
      <c r="AK45" s="973">
        <f>+AJ44/AJ16</f>
        <v/>
      </c>
      <c r="AL45" s="973">
        <f>+AK44/AK16</f>
        <v/>
      </c>
      <c r="AM45" s="973">
        <f>+AL44/AL16</f>
        <v/>
      </c>
      <c r="AN45" s="975" t="n">
        <v>0.8790639219783071</v>
      </c>
      <c r="AO45" s="971" t="n">
        <v>0.6333972415778063</v>
      </c>
      <c r="AP45" s="971" t="n">
        <v>0.6971754430304308</v>
      </c>
      <c r="AQ45" s="971" t="n">
        <v>0.8337271087060971</v>
      </c>
      <c r="AR45" s="971" t="n"/>
      <c r="AS45" s="971" t="n"/>
      <c r="AT45" s="971" t="n">
        <v>0.7590609494960046</v>
      </c>
      <c r="AU45" s="971" t="n">
        <v>0.7652656911821333</v>
      </c>
      <c r="AV45" s="971" t="n">
        <v>0.3576341963404449</v>
      </c>
      <c r="AW45" s="971" t="n">
        <v>0.1186890726468543</v>
      </c>
      <c r="AX45" s="972" t="n">
        <v>0.03168032781550463</v>
      </c>
      <c r="AY45" s="972" t="n">
        <v>-0.006586356073211256</v>
      </c>
      <c r="AZ45" s="972" t="n">
        <v>0.3633286458764165</v>
      </c>
      <c r="BA45" s="972" t="n">
        <v>0.399598033545402</v>
      </c>
      <c r="BB45" s="972" t="n">
        <v>0.399598033545402</v>
      </c>
      <c r="BC45" s="972" t="n">
        <v>0.399598033545402</v>
      </c>
      <c r="BD45" s="972" t="n">
        <v>0.399598033545402</v>
      </c>
      <c r="BE45" s="974" t="n">
        <v>0.399598033545402</v>
      </c>
      <c r="BF45" s="1028">
        <f>+BD44/BD16</f>
        <v/>
      </c>
      <c r="BG45" s="972">
        <f>+BE44/BE16</f>
        <v/>
      </c>
      <c r="BH45" s="973">
        <f>+BF44/BF16</f>
        <v/>
      </c>
      <c r="BI45" s="975">
        <f>+BG44/BG16</f>
        <v/>
      </c>
      <c r="BJ45" s="971">
        <f>+BH44/BH16</f>
        <v/>
      </c>
      <c r="BK45" s="971">
        <f>+BI44/BI16</f>
        <v/>
      </c>
      <c r="BL45" s="976">
        <f>+BJ44/BJ16</f>
        <v/>
      </c>
      <c r="BM45" s="973">
        <f>+BK44/BK16</f>
        <v/>
      </c>
      <c r="BN45" s="973">
        <f>+BL44/BL16</f>
        <v/>
      </c>
      <c r="BO45" s="973">
        <f>+BM44/BM16</f>
        <v/>
      </c>
      <c r="BP45" s="973">
        <f>+BN44/BN16</f>
        <v/>
      </c>
      <c r="BQ45" s="973">
        <f>+BO44/BO16</f>
        <v/>
      </c>
      <c r="BR45" s="973">
        <f>+BP44/BP16</f>
        <v/>
      </c>
      <c r="BS45" s="973">
        <f>+BQ44/BQ16</f>
        <v/>
      </c>
      <c r="BT45" s="973">
        <f>+BR44/BR16</f>
        <v/>
      </c>
      <c r="BU45" s="973">
        <f>+BS44/BS16</f>
        <v/>
      </c>
      <c r="BV45" s="973">
        <f>+BT44/BT16</f>
        <v/>
      </c>
      <c r="BW45" s="973">
        <f>+BU44/BU16</f>
        <v/>
      </c>
      <c r="BX45" s="973">
        <f>+BV44/BV16</f>
        <v/>
      </c>
      <c r="BY45" s="977">
        <f>+BW44/BW16</f>
        <v/>
      </c>
      <c r="BZ45" s="977">
        <f>+BX44/BX16</f>
        <v/>
      </c>
      <c r="CA45" s="977">
        <f>+BY44/BY16</f>
        <v/>
      </c>
      <c r="CB45" s="977">
        <f>+BZ44/BZ16</f>
        <v/>
      </c>
      <c r="CC45" s="977">
        <f>+CA44/CA16</f>
        <v/>
      </c>
      <c r="CD45" s="977">
        <f>+CB44/CB16</f>
        <v/>
      </c>
      <c r="CE45" s="978">
        <f>BF45-AD45</f>
        <v/>
      </c>
      <c r="CF45" s="978">
        <f>BF45-CC45</f>
        <v/>
      </c>
    </row>
    <row r="46" hidden="1">
      <c r="B46" s="979" t="inlineStr">
        <is>
          <t xml:space="preserve">   Interest Income</t>
        </is>
      </c>
      <c r="C46" s="260" t="n"/>
      <c r="D46" s="923" t="n">
        <v>0.03</v>
      </c>
      <c r="E46" s="923" t="n">
        <v>0.01</v>
      </c>
      <c r="F46" s="923" t="n">
        <v>0</v>
      </c>
      <c r="G46" s="923" t="n">
        <v>0</v>
      </c>
      <c r="H46" s="923" t="n">
        <v>0</v>
      </c>
      <c r="I46" s="923" t="n">
        <v>0</v>
      </c>
      <c r="J46" s="924" t="n">
        <v>0</v>
      </c>
      <c r="K46" s="923" t="n">
        <v>0</v>
      </c>
      <c r="L46" s="923" t="n">
        <v>0</v>
      </c>
      <c r="M46" s="923" t="n">
        <v>0</v>
      </c>
      <c r="N46" s="923" t="n">
        <v>0</v>
      </c>
      <c r="O46" s="923" t="n">
        <v>0</v>
      </c>
      <c r="P46" s="980" t="n">
        <v>0</v>
      </c>
      <c r="Q46" s="980" t="n">
        <v>0</v>
      </c>
      <c r="R46" s="981" t="n">
        <v>0</v>
      </c>
      <c r="S46" s="981" t="n">
        <v>0</v>
      </c>
      <c r="T46" s="923" t="n">
        <v>0</v>
      </c>
      <c r="U46" s="923" t="n">
        <v>0</v>
      </c>
      <c r="V46" s="923" t="n">
        <v>0</v>
      </c>
      <c r="W46" s="923" t="n"/>
      <c r="X46" s="923" t="n"/>
      <c r="Y46" s="923" t="n"/>
      <c r="Z46" s="923" t="n">
        <v>0</v>
      </c>
      <c r="AA46" s="923" t="n">
        <v>0</v>
      </c>
      <c r="AB46" s="923" t="n">
        <v>0</v>
      </c>
      <c r="AC46" s="982" t="n">
        <v>0</v>
      </c>
      <c r="AD46" s="1027">
        <f>+SUMIF('Monthly Detail'!$4:$4, L14,'Monthly Detail'!104:104)</f>
        <v/>
      </c>
      <c r="AE46" s="923">
        <f>+SUMIF('[1]Monthly Detail'!$4:$4, AD15,'[1]Monthly Detail'!103:103)</f>
        <v/>
      </c>
      <c r="AF46" s="923">
        <f>+SUMIF('[1]Monthly Detail'!$4:$4, AE15,'[1]Monthly Detail'!103:103)</f>
        <v/>
      </c>
      <c r="AG46" s="923">
        <f>+SUMIF('[1]Monthly Detail'!$4:$4, AF15,'[1]Monthly Detail'!103:103)</f>
        <v/>
      </c>
      <c r="AH46" s="923">
        <f>+SUMIF('[1]Monthly Detail'!$4:$4, AG15,'[1]Monthly Detail'!103:103)</f>
        <v/>
      </c>
      <c r="AI46" s="923">
        <f>+SUMIF('[1]Monthly Detail'!$4:$4, AH15,'[1]Monthly Detail'!103:103)</f>
        <v/>
      </c>
      <c r="AJ46" s="923">
        <f>+SUMIF('[1]Monthly Detail'!$4:$4, AI15,'[1]Monthly Detail'!103:103)</f>
        <v/>
      </c>
      <c r="AK46" s="923">
        <f>+SUMIF('[1]Monthly Detail'!$4:$4, AJ15,'[1]Monthly Detail'!103:103)</f>
        <v/>
      </c>
      <c r="AL46" s="923">
        <f>+SUMIF('[1]Monthly Detail'!$4:$4, AK15,'[1]Monthly Detail'!103:103)</f>
        <v/>
      </c>
      <c r="AM46" s="923">
        <f>+SUMIF('[1]Monthly Detail'!$4:$4, AL15,'[1]Monthly Detail'!103:103)</f>
        <v/>
      </c>
      <c r="AN46" s="923" t="n">
        <v>0</v>
      </c>
      <c r="AO46" s="923" t="n">
        <v>25</v>
      </c>
      <c r="AP46" s="923" t="n">
        <v>0</v>
      </c>
      <c r="AQ46" s="923" t="n">
        <v>0</v>
      </c>
      <c r="AR46" s="923" t="n"/>
      <c r="AS46" s="923" t="n"/>
      <c r="AT46" s="923" t="n">
        <v>0</v>
      </c>
      <c r="AU46" s="923" t="n">
        <v>0</v>
      </c>
      <c r="AV46" s="923" t="n">
        <v>0</v>
      </c>
      <c r="AW46" s="923" t="n">
        <v>0</v>
      </c>
      <c r="AX46" s="980" t="n">
        <v>0</v>
      </c>
      <c r="AY46" s="980" t="n">
        <v>0</v>
      </c>
      <c r="AZ46" s="980" t="n">
        <v>0</v>
      </c>
      <c r="BA46" s="980" t="n">
        <v>0</v>
      </c>
      <c r="BB46" s="980" t="n">
        <v>0</v>
      </c>
      <c r="BC46" s="980" t="n">
        <v>0</v>
      </c>
      <c r="BD46" s="980" t="n">
        <v>0</v>
      </c>
      <c r="BE46" s="982" t="n">
        <v>0</v>
      </c>
      <c r="BF46" s="1027">
        <f>+SUMIF('Monthly Detail'!$4:$4, L14,'Monthly Detail'!104:104)</f>
        <v/>
      </c>
      <c r="BG46" s="980" t="n">
        <v>0</v>
      </c>
      <c r="BH46" s="981" t="n">
        <v>0</v>
      </c>
      <c r="BI46" s="981" t="n">
        <v>0</v>
      </c>
      <c r="BJ46" s="923" t="n">
        <v>0</v>
      </c>
      <c r="BK46" s="923" t="n">
        <v>0</v>
      </c>
      <c r="BL46" s="983" t="n">
        <v>0</v>
      </c>
      <c r="BM46" s="981" t="n">
        <v>0</v>
      </c>
      <c r="BN46" s="981" t="n">
        <v>0</v>
      </c>
      <c r="BO46" s="981" t="n">
        <v>0</v>
      </c>
      <c r="BP46" s="981" t="n">
        <v>0</v>
      </c>
      <c r="BQ46" s="981" t="n">
        <v>0</v>
      </c>
      <c r="BR46" s="981" t="n">
        <v>0</v>
      </c>
      <c r="BS46" s="981" t="n">
        <v>0</v>
      </c>
      <c r="BT46" s="981" t="n">
        <v>0</v>
      </c>
      <c r="BU46" s="981" t="n">
        <v>0</v>
      </c>
      <c r="BV46" s="981" t="n">
        <v>0</v>
      </c>
      <c r="BW46" s="981" t="n">
        <v>0</v>
      </c>
      <c r="BX46" s="981" t="n">
        <v>0</v>
      </c>
      <c r="BY46" s="984" t="n">
        <v>0</v>
      </c>
      <c r="BZ46" s="984" t="n">
        <v>0</v>
      </c>
      <c r="CA46" s="984" t="n">
        <v>0</v>
      </c>
      <c r="CB46" s="984" t="n">
        <v>0</v>
      </c>
      <c r="CC46" s="984" t="n">
        <v>0</v>
      </c>
      <c r="CD46" s="984" t="n">
        <v>0</v>
      </c>
      <c r="CE46" s="925">
        <f>BF46-AD46</f>
        <v/>
      </c>
      <c r="CF46" s="925">
        <f>BF46-CC46</f>
        <v/>
      </c>
    </row>
    <row r="47">
      <c r="B47" s="938" t="inlineStr">
        <is>
          <t>Total Net Other Income (Expense)</t>
        </is>
      </c>
      <c r="C47" s="939" t="n"/>
      <c r="D47" s="940">
        <f>+D46</f>
        <v/>
      </c>
      <c r="E47" s="940">
        <f>+E46</f>
        <v/>
      </c>
      <c r="F47" s="940" t="n">
        <v>0</v>
      </c>
      <c r="G47" s="940" t="n">
        <v>0</v>
      </c>
      <c r="H47" s="940" t="n">
        <v>7569.723333333334</v>
      </c>
      <c r="I47" s="940" t="n">
        <v>2255.7185</v>
      </c>
      <c r="J47" s="941" t="n">
        <v>0</v>
      </c>
      <c r="K47" s="940" t="n">
        <v>0</v>
      </c>
      <c r="L47" s="940" t="n">
        <v>0</v>
      </c>
      <c r="M47" s="940" t="n">
        <v>0</v>
      </c>
      <c r="N47" s="940" t="n">
        <v>0</v>
      </c>
      <c r="O47" s="940" t="n">
        <v>0</v>
      </c>
      <c r="P47" s="942" t="n">
        <v>-715.26</v>
      </c>
      <c r="Q47" s="942" t="n">
        <v>-638.9299999999999</v>
      </c>
      <c r="R47" s="943" t="n">
        <v>-733.37</v>
      </c>
      <c r="S47" s="943" t="n">
        <v>-800</v>
      </c>
      <c r="T47" s="940" t="n">
        <v>-800</v>
      </c>
      <c r="U47" s="940" t="n">
        <v>-800</v>
      </c>
      <c r="V47" s="940" t="n">
        <v>-800</v>
      </c>
      <c r="W47" s="940" t="n">
        <v>-800</v>
      </c>
      <c r="X47" s="940" t="n">
        <v>-800</v>
      </c>
      <c r="Y47" s="940" t="n">
        <v>-800</v>
      </c>
      <c r="Z47" s="940" t="n">
        <v>-800</v>
      </c>
      <c r="AA47" s="940" t="n">
        <v>-800</v>
      </c>
      <c r="AB47" s="940" t="n">
        <v>-800</v>
      </c>
      <c r="AC47" s="944" t="n">
        <v>-800</v>
      </c>
      <c r="AD47" s="1025">
        <f>SUMIF('Monthly Detail'!$4:$4, $B$14,'Monthly Detail'!109:109)</f>
        <v/>
      </c>
      <c r="AE47" s="940">
        <f>+AD46</f>
        <v/>
      </c>
      <c r="AF47" s="940">
        <f>+AE46</f>
        <v/>
      </c>
      <c r="AG47" s="940">
        <f>+AF46</f>
        <v/>
      </c>
      <c r="AH47" s="940">
        <f>+AG46</f>
        <v/>
      </c>
      <c r="AI47" s="940">
        <f>+AH46</f>
        <v/>
      </c>
      <c r="AJ47" s="940">
        <f>+AI46</f>
        <v/>
      </c>
      <c r="AK47" s="940">
        <f>+AJ46</f>
        <v/>
      </c>
      <c r="AL47" s="940">
        <f>+AK46</f>
        <v/>
      </c>
      <c r="AM47" s="940">
        <f>+AL46</f>
        <v/>
      </c>
      <c r="AN47" s="940" t="n">
        <v>0</v>
      </c>
      <c r="AO47" s="940" t="n">
        <v>25</v>
      </c>
      <c r="AP47" s="940" t="n">
        <v>0</v>
      </c>
      <c r="AQ47" s="940" t="n">
        <v>-606.6900000000001</v>
      </c>
      <c r="AR47" s="940" t="n"/>
      <c r="AS47" s="940" t="n"/>
      <c r="AT47" s="940" t="n">
        <v>-735.08</v>
      </c>
      <c r="AU47" s="940" t="n">
        <v>-790.12</v>
      </c>
      <c r="AV47" s="940" t="n">
        <v>-821.85</v>
      </c>
      <c r="AW47" s="940" t="n">
        <v>-775.58</v>
      </c>
      <c r="AX47" s="942" t="n">
        <v>-757.9299999999999</v>
      </c>
      <c r="AY47" s="942" t="n">
        <v>-757.9299999999999</v>
      </c>
      <c r="AZ47" s="942" t="n">
        <v>-692.9299999999999</v>
      </c>
      <c r="BA47" s="942" t="n">
        <v>-769.03</v>
      </c>
      <c r="BB47" s="942" t="n">
        <v>-769.03</v>
      </c>
      <c r="BC47" s="942" t="n">
        <v>-769.03</v>
      </c>
      <c r="BD47" s="942" t="n">
        <v>-769.03</v>
      </c>
      <c r="BE47" s="944" t="n">
        <v>-769.03</v>
      </c>
      <c r="BF47" s="1025">
        <f>SUMIF('Monthly Detail'!$4:$4, $B$14,'Monthly Detail'!109:109)</f>
        <v/>
      </c>
      <c r="BG47" s="942" t="n">
        <v>0</v>
      </c>
      <c r="BH47" s="943" t="n">
        <v>0</v>
      </c>
      <c r="BI47" s="943" t="n">
        <v>0</v>
      </c>
      <c r="BJ47" s="940" t="n">
        <v>0</v>
      </c>
      <c r="BK47" s="940" t="n">
        <v>0</v>
      </c>
      <c r="BL47" s="945" t="n">
        <v>0</v>
      </c>
      <c r="BM47" s="943" t="n">
        <v>0</v>
      </c>
      <c r="BN47" s="943" t="n">
        <v>0</v>
      </c>
      <c r="BO47" s="943" t="n">
        <v>0</v>
      </c>
      <c r="BP47" s="943" t="n">
        <v>0</v>
      </c>
      <c r="BQ47" s="943" t="n">
        <v>0</v>
      </c>
      <c r="BR47" s="943" t="n">
        <v>0</v>
      </c>
      <c r="BS47" s="943" t="n">
        <v>0</v>
      </c>
      <c r="BT47" s="943" t="n">
        <v>-800</v>
      </c>
      <c r="BU47" s="943" t="n">
        <v>-800</v>
      </c>
      <c r="BV47" s="943" t="n">
        <v>-800</v>
      </c>
      <c r="BW47" s="943" t="n">
        <v>-800</v>
      </c>
      <c r="BX47" s="943" t="n">
        <v>-800</v>
      </c>
      <c r="BY47" s="946" t="n">
        <v>-800</v>
      </c>
      <c r="BZ47" s="946" t="n">
        <v>-800</v>
      </c>
      <c r="CA47" s="946" t="n">
        <v>-800</v>
      </c>
      <c r="CB47" s="946" t="n">
        <v>-800</v>
      </c>
      <c r="CC47" s="946" t="n">
        <v>-800</v>
      </c>
      <c r="CD47" s="946" t="n">
        <v>-800</v>
      </c>
      <c r="CE47" s="947">
        <f>BF47-AD47</f>
        <v/>
      </c>
      <c r="CF47" s="947">
        <f>BF47-CC47</f>
        <v/>
      </c>
    </row>
    <row r="48" hidden="1">
      <c r="B48" s="959" t="inlineStr">
        <is>
          <t>Net Other Income</t>
        </is>
      </c>
      <c r="C48" s="960" t="n"/>
      <c r="D48" s="985">
        <f>+D47</f>
        <v/>
      </c>
      <c r="E48" s="985">
        <f>+E47</f>
        <v/>
      </c>
      <c r="F48" s="985" t="n">
        <v>0</v>
      </c>
      <c r="G48" s="985" t="n">
        <v>0</v>
      </c>
      <c r="H48" s="985" t="n">
        <v>0</v>
      </c>
      <c r="I48" s="985" t="n">
        <v>0</v>
      </c>
      <c r="J48" s="986" t="n">
        <v>0</v>
      </c>
      <c r="K48" s="985" t="n">
        <v>0</v>
      </c>
      <c r="L48" s="985" t="n">
        <v>0</v>
      </c>
      <c r="M48" s="985" t="n">
        <v>0</v>
      </c>
      <c r="N48" s="985" t="n">
        <v>0</v>
      </c>
      <c r="O48" s="985" t="n">
        <v>0</v>
      </c>
      <c r="P48" s="987" t="n">
        <v>0</v>
      </c>
      <c r="Q48" s="987" t="n">
        <v>-638.9299999999999</v>
      </c>
      <c r="R48" s="988" t="n">
        <v>-733.37</v>
      </c>
      <c r="S48" s="988" t="n">
        <v>-800</v>
      </c>
      <c r="T48" s="985" t="n">
        <v>-800</v>
      </c>
      <c r="U48" s="985" t="n">
        <v>-800</v>
      </c>
      <c r="V48" s="985" t="n">
        <v>-800</v>
      </c>
      <c r="W48" s="985" t="n"/>
      <c r="X48" s="985" t="n"/>
      <c r="Y48" s="985" t="n"/>
      <c r="Z48" s="985" t="n">
        <v>-800</v>
      </c>
      <c r="AA48" s="985" t="n">
        <v>-800</v>
      </c>
      <c r="AB48" s="985" t="n">
        <v>-800</v>
      </c>
      <c r="AC48" s="989" t="n">
        <v>-800</v>
      </c>
      <c r="AD48" s="1029">
        <f>+BD47</f>
        <v/>
      </c>
      <c r="AE48" s="985">
        <f>+AD47</f>
        <v/>
      </c>
      <c r="AF48" s="985">
        <f>+AE47</f>
        <v/>
      </c>
      <c r="AG48" s="985">
        <f>+AF47</f>
        <v/>
      </c>
      <c r="AH48" s="985">
        <f>+AG47</f>
        <v/>
      </c>
      <c r="AI48" s="985">
        <f>+AH47</f>
        <v/>
      </c>
      <c r="AJ48" s="985">
        <f>+AI47</f>
        <v/>
      </c>
      <c r="AK48" s="985">
        <f>+AJ47</f>
        <v/>
      </c>
      <c r="AL48" s="985">
        <f>+AK47</f>
        <v/>
      </c>
      <c r="AM48" s="985">
        <f>+AL47</f>
        <v/>
      </c>
      <c r="AN48" s="985" t="n">
        <v>0</v>
      </c>
      <c r="AO48" s="985" t="n">
        <v>25</v>
      </c>
      <c r="AP48" s="985" t="n">
        <v>0</v>
      </c>
      <c r="AQ48" s="985" t="n">
        <v>-606.6900000000001</v>
      </c>
      <c r="AR48" s="985" t="n"/>
      <c r="AS48" s="985" t="n"/>
      <c r="AT48" s="985" t="n">
        <v>-735.08</v>
      </c>
      <c r="AU48" s="985" t="n">
        <v>-790.12</v>
      </c>
      <c r="AV48" s="985" t="n">
        <v>-821.85</v>
      </c>
      <c r="AW48" s="985" t="n">
        <v>-775.58</v>
      </c>
      <c r="AX48" s="987" t="n">
        <v>-757.9299999999999</v>
      </c>
      <c r="AY48" s="987" t="n">
        <v>-757.9299999999999</v>
      </c>
      <c r="AZ48" s="987" t="n">
        <v>-692.9299999999999</v>
      </c>
      <c r="BA48" s="987" t="n">
        <v>-769.03</v>
      </c>
      <c r="BB48" s="987" t="n">
        <v>-769.03</v>
      </c>
      <c r="BC48" s="987" t="n">
        <v>-769.03</v>
      </c>
      <c r="BD48" s="987" t="n">
        <v>-769.03</v>
      </c>
      <c r="BE48" s="989" t="n">
        <v>-769.03</v>
      </c>
      <c r="BF48" s="1029">
        <f>+BD47</f>
        <v/>
      </c>
      <c r="BG48" s="987" t="n">
        <v>0</v>
      </c>
      <c r="BH48" s="988" t="n">
        <v>0</v>
      </c>
      <c r="BI48" s="988" t="n">
        <v>0</v>
      </c>
      <c r="BJ48" s="985" t="n">
        <v>0</v>
      </c>
      <c r="BK48" s="985" t="n">
        <v>0</v>
      </c>
      <c r="BL48" s="990" t="n">
        <v>0</v>
      </c>
      <c r="BM48" s="988" t="n">
        <v>0</v>
      </c>
      <c r="BN48" s="988" t="n">
        <v>0</v>
      </c>
      <c r="BO48" s="988" t="n">
        <v>0</v>
      </c>
      <c r="BP48" s="988" t="n">
        <v>0</v>
      </c>
      <c r="BQ48" s="988" t="n">
        <v>0</v>
      </c>
      <c r="BR48" s="988" t="n">
        <v>0</v>
      </c>
      <c r="BS48" s="988" t="n">
        <v>0</v>
      </c>
      <c r="BT48" s="988" t="n">
        <v>-800</v>
      </c>
      <c r="BU48" s="988" t="n">
        <v>-800</v>
      </c>
      <c r="BV48" s="988" t="n">
        <v>-800</v>
      </c>
      <c r="BW48" s="988" t="n">
        <v>-800</v>
      </c>
      <c r="BX48" s="988" t="n">
        <v>-800</v>
      </c>
      <c r="BY48" s="991" t="n">
        <v>-800</v>
      </c>
      <c r="BZ48" s="991" t="n">
        <v>-800</v>
      </c>
      <c r="CA48" s="991" t="n">
        <v>-800</v>
      </c>
      <c r="CB48" s="991" t="n">
        <v>-800</v>
      </c>
      <c r="CC48" s="991" t="n">
        <v>-800</v>
      </c>
      <c r="CD48" s="991" t="n">
        <v>-800</v>
      </c>
      <c r="CE48" s="992">
        <f>BF48-AD48</f>
        <v/>
      </c>
      <c r="CF48" s="992">
        <f>BF48-CC48</f>
        <v/>
      </c>
    </row>
    <row r="49">
      <c r="B49" s="948" t="inlineStr">
        <is>
          <t>Cash Distributions</t>
        </is>
      </c>
      <c r="C49" s="939" t="n"/>
      <c r="D49" s="949" t="n"/>
      <c r="E49" s="949" t="n"/>
      <c r="F49" s="949" t="n"/>
      <c r="G49" s="949" t="n"/>
      <c r="H49" s="949" t="n"/>
      <c r="I49" s="949" t="n"/>
      <c r="J49" s="950" t="n">
        <v>3250</v>
      </c>
      <c r="K49" s="949" t="n">
        <v>800</v>
      </c>
      <c r="L49" s="949" t="n">
        <v>1600</v>
      </c>
      <c r="M49" s="949" t="n">
        <v>1600</v>
      </c>
      <c r="N49" s="949" t="n">
        <v>1270</v>
      </c>
      <c r="O49" s="949" t="n">
        <v>3964.196269576671</v>
      </c>
      <c r="P49" s="993" t="n">
        <v>4045.89685083802</v>
      </c>
      <c r="Q49" s="993" t="n">
        <v>6767.5</v>
      </c>
      <c r="R49" s="994" t="n">
        <v>-3250</v>
      </c>
      <c r="S49" s="994" t="n">
        <v>-3250</v>
      </c>
      <c r="T49" s="949" t="n">
        <v>-3250</v>
      </c>
      <c r="U49" s="949" t="n">
        <v>-3250</v>
      </c>
      <c r="V49" s="949" t="n">
        <v>-3250</v>
      </c>
      <c r="W49" s="949" t="n">
        <v>0</v>
      </c>
      <c r="X49" s="949" t="n">
        <v>-8367.489999999991</v>
      </c>
      <c r="Y49" s="949" t="n">
        <v>0</v>
      </c>
      <c r="Z49" s="949" t="n">
        <v>0</v>
      </c>
      <c r="AA49" s="949" t="n">
        <v>0</v>
      </c>
      <c r="AB49" s="949" t="n">
        <v>0</v>
      </c>
      <c r="AC49" s="995" t="n">
        <v>0</v>
      </c>
      <c r="AD49" s="1030">
        <f>+SUMIF('Monthly Detail'!$4:$4, $B$14,'Monthly Detail'!157:157)</f>
        <v/>
      </c>
      <c r="AE49" s="949" t="n"/>
      <c r="AF49" s="949" t="n"/>
      <c r="AG49" s="949" t="n"/>
      <c r="AH49" s="949" t="n"/>
      <c r="AI49" s="949" t="n"/>
      <c r="AJ49" s="949" t="n"/>
      <c r="AK49" s="994">
        <f>-'[1]Monthly Detail'!AQ170</f>
        <v/>
      </c>
      <c r="AL49" s="994">
        <f>-'[1]Monthly Detail'!AR170</f>
        <v/>
      </c>
      <c r="AM49" s="994">
        <f>-'[1]Monthly Detail'!AS170</f>
        <v/>
      </c>
      <c r="AN49" s="950" t="n">
        <v>4300</v>
      </c>
      <c r="AO49" s="949" t="n">
        <v>2750</v>
      </c>
      <c r="AP49" s="949" t="n">
        <v>4307.540483478821</v>
      </c>
      <c r="AQ49" s="949" t="n">
        <v>9775</v>
      </c>
      <c r="AR49" s="949" t="n"/>
      <c r="AS49" s="949" t="n"/>
      <c r="AT49" s="949" t="n">
        <v>-7780</v>
      </c>
      <c r="AU49" s="949" t="n">
        <v>-7452.410000000003</v>
      </c>
      <c r="AV49" s="949" t="n">
        <v>-2150</v>
      </c>
      <c r="AW49" s="949" t="n">
        <v>0</v>
      </c>
      <c r="AX49" s="993" t="n">
        <v>0</v>
      </c>
      <c r="AY49" s="993" t="n">
        <v>-20674</v>
      </c>
      <c r="AZ49" s="993" t="n">
        <v>-8367.489999999991</v>
      </c>
      <c r="BA49" s="993" t="n">
        <v>0</v>
      </c>
      <c r="BB49" s="993" t="n">
        <v>0</v>
      </c>
      <c r="BC49" s="993" t="n">
        <v>0</v>
      </c>
      <c r="BD49" s="993" t="n">
        <v>0</v>
      </c>
      <c r="BE49" s="995" t="n">
        <v>0</v>
      </c>
      <c r="BF49" s="1030">
        <f>+SUMIF('Monthly Detail'!$4:$4, $B$14,'Monthly Detail'!157:157)</f>
        <v/>
      </c>
      <c r="BG49" s="993" t="n">
        <v>2000</v>
      </c>
      <c r="BH49" s="994" t="n">
        <v>1050</v>
      </c>
      <c r="BI49" s="994" t="n">
        <v>1150</v>
      </c>
      <c r="BJ49" s="949" t="n">
        <v>1275</v>
      </c>
      <c r="BK49" s="949" t="n">
        <v>2400</v>
      </c>
      <c r="BL49" s="996" t="n">
        <v>1270</v>
      </c>
      <c r="BM49" s="994" t="n">
        <v>2464.61</v>
      </c>
      <c r="BN49" s="994" t="n">
        <v>6405</v>
      </c>
      <c r="BO49" s="994" t="n">
        <v>-5600</v>
      </c>
      <c r="BP49" s="994" t="n">
        <v>-4100</v>
      </c>
      <c r="BQ49" s="994" t="n">
        <v>-4100</v>
      </c>
      <c r="BR49" s="994" t="n">
        <v>-1425</v>
      </c>
      <c r="BS49" s="994" t="n">
        <v>-3250</v>
      </c>
      <c r="BT49" s="994" t="n">
        <v>-3250</v>
      </c>
      <c r="BU49" s="994" t="n">
        <v>-3250</v>
      </c>
      <c r="BV49" s="994" t="n">
        <v>-3250</v>
      </c>
      <c r="BW49" s="994" t="n">
        <v>-3250</v>
      </c>
      <c r="BX49" s="994" t="n">
        <v>-3250</v>
      </c>
      <c r="BY49" s="997" t="n">
        <v>-3250</v>
      </c>
      <c r="BZ49" s="997" t="n">
        <v>-3250</v>
      </c>
      <c r="CA49" s="997" t="n">
        <v>-3250</v>
      </c>
      <c r="CB49" s="997" t="n">
        <v>-3250</v>
      </c>
      <c r="CC49" s="997" t="n">
        <v>-3250</v>
      </c>
      <c r="CD49" s="997" t="n">
        <v>-3250</v>
      </c>
      <c r="CE49" s="998">
        <f>BF49-AD49</f>
        <v/>
      </c>
      <c r="CF49" s="998">
        <f>BF49-CC49</f>
        <v/>
      </c>
    </row>
    <row r="50" ht="15" customHeight="1" thickBot="1">
      <c r="B50" s="999" t="inlineStr">
        <is>
          <t>Net Income</t>
        </is>
      </c>
      <c r="C50" s="1000" t="n"/>
      <c r="D50" s="1001">
        <f>+D48+D44</f>
        <v/>
      </c>
      <c r="E50" s="1001">
        <f>+E48+E44</f>
        <v/>
      </c>
      <c r="F50" s="1001" t="n">
        <v>5166.626666666666</v>
      </c>
      <c r="G50" s="1001" t="n">
        <v>3957.721666666667</v>
      </c>
      <c r="H50" s="1001" t="n">
        <v>7569.723333333334</v>
      </c>
      <c r="I50" s="1001" t="n">
        <v>2255.7185</v>
      </c>
      <c r="J50" s="1002" t="n">
        <v>1022.18802631579</v>
      </c>
      <c r="K50" s="1001" t="n">
        <v>1435.429891304348</v>
      </c>
      <c r="L50" s="1001" t="n">
        <v>3942.562484691571</v>
      </c>
      <c r="M50" s="1001" t="n">
        <v>4387.407073139654</v>
      </c>
      <c r="N50" s="1001" t="n">
        <v>3311.227239800528</v>
      </c>
      <c r="O50" s="1003" t="n">
        <v>4129.000672777139</v>
      </c>
      <c r="P50" s="1004" t="n">
        <v>6203.629262112607</v>
      </c>
      <c r="Q50" s="1004" t="n">
        <v>3987.246914389297</v>
      </c>
      <c r="R50" s="1005" t="n">
        <v>3901.75834521729</v>
      </c>
      <c r="S50" s="1005" t="n">
        <v>2310.752285914162</v>
      </c>
      <c r="T50" s="1003" t="n">
        <v>2310.752285914162</v>
      </c>
      <c r="U50" s="1003" t="n">
        <v>2310.752285914162</v>
      </c>
      <c r="V50" s="1003" t="n">
        <v>2310.752285914162</v>
      </c>
      <c r="W50" s="1003" t="n">
        <v>2407.652480554095</v>
      </c>
      <c r="X50" s="1003" t="n">
        <v>2407.652480554095</v>
      </c>
      <c r="Y50" s="1003" t="n">
        <v>2407.652480554095</v>
      </c>
      <c r="Z50" s="1003" t="n">
        <v>3237.860446837643</v>
      </c>
      <c r="AA50" s="1003" t="n">
        <v>6558.926692450164</v>
      </c>
      <c r="AB50" s="1003" t="n">
        <v>8613.061278415145</v>
      </c>
      <c r="AC50" s="1006" t="n">
        <v>6819.639716493593</v>
      </c>
      <c r="AD50" s="1031">
        <f>+BD48+BD44</f>
        <v/>
      </c>
      <c r="AE50" s="1003">
        <f>+AD48+AD44</f>
        <v/>
      </c>
      <c r="AF50" s="1003">
        <f>+AE48+AE44</f>
        <v/>
      </c>
      <c r="AG50" s="1003">
        <f>+AF48+AF44</f>
        <v/>
      </c>
      <c r="AH50" s="1003">
        <f>+AG48+AG44</f>
        <v/>
      </c>
      <c r="AI50" s="1003">
        <f>+AH48+AH44</f>
        <v/>
      </c>
      <c r="AJ50" s="1003">
        <f>+AI48+AI44</f>
        <v/>
      </c>
      <c r="AK50" s="1003">
        <f>+AJ48+AJ44</f>
        <v/>
      </c>
      <c r="AL50" s="1003">
        <f>+AK48+AK44</f>
        <v/>
      </c>
      <c r="AM50" s="1003">
        <f>+AL48+AL44</f>
        <v/>
      </c>
      <c r="AN50" s="1003" t="n">
        <v>5015.13</v>
      </c>
      <c r="AO50" s="1003" t="n">
        <v>2753.84</v>
      </c>
      <c r="AP50" s="1003" t="n">
        <v>6317.030000000001</v>
      </c>
      <c r="AQ50" s="1003" t="n">
        <v>11158.25</v>
      </c>
      <c r="AR50" s="1003" t="n"/>
      <c r="AS50" s="1003" t="n"/>
      <c r="AT50" s="1003" t="n">
        <v>6531.79</v>
      </c>
      <c r="AU50" s="1003" t="n">
        <v>3184.67</v>
      </c>
      <c r="AV50" s="1003" t="n">
        <v>1533.35</v>
      </c>
      <c r="AW50" s="1003" t="n">
        <v>187.2399999999997</v>
      </c>
      <c r="AX50" s="1004" t="n">
        <v>-514.5500000000017</v>
      </c>
      <c r="AY50" s="1004" t="n">
        <v>-782.6699999999997</v>
      </c>
      <c r="AZ50" s="1004" t="n">
        <v>1503.21</v>
      </c>
      <c r="BA50" s="1004" t="n">
        <v>1994.59</v>
      </c>
      <c r="BB50" s="1004" t="n">
        <v>1994.59</v>
      </c>
      <c r="BC50" s="1004" t="n">
        <v>1994.59</v>
      </c>
      <c r="BD50" s="1004" t="n">
        <v>1994.59</v>
      </c>
      <c r="BE50" s="1006" t="n">
        <v>1994.59</v>
      </c>
      <c r="BF50" s="1031">
        <f>+BD48+BD44</f>
        <v/>
      </c>
      <c r="BG50" s="1007" t="n">
        <v>2255.7185</v>
      </c>
      <c r="BH50" s="1008" t="n">
        <v>4082.90051754386</v>
      </c>
      <c r="BI50" s="1008" t="n">
        <v>3183.372485507246</v>
      </c>
      <c r="BJ50" s="1001" t="n">
        <v>5003.694690476191</v>
      </c>
      <c r="BK50" s="1001" t="n">
        <v>9421.031000000001</v>
      </c>
      <c r="BL50" s="1009" t="n">
        <v>5919.610545454545</v>
      </c>
      <c r="BM50" s="1008">
        <f>+BK44+BK47</f>
        <v/>
      </c>
      <c r="BN50" s="1008">
        <f>+BL44+BL47</f>
        <v/>
      </c>
      <c r="BO50" s="1008">
        <f>+BM44+BM47</f>
        <v/>
      </c>
      <c r="BP50" s="1008">
        <f>+BN44+BN47</f>
        <v/>
      </c>
      <c r="BQ50" s="1008">
        <f>+BO44+BO47</f>
        <v/>
      </c>
      <c r="BR50" s="1008">
        <f>+BP44+BP47</f>
        <v/>
      </c>
      <c r="BS50" s="1008">
        <f>+BQ44+BQ47</f>
        <v/>
      </c>
      <c r="BT50" s="1008">
        <f>+BR44+BR47</f>
        <v/>
      </c>
      <c r="BU50" s="1008">
        <f>+BS44+BS47</f>
        <v/>
      </c>
      <c r="BV50" s="1008">
        <f>+BT44+BT47</f>
        <v/>
      </c>
      <c r="BW50" s="1008">
        <f>+BU44+BU47</f>
        <v/>
      </c>
      <c r="BX50" s="1008">
        <f>+BV44+BV47</f>
        <v/>
      </c>
      <c r="BY50" s="1010">
        <f>+BW44+BW47</f>
        <v/>
      </c>
      <c r="BZ50" s="1010">
        <f>+BX44+BX47</f>
        <v/>
      </c>
      <c r="CA50" s="1010">
        <f>+BY44+BY47</f>
        <v/>
      </c>
      <c r="CB50" s="1010">
        <f>+BZ44+BZ47</f>
        <v/>
      </c>
      <c r="CC50" s="1010">
        <f>+CA44+CA47</f>
        <v/>
      </c>
      <c r="CD50" s="1010">
        <f>+CB44+CB47</f>
        <v/>
      </c>
      <c r="CE50" s="1011">
        <f>BF50-AD50</f>
        <v/>
      </c>
      <c r="CF50" s="1011">
        <f>BF50-CC50</f>
        <v/>
      </c>
    </row>
    <row r="51" ht="15" customHeight="1" thickTop="1">
      <c r="AD51" s="1013" t="n"/>
      <c r="BF51" s="1013" t="n"/>
    </row>
    <row r="52">
      <c r="B52" s="265" t="n"/>
      <c r="C52" s="265" t="n"/>
      <c r="D52" s="782" t="n"/>
      <c r="E52" s="782" t="n"/>
      <c r="F52" s="782" t="n"/>
      <c r="G52" s="782" t="n"/>
      <c r="H52" s="782" t="n"/>
      <c r="I52" s="782" t="n"/>
      <c r="J52" s="782" t="n"/>
      <c r="K52" s="782" t="n"/>
      <c r="L52" s="782" t="n"/>
      <c r="M52" s="782" t="n"/>
      <c r="N52" s="782" t="n"/>
      <c r="O52" s="782" t="n"/>
      <c r="P52" s="782" t="n"/>
      <c r="Q52" s="782" t="n"/>
      <c r="R52" s="782" t="n"/>
      <c r="S52" s="782" t="n"/>
      <c r="T52" s="782" t="n"/>
      <c r="U52" s="782" t="n"/>
      <c r="V52" s="782" t="n"/>
      <c r="W52" s="782" t="n"/>
      <c r="X52" s="782" t="n"/>
      <c r="Y52" s="782" t="n"/>
      <c r="Z52" s="782" t="n"/>
      <c r="AA52" s="782" t="n"/>
      <c r="AB52" s="819" t="n"/>
      <c r="AC52" s="782" t="n"/>
      <c r="AD52" s="1032" t="n"/>
      <c r="AE52" s="819" t="n"/>
      <c r="AF52" s="819" t="n"/>
      <c r="AG52" s="819" t="n"/>
      <c r="AH52" s="819" t="n"/>
      <c r="AI52" s="819" t="n"/>
      <c r="AJ52" s="782" t="n"/>
      <c r="AK52" s="782" t="n"/>
      <c r="AL52" s="782" t="n"/>
      <c r="AM52" s="782" t="n"/>
      <c r="AN52" s="782" t="n"/>
      <c r="AO52" s="782" t="n"/>
      <c r="AP52" s="782" t="n"/>
      <c r="AQ52" s="782" t="n"/>
      <c r="AR52" s="782" t="n"/>
      <c r="AS52" s="782" t="n"/>
      <c r="AT52" s="782" t="n"/>
      <c r="AU52" s="782" t="n"/>
      <c r="AV52" s="782" t="n"/>
      <c r="AW52" s="782" t="n"/>
      <c r="AX52" s="782" t="n"/>
      <c r="AY52" s="782" t="n"/>
      <c r="AZ52" s="782" t="n"/>
      <c r="BA52" s="782" t="n"/>
      <c r="BB52" s="782" t="n"/>
      <c r="BC52" s="782" t="n"/>
      <c r="BD52" s="782" t="n"/>
      <c r="BE52" s="782" t="n"/>
      <c r="BF52" s="1032" t="n"/>
      <c r="BG52" s="782" t="n"/>
      <c r="BH52" s="782" t="n"/>
      <c r="BI52" s="782" t="n"/>
      <c r="BJ52" s="782" t="n"/>
      <c r="BK52" s="782" t="n"/>
      <c r="BL52" s="782" t="n"/>
      <c r="BM52" s="782" t="n"/>
      <c r="BN52" s="782" t="n"/>
      <c r="BO52" s="782" t="n"/>
      <c r="BP52" s="782" t="n"/>
      <c r="BQ52" s="782" t="n"/>
      <c r="BR52" s="782" t="n"/>
      <c r="BS52" s="782" t="n"/>
      <c r="BT52" s="782" t="n"/>
      <c r="BU52" s="782" t="n"/>
      <c r="BV52" s="782" t="n"/>
      <c r="BW52" s="782" t="n"/>
      <c r="BX52" s="782" t="n"/>
      <c r="BY52" s="782" t="n"/>
      <c r="BZ52" s="782" t="n"/>
      <c r="CA52" s="782" t="n"/>
      <c r="CB52" s="782" t="n"/>
      <c r="CC52" s="782" t="n"/>
      <c r="CD52" s="782" t="n"/>
      <c r="CE52" s="1012" t="n"/>
      <c r="CF52" s="1012" t="n"/>
    </row>
  </sheetData>
  <mergeCells count="28">
    <mergeCell ref="B47:C47"/>
    <mergeCell ref="B16:C16"/>
    <mergeCell ref="B46:C46"/>
    <mergeCell ref="B31:C31"/>
    <mergeCell ref="B27:C27"/>
    <mergeCell ref="B43:C43"/>
    <mergeCell ref="B39:C39"/>
    <mergeCell ref="B48:C48"/>
    <mergeCell ref="B42:C42"/>
    <mergeCell ref="B38:C38"/>
    <mergeCell ref="B44:C44"/>
    <mergeCell ref="B29:C29"/>
    <mergeCell ref="B34:C34"/>
    <mergeCell ref="B37:C37"/>
    <mergeCell ref="B28:C28"/>
    <mergeCell ref="B40:C40"/>
    <mergeCell ref="B49:C49"/>
    <mergeCell ref="B30:C30"/>
    <mergeCell ref="B33:C33"/>
    <mergeCell ref="B17:B23"/>
    <mergeCell ref="B45:C45"/>
    <mergeCell ref="B14:CF14"/>
    <mergeCell ref="B36:C36"/>
    <mergeCell ref="B32:C32"/>
    <mergeCell ref="B50:C50"/>
    <mergeCell ref="B26:C26"/>
    <mergeCell ref="B41:C41"/>
    <mergeCell ref="B35:C35"/>
  </mergeCells>
  <pageMargins left="0.7" right="0.7" top="0.75" bottom="0.75" header="0.3" footer="0.3"/>
  <pageSetup orientation="portrait" scale="58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tabColor theme="0" tint="-0.249977111117893"/>
    <outlinePr summaryBelow="1" summaryRight="1"/>
    <pageSetUpPr/>
  </sheetPr>
  <dimension ref="B2:C62"/>
  <sheetViews>
    <sheetView workbookViewId="0">
      <selection activeCell="C1" sqref="C1:C1048576"/>
    </sheetView>
  </sheetViews>
  <sheetFormatPr baseColWidth="8" defaultColWidth="8.6640625" defaultRowHeight="14.4"/>
  <cols>
    <col width="10.6640625" bestFit="1" customWidth="1" min="2" max="2"/>
    <col width="14.33203125" bestFit="1" customWidth="1" min="3" max="3"/>
  </cols>
  <sheetData>
    <row r="2">
      <c r="B2" s="12" t="inlineStr">
        <is>
          <t>Holidays</t>
        </is>
      </c>
      <c r="C2" s="13" t="n"/>
    </row>
    <row r="3">
      <c r="B3" s="14" t="n">
        <v>43831</v>
      </c>
      <c r="C3" t="inlineStr">
        <is>
          <t>New Years</t>
        </is>
      </c>
    </row>
    <row r="4">
      <c r="B4" s="14" t="n">
        <v>43850</v>
      </c>
      <c r="C4" t="inlineStr">
        <is>
          <t>MLK</t>
        </is>
      </c>
    </row>
    <row r="5">
      <c r="B5" s="14" t="n">
        <v>43878</v>
      </c>
      <c r="C5" t="inlineStr">
        <is>
          <t>Presidents Day</t>
        </is>
      </c>
    </row>
    <row r="6">
      <c r="B6" s="14" t="n">
        <v>43976</v>
      </c>
      <c r="C6" t="inlineStr">
        <is>
          <t>Memorial Day</t>
        </is>
      </c>
    </row>
    <row r="7">
      <c r="B7" s="14" t="n">
        <v>44081</v>
      </c>
      <c r="C7" t="inlineStr">
        <is>
          <t>Labor Day</t>
        </is>
      </c>
    </row>
    <row r="8">
      <c r="B8" s="14" t="n">
        <v>44016</v>
      </c>
      <c r="C8" t="inlineStr">
        <is>
          <t>4th of July</t>
        </is>
      </c>
    </row>
    <row r="9">
      <c r="B9" s="14" t="n">
        <v>44161</v>
      </c>
      <c r="C9" t="inlineStr">
        <is>
          <t>Thanksgiving</t>
        </is>
      </c>
    </row>
    <row r="10">
      <c r="B10" s="14">
        <f>+B9+1</f>
        <v/>
      </c>
      <c r="C10" t="inlineStr">
        <is>
          <t>Black Friday</t>
        </is>
      </c>
    </row>
    <row r="11">
      <c r="B11" s="14" t="n">
        <v>44189</v>
      </c>
      <c r="C11" t="inlineStr">
        <is>
          <t>Christmas Eve</t>
        </is>
      </c>
    </row>
    <row r="12">
      <c r="B12" s="14">
        <f>+B11+1</f>
        <v/>
      </c>
      <c r="C12" t="inlineStr">
        <is>
          <t>Christmas</t>
        </is>
      </c>
    </row>
    <row r="13">
      <c r="B13" s="14">
        <f>+B3+366</f>
        <v/>
      </c>
      <c r="C13" t="inlineStr">
        <is>
          <t>New Years</t>
        </is>
      </c>
    </row>
    <row r="14">
      <c r="B14" s="14">
        <f>+B4+366</f>
        <v/>
      </c>
      <c r="C14" t="inlineStr">
        <is>
          <t>MLK</t>
        </is>
      </c>
    </row>
    <row r="15">
      <c r="B15" s="14">
        <f>+B5+366</f>
        <v/>
      </c>
      <c r="C15" t="inlineStr">
        <is>
          <t>Presidents Day</t>
        </is>
      </c>
    </row>
    <row r="16">
      <c r="B16" s="14">
        <f>+B6+366</f>
        <v/>
      </c>
      <c r="C16" t="inlineStr">
        <is>
          <t>Memorial Day</t>
        </is>
      </c>
    </row>
    <row r="17">
      <c r="B17" s="14">
        <f>+B7+366</f>
        <v/>
      </c>
      <c r="C17" t="inlineStr">
        <is>
          <t>Labor Day</t>
        </is>
      </c>
    </row>
    <row r="18">
      <c r="B18" s="14">
        <f>+B8+366</f>
        <v/>
      </c>
      <c r="C18" t="inlineStr">
        <is>
          <t>4th of July</t>
        </is>
      </c>
    </row>
    <row r="19">
      <c r="B19" s="14">
        <f>+B9+366</f>
        <v/>
      </c>
      <c r="C19" t="inlineStr">
        <is>
          <t>Thanksgiving</t>
        </is>
      </c>
    </row>
    <row r="20">
      <c r="B20" s="14">
        <f>+B10+366</f>
        <v/>
      </c>
      <c r="C20" t="inlineStr">
        <is>
          <t>Black Friday</t>
        </is>
      </c>
    </row>
    <row r="21">
      <c r="B21" s="14">
        <f>+B11+366</f>
        <v/>
      </c>
      <c r="C21" t="inlineStr">
        <is>
          <t>Christmas Eve</t>
        </is>
      </c>
    </row>
    <row r="22">
      <c r="B22" s="14">
        <f>+B12+366</f>
        <v/>
      </c>
      <c r="C22" t="inlineStr">
        <is>
          <t>Christmas</t>
        </is>
      </c>
    </row>
    <row r="23">
      <c r="B23" s="14">
        <f>+B13+365</f>
        <v/>
      </c>
      <c r="C23" t="inlineStr">
        <is>
          <t>New Years</t>
        </is>
      </c>
    </row>
    <row r="24">
      <c r="B24" s="14">
        <f>+B14+365</f>
        <v/>
      </c>
      <c r="C24" t="inlineStr">
        <is>
          <t>MLK</t>
        </is>
      </c>
    </row>
    <row r="25">
      <c r="B25" s="14">
        <f>+B15+365</f>
        <v/>
      </c>
      <c r="C25" t="inlineStr">
        <is>
          <t>Presidents Day</t>
        </is>
      </c>
    </row>
    <row r="26">
      <c r="B26" s="14">
        <f>+B16+365</f>
        <v/>
      </c>
      <c r="C26" t="inlineStr">
        <is>
          <t>Memorial Day</t>
        </is>
      </c>
    </row>
    <row r="27">
      <c r="B27" s="14">
        <f>+B17+365</f>
        <v/>
      </c>
      <c r="C27" t="inlineStr">
        <is>
          <t>Labor Day</t>
        </is>
      </c>
    </row>
    <row r="28">
      <c r="B28" s="14">
        <f>+B18+365</f>
        <v/>
      </c>
      <c r="C28" t="inlineStr">
        <is>
          <t>4th of July</t>
        </is>
      </c>
    </row>
    <row r="29">
      <c r="B29" s="14">
        <f>+B19+365</f>
        <v/>
      </c>
      <c r="C29" t="inlineStr">
        <is>
          <t>Thanksgiving</t>
        </is>
      </c>
    </row>
    <row r="30">
      <c r="B30" s="14">
        <f>+B20+365</f>
        <v/>
      </c>
      <c r="C30" t="inlineStr">
        <is>
          <t>Black Friday</t>
        </is>
      </c>
    </row>
    <row r="31">
      <c r="B31" s="14">
        <f>+B21+365</f>
        <v/>
      </c>
      <c r="C31" t="inlineStr">
        <is>
          <t>Christmas Eve</t>
        </is>
      </c>
    </row>
    <row r="32">
      <c r="B32" s="14">
        <f>+B22+365</f>
        <v/>
      </c>
      <c r="C32" t="inlineStr">
        <is>
          <t>Christmas</t>
        </is>
      </c>
    </row>
    <row r="33">
      <c r="B33" s="14">
        <f>+B23+365</f>
        <v/>
      </c>
      <c r="C33" t="inlineStr">
        <is>
          <t>New Years</t>
        </is>
      </c>
    </row>
    <row r="34">
      <c r="B34" s="14">
        <f>+B24+365</f>
        <v/>
      </c>
      <c r="C34" t="inlineStr">
        <is>
          <t>MLK</t>
        </is>
      </c>
    </row>
    <row r="35">
      <c r="B35" s="14">
        <f>+B25+365</f>
        <v/>
      </c>
      <c r="C35" t="inlineStr">
        <is>
          <t>Presidents Day</t>
        </is>
      </c>
    </row>
    <row r="36">
      <c r="B36" s="14">
        <f>+B26+365</f>
        <v/>
      </c>
      <c r="C36" t="inlineStr">
        <is>
          <t>Memorial Day</t>
        </is>
      </c>
    </row>
    <row r="37">
      <c r="B37" s="14">
        <f>+B27+365</f>
        <v/>
      </c>
      <c r="C37" t="inlineStr">
        <is>
          <t>Labor Day</t>
        </is>
      </c>
    </row>
    <row r="38">
      <c r="B38" s="14">
        <f>+B28+365</f>
        <v/>
      </c>
      <c r="C38" t="inlineStr">
        <is>
          <t>4th of July</t>
        </is>
      </c>
    </row>
    <row r="39">
      <c r="B39" s="14">
        <f>+B29+365</f>
        <v/>
      </c>
      <c r="C39" t="inlineStr">
        <is>
          <t>Thanksgiving</t>
        </is>
      </c>
    </row>
    <row r="40">
      <c r="B40" s="14">
        <f>+B30+365</f>
        <v/>
      </c>
      <c r="C40" t="inlineStr">
        <is>
          <t>Black Friday</t>
        </is>
      </c>
    </row>
    <row r="41">
      <c r="B41" s="14">
        <f>+B31+365</f>
        <v/>
      </c>
      <c r="C41" t="inlineStr">
        <is>
          <t>Christmas Eve</t>
        </is>
      </c>
    </row>
    <row r="42">
      <c r="B42" s="14">
        <f>+B32+365</f>
        <v/>
      </c>
      <c r="C42" t="inlineStr">
        <is>
          <t>Christmas</t>
        </is>
      </c>
    </row>
    <row r="43">
      <c r="B43" s="14">
        <f>+B33+365</f>
        <v/>
      </c>
      <c r="C43" t="inlineStr">
        <is>
          <t>New Years</t>
        </is>
      </c>
    </row>
    <row r="44">
      <c r="B44" s="14">
        <f>+B34+365</f>
        <v/>
      </c>
      <c r="C44" t="inlineStr">
        <is>
          <t>MLK</t>
        </is>
      </c>
    </row>
    <row r="45">
      <c r="B45" s="14">
        <f>+B35+365</f>
        <v/>
      </c>
      <c r="C45" t="inlineStr">
        <is>
          <t>Presidents Day</t>
        </is>
      </c>
    </row>
    <row r="46">
      <c r="B46" s="14">
        <f>+B36+365</f>
        <v/>
      </c>
      <c r="C46" t="inlineStr">
        <is>
          <t>Memorial Day</t>
        </is>
      </c>
    </row>
    <row r="47">
      <c r="B47" s="14">
        <f>+B37+365</f>
        <v/>
      </c>
      <c r="C47" t="inlineStr">
        <is>
          <t>Labor Day</t>
        </is>
      </c>
    </row>
    <row r="48">
      <c r="B48" s="14">
        <f>+B38+365</f>
        <v/>
      </c>
      <c r="C48" t="inlineStr">
        <is>
          <t>4th of July</t>
        </is>
      </c>
    </row>
    <row r="49">
      <c r="B49" s="14">
        <f>+B39+365</f>
        <v/>
      </c>
      <c r="C49" t="inlineStr">
        <is>
          <t>Thanksgiving</t>
        </is>
      </c>
    </row>
    <row r="50">
      <c r="B50" s="14">
        <f>+B40+365</f>
        <v/>
      </c>
      <c r="C50" t="inlineStr">
        <is>
          <t>Black Friday</t>
        </is>
      </c>
    </row>
    <row r="51">
      <c r="B51" s="14">
        <f>+B41+365</f>
        <v/>
      </c>
      <c r="C51" t="inlineStr">
        <is>
          <t>Christmas Eve</t>
        </is>
      </c>
    </row>
    <row r="52">
      <c r="B52" s="14">
        <f>+B42+365</f>
        <v/>
      </c>
      <c r="C52" t="inlineStr">
        <is>
          <t>Christmas</t>
        </is>
      </c>
    </row>
    <row r="53">
      <c r="B53" s="14">
        <f>+B43+365</f>
        <v/>
      </c>
      <c r="C53" t="inlineStr">
        <is>
          <t>New Years</t>
        </is>
      </c>
    </row>
    <row r="54">
      <c r="B54" s="14">
        <f>+B44+365</f>
        <v/>
      </c>
      <c r="C54" t="inlineStr">
        <is>
          <t>MLK</t>
        </is>
      </c>
    </row>
    <row r="55">
      <c r="B55" s="14">
        <f>+B45+365</f>
        <v/>
      </c>
      <c r="C55" t="inlineStr">
        <is>
          <t>Presidents Day</t>
        </is>
      </c>
    </row>
    <row r="56">
      <c r="B56" s="14">
        <f>+B46+365</f>
        <v/>
      </c>
      <c r="C56" t="inlineStr">
        <is>
          <t>Memorial Day</t>
        </is>
      </c>
    </row>
    <row r="57">
      <c r="B57" s="14">
        <f>+B47+365</f>
        <v/>
      </c>
      <c r="C57" t="inlineStr">
        <is>
          <t>Labor Day</t>
        </is>
      </c>
    </row>
    <row r="58">
      <c r="B58" s="14">
        <f>+B48+365</f>
        <v/>
      </c>
      <c r="C58" t="inlineStr">
        <is>
          <t>4th of July</t>
        </is>
      </c>
    </row>
    <row r="59">
      <c r="B59" s="14">
        <f>+B49+365</f>
        <v/>
      </c>
      <c r="C59" t="inlineStr">
        <is>
          <t>Thanksgiving</t>
        </is>
      </c>
    </row>
    <row r="60">
      <c r="B60" s="14">
        <f>+B50+365</f>
        <v/>
      </c>
      <c r="C60" t="inlineStr">
        <is>
          <t>Black Friday</t>
        </is>
      </c>
    </row>
    <row r="61">
      <c r="B61" s="14">
        <f>+B51+365</f>
        <v/>
      </c>
      <c r="C61" t="inlineStr">
        <is>
          <t>Christmas Eve</t>
        </is>
      </c>
    </row>
    <row r="62">
      <c r="B62" s="14">
        <f>+B52+365</f>
        <v/>
      </c>
      <c r="C62" t="inlineStr">
        <is>
          <t>Christmas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XFD18"/>
  <sheetViews>
    <sheetView workbookViewId="0">
      <selection activeCell="C2" sqref="C2:C16"/>
    </sheetView>
  </sheetViews>
  <sheetFormatPr baseColWidth="8" defaultColWidth="8.6640625" defaultRowHeight="14.4"/>
  <cols>
    <col width="8.6640625" customWidth="1" style="135" min="1" max="1"/>
    <col width="12.33203125" bestFit="1" customWidth="1" style="135" min="2" max="2"/>
    <col width="8.6640625" customWidth="1" style="135" min="3" max="9"/>
    <col width="15" bestFit="1" customWidth="1" style="135" min="10" max="10"/>
    <col width="8.6640625" customWidth="1" style="135" min="11" max="16384"/>
  </cols>
  <sheetData>
    <row r="1">
      <c r="A1" s="135" t="inlineStr">
        <is>
          <t>Student</t>
        </is>
      </c>
      <c r="B1" s="135" t="inlineStr">
        <is>
          <t>Date</t>
        </is>
      </c>
      <c r="C1" s="135" t="inlineStr">
        <is>
          <t>Hours</t>
        </is>
      </c>
      <c r="D1" s="135" t="inlineStr">
        <is>
          <t>Rate ($/hr)</t>
        </is>
      </c>
      <c r="E1" s="135" t="inlineStr">
        <is>
          <t>Coin</t>
        </is>
      </c>
      <c r="F1" s="135" t="inlineStr">
        <is>
          <t>Billed?</t>
        </is>
      </c>
      <c r="G1" s="135" t="inlineStr">
        <is>
          <t>Received payment?</t>
        </is>
      </c>
      <c r="H1" s="135" t="inlineStr">
        <is>
          <t>Topic</t>
        </is>
      </c>
      <c r="I1" s="135" t="inlineStr">
        <is>
          <t>Tip?</t>
        </is>
      </c>
      <c r="J1" s="136" t="inlineStr">
        <is>
          <t>Paid via invoice?</t>
        </is>
      </c>
      <c r="K1" s="135" t="inlineStr">
        <is>
          <t>Totals</t>
        </is>
      </c>
    </row>
    <row r="2">
      <c r="A2" s="137" t="inlineStr">
        <is>
          <t>Caroline Frey</t>
        </is>
      </c>
      <c r="B2" s="137" t="inlineStr">
        <is>
          <t>Asynchronous</t>
        </is>
      </c>
      <c r="C2" s="137" t="n">
        <v>2</v>
      </c>
      <c r="D2" s="137" t="n">
        <v>50</v>
      </c>
      <c r="E2" s="137" t="n">
        <v>100</v>
      </c>
      <c r="F2" s="137" t="inlineStr">
        <is>
          <t>Yes</t>
        </is>
      </c>
      <c r="G2" s="137" t="inlineStr">
        <is>
          <t>Yes</t>
        </is>
      </c>
      <c r="H2" s="137" t="inlineStr">
        <is>
          <t>Honors College Essays</t>
        </is>
      </c>
      <c r="I2" s="137" t="n"/>
      <c r="J2" s="138" t="inlineStr">
        <is>
          <t>Venmo for Tip</t>
        </is>
      </c>
      <c r="K2" s="137" t="n">
        <v>100</v>
      </c>
    </row>
    <row r="3">
      <c r="A3" s="137" t="inlineStr">
        <is>
          <t>Elle Mishler</t>
        </is>
      </c>
      <c r="B3" s="139" t="n">
        <v>44906</v>
      </c>
      <c r="C3" s="137" t="n">
        <v>1.25</v>
      </c>
      <c r="D3" s="138" t="n">
        <v>60</v>
      </c>
      <c r="E3" s="137" t="n">
        <v>75</v>
      </c>
      <c r="F3" s="137" t="inlineStr">
        <is>
          <t>Yes</t>
        </is>
      </c>
      <c r="G3" s="137" t="inlineStr">
        <is>
          <t>Yes</t>
        </is>
      </c>
      <c r="H3" s="137" t="inlineStr">
        <is>
          <t>Algebra 1</t>
        </is>
      </c>
      <c r="I3" s="137" t="inlineStr">
        <is>
          <t>No</t>
        </is>
      </c>
      <c r="J3" s="137" t="inlineStr">
        <is>
          <t>QBA</t>
        </is>
      </c>
      <c r="K3" s="137" t="n">
        <v>75</v>
      </c>
    </row>
    <row r="4">
      <c r="A4" s="137" t="inlineStr">
        <is>
          <t>John Surles</t>
        </is>
      </c>
      <c r="B4" s="139" t="n">
        <v>44907</v>
      </c>
      <c r="C4" s="137" t="n">
        <v>1</v>
      </c>
      <c r="D4" s="138" t="n">
        <v>60</v>
      </c>
      <c r="E4" s="137" t="n">
        <v>60</v>
      </c>
      <c r="F4" s="137" t="inlineStr">
        <is>
          <t>Yes</t>
        </is>
      </c>
      <c r="G4" s="137" t="inlineStr">
        <is>
          <t>Yes</t>
        </is>
      </c>
      <c r="H4" s="137" t="inlineStr">
        <is>
          <t>Advanced Functions - Fundamental Therem of Algebra, Conjugate Theorem</t>
        </is>
      </c>
      <c r="I4" s="137" t="inlineStr">
        <is>
          <t>No</t>
        </is>
      </c>
      <c r="J4" s="137" t="inlineStr">
        <is>
          <t>QBA</t>
        </is>
      </c>
      <c r="K4" s="137" t="n">
        <v>60</v>
      </c>
    </row>
    <row r="5">
      <c r="A5" s="137" t="inlineStr">
        <is>
          <t>John Surles</t>
        </is>
      </c>
      <c r="B5" s="139" t="n">
        <v>44908</v>
      </c>
      <c r="C5" s="137" t="n">
        <v>1.5</v>
      </c>
      <c r="D5" s="138" t="n">
        <v>60</v>
      </c>
      <c r="E5" s="137" t="n">
        <v>90</v>
      </c>
      <c r="F5" s="137" t="inlineStr">
        <is>
          <t>Yes</t>
        </is>
      </c>
      <c r="G5" s="137" t="inlineStr">
        <is>
          <t>Yes</t>
        </is>
      </c>
      <c r="H5" s="137" t="inlineStr">
        <is>
          <t>Advanced Functions - Fundamental Therem of Algebra, Conjugate Theorem</t>
        </is>
      </c>
      <c r="I5" s="137" t="inlineStr">
        <is>
          <t>No</t>
        </is>
      </c>
      <c r="J5" s="137" t="inlineStr">
        <is>
          <t>QBA</t>
        </is>
      </c>
      <c r="K5" s="137" t="n">
        <v>90</v>
      </c>
    </row>
    <row r="6">
      <c r="A6" s="137" t="inlineStr">
        <is>
          <t>John Surles</t>
        </is>
      </c>
      <c r="B6" s="139" t="n">
        <v>44910</v>
      </c>
      <c r="C6" s="137" t="n">
        <v>1.5</v>
      </c>
      <c r="D6" s="137" t="n">
        <v>60</v>
      </c>
      <c r="E6" s="137" t="n">
        <v>90</v>
      </c>
      <c r="F6" s="137" t="inlineStr">
        <is>
          <t>Yes</t>
        </is>
      </c>
      <c r="G6" s="137" t="inlineStr">
        <is>
          <t>Yes</t>
        </is>
      </c>
      <c r="H6" s="137" t="inlineStr">
        <is>
          <t>Advanced Functions - Fundamental Therem of Algebra, Conjugate Theorem</t>
        </is>
      </c>
      <c r="I6" s="137" t="inlineStr">
        <is>
          <t>No</t>
        </is>
      </c>
      <c r="J6" s="137" t="inlineStr">
        <is>
          <t>QBA</t>
        </is>
      </c>
      <c r="K6" s="137" t="n">
        <v>90</v>
      </c>
    </row>
    <row r="7">
      <c r="A7" s="137" t="inlineStr">
        <is>
          <t>Leyla Aggarwal</t>
        </is>
      </c>
      <c r="B7" s="139" t="n">
        <v>44905</v>
      </c>
      <c r="C7" s="137" t="n">
        <v>1</v>
      </c>
      <c r="D7" s="138" t="n">
        <v>60</v>
      </c>
      <c r="E7" s="137" t="n">
        <v>60</v>
      </c>
      <c r="F7" s="137" t="inlineStr">
        <is>
          <t>Yes</t>
        </is>
      </c>
      <c r="G7" s="137" t="inlineStr">
        <is>
          <t>Yes</t>
        </is>
      </c>
      <c r="H7" s="137" t="inlineStr">
        <is>
          <t>Dance Private</t>
        </is>
      </c>
      <c r="I7" s="137" t="inlineStr">
        <is>
          <t>No</t>
        </is>
      </c>
      <c r="J7" s="137" t="inlineStr">
        <is>
          <t>QBA</t>
        </is>
      </c>
      <c r="K7" s="137" t="n">
        <v>60</v>
      </c>
    </row>
    <row r="8">
      <c r="A8" s="137" t="inlineStr">
        <is>
          <t>Rohan Skanda</t>
        </is>
      </c>
      <c r="B8" s="139" t="n">
        <v>44898</v>
      </c>
      <c r="C8" s="137" t="n">
        <v>1.5</v>
      </c>
      <c r="D8" s="137" t="n">
        <v>50</v>
      </c>
      <c r="E8" s="137" t="n">
        <v>75</v>
      </c>
      <c r="F8" s="137" t="inlineStr">
        <is>
          <t>Yes</t>
        </is>
      </c>
      <c r="G8" s="137" t="inlineStr">
        <is>
          <t>Yes</t>
        </is>
      </c>
      <c r="H8" s="137" t="inlineStr">
        <is>
          <t>AOS Integrated Math + Science</t>
        </is>
      </c>
      <c r="I8" s="137" t="inlineStr">
        <is>
          <t>No</t>
        </is>
      </c>
      <c r="J8" s="137" t="inlineStr">
        <is>
          <t>QBA</t>
        </is>
      </c>
      <c r="K8" s="137" t="n">
        <v>75</v>
      </c>
    </row>
    <row r="9">
      <c r="A9" s="137" t="inlineStr">
        <is>
          <t>Rohan Skanda</t>
        </is>
      </c>
      <c r="B9" s="139" t="n">
        <v>44900</v>
      </c>
      <c r="C9" s="137" t="n">
        <v>1.5</v>
      </c>
      <c r="D9" s="137" t="n">
        <v>50</v>
      </c>
      <c r="E9" s="137" t="n">
        <v>75</v>
      </c>
      <c r="F9" s="137" t="inlineStr">
        <is>
          <t>Yes</t>
        </is>
      </c>
      <c r="G9" s="137" t="inlineStr">
        <is>
          <t>Yes</t>
        </is>
      </c>
      <c r="H9" s="137" t="inlineStr">
        <is>
          <t>AOS Integrated Math + Science</t>
        </is>
      </c>
      <c r="I9" s="137" t="inlineStr">
        <is>
          <t>No</t>
        </is>
      </c>
      <c r="J9" s="137" t="inlineStr">
        <is>
          <t>QBA</t>
        </is>
      </c>
      <c r="K9" s="137" t="n">
        <v>75</v>
      </c>
    </row>
    <row r="10">
      <c r="A10" s="137" t="inlineStr">
        <is>
          <t>Rohan Skanda</t>
        </is>
      </c>
      <c r="B10" s="139" t="n">
        <v>44903</v>
      </c>
      <c r="C10" s="137" t="n">
        <v>1</v>
      </c>
      <c r="D10" s="137" t="n">
        <v>50</v>
      </c>
      <c r="E10" s="137" t="n">
        <v>50</v>
      </c>
      <c r="F10" s="137" t="inlineStr">
        <is>
          <t>Yes</t>
        </is>
      </c>
      <c r="G10" s="137" t="inlineStr">
        <is>
          <t>Yes</t>
        </is>
      </c>
      <c r="H10" s="137" t="inlineStr">
        <is>
          <t>AOS Integrated Math + Science</t>
        </is>
      </c>
      <c r="I10" s="137" t="inlineStr">
        <is>
          <t>No</t>
        </is>
      </c>
      <c r="J10" s="137" t="inlineStr">
        <is>
          <t>QBA</t>
        </is>
      </c>
      <c r="K10" s="137" t="n">
        <v>50</v>
      </c>
    </row>
    <row r="11">
      <c r="A11" s="137" t="inlineStr">
        <is>
          <t>Rohan Skanda</t>
        </is>
      </c>
      <c r="B11" s="139" t="n">
        <v>44906</v>
      </c>
      <c r="C11" s="137" t="n">
        <v>2</v>
      </c>
      <c r="D11" s="137" t="n">
        <v>50</v>
      </c>
      <c r="E11" s="137" t="n">
        <v>100</v>
      </c>
      <c r="F11" s="137" t="inlineStr">
        <is>
          <t>Yes</t>
        </is>
      </c>
      <c r="G11" s="137" t="inlineStr">
        <is>
          <t>Yes</t>
        </is>
      </c>
      <c r="H11" s="137" t="inlineStr">
        <is>
          <t>AOS Integrated Math + Science</t>
        </is>
      </c>
      <c r="I11" s="137" t="inlineStr">
        <is>
          <t>No</t>
        </is>
      </c>
      <c r="J11" s="137" t="inlineStr">
        <is>
          <t>QBA</t>
        </is>
      </c>
      <c r="K11" s="137" t="n">
        <v>100</v>
      </c>
    </row>
    <row r="12">
      <c r="A12" s="137" t="inlineStr">
        <is>
          <t>Rohan Skanda</t>
        </is>
      </c>
      <c r="B12" s="139" t="n">
        <v>44907</v>
      </c>
      <c r="C12" s="137" t="n">
        <v>1.25</v>
      </c>
      <c r="D12" s="137" t="n">
        <v>50</v>
      </c>
      <c r="E12" s="137" t="n">
        <v>62.5</v>
      </c>
      <c r="F12" s="137" t="inlineStr">
        <is>
          <t>Yes</t>
        </is>
      </c>
      <c r="G12" s="137" t="inlineStr">
        <is>
          <t>Yes</t>
        </is>
      </c>
      <c r="H12" s="137" t="inlineStr">
        <is>
          <t>AOS Integrated Math + Science</t>
        </is>
      </c>
      <c r="I12" s="137" t="inlineStr">
        <is>
          <t>No</t>
        </is>
      </c>
      <c r="J12" s="137" t="inlineStr">
        <is>
          <t>QBA</t>
        </is>
      </c>
      <c r="K12" s="137" t="n">
        <v>62.5</v>
      </c>
      <c r="XFD12" s="135" t="inlineStr">
        <is>
          <t>Yes</t>
        </is>
      </c>
    </row>
    <row r="13">
      <c r="A13" s="137" t="inlineStr">
        <is>
          <t>Rohan Skanda</t>
        </is>
      </c>
      <c r="B13" s="139" t="n">
        <v>44908</v>
      </c>
      <c r="C13" s="137" t="n">
        <v>1.5</v>
      </c>
      <c r="D13" s="137" t="n">
        <v>50</v>
      </c>
      <c r="E13" s="137" t="n">
        <v>75</v>
      </c>
      <c r="F13" s="137" t="inlineStr">
        <is>
          <t>Yes</t>
        </is>
      </c>
      <c r="G13" s="137" t="inlineStr">
        <is>
          <t>Yes</t>
        </is>
      </c>
      <c r="H13" s="137" t="inlineStr">
        <is>
          <t>AOS Integrated Math + Science</t>
        </is>
      </c>
      <c r="I13" s="137" t="inlineStr">
        <is>
          <t>No</t>
        </is>
      </c>
      <c r="J13" s="137" t="inlineStr">
        <is>
          <t>QBA</t>
        </is>
      </c>
      <c r="K13" s="137" t="n">
        <v>75</v>
      </c>
    </row>
    <row r="14">
      <c r="A14" s="137" t="inlineStr">
        <is>
          <t>Rohan Skanda</t>
        </is>
      </c>
      <c r="B14" s="139" t="n">
        <v>44909</v>
      </c>
      <c r="C14" s="137" t="n">
        <v>0.5</v>
      </c>
      <c r="D14" s="137" t="n">
        <v>50</v>
      </c>
      <c r="E14" s="137" t="n">
        <v>25</v>
      </c>
      <c r="F14" s="137" t="inlineStr">
        <is>
          <t>Yes</t>
        </is>
      </c>
      <c r="G14" s="137" t="inlineStr">
        <is>
          <t>Yes</t>
        </is>
      </c>
      <c r="H14" s="137" t="inlineStr">
        <is>
          <t>AOS Integrated Math + Science</t>
        </is>
      </c>
      <c r="I14" s="137" t="inlineStr">
        <is>
          <t>No</t>
        </is>
      </c>
      <c r="J14" s="137" t="inlineStr">
        <is>
          <t>QBA</t>
        </is>
      </c>
      <c r="K14" s="137" t="n">
        <v>25</v>
      </c>
    </row>
    <row r="15">
      <c r="A15" s="137" t="inlineStr">
        <is>
          <t>Sophia Gonzales</t>
        </is>
      </c>
      <c r="B15" s="139" t="n">
        <v>44904</v>
      </c>
      <c r="C15" s="137" t="n">
        <v>2</v>
      </c>
      <c r="D15" s="138" t="n">
        <v>60</v>
      </c>
      <c r="E15" s="137" t="n">
        <v>120</v>
      </c>
      <c r="F15" s="137" t="inlineStr">
        <is>
          <t>Yes (billed with 11-Dec invoice)</t>
        </is>
      </c>
      <c r="G15" s="137" t="inlineStr">
        <is>
          <t>Yes</t>
        </is>
      </c>
      <c r="H15" s="137" t="inlineStr">
        <is>
          <t>Physics - Centripetal force and circular motion</t>
        </is>
      </c>
      <c r="I15" s="137" t="inlineStr">
        <is>
          <t>No</t>
        </is>
      </c>
      <c r="J15" s="137" t="inlineStr">
        <is>
          <t>QBA</t>
        </is>
      </c>
      <c r="K15" s="137" t="n">
        <v>0</v>
      </c>
    </row>
    <row r="16">
      <c r="A16" s="137" t="inlineStr">
        <is>
          <t>Sophia Gonzales</t>
        </is>
      </c>
      <c r="B16" s="139" t="n">
        <v>44906</v>
      </c>
      <c r="C16" s="137" t="n">
        <v>1.25</v>
      </c>
      <c r="D16" s="138" t="n">
        <v>60</v>
      </c>
      <c r="E16" s="137" t="n">
        <v>75</v>
      </c>
      <c r="F16" s="137" t="inlineStr">
        <is>
          <t>Yes</t>
        </is>
      </c>
      <c r="G16" s="137" t="inlineStr">
        <is>
          <t>Yes</t>
        </is>
      </c>
      <c r="H16" s="137" t="inlineStr">
        <is>
          <t>Physics - Energy</t>
        </is>
      </c>
      <c r="I16" s="137" t="inlineStr">
        <is>
          <t>No</t>
        </is>
      </c>
      <c r="J16" s="137" t="inlineStr">
        <is>
          <t>QBA</t>
        </is>
      </c>
      <c r="K16" s="137" t="n">
        <v>195</v>
      </c>
    </row>
    <row r="17">
      <c r="A17" s="137" t="n"/>
      <c r="B17" s="139" t="n"/>
      <c r="C17" s="137" t="n"/>
      <c r="D17" s="137" t="n"/>
      <c r="E17" s="137" t="n"/>
      <c r="F17" s="137" t="n"/>
      <c r="G17" s="137" t="n"/>
      <c r="H17" s="137" t="n"/>
      <c r="I17" s="137" t="n"/>
      <c r="J17" s="137" t="n"/>
      <c r="K17" s="137" t="n"/>
    </row>
    <row r="18">
      <c r="A18" s="137" t="n"/>
      <c r="B18" s="137" t="n"/>
      <c r="C18" s="137" t="n"/>
      <c r="D18" s="137" t="n"/>
      <c r="E18" s="137" t="n"/>
      <c r="F18" s="137" t="n"/>
      <c r="G18" s="137" t="n"/>
      <c r="H18" s="137" t="n"/>
      <c r="I18" s="137" t="n"/>
      <c r="J18" s="137" t="n"/>
      <c r="K18" s="137">
        <f>SUM(K2:K16)</f>
        <v/>
      </c>
    </row>
  </sheetData>
  <autoFilter ref="A1:K16">
    <sortState ref="A2:K16">
      <sortCondition ref="A1:A16"/>
    </sortState>
  </autoFilter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R3" sqref="R3:R13"/>
    </sheetView>
  </sheetViews>
  <sheetFormatPr baseColWidth="8" defaultColWidth="8.6640625" defaultRowHeight="14.4"/>
  <cols>
    <col width="14.44140625" bestFit="1" customWidth="1" style="117" min="1" max="1"/>
    <col width="7.109375" bestFit="1" customWidth="1" style="117" min="2" max="2"/>
    <col width="8" bestFit="1" customWidth="1" style="117" min="3" max="3"/>
    <col width="12" bestFit="1" customWidth="1" style="117" min="4" max="4"/>
    <col width="6.6640625" bestFit="1" customWidth="1" style="117" min="5" max="5"/>
    <col width="8.44140625" bestFit="1" customWidth="1" style="117" min="6" max="6"/>
    <col width="19.109375" bestFit="1" customWidth="1" style="117" min="7" max="7"/>
    <col width="68.33203125" bestFit="1" customWidth="1" style="117" min="8" max="8"/>
    <col width="6.44140625" bestFit="1" customWidth="1" style="117" min="9" max="9"/>
    <col width="17.33203125" bestFit="1" customWidth="1" style="117" min="10" max="10"/>
    <col width="8.33203125" bestFit="1" customWidth="1" style="117" min="11" max="11"/>
    <col width="23.6640625" bestFit="1" customWidth="1" style="117" min="12" max="12"/>
    <col width="8.6640625" customWidth="1" style="117" min="13" max="17"/>
    <col width="14.44140625" bestFit="1" customWidth="1" style="117" min="18" max="18"/>
    <col width="12.33203125" bestFit="1" customWidth="1" style="117" min="19" max="19"/>
    <col width="11.33203125" bestFit="1" customWidth="1" style="117" min="20" max="20"/>
    <col width="8.6640625" customWidth="1" style="117" min="21" max="16384"/>
  </cols>
  <sheetData>
    <row r="1">
      <c r="A1" s="117" t="inlineStr">
        <is>
          <t>Student</t>
        </is>
      </c>
      <c r="B1" s="117" t="inlineStr">
        <is>
          <t>Date</t>
        </is>
      </c>
      <c r="C1" s="117" t="inlineStr">
        <is>
          <t>Hours</t>
        </is>
      </c>
      <c r="D1" s="117" t="inlineStr">
        <is>
          <t>Rate ($/hr)</t>
        </is>
      </c>
      <c r="E1" s="117" t="inlineStr">
        <is>
          <t>Coin</t>
        </is>
      </c>
      <c r="F1" s="117" t="inlineStr">
        <is>
          <t>Billed?</t>
        </is>
      </c>
      <c r="G1" s="117" t="inlineStr">
        <is>
          <t>Received payment?</t>
        </is>
      </c>
      <c r="H1" s="117" t="inlineStr">
        <is>
          <t>Topic</t>
        </is>
      </c>
      <c r="I1" s="117" t="inlineStr">
        <is>
          <t>Tip?</t>
        </is>
      </c>
      <c r="J1" s="118" t="inlineStr">
        <is>
          <t>Paid via invoice?</t>
        </is>
      </c>
      <c r="K1" s="117" t="inlineStr">
        <is>
          <t>Totals</t>
        </is>
      </c>
    </row>
    <row r="2">
      <c r="A2" s="119" t="inlineStr">
        <is>
          <t>Abby Owen</t>
        </is>
      </c>
      <c r="B2" s="119" t="n">
        <v>44868</v>
      </c>
      <c r="C2" s="120" t="n">
        <v>1</v>
      </c>
      <c r="D2" s="120" t="n">
        <v>50</v>
      </c>
      <c r="E2" s="120" t="n">
        <v>50</v>
      </c>
      <c r="F2" s="120" t="inlineStr">
        <is>
          <t>Yes</t>
        </is>
      </c>
      <c r="G2" s="120" t="inlineStr">
        <is>
          <t>Yes</t>
        </is>
      </c>
      <c r="H2" s="120" t="inlineStr">
        <is>
          <t>Properties of logs and exponents; APERT</t>
        </is>
      </c>
      <c r="I2" s="120" t="inlineStr">
        <is>
          <t>No</t>
        </is>
      </c>
      <c r="J2" s="120" t="inlineStr">
        <is>
          <t>Yes</t>
        </is>
      </c>
      <c r="K2" s="120" t="n">
        <v>50</v>
      </c>
      <c r="R2" s="47" t="inlineStr">
        <is>
          <t>Row Labels</t>
        </is>
      </c>
      <c r="S2" t="inlineStr">
        <is>
          <t>Sum of Hours</t>
        </is>
      </c>
      <c r="T2" t="inlineStr">
        <is>
          <t>Sum of Coin</t>
        </is>
      </c>
    </row>
    <row r="3" customFormat="1" s="121">
      <c r="A3" s="121" t="inlineStr">
        <is>
          <t>Brayden Wulff</t>
        </is>
      </c>
      <c r="B3" s="122" t="n">
        <v>44878</v>
      </c>
      <c r="C3" s="121" t="n">
        <v>1</v>
      </c>
      <c r="D3" s="121" t="n">
        <v>60</v>
      </c>
      <c r="E3" s="121" t="n">
        <v>60</v>
      </c>
      <c r="F3" s="121" t="inlineStr">
        <is>
          <t>Yes</t>
        </is>
      </c>
      <c r="G3" s="121" t="inlineStr">
        <is>
          <t>Yes</t>
        </is>
      </c>
      <c r="H3" s="121" t="inlineStr">
        <is>
          <t>Math Analysis</t>
        </is>
      </c>
      <c r="I3" s="121" t="inlineStr">
        <is>
          <t>No</t>
        </is>
      </c>
      <c r="J3" s="121" t="inlineStr">
        <is>
          <t>QBA</t>
        </is>
      </c>
      <c r="K3" s="121" t="n">
        <v>60</v>
      </c>
      <c r="R3" s="48" t="inlineStr">
        <is>
          <t>Abby Owen</t>
        </is>
      </c>
      <c r="S3" t="n">
        <v>1</v>
      </c>
      <c r="T3" t="n">
        <v>50</v>
      </c>
    </row>
    <row r="4" customFormat="1" s="121">
      <c r="A4" s="121" t="inlineStr">
        <is>
          <t>Brayden Wulff</t>
        </is>
      </c>
      <c r="B4" s="122" t="n">
        <v>44880</v>
      </c>
      <c r="C4" s="121" t="n">
        <v>1.5</v>
      </c>
      <c r="D4" s="121" t="n">
        <v>60</v>
      </c>
      <c r="E4" s="121" t="n">
        <v>90</v>
      </c>
      <c r="F4" s="121" t="inlineStr">
        <is>
          <t>Yes</t>
        </is>
      </c>
      <c r="G4" s="121" t="inlineStr">
        <is>
          <t>Yes</t>
        </is>
      </c>
      <c r="H4" s="121" t="inlineStr">
        <is>
          <t>Math Analysis</t>
        </is>
      </c>
      <c r="I4" s="121" t="inlineStr">
        <is>
          <t>No</t>
        </is>
      </c>
      <c r="J4" s="121" t="inlineStr">
        <is>
          <t>QBA</t>
        </is>
      </c>
      <c r="K4" s="121" t="n">
        <v>90</v>
      </c>
      <c r="R4" s="48" t="inlineStr">
        <is>
          <t>Brayden Wulff</t>
        </is>
      </c>
      <c r="S4" t="n">
        <v>2.5</v>
      </c>
      <c r="T4" t="n">
        <v>150</v>
      </c>
    </row>
    <row r="5" customFormat="1" s="121">
      <c r="A5" s="121" t="inlineStr">
        <is>
          <t>Elle Mishler</t>
        </is>
      </c>
      <c r="B5" s="122" t="n">
        <v>44872</v>
      </c>
      <c r="C5" s="121" t="n">
        <v>1</v>
      </c>
      <c r="D5" s="121" t="n">
        <v>60</v>
      </c>
      <c r="E5" s="121" t="n">
        <v>60</v>
      </c>
      <c r="F5" s="121" t="inlineStr">
        <is>
          <t>Yes</t>
        </is>
      </c>
      <c r="G5" s="121" t="inlineStr">
        <is>
          <t>Yes</t>
        </is>
      </c>
      <c r="H5" s="121" t="inlineStr">
        <is>
          <t>Algebra 1 - Absolute Value Functions</t>
        </is>
      </c>
      <c r="I5" s="121" t="inlineStr">
        <is>
          <t>No</t>
        </is>
      </c>
      <c r="J5" s="121" t="inlineStr">
        <is>
          <t>QBA</t>
        </is>
      </c>
      <c r="K5" s="121" t="n">
        <v>60</v>
      </c>
      <c r="R5" s="48" t="inlineStr">
        <is>
          <t>Elle Mishler</t>
        </is>
      </c>
      <c r="S5" t="n">
        <v>2.5</v>
      </c>
      <c r="T5" t="n">
        <v>150</v>
      </c>
    </row>
    <row r="6" customFormat="1" s="123">
      <c r="A6" s="123" t="inlineStr">
        <is>
          <t>Elle Mishler</t>
        </is>
      </c>
      <c r="B6" s="124" t="n">
        <v>44892</v>
      </c>
      <c r="C6" s="123" t="n">
        <v>1.5</v>
      </c>
      <c r="D6" s="123" t="n">
        <v>60</v>
      </c>
      <c r="E6" s="123" t="n">
        <v>90</v>
      </c>
      <c r="F6" s="123" t="inlineStr">
        <is>
          <t>Yes</t>
        </is>
      </c>
      <c r="G6" s="123" t="inlineStr">
        <is>
          <t>Yes</t>
        </is>
      </c>
      <c r="H6" s="123" t="inlineStr">
        <is>
          <t>Algebra 1 - Graphing, Domain, and Range</t>
        </is>
      </c>
      <c r="I6" s="123" t="inlineStr">
        <is>
          <t>No</t>
        </is>
      </c>
      <c r="J6" s="123" t="inlineStr">
        <is>
          <t>QBA</t>
        </is>
      </c>
      <c r="K6" s="123" t="n">
        <v>90</v>
      </c>
      <c r="R6" s="48" t="inlineStr">
        <is>
          <t>Emma Thacker</t>
        </is>
      </c>
      <c r="S6" t="n">
        <v>2.5</v>
      </c>
      <c r="T6" t="n">
        <v>150</v>
      </c>
    </row>
    <row r="7">
      <c r="A7" s="120" t="inlineStr">
        <is>
          <t>Emma Thacker</t>
        </is>
      </c>
      <c r="B7" s="119" t="n">
        <v>44878</v>
      </c>
      <c r="C7" s="120" t="n">
        <v>1</v>
      </c>
      <c r="D7" s="120" t="n">
        <v>60</v>
      </c>
      <c r="E7" s="120" t="n">
        <v>60</v>
      </c>
      <c r="F7" s="120" t="inlineStr">
        <is>
          <t>Yes</t>
        </is>
      </c>
      <c r="G7" s="120" t="inlineStr">
        <is>
          <t>Yes</t>
        </is>
      </c>
      <c r="H7" s="120" t="inlineStr">
        <is>
          <t>Algebra 2 Trig</t>
        </is>
      </c>
      <c r="I7" s="120" t="inlineStr">
        <is>
          <t>No</t>
        </is>
      </c>
      <c r="J7" s="120" t="inlineStr">
        <is>
          <t>QBA</t>
        </is>
      </c>
      <c r="K7" s="120" t="n">
        <v>60</v>
      </c>
      <c r="R7" s="48" t="inlineStr">
        <is>
          <t>Julia Cecotti</t>
        </is>
      </c>
      <c r="S7" t="n">
        <v>1.5</v>
      </c>
      <c r="T7" t="n">
        <v>75</v>
      </c>
    </row>
    <row r="8" customFormat="1" s="123">
      <c r="A8" s="123" t="inlineStr">
        <is>
          <t>Emma Thacker</t>
        </is>
      </c>
      <c r="B8" s="124" t="n">
        <v>44884</v>
      </c>
      <c r="C8" s="123" t="n">
        <v>1.5</v>
      </c>
      <c r="D8" s="123" t="n">
        <v>60</v>
      </c>
      <c r="E8" s="123" t="n">
        <v>90</v>
      </c>
      <c r="F8" s="123" t="inlineStr">
        <is>
          <t>Yes</t>
        </is>
      </c>
      <c r="G8" s="123" t="inlineStr">
        <is>
          <t>Yes</t>
        </is>
      </c>
      <c r="H8" s="123" t="inlineStr">
        <is>
          <t>Algebra 2 Trig</t>
        </is>
      </c>
      <c r="I8" s="123" t="inlineStr">
        <is>
          <t>No</t>
        </is>
      </c>
      <c r="J8" s="123" t="inlineStr">
        <is>
          <t>QBA</t>
        </is>
      </c>
      <c r="K8" s="123" t="n">
        <v>90</v>
      </c>
      <c r="R8" s="48" t="inlineStr">
        <is>
          <t>Kathryn Oakford</t>
        </is>
      </c>
      <c r="S8" t="n">
        <v>1</v>
      </c>
      <c r="T8" t="n">
        <v>50</v>
      </c>
    </row>
    <row r="9">
      <c r="A9" s="120" t="inlineStr">
        <is>
          <t>Julia Cecotti</t>
        </is>
      </c>
      <c r="B9" s="119" t="n">
        <v>44875</v>
      </c>
      <c r="C9" s="120" t="n">
        <v>1.5</v>
      </c>
      <c r="D9" s="120" t="n">
        <v>50</v>
      </c>
      <c r="E9" s="120" t="n">
        <v>75</v>
      </c>
      <c r="F9" s="120" t="inlineStr">
        <is>
          <t>Yes</t>
        </is>
      </c>
      <c r="G9" s="120" t="inlineStr">
        <is>
          <t>Yes</t>
        </is>
      </c>
      <c r="H9" s="120" t="inlineStr">
        <is>
          <t>Precalc - rational functions, domain/range, holes, asymptotes, graphing, factoring</t>
        </is>
      </c>
      <c r="I9" s="120" t="inlineStr">
        <is>
          <t>No</t>
        </is>
      </c>
      <c r="J9" s="120" t="inlineStr">
        <is>
          <t>QBA</t>
        </is>
      </c>
      <c r="K9" s="120" t="n">
        <v>75</v>
      </c>
      <c r="R9" s="48" t="inlineStr">
        <is>
          <t>Naura Peters</t>
        </is>
      </c>
      <c r="S9" t="n">
        <v>0.5</v>
      </c>
      <c r="T9" t="n">
        <v>30</v>
      </c>
    </row>
    <row r="10" customFormat="1" s="123">
      <c r="A10" s="123" t="inlineStr">
        <is>
          <t>Kathryn Oakford</t>
        </is>
      </c>
      <c r="B10" s="124" t="n">
        <v>44886</v>
      </c>
      <c r="C10" s="123" t="n">
        <v>1</v>
      </c>
      <c r="D10" s="123" t="n">
        <v>50</v>
      </c>
      <c r="E10" s="123" t="n">
        <v>50</v>
      </c>
      <c r="F10" s="123" t="inlineStr">
        <is>
          <t>Yes</t>
        </is>
      </c>
      <c r="G10" s="123" t="inlineStr">
        <is>
          <t>Yes</t>
        </is>
      </c>
      <c r="H10" s="123" t="inlineStr">
        <is>
          <t>Business Calc (College)</t>
        </is>
      </c>
      <c r="I10" s="123" t="inlineStr">
        <is>
          <t>No</t>
        </is>
      </c>
      <c r="J10" s="123" t="inlineStr">
        <is>
          <t>QBA</t>
        </is>
      </c>
      <c r="K10" s="123" t="n">
        <v>50</v>
      </c>
      <c r="R10" s="48" t="inlineStr">
        <is>
          <t>Nicolette Batori</t>
        </is>
      </c>
      <c r="S10" t="n">
        <v>7.5</v>
      </c>
      <c r="T10" t="n">
        <v>375</v>
      </c>
    </row>
    <row r="11" customFormat="1" s="121">
      <c r="A11" s="122" t="inlineStr">
        <is>
          <t>Naura Peters</t>
        </is>
      </c>
      <c r="B11" s="122" t="n">
        <v>44877</v>
      </c>
      <c r="C11" s="121" t="n">
        <v>0.5</v>
      </c>
      <c r="D11" s="121" t="n">
        <v>60</v>
      </c>
      <c r="E11" s="121" t="n">
        <v>30</v>
      </c>
      <c r="F11" s="121" t="inlineStr">
        <is>
          <t>Yes</t>
        </is>
      </c>
      <c r="G11" s="121" t="inlineStr">
        <is>
          <t>Yes</t>
        </is>
      </c>
      <c r="H11" s="121" t="inlineStr">
        <is>
          <t>Dance</t>
        </is>
      </c>
      <c r="I11" s="121" t="inlineStr">
        <is>
          <t>No</t>
        </is>
      </c>
      <c r="J11" s="121" t="inlineStr">
        <is>
          <t>QBA</t>
        </is>
      </c>
      <c r="K11" s="121" t="n">
        <v>30</v>
      </c>
      <c r="R11" s="48" t="inlineStr">
        <is>
          <t>Rohan Skanda</t>
        </is>
      </c>
      <c r="S11" t="n">
        <v>9</v>
      </c>
      <c r="T11" t="n">
        <v>450</v>
      </c>
    </row>
    <row r="12">
      <c r="A12" s="120" t="inlineStr">
        <is>
          <t>Nicolette Batori</t>
        </is>
      </c>
      <c r="B12" s="119" t="n">
        <v>44871</v>
      </c>
      <c r="C12" s="120" t="n">
        <v>2</v>
      </c>
      <c r="D12" s="120" t="n">
        <v>50</v>
      </c>
      <c r="E12" s="120" t="n">
        <v>100</v>
      </c>
      <c r="F12" s="120" t="inlineStr">
        <is>
          <t>Yes</t>
        </is>
      </c>
      <c r="G12" s="120" t="inlineStr">
        <is>
          <t>Yes</t>
        </is>
      </c>
      <c r="H12" s="120" t="inlineStr">
        <is>
          <t>SAT Math (Calculator Section)</t>
        </is>
      </c>
      <c r="I12" s="120" t="inlineStr">
        <is>
          <t>No</t>
        </is>
      </c>
      <c r="J12" s="120" t="inlineStr">
        <is>
          <t>QBA</t>
        </is>
      </c>
      <c r="K12" s="120" t="n">
        <v>100</v>
      </c>
      <c r="R12" s="48" t="inlineStr">
        <is>
          <t>Sienna Cormier</t>
        </is>
      </c>
      <c r="S12" t="n">
        <v>2</v>
      </c>
      <c r="T12" t="n">
        <v>100</v>
      </c>
    </row>
    <row r="13">
      <c r="A13" s="120" t="inlineStr">
        <is>
          <t>Nicolette Batori</t>
        </is>
      </c>
      <c r="B13" s="119" t="n">
        <v>44873</v>
      </c>
      <c r="C13" s="120" t="n">
        <v>1</v>
      </c>
      <c r="D13" s="120" t="n">
        <v>50</v>
      </c>
      <c r="E13" s="120" t="n">
        <v>50</v>
      </c>
      <c r="F13" s="120" t="inlineStr">
        <is>
          <t>Yes</t>
        </is>
      </c>
      <c r="G13" s="120" t="inlineStr">
        <is>
          <t>Yes</t>
        </is>
      </c>
      <c r="H13" s="120" t="inlineStr">
        <is>
          <t>Trig Proofs</t>
        </is>
      </c>
      <c r="I13" s="120" t="inlineStr">
        <is>
          <t>No</t>
        </is>
      </c>
      <c r="J13" s="120" t="inlineStr">
        <is>
          <t>QBA</t>
        </is>
      </c>
      <c r="K13" s="120" t="n">
        <v>50</v>
      </c>
      <c r="R13" s="48" t="inlineStr">
        <is>
          <t>Sophia Gonzales</t>
        </is>
      </c>
      <c r="S13" t="n">
        <v>1</v>
      </c>
      <c r="T13" t="n">
        <v>60</v>
      </c>
    </row>
    <row r="14" customFormat="1" s="123">
      <c r="A14" s="123" t="inlineStr">
        <is>
          <t>Nicolette Batori</t>
        </is>
      </c>
      <c r="B14" s="124" t="n">
        <v>44884</v>
      </c>
      <c r="C14" s="123" t="n">
        <v>1.5</v>
      </c>
      <c r="D14" s="123" t="n">
        <v>50</v>
      </c>
      <c r="E14" s="123" t="n">
        <v>75</v>
      </c>
      <c r="F14" s="123" t="inlineStr">
        <is>
          <t>Yes</t>
        </is>
      </c>
      <c r="G14" s="123" t="inlineStr">
        <is>
          <t>Yes</t>
        </is>
      </c>
      <c r="H14" s="123" t="inlineStr">
        <is>
          <t>SAT English</t>
        </is>
      </c>
      <c r="I14" s="123" t="inlineStr">
        <is>
          <t>No</t>
        </is>
      </c>
      <c r="J14" s="123" t="inlineStr">
        <is>
          <t>QBA</t>
        </is>
      </c>
      <c r="K14" s="123" t="n">
        <v>75</v>
      </c>
      <c r="R14" s="48" t="inlineStr">
        <is>
          <t>Grand Total</t>
        </is>
      </c>
      <c r="S14" t="n">
        <v>31</v>
      </c>
      <c r="T14" t="n">
        <v>1640</v>
      </c>
    </row>
    <row r="15" customFormat="1" s="123">
      <c r="A15" s="123" t="inlineStr">
        <is>
          <t>Nicolette Batori</t>
        </is>
      </c>
      <c r="B15" s="124" t="n">
        <v>44891</v>
      </c>
      <c r="C15" s="123" t="n">
        <v>1.5</v>
      </c>
      <c r="D15" s="123" t="n">
        <v>50</v>
      </c>
      <c r="E15" s="123" t="n">
        <v>75</v>
      </c>
      <c r="F15" s="123" t="inlineStr">
        <is>
          <t>Yes</t>
        </is>
      </c>
      <c r="G15" s="123" t="inlineStr">
        <is>
          <t>Yes</t>
        </is>
      </c>
      <c r="H15" s="123" t="inlineStr">
        <is>
          <t>SAT Grammar</t>
        </is>
      </c>
      <c r="I15" s="123" t="inlineStr">
        <is>
          <t>No</t>
        </is>
      </c>
      <c r="J15" s="123" t="inlineStr">
        <is>
          <t>QBA</t>
        </is>
      </c>
      <c r="K15" s="123" t="n">
        <v>75</v>
      </c>
      <c r="L15" s="123" t="inlineStr">
        <is>
          <t>* Billed with 27 Nov invoice</t>
        </is>
      </c>
    </row>
    <row r="16" customFormat="1" s="123">
      <c r="A16" s="123" t="inlineStr">
        <is>
          <t>Nicolette Batori</t>
        </is>
      </c>
      <c r="B16" s="124" t="n">
        <v>44892</v>
      </c>
      <c r="C16" s="123" t="n">
        <v>1.5</v>
      </c>
      <c r="D16" s="123" t="n">
        <v>50</v>
      </c>
      <c r="E16" s="123" t="n">
        <v>75</v>
      </c>
      <c r="F16" s="123" t="inlineStr">
        <is>
          <t>Yes</t>
        </is>
      </c>
      <c r="G16" s="123" t="inlineStr">
        <is>
          <t>Yes</t>
        </is>
      </c>
      <c r="H16" s="123" t="inlineStr">
        <is>
          <t>SAT Reading Comprehension</t>
        </is>
      </c>
      <c r="I16" s="123" t="inlineStr">
        <is>
          <t>No</t>
        </is>
      </c>
      <c r="J16" s="123" t="inlineStr">
        <is>
          <t>QBA</t>
        </is>
      </c>
      <c r="K16" s="123" t="n">
        <v>75</v>
      </c>
    </row>
    <row r="17">
      <c r="A17" s="119" t="inlineStr">
        <is>
          <t>Rohan Skanda</t>
        </is>
      </c>
      <c r="B17" s="119" t="n">
        <v>44868</v>
      </c>
      <c r="C17" s="120" t="n">
        <v>1.25</v>
      </c>
      <c r="D17" s="120" t="n">
        <v>50</v>
      </c>
      <c r="E17" s="120" t="n">
        <v>62.5</v>
      </c>
      <c r="F17" s="120" t="inlineStr">
        <is>
          <t>Yes</t>
        </is>
      </c>
      <c r="G17" s="120" t="inlineStr">
        <is>
          <t>Yes</t>
        </is>
      </c>
      <c r="H17" s="120" t="inlineStr">
        <is>
          <t>Difference Quotient, pre-calc</t>
        </is>
      </c>
      <c r="I17" s="120" t="inlineStr">
        <is>
          <t>No</t>
        </is>
      </c>
      <c r="J17" s="120" t="inlineStr">
        <is>
          <t>Yes</t>
        </is>
      </c>
      <c r="K17" s="120" t="n">
        <v>62.5</v>
      </c>
    </row>
    <row r="18">
      <c r="A18" s="120" t="inlineStr">
        <is>
          <t>Rohan Skanda</t>
        </is>
      </c>
      <c r="B18" s="119" t="n">
        <v>44873</v>
      </c>
      <c r="C18" s="120" t="n">
        <v>1</v>
      </c>
      <c r="D18" s="120" t="n">
        <v>50</v>
      </c>
      <c r="E18" s="120" t="n">
        <v>50</v>
      </c>
      <c r="F18" s="120" t="inlineStr">
        <is>
          <t>Yes</t>
        </is>
      </c>
      <c r="G18" s="120" t="inlineStr">
        <is>
          <t>Yes</t>
        </is>
      </c>
      <c r="H18" s="120" t="inlineStr">
        <is>
          <t>AOS Integrated Math and Science</t>
        </is>
      </c>
      <c r="I18" s="120" t="inlineStr">
        <is>
          <t>No</t>
        </is>
      </c>
      <c r="J18" s="120" t="inlineStr">
        <is>
          <t>QBA</t>
        </is>
      </c>
      <c r="K18" s="120" t="n">
        <v>50</v>
      </c>
    </row>
    <row r="19">
      <c r="A19" s="120" t="inlineStr">
        <is>
          <t>Rohan Skanda</t>
        </is>
      </c>
      <c r="B19" s="119" t="n">
        <v>44875</v>
      </c>
      <c r="C19" s="120" t="n">
        <v>1.25</v>
      </c>
      <c r="D19" s="120" t="n">
        <v>50</v>
      </c>
      <c r="E19" s="120" t="n">
        <v>62.5</v>
      </c>
      <c r="F19" s="120" t="inlineStr">
        <is>
          <t>Yes</t>
        </is>
      </c>
      <c r="G19" s="120" t="inlineStr">
        <is>
          <t>Yes</t>
        </is>
      </c>
      <c r="H19" s="120" t="inlineStr">
        <is>
          <t>Physics - Position and Veloicty</t>
        </is>
      </c>
      <c r="I19" s="120" t="inlineStr">
        <is>
          <t>No</t>
        </is>
      </c>
      <c r="J19" s="120" t="inlineStr">
        <is>
          <t>QBA</t>
        </is>
      </c>
      <c r="K19" s="120" t="n">
        <v>62.5</v>
      </c>
    </row>
    <row r="20" customFormat="1" s="123">
      <c r="A20" s="123" t="inlineStr">
        <is>
          <t>Rohan Skanda</t>
        </is>
      </c>
      <c r="B20" s="124" t="n">
        <v>44886</v>
      </c>
      <c r="C20" s="123" t="n">
        <v>1.5</v>
      </c>
      <c r="D20" s="123" t="n">
        <v>50</v>
      </c>
      <c r="E20" s="123" t="n">
        <v>75</v>
      </c>
      <c r="F20" s="123" t="inlineStr">
        <is>
          <t>Yes</t>
        </is>
      </c>
      <c r="G20" s="123" t="inlineStr">
        <is>
          <t>Yes</t>
        </is>
      </c>
      <c r="H20" s="123" t="inlineStr">
        <is>
          <t>AOS Integrated Math and Science</t>
        </is>
      </c>
      <c r="I20" s="123" t="inlineStr">
        <is>
          <t>No</t>
        </is>
      </c>
      <c r="J20" s="123" t="inlineStr">
        <is>
          <t>QBA</t>
        </is>
      </c>
      <c r="K20" s="123" t="n">
        <v>75</v>
      </c>
    </row>
    <row r="21" customFormat="1" s="123">
      <c r="A21" s="123" t="inlineStr">
        <is>
          <t>Rohan Skanda</t>
        </is>
      </c>
      <c r="B21" s="124" t="n">
        <v>44891</v>
      </c>
      <c r="C21" s="123" t="n">
        <v>1</v>
      </c>
      <c r="D21" s="123" t="n">
        <v>50</v>
      </c>
      <c r="E21" s="123" t="n">
        <v>50</v>
      </c>
      <c r="F21" s="123" t="inlineStr">
        <is>
          <t>Yes</t>
        </is>
      </c>
      <c r="G21" s="123" t="inlineStr">
        <is>
          <t>Yes</t>
        </is>
      </c>
      <c r="H21" s="123" t="inlineStr">
        <is>
          <t>AOS Integrated Math and Science</t>
        </is>
      </c>
      <c r="I21" s="123" t="inlineStr">
        <is>
          <t>No</t>
        </is>
      </c>
      <c r="J21" s="123" t="inlineStr">
        <is>
          <t>QBA</t>
        </is>
      </c>
      <c r="K21" s="123" t="n">
        <v>50</v>
      </c>
      <c r="L21" s="123" t="inlineStr">
        <is>
          <t>* Billed with 27 Nov invoice</t>
        </is>
      </c>
    </row>
    <row r="22" customFormat="1" s="123">
      <c r="A22" s="123" t="inlineStr">
        <is>
          <t>Rohan Skanda</t>
        </is>
      </c>
      <c r="B22" s="124" t="n">
        <v>44892</v>
      </c>
      <c r="C22" s="123" t="n">
        <v>2</v>
      </c>
      <c r="D22" s="123" t="n">
        <v>50</v>
      </c>
      <c r="E22" s="123" t="n">
        <v>100</v>
      </c>
      <c r="F22" s="123" t="inlineStr">
        <is>
          <t>Yes</t>
        </is>
      </c>
      <c r="G22" s="123" t="inlineStr">
        <is>
          <t>Yes</t>
        </is>
      </c>
      <c r="H22" s="123" t="inlineStr">
        <is>
          <t>AOS Integrated Math and Science</t>
        </is>
      </c>
      <c r="I22" s="123" t="inlineStr">
        <is>
          <t>No</t>
        </is>
      </c>
      <c r="J22" s="123" t="inlineStr">
        <is>
          <t>QBA</t>
        </is>
      </c>
      <c r="K22" s="123" t="n">
        <v>100</v>
      </c>
    </row>
    <row r="23" customFormat="1" s="123">
      <c r="A23" s="123" t="inlineStr">
        <is>
          <t>Rohan Skanda</t>
        </is>
      </c>
      <c r="B23" s="124" t="n">
        <v>44893</v>
      </c>
      <c r="C23" s="123" t="n">
        <v>1</v>
      </c>
      <c r="D23" s="123" t="n">
        <v>50</v>
      </c>
      <c r="E23" s="123" t="n">
        <v>50</v>
      </c>
      <c r="F23" s="123" t="inlineStr">
        <is>
          <t>Yes</t>
        </is>
      </c>
      <c r="G23" s="123" t="inlineStr">
        <is>
          <t>Yes</t>
        </is>
      </c>
      <c r="H23" s="123" t="inlineStr">
        <is>
          <t>AOS Integrated Math and Science</t>
        </is>
      </c>
      <c r="I23" s="123" t="inlineStr">
        <is>
          <t>No</t>
        </is>
      </c>
      <c r="J23" s="123" t="inlineStr">
        <is>
          <t>QBA</t>
        </is>
      </c>
      <c r="K23" s="123" t="n">
        <v>50</v>
      </c>
    </row>
    <row r="24">
      <c r="A24" s="120" t="inlineStr">
        <is>
          <t>Sienna Cormier</t>
        </is>
      </c>
      <c r="B24" s="119" t="n">
        <v>44895</v>
      </c>
      <c r="C24" s="120" t="n">
        <v>2</v>
      </c>
      <c r="D24" s="120" t="n">
        <v>50</v>
      </c>
      <c r="E24" s="120" t="n">
        <v>100</v>
      </c>
      <c r="F24" s="120" t="inlineStr">
        <is>
          <t>Yes</t>
        </is>
      </c>
      <c r="G24" s="120" t="inlineStr">
        <is>
          <t>Yes</t>
        </is>
      </c>
      <c r="H24" s="120" t="inlineStr">
        <is>
          <t>Chemistry</t>
        </is>
      </c>
      <c r="I24" s="120" t="inlineStr">
        <is>
          <t>No</t>
        </is>
      </c>
      <c r="J24" s="120" t="inlineStr">
        <is>
          <t>QBA</t>
        </is>
      </c>
      <c r="K24" s="120" t="n">
        <v>100</v>
      </c>
    </row>
    <row r="25">
      <c r="A25" s="120" t="inlineStr">
        <is>
          <t>Sophia Gonzales</t>
        </is>
      </c>
      <c r="B25" s="119" t="n">
        <v>44886</v>
      </c>
      <c r="C25" s="120" t="n">
        <v>1</v>
      </c>
      <c r="D25" s="120" t="n">
        <v>60</v>
      </c>
      <c r="E25" s="120" t="n">
        <v>60</v>
      </c>
      <c r="F25" s="120" t="inlineStr">
        <is>
          <t>Yes</t>
        </is>
      </c>
      <c r="G25" s="120" t="inlineStr">
        <is>
          <t>Yes</t>
        </is>
      </c>
      <c r="H25" s="120" t="inlineStr">
        <is>
          <t>Physics - Angles, Motion</t>
        </is>
      </c>
      <c r="I25" s="120" t="n"/>
      <c r="J25" s="120" t="inlineStr">
        <is>
          <t>QBA</t>
        </is>
      </c>
      <c r="K25" s="120" t="n">
        <v>60</v>
      </c>
    </row>
    <row r="26">
      <c r="B26" s="125" t="n"/>
    </row>
    <row r="27">
      <c r="A27" s="117" t="inlineStr">
        <is>
          <t>MONTH GROSS</t>
        </is>
      </c>
      <c r="K27" s="117">
        <f>SUM(K2:K25)</f>
        <v/>
      </c>
    </row>
  </sheetData>
  <autoFilter ref="A1:L25">
    <sortState ref="A2:L25">
      <sortCondition ref="A1:A25"/>
    </sortState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5"/>
  <sheetViews>
    <sheetView topLeftCell="A22" workbookViewId="0">
      <selection activeCell="R3" sqref="R3:R13"/>
    </sheetView>
  </sheetViews>
  <sheetFormatPr baseColWidth="8" defaultColWidth="8.6640625" defaultRowHeight="14.4"/>
  <cols>
    <col width="8.6640625" customWidth="1" style="117" min="1" max="8"/>
    <col width="75.109375" bestFit="1" customWidth="1" style="117" min="9" max="9"/>
    <col width="8.6640625" customWidth="1" style="117" min="10" max="16384"/>
  </cols>
  <sheetData>
    <row r="1">
      <c r="A1" s="118" t="inlineStr">
        <is>
          <t>DATE</t>
        </is>
      </c>
      <c r="B1" s="118" t="inlineStr">
        <is>
          <t>TIME</t>
        </is>
      </c>
      <c r="C1" s="118" t="inlineStr">
        <is>
          <t>MONEY</t>
        </is>
      </c>
    </row>
    <row r="2">
      <c r="A2" s="125" t="n">
        <v>44825</v>
      </c>
      <c r="B2" s="117" t="n">
        <v>0.75</v>
      </c>
      <c r="C2" s="117">
        <f>B2*50</f>
        <v/>
      </c>
      <c r="E2" s="117" t="inlineStr">
        <is>
          <t>TOTAL EARNINGS FOR THIS PD:</t>
        </is>
      </c>
      <c r="I2" s="117" t="inlineStr">
        <is>
          <t>Paying through ESTINSTITUTE venmo. Should get tax forms from them.</t>
        </is>
      </c>
    </row>
    <row r="3">
      <c r="A3" s="125" t="n">
        <v>44826</v>
      </c>
      <c r="B3" s="117" t="n">
        <v>1</v>
      </c>
      <c r="C3" s="117" t="n">
        <v>50</v>
      </c>
      <c r="E3" s="117">
        <f>C14+C15</f>
        <v/>
      </c>
      <c r="I3" s="117" t="inlineStr">
        <is>
          <t>Made xfer of total - venmo tax removal to ensure everything would be viewable on NFCU</t>
        </is>
      </c>
    </row>
    <row r="4">
      <c r="A4" s="125" t="n">
        <v>44833</v>
      </c>
      <c r="B4" s="117" t="n">
        <v>2</v>
      </c>
      <c r="C4" s="117" t="n">
        <v>100</v>
      </c>
    </row>
    <row r="5">
      <c r="A5" s="125" t="n">
        <v>44836</v>
      </c>
      <c r="B5" s="117" t="n">
        <v>1.75</v>
      </c>
      <c r="C5" s="117" t="n">
        <v>87.5</v>
      </c>
    </row>
    <row r="6">
      <c r="A6" s="125" t="n">
        <v>44837</v>
      </c>
      <c r="B6" s="117" t="n">
        <v>0.75</v>
      </c>
      <c r="C6" s="117" t="n">
        <v>37.5</v>
      </c>
    </row>
    <row r="7">
      <c r="A7" s="125" t="n">
        <v>44838</v>
      </c>
      <c r="B7" s="117" t="n">
        <v>1.25</v>
      </c>
      <c r="C7" s="117" t="n">
        <v>62.5</v>
      </c>
    </row>
    <row r="8">
      <c r="A8" s="125" t="n">
        <v>44839</v>
      </c>
      <c r="B8" s="117" t="n">
        <v>1.5</v>
      </c>
      <c r="C8" s="117" t="n">
        <v>75</v>
      </c>
    </row>
    <row r="9">
      <c r="A9" s="125" t="n">
        <v>44846</v>
      </c>
      <c r="B9" s="117" t="n">
        <v>1.5</v>
      </c>
      <c r="C9" s="117" t="n">
        <v>75</v>
      </c>
    </row>
    <row r="10">
      <c r="A10" s="125" t="n">
        <v>44850</v>
      </c>
      <c r="B10" s="117" t="n">
        <v>1.5</v>
      </c>
      <c r="C10" s="117" t="n">
        <v>75</v>
      </c>
    </row>
    <row r="11">
      <c r="A11" s="125" t="n"/>
    </row>
    <row r="12">
      <c r="A12" s="126" t="inlineStr">
        <is>
          <t>Total</t>
        </is>
      </c>
      <c r="B12" s="117">
        <f>SUM(B2:B10)</f>
        <v/>
      </c>
      <c r="C12" s="117">
        <f>B12*50</f>
        <v/>
      </c>
    </row>
    <row r="14">
      <c r="A14" s="117" t="inlineStr">
        <is>
          <t>BILLED</t>
        </is>
      </c>
      <c r="B14" s="117" t="n">
        <v>12</v>
      </c>
      <c r="C14" s="117" t="n">
        <v>600</v>
      </c>
    </row>
    <row r="15">
      <c r="A15" s="117" t="inlineStr">
        <is>
          <t>TIP</t>
        </is>
      </c>
      <c r="C15" s="127" t="n">
        <v>100</v>
      </c>
    </row>
    <row r="16">
      <c r="A16" s="117" t="inlineStr">
        <is>
          <t>BALANCE</t>
        </is>
      </c>
      <c r="B16" s="117" t="n">
        <v>0</v>
      </c>
      <c r="C16" s="117" t="n">
        <v>0</v>
      </c>
    </row>
    <row r="17" customFormat="1" s="128"/>
    <row r="18">
      <c r="A18" s="118" t="inlineStr">
        <is>
          <t>DATE</t>
        </is>
      </c>
      <c r="B18" s="118" t="inlineStr">
        <is>
          <t>TIME</t>
        </is>
      </c>
      <c r="C18" s="118" t="inlineStr">
        <is>
          <t>MONEY</t>
        </is>
      </c>
    </row>
    <row r="19">
      <c r="A19" s="125" t="n">
        <v>44852</v>
      </c>
      <c r="B19" s="117" t="n">
        <v>1</v>
      </c>
      <c r="C19" s="117" t="n">
        <v>50</v>
      </c>
    </row>
    <row r="20">
      <c r="A20" s="125" t="n">
        <v>44858</v>
      </c>
      <c r="B20" s="117" t="n">
        <v>1</v>
      </c>
      <c r="C20" s="117" t="n">
        <v>50</v>
      </c>
    </row>
    <row r="21">
      <c r="A21" s="125" t="n">
        <v>44859</v>
      </c>
      <c r="B21" s="117" t="n">
        <v>1</v>
      </c>
      <c r="C21" s="117" t="n">
        <v>50</v>
      </c>
    </row>
    <row r="22">
      <c r="A22" s="125" t="n">
        <v>44861</v>
      </c>
      <c r="B22" s="117" t="n">
        <v>2.5</v>
      </c>
      <c r="C22" s="117" t="n">
        <v>125</v>
      </c>
    </row>
    <row r="23" ht="17.25" customHeight="1">
      <c r="A23" s="125" t="n">
        <v>44862</v>
      </c>
      <c r="B23" s="117" t="n">
        <v>1</v>
      </c>
      <c r="C23" s="117" t="n">
        <v>50</v>
      </c>
    </row>
    <row r="24" ht="17.25" customHeight="1">
      <c r="A24" s="125" t="n">
        <v>44871</v>
      </c>
      <c r="B24" s="117" t="n">
        <v>1.5</v>
      </c>
      <c r="C24" s="117" t="n">
        <v>75</v>
      </c>
    </row>
    <row r="25" ht="17.25" customHeight="1">
      <c r="A25" s="125" t="n">
        <v>44872</v>
      </c>
      <c r="B25" s="117" t="n">
        <v>2</v>
      </c>
      <c r="C25" s="117" t="n">
        <v>100</v>
      </c>
    </row>
    <row r="26">
      <c r="A26" s="125" t="n">
        <v>44872</v>
      </c>
      <c r="B26" s="117" t="n">
        <v>1</v>
      </c>
      <c r="C26" s="117" t="n">
        <v>50</v>
      </c>
    </row>
    <row r="27">
      <c r="A27" s="125" t="n">
        <v>44872</v>
      </c>
      <c r="B27" s="117" t="n">
        <v>2</v>
      </c>
      <c r="C27" s="117" t="n">
        <v>100</v>
      </c>
    </row>
    <row r="28">
      <c r="A28" s="125" t="n">
        <v>44872</v>
      </c>
      <c r="B28" s="117" t="n">
        <v>1</v>
      </c>
      <c r="C28" s="117" t="n">
        <v>50</v>
      </c>
    </row>
    <row r="29">
      <c r="A29" s="125" t="n">
        <v>44873</v>
      </c>
      <c r="B29" s="117" t="n">
        <v>1.5</v>
      </c>
      <c r="C29" s="117" t="n">
        <v>75</v>
      </c>
    </row>
    <row r="30">
      <c r="A30" s="125" t="n">
        <v>44886</v>
      </c>
      <c r="B30" s="117" t="n">
        <v>1.5</v>
      </c>
      <c r="C30" s="117" t="n">
        <v>75</v>
      </c>
    </row>
    <row r="31">
      <c r="A31" s="125" t="n">
        <v>44891</v>
      </c>
      <c r="B31" s="117" t="n">
        <v>0.5</v>
      </c>
      <c r="C31" s="117" t="n">
        <v>25</v>
      </c>
    </row>
    <row r="32">
      <c r="A32" s="125" t="n">
        <v>44892</v>
      </c>
      <c r="B32" s="117" t="n">
        <v>1.5</v>
      </c>
      <c r="C32" s="117" t="n">
        <v>75</v>
      </c>
    </row>
    <row r="33">
      <c r="A33" s="125" t="n">
        <v>44893</v>
      </c>
      <c r="B33" s="117" t="n">
        <v>1</v>
      </c>
      <c r="C33" s="117" t="n">
        <v>50</v>
      </c>
    </row>
    <row r="34">
      <c r="A34" s="126" t="inlineStr">
        <is>
          <t>Total</t>
        </is>
      </c>
      <c r="B34" s="117">
        <f>SUM(B19:B33)</f>
        <v/>
      </c>
      <c r="C34" s="117">
        <f>B34*50</f>
        <v/>
      </c>
    </row>
    <row r="36">
      <c r="A36" s="117" t="inlineStr">
        <is>
          <t>BILLED</t>
        </is>
      </c>
      <c r="B36" s="117" t="n">
        <v>14</v>
      </c>
      <c r="C36" s="117" t="n">
        <v>700</v>
      </c>
      <c r="E36" s="118" t="n"/>
    </row>
    <row r="37">
      <c r="A37" s="117" t="inlineStr">
        <is>
          <t>TIP</t>
        </is>
      </c>
      <c r="C37" s="127" t="n">
        <v>100</v>
      </c>
    </row>
    <row r="38">
      <c r="A38" s="117" t="inlineStr">
        <is>
          <t>BALANCE</t>
        </is>
      </c>
      <c r="C38" s="117" t="n">
        <v>300</v>
      </c>
    </row>
    <row r="39" customFormat="1" s="128"/>
    <row r="40">
      <c r="A40" s="118" t="inlineStr">
        <is>
          <t>DATE</t>
        </is>
      </c>
      <c r="B40" s="118" t="inlineStr">
        <is>
          <t>TIME</t>
        </is>
      </c>
      <c r="C40" s="118" t="inlineStr">
        <is>
          <t>MONEY</t>
        </is>
      </c>
    </row>
    <row r="41">
      <c r="A41" s="117" t="inlineStr">
        <is>
          <t>***REMAINING BALANCE***</t>
        </is>
      </c>
      <c r="C41" s="117" t="n">
        <v>300</v>
      </c>
    </row>
    <row r="42">
      <c r="A42" s="125" t="n">
        <v>44899</v>
      </c>
      <c r="B42" s="117" t="n">
        <v>1.5</v>
      </c>
      <c r="C42" s="117" t="n">
        <v>75</v>
      </c>
    </row>
    <row r="43">
      <c r="A43" s="125" t="n"/>
    </row>
    <row r="45">
      <c r="A45" s="126" t="inlineStr">
        <is>
          <t>Total</t>
        </is>
      </c>
      <c r="C45" s="117">
        <f>SUM(C41:C42)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2022-12-01T00:32:54Z</dcterms:created>
  <dcterms:modified xmlns:dcterms="http://purl.org/dc/terms/" xmlns:xsi="http://www.w3.org/2001/XMLSchema-instance" xsi:type="dcterms:W3CDTF">2025-12-11T02:06:09Z</dcterms:modified>
  <cp:lastModifiedBy>Jordan Lee</cp:lastModifiedBy>
  <cp:lastPrinted>2025-11-10T20:12:07Z</cp:lastPrinted>
</cp:coreProperties>
</file>