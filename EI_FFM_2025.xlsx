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Work\JMM Group LLC\Current Clients\Week 1\03 - Est Institute LLC\EI - SHARED\Est Institute LLC\03 - EI FFM\"/>
    </mc:Choice>
  </mc:AlternateContent>
  <xr:revisionPtr revIDLastSave="0" documentId="13_ncr:8001_{EF0FF3B4-A6EB-4482-8D0B-90E9F44D05A0}" xr6:coauthVersionLast="47" xr6:coauthVersionMax="47" xr10:uidLastSave="{00000000-0000-0000-0000-000000000000}"/>
  <bookViews>
    <workbookView xWindow="-120" yWindow="-120" windowWidth="29040" windowHeight="15720" tabRatio="758" firstSheet="4" activeTab="17" xr2:uid="{00000000-000D-0000-FFFF-FFFF00000000}"/>
  </bookViews>
  <sheets>
    <sheet name="1" sheetId="2" r:id="rId1"/>
    <sheet name="Annual Summary" sheetId="5" r:id="rId2"/>
    <sheet name="2025 AOP" sheetId="30" r:id="rId3"/>
    <sheet name="2023 Overview" sheetId="15" state="hidden" r:id="rId4"/>
    <sheet name="2025 Overview (Rolling)" sheetId="29" r:id="rId5"/>
    <sheet name="2025 Overview (Budget)" sheetId="27" r:id="rId6"/>
    <sheet name="2024 Overview (Rolling)" sheetId="25" state="hidden" r:id="rId7"/>
    <sheet name="2024 AOP" sheetId="26" state="hidden" r:id="rId8"/>
    <sheet name="Quarterly Overview" sheetId="20" r:id="rId9"/>
    <sheet name="2022 Overview" sheetId="6" state="hidden" r:id="rId10"/>
    <sheet name="2" sheetId="3" r:id="rId11"/>
    <sheet name="Monthly Detail" sheetId="1" r:id="rId12"/>
    <sheet name="3" sheetId="4" r:id="rId13"/>
    <sheet name="October" sheetId="11" state="hidden" r:id="rId14"/>
    <sheet name="September" sheetId="12" state="hidden" r:id="rId15"/>
    <sheet name="August" sheetId="13" state="hidden" r:id="rId16"/>
    <sheet name="People Plan" sheetId="24" r:id="rId17"/>
    <sheet name="Actual vs. Forecast" sheetId="28" r:id="rId18"/>
    <sheet name="Holidays" sheetId="9" state="hidden" r:id="rId19"/>
    <sheet name="December" sheetId="19" state="hidden" r:id="rId20"/>
    <sheet name="November" sheetId="16" state="hidden" r:id="rId21"/>
    <sheet name="River" sheetId="18" state="hidden" r:id="rId22"/>
  </sheets>
  <definedNames>
    <definedName name="_xlnm._FilterDatabase" localSheetId="19" hidden="1">December!$A$1:$K$16</definedName>
    <definedName name="_xlnm._FilterDatabase" localSheetId="20" hidden="1">November!$A$1:$L$25</definedName>
    <definedName name="_xlnm._FilterDatabase" localSheetId="13" hidden="1">October!$A$1:$K$41</definedName>
    <definedName name="MLNK04527a7a692d4c5a962de6ed08306286" hidden="1">#REF!</definedName>
    <definedName name="_xlnm.Print_Area" localSheetId="9">'2022 Overview'!$B$2:$P$31</definedName>
    <definedName name="_xlnm.Print_Area" localSheetId="1">'Annual Summary'!$B$3:$AA$36</definedName>
  </definedNames>
  <calcPr calcId="191029"/>
  <pivotCaches>
    <pivotCache cacheId="0" r:id="rId23"/>
    <pivotCache cacheId="1" r:id="rId24"/>
    <pivotCache cacheId="2" r:id="rId25"/>
    <pivotCache cacheId="3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24" l="1"/>
  <c r="X19" i="24"/>
  <c r="E6" i="24"/>
  <c r="AV100" i="1" l="1"/>
  <c r="AU100" i="1"/>
  <c r="AT100" i="1"/>
  <c r="AS100" i="1"/>
  <c r="AR100" i="1"/>
  <c r="AQ100" i="1"/>
  <c r="AW100" i="1"/>
  <c r="L28" i="27"/>
  <c r="L21" i="27"/>
  <c r="L15" i="27"/>
  <c r="AW46" i="1" l="1"/>
  <c r="AQ47" i="28"/>
  <c r="BQ47" i="28"/>
  <c r="BQ46" i="28"/>
  <c r="BQ42" i="28"/>
  <c r="BQ41" i="28"/>
  <c r="BQ40" i="28"/>
  <c r="BQ38" i="28"/>
  <c r="BQ37" i="28"/>
  <c r="BQ36" i="28"/>
  <c r="BQ35" i="28"/>
  <c r="BQ34" i="28"/>
  <c r="BQ33" i="28"/>
  <c r="BQ32" i="28"/>
  <c r="BQ30" i="28"/>
  <c r="BQ26" i="28"/>
  <c r="BQ25" i="28"/>
  <c r="BQ24" i="28"/>
  <c r="BQ22" i="28"/>
  <c r="BQ21" i="28"/>
  <c r="BQ20" i="28"/>
  <c r="BQ19" i="28"/>
  <c r="BQ18" i="28"/>
  <c r="BQ17" i="28"/>
  <c r="X11" i="24"/>
  <c r="X8" i="24"/>
  <c r="AW135" i="1"/>
  <c r="AW122" i="1"/>
  <c r="AW123" i="1" s="1"/>
  <c r="AW117" i="1"/>
  <c r="AW116" i="1"/>
  <c r="AW115" i="1"/>
  <c r="AW120" i="1" s="1"/>
  <c r="AW91" i="1"/>
  <c r="AX91" i="1" s="1"/>
  <c r="AW89" i="1"/>
  <c r="AW88" i="1"/>
  <c r="AW87" i="1"/>
  <c r="AW86" i="1"/>
  <c r="AW84" i="1"/>
  <c r="AW83" i="1"/>
  <c r="AW82" i="1"/>
  <c r="AW75" i="1"/>
  <c r="AW74" i="1"/>
  <c r="AW62" i="1"/>
  <c r="AW61" i="1"/>
  <c r="AW11" i="1"/>
  <c r="AW10" i="1"/>
  <c r="AW37" i="1" s="1"/>
  <c r="AW9" i="1"/>
  <c r="AW8" i="1"/>
  <c r="AW7" i="1"/>
  <c r="AW30" i="1"/>
  <c r="AW26" i="1" s="1"/>
  <c r="AW19" i="1"/>
  <c r="AW148" i="1"/>
  <c r="AW147" i="1"/>
  <c r="AW142" i="1"/>
  <c r="AW144" i="1" s="1"/>
  <c r="AW145" i="1" s="1"/>
  <c r="AW162" i="1" s="1"/>
  <c r="AW136" i="1"/>
  <c r="AW130" i="1"/>
  <c r="AW106" i="1"/>
  <c r="AW103" i="1"/>
  <c r="AW107" i="1" s="1"/>
  <c r="AW94" i="1"/>
  <c r="AW79" i="1"/>
  <c r="AW78" i="1"/>
  <c r="AW70" i="1"/>
  <c r="AW63" i="1"/>
  <c r="AW40" i="1"/>
  <c r="AW38" i="1"/>
  <c r="AW35" i="1"/>
  <c r="AW2" i="1"/>
  <c r="AX142" i="1"/>
  <c r="AX144" i="1" s="1"/>
  <c r="AX145" i="1" s="1"/>
  <c r="AX136" i="1"/>
  <c r="AX130" i="1"/>
  <c r="AX106" i="1"/>
  <c r="AX103" i="1"/>
  <c r="AX107" i="1" s="1"/>
  <c r="AX94" i="1"/>
  <c r="AX92" i="1"/>
  <c r="AX90" i="1"/>
  <c r="AX88" i="1"/>
  <c r="AX87" i="1"/>
  <c r="AX85" i="1"/>
  <c r="AX62" i="1"/>
  <c r="AX22" i="1"/>
  <c r="AX2" i="1"/>
  <c r="AX20" i="1" s="1"/>
  <c r="AV46" i="1"/>
  <c r="X20" i="24" l="1"/>
  <c r="AW93" i="1"/>
  <c r="AW36" i="1"/>
  <c r="AW41" i="1"/>
  <c r="AX21" i="1"/>
  <c r="AX19" i="1"/>
  <c r="AX17" i="1" s="1"/>
  <c r="AX162" i="1"/>
  <c r="AX148" i="1"/>
  <c r="AW155" i="1"/>
  <c r="AX147" i="1"/>
  <c r="AW166" i="1"/>
  <c r="AW167" i="1" s="1"/>
  <c r="AW161" i="1"/>
  <c r="AW131" i="1"/>
  <c r="AW132" i="1" s="1"/>
  <c r="AW12" i="1"/>
  <c r="AW34" i="1"/>
  <c r="BP26" i="28"/>
  <c r="BP24" i="28"/>
  <c r="AD15" i="28"/>
  <c r="AW95" i="1" l="1"/>
  <c r="AW96" i="1"/>
  <c r="AW99" i="1"/>
  <c r="AW14" i="1"/>
  <c r="AW15" i="1"/>
  <c r="AE15" i="28"/>
  <c r="AF15" i="28" s="1"/>
  <c r="AG15" i="28" s="1"/>
  <c r="AH15" i="28" s="1"/>
  <c r="AI15" i="28" s="1"/>
  <c r="AJ15" i="28" s="1"/>
  <c r="AK15" i="28" s="1"/>
  <c r="AL15" i="28" s="1"/>
  <c r="AM15" i="28" s="1"/>
  <c r="AN15" i="28" s="1"/>
  <c r="AO15" i="28" s="1"/>
  <c r="AW33" i="1" l="1"/>
  <c r="AW64" i="1"/>
  <c r="AW42" i="1"/>
  <c r="AW124" i="1"/>
  <c r="AV147" i="1"/>
  <c r="AV148" i="1"/>
  <c r="AV122" i="1"/>
  <c r="AV117" i="1"/>
  <c r="AV116" i="1"/>
  <c r="AV115" i="1"/>
  <c r="AV84" i="1"/>
  <c r="AV83" i="1"/>
  <c r="AV75" i="1"/>
  <c r="AV74" i="1"/>
  <c r="AV62" i="1"/>
  <c r="AV61" i="1"/>
  <c r="AV10" i="1"/>
  <c r="AV9" i="1"/>
  <c r="AV8" i="1"/>
  <c r="AV12" i="1" s="1"/>
  <c r="AV7" i="1"/>
  <c r="AV166" i="1"/>
  <c r="AV167" i="1" s="1"/>
  <c r="AV155" i="1"/>
  <c r="AV142" i="1"/>
  <c r="AV144" i="1" s="1"/>
  <c r="AV145" i="1" s="1"/>
  <c r="AV136" i="1"/>
  <c r="AV130" i="1"/>
  <c r="AV123" i="1"/>
  <c r="AV161" i="1" s="1"/>
  <c r="AV120" i="1"/>
  <c r="AV106" i="1"/>
  <c r="AV103" i="1"/>
  <c r="AV107" i="1" s="1"/>
  <c r="AV94" i="1"/>
  <c r="AV79" i="1"/>
  <c r="AV78" i="1"/>
  <c r="AV93" i="1" s="1"/>
  <c r="AV70" i="1"/>
  <c r="AV63" i="1"/>
  <c r="AV40" i="1"/>
  <c r="AV38" i="1"/>
  <c r="AV37" i="1"/>
  <c r="AV36" i="1"/>
  <c r="AV34" i="1"/>
  <c r="AV26" i="1"/>
  <c r="AV19" i="1"/>
  <c r="AV2" i="1"/>
  <c r="T18" i="24"/>
  <c r="U18" i="24"/>
  <c r="AQ103" i="1"/>
  <c r="U8" i="24"/>
  <c r="V8" i="24"/>
  <c r="U11" i="24"/>
  <c r="V11" i="24"/>
  <c r="V18" i="24"/>
  <c r="U19" i="24" l="1"/>
  <c r="U20" i="24" s="1"/>
  <c r="AW65" i="1"/>
  <c r="AW44" i="1"/>
  <c r="AW97" i="1"/>
  <c r="AW48" i="1"/>
  <c r="AW43" i="1"/>
  <c r="AV41" i="1"/>
  <c r="AV162" i="1"/>
  <c r="AV131" i="1"/>
  <c r="AV132" i="1" s="1"/>
  <c r="AV15" i="1"/>
  <c r="AV99" i="1"/>
  <c r="AV35" i="1"/>
  <c r="AV96" i="1"/>
  <c r="AV95" i="1"/>
  <c r="AV14" i="1"/>
  <c r="AV42" i="1" s="1"/>
  <c r="AV43" i="1" s="1"/>
  <c r="V19" i="24"/>
  <c r="V20" i="24" s="1"/>
  <c r="AT144" i="1"/>
  <c r="AS144" i="1"/>
  <c r="AS145" i="1"/>
  <c r="AU144" i="1"/>
  <c r="AU145" i="1" s="1"/>
  <c r="AU166" i="1"/>
  <c r="AU167" i="1" s="1"/>
  <c r="AU155" i="1"/>
  <c r="AU142" i="1"/>
  <c r="AU136" i="1"/>
  <c r="AU130" i="1"/>
  <c r="AU123" i="1"/>
  <c r="AU120" i="1"/>
  <c r="AU106" i="1"/>
  <c r="AU103" i="1"/>
  <c r="AU79" i="1"/>
  <c r="AU78" i="1"/>
  <c r="AU93" i="1" s="1"/>
  <c r="AU70" i="1"/>
  <c r="AU63" i="1"/>
  <c r="AU40" i="1"/>
  <c r="AU41" i="1" s="1"/>
  <c r="AU38" i="1"/>
  <c r="AU37" i="1"/>
  <c r="AU36" i="1"/>
  <c r="AU35" i="1"/>
  <c r="AU34" i="1"/>
  <c r="AU26" i="1"/>
  <c r="AU19" i="1"/>
  <c r="AU12" i="1"/>
  <c r="AU15" i="1" s="1"/>
  <c r="AT142" i="1"/>
  <c r="AT130" i="1"/>
  <c r="AT63" i="1"/>
  <c r="AT166" i="1"/>
  <c r="AT167" i="1" s="1"/>
  <c r="AT155" i="1"/>
  <c r="AT136" i="1"/>
  <c r="AT123" i="1"/>
  <c r="AT120" i="1"/>
  <c r="AT106" i="1"/>
  <c r="AT103" i="1"/>
  <c r="AT107" i="1" s="1"/>
  <c r="AT79" i="1"/>
  <c r="AT78" i="1"/>
  <c r="AT93" i="1" s="1"/>
  <c r="AT70" i="1"/>
  <c r="AT40" i="1"/>
  <c r="AT41" i="1" s="1"/>
  <c r="AT38" i="1"/>
  <c r="AT37" i="1"/>
  <c r="AT36" i="1"/>
  <c r="AT35" i="1"/>
  <c r="AT34" i="1"/>
  <c r="AT26" i="1"/>
  <c r="AT19" i="1"/>
  <c r="AT12" i="1"/>
  <c r="AT15" i="1" s="1"/>
  <c r="AW108" i="1" l="1"/>
  <c r="AW98" i="1"/>
  <c r="AV33" i="1"/>
  <c r="AV64" i="1"/>
  <c r="AV44" i="1" s="1"/>
  <c r="AV124" i="1"/>
  <c r="AT145" i="1"/>
  <c r="AU161" i="1"/>
  <c r="AU162" i="1"/>
  <c r="AU131" i="1"/>
  <c r="AU132" i="1" s="1"/>
  <c r="AU107" i="1"/>
  <c r="AU99" i="1"/>
  <c r="AX99" i="1" s="1"/>
  <c r="AU96" i="1"/>
  <c r="AU14" i="1"/>
  <c r="AU42" i="1" s="1"/>
  <c r="AT131" i="1"/>
  <c r="AT132" i="1" s="1"/>
  <c r="AT99" i="1"/>
  <c r="AT96" i="1"/>
  <c r="AT14" i="1"/>
  <c r="AT42" i="1" s="1"/>
  <c r="AR34" i="1"/>
  <c r="AQ34" i="1"/>
  <c r="AP34" i="1"/>
  <c r="AO34" i="1"/>
  <c r="AN34" i="1"/>
  <c r="AS34" i="1"/>
  <c r="S18" i="24"/>
  <c r="AS12" i="1"/>
  <c r="AS99" i="1" s="1"/>
  <c r="AS19" i="1"/>
  <c r="AS26" i="1"/>
  <c r="AS35" i="1"/>
  <c r="AS36" i="1"/>
  <c r="AS37" i="1"/>
  <c r="AS38" i="1"/>
  <c r="AS40" i="1"/>
  <c r="AS63" i="1"/>
  <c r="AS70" i="1"/>
  <c r="AS78" i="1"/>
  <c r="AS79" i="1"/>
  <c r="AS93" i="1"/>
  <c r="AS96" i="1" s="1"/>
  <c r="AS103" i="1"/>
  <c r="AS106" i="1"/>
  <c r="AS120" i="1"/>
  <c r="AS123" i="1"/>
  <c r="AT161" i="1" s="1"/>
  <c r="AS130" i="1"/>
  <c r="AS136" i="1"/>
  <c r="AS142" i="1"/>
  <c r="AT162" i="1"/>
  <c r="AS155" i="1"/>
  <c r="AW160" i="1" l="1"/>
  <c r="AW163" i="1" s="1"/>
  <c r="AW169" i="1" s="1"/>
  <c r="AV97" i="1"/>
  <c r="AV65" i="1"/>
  <c r="AS107" i="1"/>
  <c r="AU33" i="1"/>
  <c r="AU124" i="1"/>
  <c r="AU64" i="1"/>
  <c r="AU44" i="1" s="1"/>
  <c r="AT64" i="1"/>
  <c r="AT44" i="1" s="1"/>
  <c r="AT33" i="1"/>
  <c r="AT124" i="1"/>
  <c r="AS41" i="1"/>
  <c r="AS15" i="1"/>
  <c r="AS14" i="1"/>
  <c r="AS131" i="1"/>
  <c r="AS132" i="1" s="1"/>
  <c r="AU46" i="1"/>
  <c r="AS124" i="1" l="1"/>
  <c r="AS42" i="1"/>
  <c r="AS43" i="1" s="1"/>
  <c r="AS64" i="1"/>
  <c r="AS65" i="1" s="1"/>
  <c r="AV98" i="1"/>
  <c r="AV108" i="1"/>
  <c r="AU43" i="1"/>
  <c r="AU97" i="1"/>
  <c r="AU65" i="1"/>
  <c r="AS33" i="1"/>
  <c r="AT43" i="1"/>
  <c r="AT97" i="1"/>
  <c r="AT65" i="1"/>
  <c r="AV45" i="1" l="1"/>
  <c r="AV47" i="1" s="1"/>
  <c r="AW45" i="1"/>
  <c r="AW47" i="1" s="1"/>
  <c r="AS97" i="1"/>
  <c r="AS44" i="1"/>
  <c r="AV160" i="1"/>
  <c r="AV163" i="1" s="1"/>
  <c r="AV169" i="1" s="1"/>
  <c r="AV48" i="1"/>
  <c r="AU98" i="1"/>
  <c r="AU108" i="1"/>
  <c r="AT98" i="1"/>
  <c r="AT108" i="1"/>
  <c r="AP155" i="1"/>
  <c r="AO155" i="1"/>
  <c r="AN155" i="1"/>
  <c r="AR155" i="1"/>
  <c r="AY155" i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DC155" i="1" s="1"/>
  <c r="DD155" i="1" s="1"/>
  <c r="DE155" i="1" s="1"/>
  <c r="DF155" i="1" s="1"/>
  <c r="DG155" i="1" s="1"/>
  <c r="AQ155" i="1"/>
  <c r="S19" i="24"/>
  <c r="S8" i="24"/>
  <c r="T8" i="24"/>
  <c r="AR19" i="1"/>
  <c r="AR166" i="1"/>
  <c r="AR167" i="1" s="1"/>
  <c r="AR142" i="1"/>
  <c r="AR144" i="1" s="1"/>
  <c r="AR145" i="1" s="1"/>
  <c r="AR136" i="1"/>
  <c r="AR130" i="1"/>
  <c r="AR123" i="1"/>
  <c r="AR120" i="1"/>
  <c r="AR106" i="1"/>
  <c r="AR103" i="1"/>
  <c r="AR79" i="1"/>
  <c r="AR78" i="1"/>
  <c r="AR93" i="1" s="1"/>
  <c r="AR70" i="1"/>
  <c r="AR63" i="1"/>
  <c r="AT46" i="1" s="1"/>
  <c r="AR40" i="1"/>
  <c r="AR41" i="1" s="1"/>
  <c r="AR38" i="1"/>
  <c r="AR37" i="1"/>
  <c r="AR36" i="1"/>
  <c r="AR35" i="1"/>
  <c r="AR26" i="1"/>
  <c r="AR12" i="1"/>
  <c r="AR14" i="1" s="1"/>
  <c r="AR42" i="1" s="1"/>
  <c r="AX151" i="1"/>
  <c r="F33" i="29"/>
  <c r="E33" i="29"/>
  <c r="C33" i="29"/>
  <c r="D33" i="29"/>
  <c r="F32" i="29"/>
  <c r="E32" i="29"/>
  <c r="C32" i="29"/>
  <c r="D32" i="29"/>
  <c r="AQ166" i="1"/>
  <c r="AQ167" i="1" s="1"/>
  <c r="AN31" i="1"/>
  <c r="AN26" i="1" s="1"/>
  <c r="AO26" i="1"/>
  <c r="AP26" i="1"/>
  <c r="AQ26" i="1"/>
  <c r="AM26" i="1"/>
  <c r="AL26" i="1"/>
  <c r="AK26" i="1"/>
  <c r="Q18" i="24"/>
  <c r="R18" i="24"/>
  <c r="R8" i="24"/>
  <c r="Q8" i="24"/>
  <c r="I2" i="24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AQ19" i="1"/>
  <c r="AQ142" i="1"/>
  <c r="AQ144" i="1" s="1"/>
  <c r="AQ145" i="1" s="1"/>
  <c r="AQ136" i="1"/>
  <c r="AQ130" i="1"/>
  <c r="AQ123" i="1"/>
  <c r="AQ120" i="1"/>
  <c r="AQ106" i="1"/>
  <c r="AQ107" i="1"/>
  <c r="AQ79" i="1"/>
  <c r="AQ78" i="1"/>
  <c r="AQ70" i="1"/>
  <c r="AQ63" i="1"/>
  <c r="AS46" i="1" s="1"/>
  <c r="AQ40" i="1"/>
  <c r="AQ41" i="1" s="1"/>
  <c r="AQ38" i="1"/>
  <c r="AQ37" i="1"/>
  <c r="AQ36" i="1"/>
  <c r="AQ35" i="1"/>
  <c r="AQ12" i="1"/>
  <c r="AQ15" i="1" s="1"/>
  <c r="H32" i="29"/>
  <c r="H40" i="20"/>
  <c r="F40" i="20"/>
  <c r="D40" i="20"/>
  <c r="C40" i="20"/>
  <c r="H39" i="20"/>
  <c r="F39" i="20"/>
  <c r="D39" i="20"/>
  <c r="C39" i="20"/>
  <c r="H38" i="20"/>
  <c r="F38" i="20"/>
  <c r="D38" i="20"/>
  <c r="C38" i="20"/>
  <c r="AS48" i="1" l="1"/>
  <c r="AS98" i="1"/>
  <c r="AS108" i="1"/>
  <c r="AU160" i="1"/>
  <c r="AU163" i="1" s="1"/>
  <c r="AU169" i="1" s="1"/>
  <c r="AU45" i="1"/>
  <c r="AU47" i="1" s="1"/>
  <c r="AU48" i="1"/>
  <c r="AT48" i="1"/>
  <c r="AT160" i="1"/>
  <c r="AT163" i="1" s="1"/>
  <c r="AT169" i="1" s="1"/>
  <c r="S20" i="24"/>
  <c r="AR161" i="1"/>
  <c r="AR99" i="1"/>
  <c r="AR15" i="1"/>
  <c r="AX15" i="1" s="1"/>
  <c r="AR162" i="1"/>
  <c r="AR131" i="1"/>
  <c r="AR132" i="1" s="1"/>
  <c r="AR107" i="1"/>
  <c r="AR124" i="1"/>
  <c r="AR64" i="1"/>
  <c r="AR44" i="1" s="1"/>
  <c r="AR43" i="1"/>
  <c r="AR33" i="1"/>
  <c r="AR96" i="1"/>
  <c r="AS162" i="1"/>
  <c r="AY151" i="1"/>
  <c r="AZ151" i="1" s="1"/>
  <c r="BA151" i="1" s="1"/>
  <c r="BB151" i="1" s="1"/>
  <c r="BC151" i="1" s="1"/>
  <c r="BD151" i="1" s="1"/>
  <c r="BE151" i="1" s="1"/>
  <c r="BF151" i="1" s="1"/>
  <c r="BG151" i="1" s="1"/>
  <c r="BH151" i="1" s="1"/>
  <c r="BI151" i="1" s="1"/>
  <c r="BJ151" i="1" s="1"/>
  <c r="BK151" i="1" s="1"/>
  <c r="BL151" i="1" s="1"/>
  <c r="BM151" i="1" s="1"/>
  <c r="BN151" i="1" s="1"/>
  <c r="BO151" i="1" s="1"/>
  <c r="BP151" i="1" s="1"/>
  <c r="BQ151" i="1" s="1"/>
  <c r="BR151" i="1" s="1"/>
  <c r="BS151" i="1" s="1"/>
  <c r="BT151" i="1" s="1"/>
  <c r="BU151" i="1" s="1"/>
  <c r="BV151" i="1" s="1"/>
  <c r="BW151" i="1" s="1"/>
  <c r="BX151" i="1" s="1"/>
  <c r="BY151" i="1" s="1"/>
  <c r="BZ151" i="1" s="1"/>
  <c r="CA151" i="1" s="1"/>
  <c r="CB151" i="1" s="1"/>
  <c r="CC151" i="1" s="1"/>
  <c r="CD151" i="1" s="1"/>
  <c r="CE151" i="1" s="1"/>
  <c r="CF151" i="1" s="1"/>
  <c r="CG151" i="1" s="1"/>
  <c r="CH151" i="1" s="1"/>
  <c r="CI151" i="1" s="1"/>
  <c r="CJ151" i="1" s="1"/>
  <c r="CK151" i="1" s="1"/>
  <c r="CL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DC151" i="1" s="1"/>
  <c r="DD151" i="1" s="1"/>
  <c r="DE151" i="1" s="1"/>
  <c r="DF151" i="1" s="1"/>
  <c r="DG151" i="1" s="1"/>
  <c r="G32" i="29"/>
  <c r="G33" i="29"/>
  <c r="U2" i="24"/>
  <c r="V2" i="24" s="1"/>
  <c r="W2" i="24" s="1"/>
  <c r="AQ131" i="1"/>
  <c r="AQ132" i="1" s="1"/>
  <c r="AQ93" i="1"/>
  <c r="AQ96" i="1" s="1"/>
  <c r="AQ99" i="1"/>
  <c r="AQ14" i="1"/>
  <c r="BA44" i="28"/>
  <c r="BA50" i="28" s="1"/>
  <c r="BO43" i="28"/>
  <c r="BO44" i="28" s="1"/>
  <c r="BN43" i="28"/>
  <c r="BN44" i="28" s="1"/>
  <c r="BM43" i="28"/>
  <c r="BM44" i="28" s="1"/>
  <c r="BL43" i="28"/>
  <c r="BL44" i="28" s="1"/>
  <c r="BK43" i="28"/>
  <c r="BK44" i="28" s="1"/>
  <c r="BK45" i="28" s="1"/>
  <c r="BJ43" i="28"/>
  <c r="BJ44" i="28" s="1"/>
  <c r="BJ45" i="28" s="1"/>
  <c r="BI43" i="28"/>
  <c r="BI44" i="28" s="1"/>
  <c r="BH43" i="28"/>
  <c r="BH44" i="28" s="1"/>
  <c r="BG43" i="28"/>
  <c r="BG44" i="28" s="1"/>
  <c r="BG50" i="28" s="1"/>
  <c r="BF43" i="28"/>
  <c r="BF44" i="28" s="1"/>
  <c r="BE43" i="28"/>
  <c r="BE44" i="28" s="1"/>
  <c r="BD43" i="28"/>
  <c r="BD44" i="28" s="1"/>
  <c r="X2" i="24" l="1"/>
  <c r="Y2" i="24" s="1"/>
  <c r="Z2" i="24" s="1"/>
  <c r="AA2" i="24" s="1"/>
  <c r="AB2" i="24" s="1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O2" i="24" s="1"/>
  <c r="AP2" i="24" s="1"/>
  <c r="AQ2" i="24" s="1"/>
  <c r="AR2" i="24" s="1"/>
  <c r="AS2" i="24" s="1"/>
  <c r="AT2" i="24" s="1"/>
  <c r="AU2" i="24" s="1"/>
  <c r="AV2" i="24" s="1"/>
  <c r="AW2" i="24" s="1"/>
  <c r="AX2" i="24" s="1"/>
  <c r="AY2" i="24" s="1"/>
  <c r="AZ2" i="24" s="1"/>
  <c r="BA2" i="24" s="1"/>
  <c r="BB2" i="24" s="1"/>
  <c r="BC2" i="24" s="1"/>
  <c r="BD2" i="24" s="1"/>
  <c r="BE2" i="24" s="1"/>
  <c r="BF2" i="24" s="1"/>
  <c r="BG2" i="24" s="1"/>
  <c r="BH2" i="24" s="1"/>
  <c r="BI2" i="24" s="1"/>
  <c r="BJ2" i="24" s="1"/>
  <c r="BK2" i="24" s="1"/>
  <c r="BL2" i="24" s="1"/>
  <c r="BM2" i="24" s="1"/>
  <c r="BN2" i="24" s="1"/>
  <c r="BO2" i="24" s="1"/>
  <c r="BP2" i="24" s="1"/>
  <c r="BQ2" i="24" s="1"/>
  <c r="BR2" i="24" s="1"/>
  <c r="BS2" i="24" s="1"/>
  <c r="BT2" i="24" s="1"/>
  <c r="BU2" i="24" s="1"/>
  <c r="BV2" i="24" s="1"/>
  <c r="BW2" i="24" s="1"/>
  <c r="BX2" i="24" s="1"/>
  <c r="BY2" i="24" s="1"/>
  <c r="BZ2" i="24" s="1"/>
  <c r="CA2" i="24" s="1"/>
  <c r="CB2" i="24" s="1"/>
  <c r="CC2" i="24" s="1"/>
  <c r="CD2" i="24" s="1"/>
  <c r="CE2" i="24" s="1"/>
  <c r="CF2" i="24" s="1"/>
  <c r="CG2" i="24" s="1"/>
  <c r="CH2" i="24" s="1"/>
  <c r="CI2" i="24" s="1"/>
  <c r="CJ2" i="24" s="1"/>
  <c r="CK2" i="24" s="1"/>
  <c r="CL2" i="24" s="1"/>
  <c r="CM2" i="24" s="1"/>
  <c r="CN2" i="24" s="1"/>
  <c r="CO2" i="24" s="1"/>
  <c r="CP2" i="24" s="1"/>
  <c r="CQ2" i="24" s="1"/>
  <c r="CR2" i="24" s="1"/>
  <c r="CS2" i="24" s="1"/>
  <c r="CT2" i="24" s="1"/>
  <c r="CU2" i="24" s="1"/>
  <c r="CV2" i="24" s="1"/>
  <c r="CW2" i="24" s="1"/>
  <c r="CX2" i="24" s="1"/>
  <c r="CY2" i="24" s="1"/>
  <c r="CZ2" i="24" s="1"/>
  <c r="DA2" i="24" s="1"/>
  <c r="DB2" i="24" s="1"/>
  <c r="DC2" i="24" s="1"/>
  <c r="DD2" i="24" s="1"/>
  <c r="DE2" i="24" s="1"/>
  <c r="DF2" i="24" s="1"/>
  <c r="DG2" i="24" s="1"/>
  <c r="DH2" i="24" s="1"/>
  <c r="DI2" i="24" s="1"/>
  <c r="DJ2" i="24" s="1"/>
  <c r="DK2" i="24" s="1"/>
  <c r="DL2" i="24" s="1"/>
  <c r="DM2" i="24" s="1"/>
  <c r="DN2" i="24" s="1"/>
  <c r="DO2" i="24" s="1"/>
  <c r="DP2" i="24" s="1"/>
  <c r="DQ2" i="24" s="1"/>
  <c r="DR2" i="24" s="1"/>
  <c r="DS2" i="24" s="1"/>
  <c r="DT2" i="24" s="1"/>
  <c r="DU2" i="24" s="1"/>
  <c r="DV2" i="24" s="1"/>
  <c r="DW2" i="24" s="1"/>
  <c r="DX2" i="24" s="1"/>
  <c r="DY2" i="24" s="1"/>
  <c r="DZ2" i="24" s="1"/>
  <c r="EA2" i="24" s="1"/>
  <c r="EB2" i="24" s="1"/>
  <c r="EC2" i="24" s="1"/>
  <c r="ED2" i="24" s="1"/>
  <c r="EE2" i="24" s="1"/>
  <c r="EF2" i="24" s="1"/>
  <c r="EG2" i="24" s="1"/>
  <c r="EH2" i="24" s="1"/>
  <c r="EI2" i="24" s="1"/>
  <c r="EJ2" i="24" s="1"/>
  <c r="EK2" i="24" s="1"/>
  <c r="EL2" i="24" s="1"/>
  <c r="EM2" i="24" s="1"/>
  <c r="EN2" i="24" s="1"/>
  <c r="EO2" i="24" s="1"/>
  <c r="EP2" i="24" s="1"/>
  <c r="EQ2" i="24" s="1"/>
  <c r="ER2" i="24" s="1"/>
  <c r="ES2" i="24" s="1"/>
  <c r="ET2" i="24" s="1"/>
  <c r="EU2" i="24" s="1"/>
  <c r="EV2" i="24" s="1"/>
  <c r="EW2" i="24" s="1"/>
  <c r="EX2" i="24" s="1"/>
  <c r="EY2" i="24" s="1"/>
  <c r="EZ2" i="24" s="1"/>
  <c r="FA2" i="24" s="1"/>
  <c r="FB2" i="24" s="1"/>
  <c r="AQ42" i="1"/>
  <c r="AQ43" i="1" s="1"/>
  <c r="AR97" i="1"/>
  <c r="AR65" i="1"/>
  <c r="AQ64" i="1"/>
  <c r="AQ44" i="1" s="1"/>
  <c r="AQ33" i="1"/>
  <c r="AQ124" i="1"/>
  <c r="BO50" i="28"/>
  <c r="BO45" i="28"/>
  <c r="BN50" i="28"/>
  <c r="BN45" i="28"/>
  <c r="BH45" i="28"/>
  <c r="BH50" i="28"/>
  <c r="BI45" i="28"/>
  <c r="BI50" i="28"/>
  <c r="BD50" i="28"/>
  <c r="BD45" i="28"/>
  <c r="BL45" i="28"/>
  <c r="BL50" i="28"/>
  <c r="BF50" i="28"/>
  <c r="BF45" i="28"/>
  <c r="BE50" i="28"/>
  <c r="BE45" i="28"/>
  <c r="BM45" i="28"/>
  <c r="BM50" i="28"/>
  <c r="BK50" i="28"/>
  <c r="BJ50" i="28"/>
  <c r="BG45" i="28"/>
  <c r="AR98" i="1" l="1"/>
  <c r="AT45" i="1"/>
  <c r="AT47" i="1" s="1"/>
  <c r="AR108" i="1"/>
  <c r="AQ97" i="1"/>
  <c r="AQ65" i="1"/>
  <c r="AP90" i="1"/>
  <c r="AP87" i="1"/>
  <c r="AP166" i="1"/>
  <c r="AP167" i="1" s="1"/>
  <c r="AP142" i="1"/>
  <c r="AP144" i="1" s="1"/>
  <c r="AP145" i="1" s="1"/>
  <c r="AP136" i="1"/>
  <c r="AP130" i="1"/>
  <c r="AP123" i="1"/>
  <c r="AQ161" i="1" s="1"/>
  <c r="AP120" i="1"/>
  <c r="AP106" i="1"/>
  <c r="AP103" i="1"/>
  <c r="AP79" i="1"/>
  <c r="AP78" i="1"/>
  <c r="AP70" i="1"/>
  <c r="AP63" i="1"/>
  <c r="AP40" i="1"/>
  <c r="AP41" i="1" s="1"/>
  <c r="AP38" i="1"/>
  <c r="AP37" i="1"/>
  <c r="AP36" i="1"/>
  <c r="AP35" i="1"/>
  <c r="AP19" i="1"/>
  <c r="AP12" i="1"/>
  <c r="AP14" i="1" s="1"/>
  <c r="AP42" i="1" s="1"/>
  <c r="AO4" i="1"/>
  <c r="P18" i="24"/>
  <c r="O18" i="24"/>
  <c r="AM130" i="1"/>
  <c r="AO130" i="1"/>
  <c r="AN130" i="1"/>
  <c r="AL130" i="1"/>
  <c r="AK130" i="1"/>
  <c r="AJ130" i="1"/>
  <c r="AI130" i="1"/>
  <c r="AH130" i="1"/>
  <c r="AG130" i="1"/>
  <c r="AF130" i="1"/>
  <c r="AE130" i="1"/>
  <c r="AD130" i="1"/>
  <c r="AC130" i="1"/>
  <c r="AB130" i="1"/>
  <c r="AX150" i="1" l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F150" i="1" s="1"/>
  <c r="CG150" i="1" s="1"/>
  <c r="CH150" i="1" s="1"/>
  <c r="CI150" i="1" s="1"/>
  <c r="CJ150" i="1" s="1"/>
  <c r="CK150" i="1" s="1"/>
  <c r="CL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DC150" i="1" s="1"/>
  <c r="DD150" i="1" s="1"/>
  <c r="DE150" i="1" s="1"/>
  <c r="DF150" i="1" s="1"/>
  <c r="DG150" i="1" s="1"/>
  <c r="AX166" i="1"/>
  <c r="AX167" i="1" s="1"/>
  <c r="AP4" i="1"/>
  <c r="AR160" i="1"/>
  <c r="AR163" i="1" s="1"/>
  <c r="AR169" i="1" s="1"/>
  <c r="AP107" i="1"/>
  <c r="AP131" i="1"/>
  <c r="AP132" i="1" s="1"/>
  <c r="AP100" i="1"/>
  <c r="AR46" i="1" s="1"/>
  <c r="AR48" i="1" s="1"/>
  <c r="AQ162" i="1"/>
  <c r="AQ4" i="1"/>
  <c r="AP1" i="1"/>
  <c r="AP3" i="1" s="1"/>
  <c r="AP24" i="1"/>
  <c r="AP25" i="1" s="1"/>
  <c r="AP49" i="1" s="1"/>
  <c r="AQ98" i="1"/>
  <c r="AQ108" i="1"/>
  <c r="AS45" i="1"/>
  <c r="AS47" i="1" s="1"/>
  <c r="AP15" i="1"/>
  <c r="AP93" i="1"/>
  <c r="AP99" i="1"/>
  <c r="AP33" i="1"/>
  <c r="AP64" i="1"/>
  <c r="AP44" i="1" s="1"/>
  <c r="AP43" i="1"/>
  <c r="AP124" i="1"/>
  <c r="P19" i="24"/>
  <c r="P8" i="24"/>
  <c r="AO166" i="1"/>
  <c r="AO167" i="1" s="1"/>
  <c r="AO142" i="1"/>
  <c r="AO144" i="1" s="1"/>
  <c r="AO145" i="1" s="1"/>
  <c r="AP162" i="1" s="1"/>
  <c r="AO136" i="1"/>
  <c r="AO123" i="1"/>
  <c r="AP161" i="1" s="1"/>
  <c r="AO120" i="1"/>
  <c r="AO106" i="1"/>
  <c r="AO103" i="1"/>
  <c r="AO79" i="1"/>
  <c r="AO78" i="1"/>
  <c r="AO93" i="1" s="1"/>
  <c r="AO70" i="1"/>
  <c r="AO63" i="1"/>
  <c r="AO100" i="1" s="1"/>
  <c r="AO40" i="1"/>
  <c r="AO41" i="1" s="1"/>
  <c r="AO38" i="1"/>
  <c r="AO37" i="1"/>
  <c r="AO36" i="1"/>
  <c r="AO35" i="1"/>
  <c r="AO24" i="1"/>
  <c r="AO25" i="1" s="1"/>
  <c r="AO49" i="1" s="1"/>
  <c r="AO19" i="1"/>
  <c r="AO12" i="1"/>
  <c r="AO15" i="1" s="1"/>
  <c r="AF37" i="1"/>
  <c r="F31" i="5"/>
  <c r="AH149" i="1"/>
  <c r="AI149" i="1" s="1"/>
  <c r="AJ149" i="1" s="1"/>
  <c r="AK149" i="1" s="1"/>
  <c r="AL149" i="1" s="1"/>
  <c r="AY140" i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F140" i="1" s="1"/>
  <c r="CG140" i="1" s="1"/>
  <c r="CH140" i="1" s="1"/>
  <c r="CI140" i="1" s="1"/>
  <c r="CJ140" i="1" s="1"/>
  <c r="CK140" i="1" s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DC140" i="1" s="1"/>
  <c r="DD140" i="1" s="1"/>
  <c r="DE140" i="1" s="1"/>
  <c r="DF140" i="1" s="1"/>
  <c r="DG140" i="1" s="1"/>
  <c r="AY141" i="1"/>
  <c r="AZ141" i="1" s="1"/>
  <c r="BA141" i="1" s="1"/>
  <c r="BB141" i="1" s="1"/>
  <c r="BC141" i="1" s="1"/>
  <c r="BD141" i="1" s="1"/>
  <c r="BE141" i="1" s="1"/>
  <c r="BF141" i="1" s="1"/>
  <c r="BG141" i="1" s="1"/>
  <c r="BH141" i="1" s="1"/>
  <c r="BI141" i="1" s="1"/>
  <c r="BJ141" i="1" s="1"/>
  <c r="BK141" i="1" s="1"/>
  <c r="BL141" i="1" s="1"/>
  <c r="BM141" i="1" s="1"/>
  <c r="BN141" i="1" s="1"/>
  <c r="BO141" i="1" s="1"/>
  <c r="BP141" i="1" s="1"/>
  <c r="BQ141" i="1" s="1"/>
  <c r="BR141" i="1" s="1"/>
  <c r="BS141" i="1" s="1"/>
  <c r="BT141" i="1" s="1"/>
  <c r="BU141" i="1" s="1"/>
  <c r="BV141" i="1" s="1"/>
  <c r="BW141" i="1" s="1"/>
  <c r="BX141" i="1" s="1"/>
  <c r="BY141" i="1" s="1"/>
  <c r="BZ141" i="1" s="1"/>
  <c r="CA141" i="1" s="1"/>
  <c r="CB141" i="1" s="1"/>
  <c r="CC141" i="1" s="1"/>
  <c r="CD141" i="1" s="1"/>
  <c r="CE141" i="1" s="1"/>
  <c r="CF141" i="1" s="1"/>
  <c r="CG141" i="1" s="1"/>
  <c r="CH141" i="1" s="1"/>
  <c r="CI141" i="1" s="1"/>
  <c r="CJ141" i="1" s="1"/>
  <c r="CK141" i="1" s="1"/>
  <c r="CL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DC141" i="1" s="1"/>
  <c r="DD141" i="1" s="1"/>
  <c r="DE141" i="1" s="1"/>
  <c r="DF141" i="1" s="1"/>
  <c r="DG141" i="1" s="1"/>
  <c r="AM142" i="1"/>
  <c r="AM144" i="1" s="1"/>
  <c r="AM145" i="1" s="1"/>
  <c r="AL142" i="1"/>
  <c r="AL144" i="1" s="1"/>
  <c r="AL145" i="1" s="1"/>
  <c r="AK142" i="1"/>
  <c r="AK144" i="1" s="1"/>
  <c r="AK145" i="1" s="1"/>
  <c r="AJ142" i="1"/>
  <c r="AJ144" i="1" s="1"/>
  <c r="AJ145" i="1" s="1"/>
  <c r="AI142" i="1"/>
  <c r="AI144" i="1" s="1"/>
  <c r="AI145" i="1" s="1"/>
  <c r="AH142" i="1"/>
  <c r="AH144" i="1" s="1"/>
  <c r="AH145" i="1" s="1"/>
  <c r="AN142" i="1"/>
  <c r="AN144" i="1" s="1"/>
  <c r="AN145" i="1" s="1"/>
  <c r="AN136" i="1"/>
  <c r="AM136" i="1"/>
  <c r="AL136" i="1"/>
  <c r="AK136" i="1"/>
  <c r="AJ136" i="1"/>
  <c r="AI136" i="1"/>
  <c r="AH136" i="1"/>
  <c r="AN78" i="1"/>
  <c r="AN93" i="1" s="1"/>
  <c r="AY77" i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CV77" i="1" s="1"/>
  <c r="CW77" i="1" s="1"/>
  <c r="CX77" i="1" s="1"/>
  <c r="CY77" i="1" s="1"/>
  <c r="CZ77" i="1" s="1"/>
  <c r="DA77" i="1" s="1"/>
  <c r="DB77" i="1" s="1"/>
  <c r="DC77" i="1" s="1"/>
  <c r="DD77" i="1" s="1"/>
  <c r="DE77" i="1" s="1"/>
  <c r="DF77" i="1" s="1"/>
  <c r="DG77" i="1" s="1"/>
  <c r="AM78" i="1"/>
  <c r="AL78" i="1"/>
  <c r="AK78" i="1"/>
  <c r="AJ78" i="1"/>
  <c r="AI78" i="1"/>
  <c r="AH78" i="1"/>
  <c r="FB17" i="24"/>
  <c r="FB18" i="24" s="1"/>
  <c r="FA17" i="24"/>
  <c r="FA18" i="24" s="1"/>
  <c r="EZ17" i="24"/>
  <c r="EZ18" i="24" s="1"/>
  <c r="EY17" i="24"/>
  <c r="EY18" i="24" s="1"/>
  <c r="EX17" i="24"/>
  <c r="EX18" i="24" s="1"/>
  <c r="EW17" i="24"/>
  <c r="EW18" i="24" s="1"/>
  <c r="EV17" i="24"/>
  <c r="EV18" i="24" s="1"/>
  <c r="EU17" i="24"/>
  <c r="EU18" i="24" s="1"/>
  <c r="ET17" i="24"/>
  <c r="ET18" i="24" s="1"/>
  <c r="ES17" i="24"/>
  <c r="ES18" i="24" s="1"/>
  <c r="ER17" i="24"/>
  <c r="ER18" i="24" s="1"/>
  <c r="EQ17" i="24"/>
  <c r="EQ18" i="24" s="1"/>
  <c r="EP17" i="24"/>
  <c r="EP18" i="24" s="1"/>
  <c r="EO17" i="24"/>
  <c r="EO18" i="24" s="1"/>
  <c r="EN17" i="24"/>
  <c r="EN18" i="24" s="1"/>
  <c r="EM17" i="24"/>
  <c r="EM18" i="24" s="1"/>
  <c r="EL17" i="24"/>
  <c r="EL18" i="24" s="1"/>
  <c r="EK17" i="24"/>
  <c r="EK18" i="24" s="1"/>
  <c r="EJ17" i="24"/>
  <c r="EJ18" i="24" s="1"/>
  <c r="EI17" i="24"/>
  <c r="EI18" i="24" s="1"/>
  <c r="EH17" i="24"/>
  <c r="EH18" i="24" s="1"/>
  <c r="EG17" i="24"/>
  <c r="EG18" i="24" s="1"/>
  <c r="EF17" i="24"/>
  <c r="EF18" i="24" s="1"/>
  <c r="EE17" i="24"/>
  <c r="EE18" i="24" s="1"/>
  <c r="ED17" i="24"/>
  <c r="ED18" i="24" s="1"/>
  <c r="EC17" i="24"/>
  <c r="EC18" i="24" s="1"/>
  <c r="EB17" i="24"/>
  <c r="EB18" i="24" s="1"/>
  <c r="EA17" i="24"/>
  <c r="EA18" i="24" s="1"/>
  <c r="DZ17" i="24"/>
  <c r="DZ18" i="24" s="1"/>
  <c r="DY17" i="24"/>
  <c r="DY18" i="24" s="1"/>
  <c r="DX17" i="24"/>
  <c r="DX18" i="24" s="1"/>
  <c r="DW17" i="24"/>
  <c r="DW18" i="24" s="1"/>
  <c r="DV17" i="24"/>
  <c r="DV18" i="24" s="1"/>
  <c r="DU17" i="24"/>
  <c r="DU18" i="24" s="1"/>
  <c r="DT17" i="24"/>
  <c r="DT18" i="24" s="1"/>
  <c r="DS17" i="24"/>
  <c r="DS18" i="24" s="1"/>
  <c r="DR17" i="24"/>
  <c r="DR18" i="24" s="1"/>
  <c r="DQ17" i="24"/>
  <c r="DQ18" i="24" s="1"/>
  <c r="DP17" i="24"/>
  <c r="DP18" i="24" s="1"/>
  <c r="DO17" i="24"/>
  <c r="DO18" i="24" s="1"/>
  <c r="DN17" i="24"/>
  <c r="DN18" i="24" s="1"/>
  <c r="DM17" i="24"/>
  <c r="DM18" i="24" s="1"/>
  <c r="DL17" i="24"/>
  <c r="DL18" i="24" s="1"/>
  <c r="DK17" i="24"/>
  <c r="DK18" i="24" s="1"/>
  <c r="DJ17" i="24"/>
  <c r="DJ18" i="24" s="1"/>
  <c r="DI17" i="24"/>
  <c r="DI18" i="24" s="1"/>
  <c r="DH17" i="24"/>
  <c r="DH18" i="24" s="1"/>
  <c r="DG17" i="24"/>
  <c r="DG18" i="24" s="1"/>
  <c r="DF17" i="24"/>
  <c r="DF18" i="24" s="1"/>
  <c r="DE17" i="24"/>
  <c r="DE18" i="24" s="1"/>
  <c r="DD17" i="24"/>
  <c r="DD18" i="24" s="1"/>
  <c r="DC17" i="24"/>
  <c r="DC18" i="24" s="1"/>
  <c r="DB17" i="24"/>
  <c r="DB18" i="24" s="1"/>
  <c r="DA17" i="24"/>
  <c r="DA18" i="24" s="1"/>
  <c r="CZ17" i="24"/>
  <c r="CZ18" i="24" s="1"/>
  <c r="CY17" i="24"/>
  <c r="CY18" i="24" s="1"/>
  <c r="CX17" i="24"/>
  <c r="CX18" i="24" s="1"/>
  <c r="CW17" i="24"/>
  <c r="CW18" i="24" s="1"/>
  <c r="CV17" i="24"/>
  <c r="CV18" i="24" s="1"/>
  <c r="CU17" i="24"/>
  <c r="CU18" i="24" s="1"/>
  <c r="CT17" i="24"/>
  <c r="CT18" i="24" s="1"/>
  <c r="CS17" i="24"/>
  <c r="CS18" i="24" s="1"/>
  <c r="CR17" i="24"/>
  <c r="CR18" i="24" s="1"/>
  <c r="CQ17" i="24"/>
  <c r="CQ18" i="24" s="1"/>
  <c r="CP17" i="24"/>
  <c r="CP18" i="24" s="1"/>
  <c r="CO17" i="24"/>
  <c r="CO18" i="24" s="1"/>
  <c r="CN17" i="24"/>
  <c r="CN18" i="24" s="1"/>
  <c r="CM17" i="24"/>
  <c r="CM18" i="24" s="1"/>
  <c r="CL17" i="24"/>
  <c r="CL18" i="24" s="1"/>
  <c r="CK17" i="24"/>
  <c r="CK18" i="24" s="1"/>
  <c r="CJ17" i="24"/>
  <c r="CJ18" i="24" s="1"/>
  <c r="CI17" i="24"/>
  <c r="CI18" i="24" s="1"/>
  <c r="DG74" i="1" s="1"/>
  <c r="CH17" i="24"/>
  <c r="CH18" i="24" s="1"/>
  <c r="DF74" i="1" s="1"/>
  <c r="CG17" i="24"/>
  <c r="CG18" i="24" s="1"/>
  <c r="DE74" i="1" s="1"/>
  <c r="CF17" i="24"/>
  <c r="CF18" i="24" s="1"/>
  <c r="DD74" i="1" s="1"/>
  <c r="CE17" i="24"/>
  <c r="CE18" i="24" s="1"/>
  <c r="DC74" i="1" s="1"/>
  <c r="CD17" i="24"/>
  <c r="CD18" i="24" s="1"/>
  <c r="DB74" i="1" s="1"/>
  <c r="CC17" i="24"/>
  <c r="CC18" i="24" s="1"/>
  <c r="DA74" i="1" s="1"/>
  <c r="CB17" i="24"/>
  <c r="CB18" i="24" s="1"/>
  <c r="CZ74" i="1" s="1"/>
  <c r="CA17" i="24"/>
  <c r="CA18" i="24" s="1"/>
  <c r="CY74" i="1" s="1"/>
  <c r="BZ17" i="24"/>
  <c r="BZ18" i="24" s="1"/>
  <c r="CX74" i="1" s="1"/>
  <c r="BY17" i="24"/>
  <c r="BY18" i="24" s="1"/>
  <c r="CW74" i="1" s="1"/>
  <c r="BX17" i="24"/>
  <c r="BX18" i="24" s="1"/>
  <c r="CV74" i="1" s="1"/>
  <c r="BW17" i="24"/>
  <c r="BW18" i="24" s="1"/>
  <c r="CU74" i="1" s="1"/>
  <c r="BV17" i="24"/>
  <c r="BV18" i="24" s="1"/>
  <c r="CT74" i="1" s="1"/>
  <c r="BU17" i="24"/>
  <c r="BU18" i="24" s="1"/>
  <c r="CS74" i="1" s="1"/>
  <c r="BT17" i="24"/>
  <c r="BT18" i="24" s="1"/>
  <c r="CR74" i="1" s="1"/>
  <c r="BS17" i="24"/>
  <c r="BS18" i="24" s="1"/>
  <c r="CQ74" i="1" s="1"/>
  <c r="BR17" i="24"/>
  <c r="BR18" i="24" s="1"/>
  <c r="CP74" i="1" s="1"/>
  <c r="BQ17" i="24"/>
  <c r="BQ18" i="24" s="1"/>
  <c r="CO74" i="1" s="1"/>
  <c r="BP17" i="24"/>
  <c r="BP18" i="24" s="1"/>
  <c r="CN74" i="1" s="1"/>
  <c r="BO17" i="24"/>
  <c r="BO18" i="24" s="1"/>
  <c r="CM74" i="1" s="1"/>
  <c r="BN17" i="24"/>
  <c r="BN18" i="24" s="1"/>
  <c r="CL74" i="1" s="1"/>
  <c r="BM17" i="24"/>
  <c r="BM18" i="24" s="1"/>
  <c r="CK74" i="1" s="1"/>
  <c r="BL17" i="24"/>
  <c r="BL18" i="24" s="1"/>
  <c r="CJ74" i="1" s="1"/>
  <c r="CJ76" i="1" s="1"/>
  <c r="BK17" i="24"/>
  <c r="BK18" i="24" s="1"/>
  <c r="CI74" i="1" s="1"/>
  <c r="BJ17" i="24"/>
  <c r="BJ18" i="24" s="1"/>
  <c r="CH74" i="1" s="1"/>
  <c r="BI17" i="24"/>
  <c r="BI18" i="24" s="1"/>
  <c r="CG74" i="1" s="1"/>
  <c r="BH17" i="24"/>
  <c r="BH18" i="24" s="1"/>
  <c r="CF74" i="1" s="1"/>
  <c r="BG17" i="24"/>
  <c r="BG18" i="24" s="1"/>
  <c r="CE74" i="1" s="1"/>
  <c r="BF17" i="24"/>
  <c r="BF18" i="24" s="1"/>
  <c r="CD74" i="1" s="1"/>
  <c r="BE17" i="24"/>
  <c r="BE18" i="24" s="1"/>
  <c r="CC74" i="1" s="1"/>
  <c r="BD17" i="24"/>
  <c r="BD18" i="24" s="1"/>
  <c r="CB74" i="1" s="1"/>
  <c r="BC17" i="24"/>
  <c r="BC18" i="24" s="1"/>
  <c r="CA74" i="1" s="1"/>
  <c r="BB17" i="24"/>
  <c r="BB18" i="24" s="1"/>
  <c r="BZ74" i="1" s="1"/>
  <c r="BA17" i="24"/>
  <c r="BA18" i="24" s="1"/>
  <c r="BY74" i="1" s="1"/>
  <c r="AZ17" i="24"/>
  <c r="AZ18" i="24" s="1"/>
  <c r="BX74" i="1" s="1"/>
  <c r="BX76" i="1" s="1"/>
  <c r="AY17" i="24"/>
  <c r="AY18" i="24" s="1"/>
  <c r="BW74" i="1" s="1"/>
  <c r="AX17" i="24"/>
  <c r="AX18" i="24" s="1"/>
  <c r="BV74" i="1" s="1"/>
  <c r="AW17" i="24"/>
  <c r="AW18" i="24" s="1"/>
  <c r="BU74" i="1" s="1"/>
  <c r="AV17" i="24"/>
  <c r="AV18" i="24" s="1"/>
  <c r="BT74" i="1" s="1"/>
  <c r="AU17" i="24"/>
  <c r="AU18" i="24" s="1"/>
  <c r="BS74" i="1" s="1"/>
  <c r="AT17" i="24"/>
  <c r="AT18" i="24" s="1"/>
  <c r="BR74" i="1" s="1"/>
  <c r="AS17" i="24"/>
  <c r="AS18" i="24" s="1"/>
  <c r="BQ74" i="1" s="1"/>
  <c r="AR17" i="24"/>
  <c r="AR18" i="24" s="1"/>
  <c r="BP74" i="1" s="1"/>
  <c r="AQ17" i="24"/>
  <c r="AQ18" i="24" s="1"/>
  <c r="BO74" i="1" s="1"/>
  <c r="AP17" i="24"/>
  <c r="AP18" i="24" s="1"/>
  <c r="BN74" i="1" s="1"/>
  <c r="AO17" i="24"/>
  <c r="AO18" i="24" s="1"/>
  <c r="BM74" i="1" s="1"/>
  <c r="AN17" i="24"/>
  <c r="AN18" i="24" s="1"/>
  <c r="BL74" i="1" s="1"/>
  <c r="AM17" i="24"/>
  <c r="AM18" i="24" s="1"/>
  <c r="BK74" i="1" s="1"/>
  <c r="AL17" i="24"/>
  <c r="AL18" i="24" s="1"/>
  <c r="BJ74" i="1" s="1"/>
  <c r="AK17" i="24"/>
  <c r="AK18" i="24" s="1"/>
  <c r="BI74" i="1" s="1"/>
  <c r="AJ17" i="24"/>
  <c r="AJ18" i="24" s="1"/>
  <c r="BH74" i="1" s="1"/>
  <c r="AI17" i="24"/>
  <c r="AI18" i="24" s="1"/>
  <c r="BG74" i="1" s="1"/>
  <c r="AH17" i="24"/>
  <c r="AH18" i="24" s="1"/>
  <c r="BF74" i="1" s="1"/>
  <c r="AG17" i="24"/>
  <c r="AG18" i="24" s="1"/>
  <c r="BE74" i="1" s="1"/>
  <c r="AF17" i="24"/>
  <c r="AF18" i="24" s="1"/>
  <c r="BD74" i="1" s="1"/>
  <c r="AE17" i="24"/>
  <c r="AE18" i="24" s="1"/>
  <c r="BC74" i="1" s="1"/>
  <c r="AD17" i="24"/>
  <c r="AD18" i="24" s="1"/>
  <c r="BB74" i="1" s="1"/>
  <c r="AC17" i="24"/>
  <c r="AC18" i="24" s="1"/>
  <c r="BA74" i="1" s="1"/>
  <c r="AB17" i="24"/>
  <c r="AB18" i="24" s="1"/>
  <c r="AZ74" i="1" s="1"/>
  <c r="AA17" i="24"/>
  <c r="AA18" i="24" s="1"/>
  <c r="AY74" i="1" s="1"/>
  <c r="Z17" i="24"/>
  <c r="Z18" i="24" s="1"/>
  <c r="AX74" i="1" s="1"/>
  <c r="Y17" i="24"/>
  <c r="Y18" i="24" s="1"/>
  <c r="X18" i="24"/>
  <c r="W18" i="24"/>
  <c r="CK80" i="1"/>
  <c r="CL80" i="1" s="1"/>
  <c r="CM80" i="1" s="1"/>
  <c r="BY80" i="1"/>
  <c r="BZ80" i="1" s="1"/>
  <c r="CA80" i="1" s="1"/>
  <c r="CB80" i="1" s="1"/>
  <c r="AN79" i="1"/>
  <c r="AY82" i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DC82" i="1" s="1"/>
  <c r="DD82" i="1" s="1"/>
  <c r="DE82" i="1" s="1"/>
  <c r="DF82" i="1" s="1"/>
  <c r="DG82" i="1" s="1"/>
  <c r="D83" i="1"/>
  <c r="E83" i="1"/>
  <c r="F83" i="1"/>
  <c r="G83" i="1"/>
  <c r="H83" i="1"/>
  <c r="I83" i="1"/>
  <c r="AX76" i="1" l="1"/>
  <c r="AX75" i="1"/>
  <c r="AX78" i="1" s="1"/>
  <c r="P20" i="24"/>
  <c r="AQ24" i="1"/>
  <c r="AQ25" i="1" s="1"/>
  <c r="AQ49" i="1" s="1"/>
  <c r="AR4" i="1"/>
  <c r="AQ46" i="1"/>
  <c r="AQ48" i="1"/>
  <c r="AQ1" i="1"/>
  <c r="AQ3" i="1" s="1"/>
  <c r="AQ160" i="1"/>
  <c r="AQ163" i="1" s="1"/>
  <c r="AQ169" i="1" s="1"/>
  <c r="AP96" i="1"/>
  <c r="AP97" i="1" s="1"/>
  <c r="AP65" i="1"/>
  <c r="AO99" i="1"/>
  <c r="AO131" i="1"/>
  <c r="AO132" i="1" s="1"/>
  <c r="AO107" i="1"/>
  <c r="AO96" i="1"/>
  <c r="CM76" i="1"/>
  <c r="CA76" i="1"/>
  <c r="CB76" i="1"/>
  <c r="CC80" i="1"/>
  <c r="CD80" i="1" s="1"/>
  <c r="CE80" i="1" s="1"/>
  <c r="CN80" i="1"/>
  <c r="CK76" i="1"/>
  <c r="CL76" i="1"/>
  <c r="BY76" i="1"/>
  <c r="BZ76" i="1"/>
  <c r="AY83" i="1"/>
  <c r="AS4" i="1" l="1"/>
  <c r="AR1" i="1"/>
  <c r="AR3" i="1" s="1"/>
  <c r="AR24" i="1"/>
  <c r="AR25" i="1" s="1"/>
  <c r="AR49" i="1" s="1"/>
  <c r="AP98" i="1"/>
  <c r="AR45" i="1"/>
  <c r="AR47" i="1" s="1"/>
  <c r="AP108" i="1"/>
  <c r="CC76" i="1"/>
  <c r="CO80" i="1"/>
  <c r="CN76" i="1"/>
  <c r="CF80" i="1"/>
  <c r="CE76" i="1"/>
  <c r="CD76" i="1"/>
  <c r="AZ83" i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AT4" i="1" l="1"/>
  <c r="AS24" i="1"/>
  <c r="AS25" i="1" s="1"/>
  <c r="AS49" i="1" s="1"/>
  <c r="AS1" i="1"/>
  <c r="AS3" i="1" s="1"/>
  <c r="AP160" i="1"/>
  <c r="AP163" i="1" s="1"/>
  <c r="AP169" i="1" s="1"/>
  <c r="CG80" i="1"/>
  <c r="CF76" i="1"/>
  <c r="CP80" i="1"/>
  <c r="CO76" i="1"/>
  <c r="BL83" i="1"/>
  <c r="BM83" i="1" s="1"/>
  <c r="BN83" i="1" s="1"/>
  <c r="BO83" i="1" s="1"/>
  <c r="BP83" i="1" s="1"/>
  <c r="BQ83" i="1" s="1"/>
  <c r="BR83" i="1" s="1"/>
  <c r="AU4" i="1" l="1"/>
  <c r="AT1" i="1"/>
  <c r="AT3" i="1" s="1"/>
  <c r="AT24" i="1"/>
  <c r="AT25" i="1" s="1"/>
  <c r="AT49" i="1" s="1"/>
  <c r="CQ80" i="1"/>
  <c r="CP76" i="1"/>
  <c r="AY80" i="1"/>
  <c r="CH80" i="1"/>
  <c r="CG76" i="1"/>
  <c r="BS83" i="1"/>
  <c r="BT83" i="1" s="1"/>
  <c r="BU83" i="1" s="1"/>
  <c r="BV83" i="1" s="1"/>
  <c r="BW83" i="1" s="1"/>
  <c r="AU24" i="1" l="1"/>
  <c r="AU25" i="1" s="1"/>
  <c r="AU49" i="1" s="1"/>
  <c r="AV24" i="1"/>
  <c r="AV25" i="1" s="1"/>
  <c r="AV49" i="1" s="1"/>
  <c r="AV4" i="1"/>
  <c r="AU1" i="1"/>
  <c r="AU3" i="1" s="1"/>
  <c r="AY81" i="1"/>
  <c r="CI80" i="1"/>
  <c r="CI76" i="1" s="1"/>
  <c r="CH76" i="1"/>
  <c r="AZ80" i="1"/>
  <c r="AY76" i="1"/>
  <c r="AY79" i="1"/>
  <c r="CQ76" i="1"/>
  <c r="CR80" i="1"/>
  <c r="BX83" i="1"/>
  <c r="BY83" i="1" s="1"/>
  <c r="BZ83" i="1" s="1"/>
  <c r="CA83" i="1" s="1"/>
  <c r="CB83" i="1" s="1"/>
  <c r="CC83" i="1" s="1"/>
  <c r="CD83" i="1" s="1"/>
  <c r="AW4" i="1" l="1"/>
  <c r="AW24" i="1" s="1"/>
  <c r="AW25" i="1" s="1"/>
  <c r="AW49" i="1" s="1"/>
  <c r="AV1" i="1"/>
  <c r="AV3" i="1" s="1"/>
  <c r="AZ81" i="1"/>
  <c r="AZ79" i="1"/>
  <c r="AY75" i="1"/>
  <c r="AY78" i="1" s="1"/>
  <c r="CR76" i="1"/>
  <c r="CS80" i="1"/>
  <c r="BA80" i="1"/>
  <c r="AZ76" i="1"/>
  <c r="CE83" i="1"/>
  <c r="CF83" i="1" s="1"/>
  <c r="CG83" i="1" s="1"/>
  <c r="CH83" i="1" s="1"/>
  <c r="CI83" i="1" s="1"/>
  <c r="AW1" i="1" l="1"/>
  <c r="AW3" i="1" s="1"/>
  <c r="AX4" i="1"/>
  <c r="BA81" i="1"/>
  <c r="BB80" i="1"/>
  <c r="BA76" i="1"/>
  <c r="CT80" i="1"/>
  <c r="CS76" i="1"/>
  <c r="BA79" i="1"/>
  <c r="AZ75" i="1"/>
  <c r="AZ78" i="1" s="1"/>
  <c r="CJ83" i="1"/>
  <c r="CK83" i="1" s="1"/>
  <c r="CL83" i="1" s="1"/>
  <c r="CM83" i="1" s="1"/>
  <c r="CN83" i="1" s="1"/>
  <c r="CO83" i="1" s="1"/>
  <c r="CP83" i="1" s="1"/>
  <c r="AX1" i="1" l="1"/>
  <c r="AX3" i="1" s="1"/>
  <c r="AX24" i="1"/>
  <c r="AY4" i="1"/>
  <c r="AY139" i="1"/>
  <c r="BB81" i="1"/>
  <c r="BB79" i="1"/>
  <c r="BA75" i="1"/>
  <c r="BA78" i="1" s="1"/>
  <c r="CU80" i="1"/>
  <c r="CT76" i="1"/>
  <c r="BC80" i="1"/>
  <c r="BB76" i="1"/>
  <c r="CQ83" i="1"/>
  <c r="CR83" i="1" s="1"/>
  <c r="CS83" i="1" s="1"/>
  <c r="CT83" i="1" s="1"/>
  <c r="CU83" i="1" s="1"/>
  <c r="AX69" i="1" l="1"/>
  <c r="AX70" i="1" s="1"/>
  <c r="AX86" i="1"/>
  <c r="AZ4" i="1"/>
  <c r="BA4" i="1" s="1"/>
  <c r="BB4" i="1" s="1"/>
  <c r="BC4" i="1" s="1"/>
  <c r="AY142" i="1"/>
  <c r="AY144" i="1" s="1"/>
  <c r="AZ139" i="1"/>
  <c r="BC81" i="1"/>
  <c r="BD80" i="1"/>
  <c r="BC76" i="1"/>
  <c r="CV80" i="1"/>
  <c r="CU76" i="1"/>
  <c r="BC79" i="1"/>
  <c r="BB75" i="1"/>
  <c r="BB78" i="1" s="1"/>
  <c r="CV83" i="1"/>
  <c r="CW83" i="1" s="1"/>
  <c r="CX83" i="1" s="1"/>
  <c r="CY83" i="1" s="1"/>
  <c r="CZ83" i="1" s="1"/>
  <c r="DA83" i="1" s="1"/>
  <c r="DB83" i="1" s="1"/>
  <c r="DC83" i="1" s="1"/>
  <c r="DD83" i="1" s="1"/>
  <c r="DE83" i="1" s="1"/>
  <c r="DF83" i="1" s="1"/>
  <c r="DG83" i="1" s="1"/>
  <c r="BD4" i="1" l="1"/>
  <c r="BE4" i="1" s="1"/>
  <c r="BF4" i="1" s="1"/>
  <c r="AZ142" i="1"/>
  <c r="AZ144" i="1" s="1"/>
  <c r="BA139" i="1"/>
  <c r="BD81" i="1"/>
  <c r="BC75" i="1"/>
  <c r="BC78" i="1" s="1"/>
  <c r="BD79" i="1"/>
  <c r="CW80" i="1"/>
  <c r="CV76" i="1"/>
  <c r="BD76" i="1"/>
  <c r="BE80" i="1"/>
  <c r="BG4" i="1" l="1"/>
  <c r="BB139" i="1"/>
  <c r="BA142" i="1"/>
  <c r="BA144" i="1" s="1"/>
  <c r="BE81" i="1"/>
  <c r="BF80" i="1"/>
  <c r="BE76" i="1"/>
  <c r="CX80" i="1"/>
  <c r="CW76" i="1"/>
  <c r="BE79" i="1"/>
  <c r="BD75" i="1"/>
  <c r="BD78" i="1" s="1"/>
  <c r="BH4" i="1" l="1"/>
  <c r="BI4" i="1"/>
  <c r="BC139" i="1"/>
  <c r="BB142" i="1"/>
  <c r="BB144" i="1" s="1"/>
  <c r="BF81" i="1"/>
  <c r="BF79" i="1"/>
  <c r="BE75" i="1"/>
  <c r="BE78" i="1" s="1"/>
  <c r="CY80" i="1"/>
  <c r="CX76" i="1"/>
  <c r="BG80" i="1"/>
  <c r="BF76" i="1"/>
  <c r="BJ4" i="1" l="1"/>
  <c r="BC142" i="1"/>
  <c r="BC144" i="1" s="1"/>
  <c r="BD139" i="1"/>
  <c r="BG81" i="1"/>
  <c r="BH80" i="1"/>
  <c r="BG76" i="1"/>
  <c r="CZ80" i="1"/>
  <c r="CY76" i="1"/>
  <c r="BG79" i="1"/>
  <c r="BF75" i="1"/>
  <c r="BF78" i="1" s="1"/>
  <c r="BK4" i="1" l="1"/>
  <c r="BL4" i="1"/>
  <c r="BE139" i="1"/>
  <c r="BD142" i="1"/>
  <c r="BD144" i="1" s="1"/>
  <c r="BH81" i="1"/>
  <c r="BG75" i="1"/>
  <c r="BG78" i="1" s="1"/>
  <c r="BH79" i="1"/>
  <c r="CZ76" i="1"/>
  <c r="DA80" i="1"/>
  <c r="BI80" i="1"/>
  <c r="BH76" i="1"/>
  <c r="BM4" i="1" l="1"/>
  <c r="BN4" i="1"/>
  <c r="BE142" i="1"/>
  <c r="BE144" i="1" s="1"/>
  <c r="BF139" i="1"/>
  <c r="BI81" i="1"/>
  <c r="BJ80" i="1"/>
  <c r="BI76" i="1"/>
  <c r="DB80" i="1"/>
  <c r="DA76" i="1"/>
  <c r="BH75" i="1"/>
  <c r="BH78" i="1" s="1"/>
  <c r="BI79" i="1"/>
  <c r="BO4" i="1" l="1"/>
  <c r="BG139" i="1"/>
  <c r="BF142" i="1"/>
  <c r="BF144" i="1" s="1"/>
  <c r="BJ81" i="1"/>
  <c r="BJ79" i="1"/>
  <c r="BI75" i="1"/>
  <c r="BI78" i="1" s="1"/>
  <c r="DC80" i="1"/>
  <c r="DB76" i="1"/>
  <c r="BK80" i="1"/>
  <c r="BJ76" i="1"/>
  <c r="BP4" i="1" l="1"/>
  <c r="BG142" i="1"/>
  <c r="BG144" i="1" s="1"/>
  <c r="BH139" i="1"/>
  <c r="BK81" i="1"/>
  <c r="BL81" i="1" s="1"/>
  <c r="DD80" i="1"/>
  <c r="DC76" i="1"/>
  <c r="BL80" i="1"/>
  <c r="BK76" i="1"/>
  <c r="BK79" i="1"/>
  <c r="BJ75" i="1"/>
  <c r="BJ78" i="1" s="1"/>
  <c r="BQ4" i="1" l="1"/>
  <c r="BI139" i="1"/>
  <c r="BH142" i="1"/>
  <c r="BH144" i="1" s="1"/>
  <c r="BM81" i="1"/>
  <c r="BK75" i="1"/>
  <c r="BK78" i="1" s="1"/>
  <c r="BL79" i="1"/>
  <c r="BL76" i="1"/>
  <c r="BM80" i="1"/>
  <c r="DE80" i="1"/>
  <c r="DD76" i="1"/>
  <c r="BR4" i="1" l="1"/>
  <c r="BS4" i="1"/>
  <c r="BJ139" i="1"/>
  <c r="BI142" i="1"/>
  <c r="BI144" i="1" s="1"/>
  <c r="BN81" i="1"/>
  <c r="DF80" i="1"/>
  <c r="DE76" i="1"/>
  <c r="BL75" i="1"/>
  <c r="BL78" i="1" s="1"/>
  <c r="BM79" i="1"/>
  <c r="BN80" i="1"/>
  <c r="BM76" i="1"/>
  <c r="BT4" i="1" l="1"/>
  <c r="BU4" i="1" s="1"/>
  <c r="BV4" i="1" s="1"/>
  <c r="BW4" i="1"/>
  <c r="BK139" i="1"/>
  <c r="BJ142" i="1"/>
  <c r="BJ144" i="1" s="1"/>
  <c r="BO81" i="1"/>
  <c r="BO80" i="1"/>
  <c r="BN76" i="1"/>
  <c r="BN79" i="1"/>
  <c r="BM75" i="1"/>
  <c r="BM78" i="1" s="1"/>
  <c r="DG80" i="1"/>
  <c r="DG76" i="1" s="1"/>
  <c r="DF76" i="1"/>
  <c r="BX4" i="1" l="1"/>
  <c r="BL139" i="1"/>
  <c r="BK142" i="1"/>
  <c r="BK144" i="1" s="1"/>
  <c r="BP81" i="1"/>
  <c r="BO79" i="1"/>
  <c r="BN75" i="1"/>
  <c r="BN78" i="1" s="1"/>
  <c r="BP80" i="1"/>
  <c r="BO76" i="1"/>
  <c r="BY4" i="1" l="1"/>
  <c r="BZ4" i="1"/>
  <c r="BM139" i="1"/>
  <c r="BL142" i="1"/>
  <c r="BL144" i="1" s="1"/>
  <c r="BQ81" i="1"/>
  <c r="BQ80" i="1"/>
  <c r="BP76" i="1"/>
  <c r="BP79" i="1"/>
  <c r="BO75" i="1"/>
  <c r="BO78" i="1" s="1"/>
  <c r="CA4" i="1" l="1"/>
  <c r="BM142" i="1"/>
  <c r="BM144" i="1" s="1"/>
  <c r="BN139" i="1"/>
  <c r="BR81" i="1"/>
  <c r="BQ79" i="1"/>
  <c r="BP75" i="1"/>
  <c r="BP78" i="1" s="1"/>
  <c r="BR80" i="1"/>
  <c r="BQ76" i="1"/>
  <c r="CB4" i="1" l="1"/>
  <c r="BO139" i="1"/>
  <c r="BN142" i="1"/>
  <c r="BN144" i="1" s="1"/>
  <c r="BS81" i="1"/>
  <c r="BS80" i="1"/>
  <c r="BR76" i="1"/>
  <c r="BR79" i="1"/>
  <c r="BQ75" i="1"/>
  <c r="BQ78" i="1" s="1"/>
  <c r="CC4" i="1" l="1"/>
  <c r="CD4" i="1" s="1"/>
  <c r="CE4" i="1" s="1"/>
  <c r="CF4" i="1"/>
  <c r="BO142" i="1"/>
  <c r="BO144" i="1" s="1"/>
  <c r="BP139" i="1"/>
  <c r="BT81" i="1"/>
  <c r="BS79" i="1"/>
  <c r="BR75" i="1"/>
  <c r="BR78" i="1" s="1"/>
  <c r="BT80" i="1"/>
  <c r="BS76" i="1"/>
  <c r="CG4" i="1" l="1"/>
  <c r="BP142" i="1"/>
  <c r="BP144" i="1" s="1"/>
  <c r="BQ139" i="1"/>
  <c r="BU81" i="1"/>
  <c r="BT76" i="1"/>
  <c r="BU80" i="1"/>
  <c r="BS75" i="1"/>
  <c r="BS78" i="1" s="1"/>
  <c r="BT79" i="1"/>
  <c r="CH4" i="1" l="1"/>
  <c r="BR139" i="1"/>
  <c r="BQ142" i="1"/>
  <c r="BQ144" i="1" s="1"/>
  <c r="BV81" i="1"/>
  <c r="BU79" i="1"/>
  <c r="BT75" i="1"/>
  <c r="BT78" i="1" s="1"/>
  <c r="BV80" i="1"/>
  <c r="BU76" i="1"/>
  <c r="CI4" i="1" l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AQ31" i="28"/>
  <c r="BQ31" i="28" s="1"/>
  <c r="AQ33" i="28"/>
  <c r="AQ32" i="28"/>
  <c r="AQ36" i="28"/>
  <c r="AQ40" i="28"/>
  <c r="AQ30" i="28"/>
  <c r="AQ49" i="28"/>
  <c r="BQ49" i="28" s="1"/>
  <c r="BS139" i="1"/>
  <c r="BR142" i="1"/>
  <c r="BR144" i="1" s="1"/>
  <c r="BW81" i="1"/>
  <c r="BX81" i="1" s="1"/>
  <c r="BW80" i="1"/>
  <c r="BW76" i="1" s="1"/>
  <c r="BV76" i="1"/>
  <c r="BV79" i="1"/>
  <c r="BU75" i="1"/>
  <c r="BU78" i="1" s="1"/>
  <c r="BP31" i="28" l="1"/>
  <c r="AQ42" i="28"/>
  <c r="CZ4" i="1"/>
  <c r="DA4" i="1" s="1"/>
  <c r="DB4" i="1" s="1"/>
  <c r="DC4" i="1" s="1"/>
  <c r="DD4" i="1" s="1"/>
  <c r="DE4" i="1" s="1"/>
  <c r="DF4" i="1" s="1"/>
  <c r="DG4" i="1" s="1"/>
  <c r="BP33" i="28"/>
  <c r="BP32" i="28"/>
  <c r="BP36" i="28"/>
  <c r="BP40" i="28"/>
  <c r="BP30" i="28"/>
  <c r="BP49" i="28"/>
  <c r="BS142" i="1"/>
  <c r="BS144" i="1" s="1"/>
  <c r="BT139" i="1"/>
  <c r="BY81" i="1"/>
  <c r="BW79" i="1"/>
  <c r="BV75" i="1"/>
  <c r="BV78" i="1" s="1"/>
  <c r="BP42" i="28" l="1"/>
  <c r="E18" i="29"/>
  <c r="E17" i="27" s="1"/>
  <c r="AQ41" i="28"/>
  <c r="C16" i="29"/>
  <c r="D18" i="29"/>
  <c r="AQ22" i="28"/>
  <c r="AQ18" i="28"/>
  <c r="AQ35" i="28"/>
  <c r="AQ38" i="28"/>
  <c r="AQ37" i="28"/>
  <c r="D29" i="29"/>
  <c r="AQ46" i="28"/>
  <c r="C15" i="29"/>
  <c r="AQ19" i="28"/>
  <c r="AQ34" i="28"/>
  <c r="AQ17" i="28"/>
  <c r="BU139" i="1"/>
  <c r="BT142" i="1"/>
  <c r="BT144" i="1" s="1"/>
  <c r="BZ81" i="1"/>
  <c r="BW75" i="1"/>
  <c r="BW78" i="1" s="1"/>
  <c r="BX79" i="1"/>
  <c r="BP17" i="28" l="1"/>
  <c r="BP41" i="28"/>
  <c r="BP22" i="28"/>
  <c r="BP47" i="28"/>
  <c r="AQ48" i="28"/>
  <c r="BQ48" i="28" s="1"/>
  <c r="BP18" i="28"/>
  <c r="BP35" i="28"/>
  <c r="BP38" i="28"/>
  <c r="BP37" i="28"/>
  <c r="BP46" i="28"/>
  <c r="BP19" i="28"/>
  <c r="BP34" i="28"/>
  <c r="BU142" i="1"/>
  <c r="BU144" i="1" s="1"/>
  <c r="BV139" i="1"/>
  <c r="CA81" i="1"/>
  <c r="BX75" i="1"/>
  <c r="BX78" i="1" s="1"/>
  <c r="BY79" i="1"/>
  <c r="BP48" i="28" l="1"/>
  <c r="BV142" i="1"/>
  <c r="BV144" i="1" s="1"/>
  <c r="BW139" i="1"/>
  <c r="CB81" i="1"/>
  <c r="BZ79" i="1"/>
  <c r="BY75" i="1"/>
  <c r="BY78" i="1" s="1"/>
  <c r="BW142" i="1" l="1"/>
  <c r="BW144" i="1" s="1"/>
  <c r="BX139" i="1"/>
  <c r="CC81" i="1"/>
  <c r="CA79" i="1"/>
  <c r="BZ75" i="1"/>
  <c r="BZ78" i="1" s="1"/>
  <c r="BY139" i="1" l="1"/>
  <c r="BX142" i="1"/>
  <c r="BX144" i="1" s="1"/>
  <c r="CD81" i="1"/>
  <c r="CA75" i="1"/>
  <c r="CA78" i="1" s="1"/>
  <c r="CB79" i="1"/>
  <c r="BZ139" i="1" l="1"/>
  <c r="BY142" i="1"/>
  <c r="BY144" i="1" s="1"/>
  <c r="CE81" i="1"/>
  <c r="CC79" i="1"/>
  <c r="CB75" i="1"/>
  <c r="CB78" i="1" s="1"/>
  <c r="BZ142" i="1" l="1"/>
  <c r="BZ144" i="1" s="1"/>
  <c r="CA139" i="1"/>
  <c r="CF81" i="1"/>
  <c r="CD79" i="1"/>
  <c r="CC75" i="1"/>
  <c r="CC78" i="1" s="1"/>
  <c r="CB139" i="1" l="1"/>
  <c r="CA142" i="1"/>
  <c r="CA144" i="1" s="1"/>
  <c r="CG81" i="1"/>
  <c r="CE79" i="1"/>
  <c r="CD75" i="1"/>
  <c r="CD78" i="1" s="1"/>
  <c r="CC139" i="1" l="1"/>
  <c r="CB142" i="1"/>
  <c r="CB144" i="1" s="1"/>
  <c r="CH81" i="1"/>
  <c r="CF79" i="1"/>
  <c r="CE75" i="1"/>
  <c r="CE78" i="1" s="1"/>
  <c r="CC142" i="1" l="1"/>
  <c r="CC144" i="1" s="1"/>
  <c r="CD139" i="1"/>
  <c r="CI81" i="1"/>
  <c r="CJ81" i="1" s="1"/>
  <c r="CF75" i="1"/>
  <c r="CF78" i="1" s="1"/>
  <c r="CG79" i="1"/>
  <c r="CE139" i="1" l="1"/>
  <c r="CD142" i="1"/>
  <c r="CD144" i="1" s="1"/>
  <c r="CK81" i="1"/>
  <c r="CH79" i="1"/>
  <c r="CG75" i="1"/>
  <c r="CG78" i="1" s="1"/>
  <c r="CE142" i="1" l="1"/>
  <c r="CE144" i="1" s="1"/>
  <c r="CF139" i="1"/>
  <c r="CL81" i="1"/>
  <c r="CI79" i="1"/>
  <c r="CH75" i="1"/>
  <c r="CH78" i="1" s="1"/>
  <c r="CF142" i="1" l="1"/>
  <c r="CF144" i="1" s="1"/>
  <c r="CG139" i="1"/>
  <c r="CM81" i="1"/>
  <c r="CI75" i="1"/>
  <c r="CI78" i="1" s="1"/>
  <c r="CJ79" i="1"/>
  <c r="CH139" i="1" l="1"/>
  <c r="CG142" i="1"/>
  <c r="CG144" i="1" s="1"/>
  <c r="CN81" i="1"/>
  <c r="CK79" i="1"/>
  <c r="CJ75" i="1"/>
  <c r="CJ78" i="1" s="1"/>
  <c r="CI139" i="1" l="1"/>
  <c r="CH142" i="1"/>
  <c r="CH144" i="1" s="1"/>
  <c r="CO81" i="1"/>
  <c r="CL79" i="1"/>
  <c r="CK75" i="1"/>
  <c r="CK78" i="1" s="1"/>
  <c r="CI142" i="1" l="1"/>
  <c r="CI144" i="1" s="1"/>
  <c r="CJ139" i="1"/>
  <c r="CP81" i="1"/>
  <c r="CM79" i="1"/>
  <c r="CL75" i="1"/>
  <c r="CL78" i="1" s="1"/>
  <c r="CK139" i="1" l="1"/>
  <c r="CJ142" i="1"/>
  <c r="CJ144" i="1" s="1"/>
  <c r="CQ81" i="1"/>
  <c r="CN79" i="1"/>
  <c r="CM75" i="1"/>
  <c r="CM78" i="1" s="1"/>
  <c r="CK142" i="1" l="1"/>
  <c r="CK144" i="1" s="1"/>
  <c r="CL139" i="1"/>
  <c r="CR81" i="1"/>
  <c r="CN75" i="1"/>
  <c r="CN78" i="1" s="1"/>
  <c r="CO79" i="1"/>
  <c r="CL142" i="1" l="1"/>
  <c r="CL144" i="1" s="1"/>
  <c r="CM139" i="1"/>
  <c r="CS81" i="1"/>
  <c r="CP79" i="1"/>
  <c r="CO75" i="1"/>
  <c r="CO78" i="1" s="1"/>
  <c r="CM142" i="1" l="1"/>
  <c r="CM144" i="1" s="1"/>
  <c r="CN139" i="1"/>
  <c r="CT81" i="1"/>
  <c r="CQ79" i="1"/>
  <c r="CP75" i="1"/>
  <c r="CP78" i="1" s="1"/>
  <c r="CO139" i="1" l="1"/>
  <c r="CN142" i="1"/>
  <c r="CN144" i="1" s="1"/>
  <c r="CU81" i="1"/>
  <c r="CV81" i="1" s="1"/>
  <c r="CQ75" i="1"/>
  <c r="CQ78" i="1" s="1"/>
  <c r="CR79" i="1"/>
  <c r="CP139" i="1" l="1"/>
  <c r="CO142" i="1"/>
  <c r="CO144" i="1" s="1"/>
  <c r="CW81" i="1"/>
  <c r="CS79" i="1"/>
  <c r="CR75" i="1"/>
  <c r="CR78" i="1" s="1"/>
  <c r="CQ139" i="1" l="1"/>
  <c r="CP142" i="1"/>
  <c r="CP144" i="1" s="1"/>
  <c r="CX81" i="1"/>
  <c r="CT79" i="1"/>
  <c r="CS75" i="1"/>
  <c r="CS78" i="1" s="1"/>
  <c r="CR139" i="1" l="1"/>
  <c r="CQ142" i="1"/>
  <c r="CQ144" i="1" s="1"/>
  <c r="CY81" i="1"/>
  <c r="CU79" i="1"/>
  <c r="CT75" i="1"/>
  <c r="CT78" i="1" s="1"/>
  <c r="CS139" i="1" l="1"/>
  <c r="CR142" i="1"/>
  <c r="CR144" i="1" s="1"/>
  <c r="CZ81" i="1"/>
  <c r="CU75" i="1"/>
  <c r="CU78" i="1" s="1"/>
  <c r="CV79" i="1"/>
  <c r="CS142" i="1" l="1"/>
  <c r="CS144" i="1" s="1"/>
  <c r="CT139" i="1"/>
  <c r="DA81" i="1"/>
  <c r="CV75" i="1"/>
  <c r="CV78" i="1" s="1"/>
  <c r="CW79" i="1"/>
  <c r="CU139" i="1" l="1"/>
  <c r="CT142" i="1"/>
  <c r="CT144" i="1" s="1"/>
  <c r="DB81" i="1"/>
  <c r="CX79" i="1"/>
  <c r="CW75" i="1"/>
  <c r="CW78" i="1" s="1"/>
  <c r="CV139" i="1" l="1"/>
  <c r="CU142" i="1"/>
  <c r="CU144" i="1" s="1"/>
  <c r="DC81" i="1"/>
  <c r="CY79" i="1"/>
  <c r="CX75" i="1"/>
  <c r="CX78" i="1" s="1"/>
  <c r="CW139" i="1" l="1"/>
  <c r="CV142" i="1"/>
  <c r="CV144" i="1" s="1"/>
  <c r="DD81" i="1"/>
  <c r="CY75" i="1"/>
  <c r="CY78" i="1" s="1"/>
  <c r="CZ79" i="1"/>
  <c r="CX139" i="1" l="1"/>
  <c r="CW142" i="1"/>
  <c r="CW144" i="1" s="1"/>
  <c r="DE81" i="1"/>
  <c r="CZ75" i="1"/>
  <c r="CZ78" i="1" s="1"/>
  <c r="DA79" i="1"/>
  <c r="CX142" i="1" l="1"/>
  <c r="CX144" i="1" s="1"/>
  <c r="CY139" i="1"/>
  <c r="DF81" i="1"/>
  <c r="DB79" i="1"/>
  <c r="DA75" i="1"/>
  <c r="DA78" i="1" s="1"/>
  <c r="CY142" i="1" l="1"/>
  <c r="CY144" i="1" s="1"/>
  <c r="CZ139" i="1"/>
  <c r="DG81" i="1"/>
  <c r="DC79" i="1"/>
  <c r="DB75" i="1"/>
  <c r="DB78" i="1" s="1"/>
  <c r="DA139" i="1" l="1"/>
  <c r="CZ142" i="1"/>
  <c r="CZ144" i="1" s="1"/>
  <c r="DD79" i="1"/>
  <c r="DC75" i="1"/>
  <c r="DC78" i="1" s="1"/>
  <c r="DA142" i="1" l="1"/>
  <c r="DA144" i="1" s="1"/>
  <c r="DB139" i="1"/>
  <c r="DD75" i="1"/>
  <c r="DD78" i="1" s="1"/>
  <c r="DE79" i="1"/>
  <c r="DC139" i="1" l="1"/>
  <c r="DB142" i="1"/>
  <c r="DB144" i="1" s="1"/>
  <c r="DF79" i="1"/>
  <c r="DE75" i="1"/>
  <c r="DE78" i="1" s="1"/>
  <c r="DC142" i="1" l="1"/>
  <c r="DC144" i="1" s="1"/>
  <c r="DD139" i="1"/>
  <c r="DG79" i="1"/>
  <c r="DG75" i="1" s="1"/>
  <c r="DG78" i="1" s="1"/>
  <c r="DF75" i="1"/>
  <c r="DF78" i="1" s="1"/>
  <c r="DE139" i="1" l="1"/>
  <c r="DD142" i="1"/>
  <c r="DD144" i="1" s="1"/>
  <c r="DF139" i="1" l="1"/>
  <c r="DE142" i="1"/>
  <c r="DE144" i="1" s="1"/>
  <c r="DG139" i="1" l="1"/>
  <c r="DG142" i="1" s="1"/>
  <c r="DG144" i="1" s="1"/>
  <c r="DF142" i="1"/>
  <c r="DF144" i="1" s="1"/>
  <c r="AO162" i="1" l="1"/>
  <c r="AN123" i="1"/>
  <c r="AO161" i="1" s="1"/>
  <c r="AN120" i="1"/>
  <c r="AN106" i="1"/>
  <c r="AN103" i="1"/>
  <c r="AN70" i="1"/>
  <c r="BA90" i="1"/>
  <c r="BM90" i="1" s="1"/>
  <c r="BY90" i="1" s="1"/>
  <c r="CK90" i="1" s="1"/>
  <c r="CW90" i="1" s="1"/>
  <c r="AN40" i="1"/>
  <c r="AN41" i="1" s="1"/>
  <c r="AN35" i="1"/>
  <c r="AN36" i="1"/>
  <c r="AN37" i="1"/>
  <c r="AN38" i="1"/>
  <c r="D16" i="29"/>
  <c r="N28" i="27"/>
  <c r="M28" i="27"/>
  <c r="N22" i="27"/>
  <c r="M22" i="27"/>
  <c r="N21" i="27"/>
  <c r="M21" i="27"/>
  <c r="N17" i="27"/>
  <c r="M17" i="27"/>
  <c r="N15" i="27"/>
  <c r="M15" i="27"/>
  <c r="N13" i="27"/>
  <c r="M13" i="27"/>
  <c r="N12" i="27"/>
  <c r="M12" i="27"/>
  <c r="M33" i="27"/>
  <c r="M32" i="27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AG103" i="1"/>
  <c r="AM155" i="1"/>
  <c r="AL120" i="1"/>
  <c r="AB1" i="1"/>
  <c r="AM12" i="1"/>
  <c r="AM15" i="1" s="1"/>
  <c r="AM19" i="1"/>
  <c r="AM34" i="1"/>
  <c r="AM35" i="1"/>
  <c r="AM36" i="1"/>
  <c r="AM37" i="1"/>
  <c r="AM38" i="1"/>
  <c r="AM40" i="1"/>
  <c r="AM166" i="1"/>
  <c r="AM167" i="1" s="1"/>
  <c r="AM103" i="1"/>
  <c r="AM106" i="1"/>
  <c r="AM120" i="1"/>
  <c r="AM123" i="1"/>
  <c r="AZ90" i="1"/>
  <c r="BL90" i="1" s="1"/>
  <c r="BX90" i="1" s="1"/>
  <c r="CJ90" i="1" s="1"/>
  <c r="CV90" i="1" s="1"/>
  <c r="AN166" i="1"/>
  <c r="AN167" i="1" s="1"/>
  <c r="AM70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BA45" i="28"/>
  <c r="FB12" i="24"/>
  <c r="FA12" i="24"/>
  <c r="EZ12" i="24"/>
  <c r="EY12" i="24"/>
  <c r="EX12" i="24"/>
  <c r="EW12" i="24"/>
  <c r="EV12" i="24"/>
  <c r="EU12" i="24"/>
  <c r="ET12" i="24"/>
  <c r="ES12" i="24"/>
  <c r="ER12" i="24"/>
  <c r="EQ12" i="24"/>
  <c r="EP12" i="24"/>
  <c r="EO12" i="24"/>
  <c r="EN12" i="24"/>
  <c r="EM12" i="24"/>
  <c r="EL12" i="24"/>
  <c r="EK12" i="24"/>
  <c r="EJ12" i="24"/>
  <c r="EI12" i="24"/>
  <c r="EH12" i="24"/>
  <c r="EG12" i="24"/>
  <c r="EF12" i="24"/>
  <c r="EE12" i="24"/>
  <c r="ED12" i="24"/>
  <c r="EC12" i="24"/>
  <c r="EB12" i="24"/>
  <c r="EA12" i="24"/>
  <c r="DZ12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L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X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J12" i="24"/>
  <c r="CI12" i="24"/>
  <c r="N12" i="24"/>
  <c r="FB11" i="24"/>
  <c r="FA11" i="24"/>
  <c r="EZ11" i="24"/>
  <c r="EY11" i="24"/>
  <c r="EX11" i="24"/>
  <c r="EW11" i="24"/>
  <c r="EV11" i="24"/>
  <c r="EU11" i="24"/>
  <c r="ET11" i="24"/>
  <c r="ES11" i="24"/>
  <c r="ER11" i="24"/>
  <c r="EQ11" i="24"/>
  <c r="EP11" i="24"/>
  <c r="EO11" i="24"/>
  <c r="EN11" i="24"/>
  <c r="EM11" i="24"/>
  <c r="EL11" i="24"/>
  <c r="EK11" i="24"/>
  <c r="EJ11" i="24"/>
  <c r="EI11" i="24"/>
  <c r="EH11" i="24"/>
  <c r="EG11" i="24"/>
  <c r="EF11" i="24"/>
  <c r="EE11" i="24"/>
  <c r="ED11" i="24"/>
  <c r="EC11" i="24"/>
  <c r="EB11" i="24"/>
  <c r="EA11" i="24"/>
  <c r="DZ11" i="24"/>
  <c r="DY11" i="24"/>
  <c r="DX11" i="24"/>
  <c r="DW11" i="24"/>
  <c r="DV11" i="24"/>
  <c r="DU11" i="24"/>
  <c r="DT11" i="24"/>
  <c r="DS11" i="24"/>
  <c r="DR11" i="24"/>
  <c r="DQ11" i="24"/>
  <c r="DP11" i="24"/>
  <c r="DO11" i="24"/>
  <c r="DN11" i="24"/>
  <c r="DM11" i="24"/>
  <c r="DL11" i="24"/>
  <c r="DK11" i="24"/>
  <c r="DJ11" i="24"/>
  <c r="DI11" i="24"/>
  <c r="DH11" i="24"/>
  <c r="DG11" i="24"/>
  <c r="DF11" i="24"/>
  <c r="DE11" i="24"/>
  <c r="DD11" i="24"/>
  <c r="DC11" i="24"/>
  <c r="DB11" i="24"/>
  <c r="DA11" i="24"/>
  <c r="CZ11" i="24"/>
  <c r="CY11" i="24"/>
  <c r="CX11" i="24"/>
  <c r="CW11" i="24"/>
  <c r="CV11" i="24"/>
  <c r="CU11" i="24"/>
  <c r="CT11" i="24"/>
  <c r="CS11" i="24"/>
  <c r="CR11" i="24"/>
  <c r="CQ11" i="24"/>
  <c r="CP11" i="24"/>
  <c r="CO11" i="24"/>
  <c r="CN11" i="24"/>
  <c r="CM11" i="24"/>
  <c r="CL11" i="24"/>
  <c r="CK11" i="24"/>
  <c r="CJ11" i="24"/>
  <c r="CI11" i="24"/>
  <c r="FB13" i="24"/>
  <c r="FA13" i="24"/>
  <c r="EZ13" i="24"/>
  <c r="EY13" i="24"/>
  <c r="EX13" i="24"/>
  <c r="EW13" i="24"/>
  <c r="EV13" i="24"/>
  <c r="EU13" i="24"/>
  <c r="ET13" i="24"/>
  <c r="ES13" i="24"/>
  <c r="ER13" i="24"/>
  <c r="EQ13" i="24"/>
  <c r="EP13" i="24"/>
  <c r="EO13" i="24"/>
  <c r="EN13" i="24"/>
  <c r="EM13" i="24"/>
  <c r="EL13" i="24"/>
  <c r="EK13" i="24"/>
  <c r="EJ13" i="24"/>
  <c r="EI13" i="24"/>
  <c r="EH13" i="24"/>
  <c r="EG13" i="24"/>
  <c r="EF13" i="24"/>
  <c r="EE13" i="24"/>
  <c r="ED13" i="24"/>
  <c r="EC13" i="24"/>
  <c r="EB13" i="24"/>
  <c r="EA13" i="24"/>
  <c r="DZ13" i="24"/>
  <c r="DY13" i="24"/>
  <c r="DX13" i="24"/>
  <c r="DW13" i="24"/>
  <c r="DV13" i="24"/>
  <c r="DU13" i="24"/>
  <c r="DT13" i="24"/>
  <c r="DS13" i="24"/>
  <c r="DR13" i="24"/>
  <c r="DQ13" i="24"/>
  <c r="DP13" i="24"/>
  <c r="DO13" i="24"/>
  <c r="DN13" i="24"/>
  <c r="DM13" i="24"/>
  <c r="DL13" i="24"/>
  <c r="DK13" i="24"/>
  <c r="DJ13" i="24"/>
  <c r="DI13" i="24"/>
  <c r="DH13" i="24"/>
  <c r="DG13" i="24"/>
  <c r="DF13" i="24"/>
  <c r="DE13" i="24"/>
  <c r="DD13" i="24"/>
  <c r="DC13" i="24"/>
  <c r="DB13" i="24"/>
  <c r="DA13" i="24"/>
  <c r="CZ13" i="24"/>
  <c r="CY13" i="24"/>
  <c r="CX13" i="24"/>
  <c r="CW13" i="24"/>
  <c r="CV13" i="24"/>
  <c r="CU13" i="24"/>
  <c r="CT13" i="24"/>
  <c r="CS13" i="24"/>
  <c r="CR13" i="24"/>
  <c r="CQ13" i="24"/>
  <c r="CP13" i="24"/>
  <c r="CO13" i="24"/>
  <c r="CN13" i="24"/>
  <c r="CM13" i="24"/>
  <c r="CL13" i="24"/>
  <c r="CK13" i="24"/>
  <c r="CJ13" i="24"/>
  <c r="CI13" i="24"/>
  <c r="AY90" i="1"/>
  <c r="BK90" i="1" s="1"/>
  <c r="BW90" i="1" s="1"/>
  <c r="CI90" i="1" s="1"/>
  <c r="CU90" i="1" s="1"/>
  <c r="DG90" i="1" s="1"/>
  <c r="BJ90" i="1"/>
  <c r="BV90" i="1" s="1"/>
  <c r="CH90" i="1" s="1"/>
  <c r="CT90" i="1" s="1"/>
  <c r="DF90" i="1" s="1"/>
  <c r="BI90" i="1"/>
  <c r="BU90" i="1" s="1"/>
  <c r="CG90" i="1" s="1"/>
  <c r="CS90" i="1" s="1"/>
  <c r="DE90" i="1" s="1"/>
  <c r="BH90" i="1"/>
  <c r="BT90" i="1" s="1"/>
  <c r="CF90" i="1" s="1"/>
  <c r="CR90" i="1" s="1"/>
  <c r="DD90" i="1" s="1"/>
  <c r="BG90" i="1"/>
  <c r="BS90" i="1" s="1"/>
  <c r="CE90" i="1" s="1"/>
  <c r="CQ90" i="1" s="1"/>
  <c r="DC90" i="1" s="1"/>
  <c r="BF90" i="1"/>
  <c r="BR90" i="1" s="1"/>
  <c r="CD90" i="1" s="1"/>
  <c r="CP90" i="1" s="1"/>
  <c r="DB90" i="1" s="1"/>
  <c r="BE90" i="1"/>
  <c r="BQ90" i="1" s="1"/>
  <c r="CC90" i="1" s="1"/>
  <c r="CO90" i="1" s="1"/>
  <c r="DA90" i="1" s="1"/>
  <c r="BD90" i="1"/>
  <c r="BP90" i="1" s="1"/>
  <c r="CB90" i="1" s="1"/>
  <c r="CN90" i="1" s="1"/>
  <c r="CZ90" i="1" s="1"/>
  <c r="BC90" i="1"/>
  <c r="BO90" i="1" s="1"/>
  <c r="CA90" i="1" s="1"/>
  <c r="CM90" i="1" s="1"/>
  <c r="CY90" i="1" s="1"/>
  <c r="BB90" i="1"/>
  <c r="BN90" i="1" s="1"/>
  <c r="BZ90" i="1" s="1"/>
  <c r="CL90" i="1" s="1"/>
  <c r="CX90" i="1" s="1"/>
  <c r="N10" i="29"/>
  <c r="M10" i="29"/>
  <c r="L10" i="29"/>
  <c r="K10" i="29"/>
  <c r="J10" i="29"/>
  <c r="I10" i="29"/>
  <c r="H10" i="29"/>
  <c r="G10" i="29"/>
  <c r="F10" i="29"/>
  <c r="E10" i="29"/>
  <c r="D10" i="29"/>
  <c r="C10" i="29"/>
  <c r="AL19" i="1"/>
  <c r="AL155" i="1"/>
  <c r="AM149" i="1"/>
  <c r="AL70" i="1"/>
  <c r="AL40" i="1"/>
  <c r="AL34" i="1"/>
  <c r="AL35" i="1"/>
  <c r="AL36" i="1"/>
  <c r="AL37" i="1"/>
  <c r="AL38" i="1"/>
  <c r="AL12" i="1"/>
  <c r="AL99" i="1" s="1"/>
  <c r="AK155" i="1"/>
  <c r="AJ155" i="1"/>
  <c r="AI155" i="1"/>
  <c r="AH155" i="1"/>
  <c r="AG155" i="1"/>
  <c r="AF155" i="1"/>
  <c r="AE155" i="1"/>
  <c r="AD155" i="1"/>
  <c r="AC155" i="1"/>
  <c r="AB155" i="1"/>
  <c r="AL41" i="1" l="1"/>
  <c r="AX40" i="1"/>
  <c r="AX41" i="1" s="1"/>
  <c r="N23" i="27"/>
  <c r="AN107" i="1"/>
  <c r="AM107" i="1"/>
  <c r="AN96" i="1"/>
  <c r="M23" i="27"/>
  <c r="M14" i="27"/>
  <c r="M18" i="27" s="1"/>
  <c r="M19" i="27" s="1"/>
  <c r="AN131" i="1"/>
  <c r="AN132" i="1" s="1"/>
  <c r="AM14" i="1"/>
  <c r="AM99" i="1"/>
  <c r="AM41" i="1"/>
  <c r="AN162" i="1"/>
  <c r="AM131" i="1"/>
  <c r="AM132" i="1" s="1"/>
  <c r="AM96" i="1"/>
  <c r="AL96" i="1"/>
  <c r="AM124" i="1" l="1"/>
  <c r="AM42" i="1"/>
  <c r="AM43" i="1" s="1"/>
  <c r="M25" i="27"/>
  <c r="M26" i="27" s="1"/>
  <c r="AM33" i="1"/>
  <c r="M29" i="27" l="1"/>
  <c r="M30" i="27" s="1"/>
  <c r="K8" i="24"/>
  <c r="L8" i="24"/>
  <c r="AK35" i="1"/>
  <c r="AI35" i="1"/>
  <c r="AK12" i="1"/>
  <c r="AK103" i="1"/>
  <c r="AK106" i="1"/>
  <c r="AK120" i="1"/>
  <c r="AK123" i="1"/>
  <c r="AL103" i="1"/>
  <c r="AL106" i="1"/>
  <c r="AK19" i="1"/>
  <c r="AK34" i="1"/>
  <c r="AK36" i="1"/>
  <c r="AK37" i="1"/>
  <c r="AK38" i="1"/>
  <c r="AK40" i="1"/>
  <c r="AK41" i="1" s="1"/>
  <c r="AK63" i="1"/>
  <c r="AE46" i="28"/>
  <c r="AE47" i="28" s="1"/>
  <c r="AE48" i="28" s="1"/>
  <c r="AD46" i="28"/>
  <c r="AD47" i="28" s="1"/>
  <c r="AD48" i="28" s="1"/>
  <c r="AE41" i="28"/>
  <c r="AD41" i="28"/>
  <c r="AK40" i="28"/>
  <c r="AJ40" i="28"/>
  <c r="AI40" i="28"/>
  <c r="AH40" i="28"/>
  <c r="AG40" i="28"/>
  <c r="AF40" i="28"/>
  <c r="AE40" i="28"/>
  <c r="AD40" i="28"/>
  <c r="AD38" i="28"/>
  <c r="AD37" i="28"/>
  <c r="AE36" i="28"/>
  <c r="AD36" i="28"/>
  <c r="AE35" i="28"/>
  <c r="AD35" i="28"/>
  <c r="AE34" i="28"/>
  <c r="AD34" i="28"/>
  <c r="AK33" i="28"/>
  <c r="AJ33" i="28"/>
  <c r="AI33" i="28"/>
  <c r="AH33" i="28"/>
  <c r="AG33" i="28"/>
  <c r="AF33" i="28"/>
  <c r="AE33" i="28"/>
  <c r="AD33" i="28"/>
  <c r="AE22" i="28"/>
  <c r="AD22" i="28"/>
  <c r="AD19" i="28"/>
  <c r="AD17" i="28"/>
  <c r="BC16" i="28"/>
  <c r="BC28" i="28" s="1"/>
  <c r="BB16" i="28"/>
  <c r="AZ16" i="28"/>
  <c r="AY16" i="28"/>
  <c r="AX16" i="28"/>
  <c r="AX28" i="28" s="1"/>
  <c r="AX44" i="28" s="1"/>
  <c r="AX50" i="28" s="1"/>
  <c r="AW16" i="28"/>
  <c r="AW28" i="28" s="1"/>
  <c r="AW29" i="28" s="1"/>
  <c r="AV16" i="28"/>
  <c r="AV44" i="28" s="1"/>
  <c r="AV45" i="28" s="1"/>
  <c r="AU16" i="28"/>
  <c r="AU44" i="28" s="1"/>
  <c r="AU45" i="28" s="1"/>
  <c r="AT16" i="28"/>
  <c r="AT44" i="28" s="1"/>
  <c r="AT45" i="28" s="1"/>
  <c r="AS16" i="28"/>
  <c r="AS44" i="28" s="1"/>
  <c r="AS45" i="28" s="1"/>
  <c r="AR16" i="28"/>
  <c r="AR44" i="28" s="1"/>
  <c r="AR45" i="28" s="1"/>
  <c r="F47" i="28"/>
  <c r="F48" i="28" s="1"/>
  <c r="E47" i="28"/>
  <c r="E48" i="28" s="1"/>
  <c r="K45" i="28"/>
  <c r="M43" i="28"/>
  <c r="F43" i="28"/>
  <c r="F44" i="28" s="1"/>
  <c r="E43" i="28"/>
  <c r="E44" i="28" s="1"/>
  <c r="K29" i="28"/>
  <c r="BB28" i="28"/>
  <c r="BB44" i="28" s="1"/>
  <c r="BB50" i="28" s="1"/>
  <c r="AZ28" i="28"/>
  <c r="AZ44" i="28" s="1"/>
  <c r="AZ50" i="28" s="1"/>
  <c r="AV28" i="28"/>
  <c r="AU28" i="28"/>
  <c r="AT28" i="28"/>
  <c r="AS28" i="28"/>
  <c r="AR28" i="28"/>
  <c r="AK28" i="28"/>
  <c r="AJ28" i="28"/>
  <c r="AI28" i="28"/>
  <c r="AH28" i="28"/>
  <c r="AG28" i="28"/>
  <c r="AF28" i="28"/>
  <c r="AE28" i="28"/>
  <c r="AD28" i="28"/>
  <c r="P28" i="28"/>
  <c r="P29" i="28" s="1"/>
  <c r="F28" i="28"/>
  <c r="E28" i="28"/>
  <c r="AJ103" i="1"/>
  <c r="AJ106" i="1"/>
  <c r="AJ120" i="1"/>
  <c r="AJ123" i="1"/>
  <c r="AJ12" i="1"/>
  <c r="AJ19" i="1"/>
  <c r="AJ26" i="1"/>
  <c r="AJ34" i="1"/>
  <c r="AJ35" i="1"/>
  <c r="AJ36" i="1"/>
  <c r="AJ37" i="1"/>
  <c r="AJ38" i="1"/>
  <c r="AJ40" i="1"/>
  <c r="AJ63" i="1"/>
  <c r="AI37" i="1"/>
  <c r="AI34" i="1"/>
  <c r="AJ41" i="1" l="1"/>
  <c r="AZ45" i="28"/>
  <c r="BB45" i="28"/>
  <c r="BC44" i="28"/>
  <c r="BC50" i="28" s="1"/>
  <c r="AM162" i="1"/>
  <c r="AR29" i="28"/>
  <c r="AT29" i="28"/>
  <c r="AZ29" i="28"/>
  <c r="AS29" i="28"/>
  <c r="BB29" i="28"/>
  <c r="F50" i="28"/>
  <c r="E50" i="28"/>
  <c r="P44" i="28"/>
  <c r="P45" i="28" s="1"/>
  <c r="AJ100" i="1"/>
  <c r="AK100" i="1"/>
  <c r="AJ14" i="1"/>
  <c r="AK107" i="1"/>
  <c r="L29" i="25" s="1"/>
  <c r="AK14" i="1"/>
  <c r="AK99" i="1"/>
  <c r="AK131" i="1"/>
  <c r="AK132" i="1" s="1"/>
  <c r="AL107" i="1"/>
  <c r="AK15" i="1"/>
  <c r="AW44" i="28"/>
  <c r="AW45" i="28" s="1"/>
  <c r="AV29" i="28"/>
  <c r="AX45" i="28"/>
  <c r="AX29" i="28"/>
  <c r="AU29" i="28"/>
  <c r="BC29" i="28"/>
  <c r="AY28" i="28"/>
  <c r="AJ131" i="1"/>
  <c r="AJ132" i="1" s="1"/>
  <c r="AJ107" i="1"/>
  <c r="AJ99" i="1"/>
  <c r="AJ15" i="1"/>
  <c r="K16" i="25"/>
  <c r="J16" i="25"/>
  <c r="I16" i="25"/>
  <c r="H16" i="25"/>
  <c r="G16" i="25"/>
  <c r="F16" i="25"/>
  <c r="E16" i="25"/>
  <c r="D16" i="25"/>
  <c r="C16" i="25"/>
  <c r="AI19" i="1"/>
  <c r="J10" i="27"/>
  <c r="M107" i="1"/>
  <c r="P93" i="1"/>
  <c r="Q93" i="1"/>
  <c r="R93" i="1"/>
  <c r="S93" i="1"/>
  <c r="T93" i="1"/>
  <c r="U93" i="1"/>
  <c r="V93" i="1"/>
  <c r="W93" i="1"/>
  <c r="X93" i="1"/>
  <c r="AI106" i="1"/>
  <c r="AH106" i="1"/>
  <c r="AG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AY105" i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CF105" i="1" s="1"/>
  <c r="CG105" i="1" s="1"/>
  <c r="CH105" i="1" s="1"/>
  <c r="CI105" i="1" s="1"/>
  <c r="CJ105" i="1" s="1"/>
  <c r="CK105" i="1" s="1"/>
  <c r="CL105" i="1" s="1"/>
  <c r="CM105" i="1" s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DC105" i="1" s="1"/>
  <c r="DD105" i="1" s="1"/>
  <c r="DE105" i="1" s="1"/>
  <c r="DF105" i="1" s="1"/>
  <c r="DG105" i="1" s="1"/>
  <c r="DG106" i="1" s="1"/>
  <c r="AF106" i="1"/>
  <c r="J105" i="1"/>
  <c r="J106" i="1" s="1"/>
  <c r="I105" i="1"/>
  <c r="I106" i="1" s="1"/>
  <c r="H105" i="1"/>
  <c r="H106" i="1" s="1"/>
  <c r="G105" i="1"/>
  <c r="G106" i="1" s="1"/>
  <c r="F105" i="1"/>
  <c r="F106" i="1" s="1"/>
  <c r="E105" i="1"/>
  <c r="E106" i="1" s="1"/>
  <c r="D105" i="1"/>
  <c r="D106" i="1" s="1"/>
  <c r="AI1" i="1"/>
  <c r="AI3" i="1" s="1"/>
  <c r="AI2" i="1"/>
  <c r="AU2" i="1" s="1"/>
  <c r="AI12" i="1"/>
  <c r="AI26" i="1"/>
  <c r="AI36" i="1"/>
  <c r="AI38" i="1"/>
  <c r="AI40" i="1"/>
  <c r="AI41" i="1" s="1"/>
  <c r="AI63" i="1"/>
  <c r="AI70" i="1"/>
  <c r="AI103" i="1"/>
  <c r="AI120" i="1"/>
  <c r="AI123" i="1"/>
  <c r="AI166" i="1"/>
  <c r="AI167" i="1" s="1"/>
  <c r="AJ1" i="1"/>
  <c r="AJ3" i="1" s="1"/>
  <c r="AJ2" i="1"/>
  <c r="AJ70" i="1"/>
  <c r="J8" i="24"/>
  <c r="AH34" i="1"/>
  <c r="O8" i="24"/>
  <c r="M8" i="24"/>
  <c r="E5" i="24"/>
  <c r="I8" i="24"/>
  <c r="AH12" i="1"/>
  <c r="AH19" i="1"/>
  <c r="AH26" i="1"/>
  <c r="AH35" i="1"/>
  <c r="AH36" i="1"/>
  <c r="AH37" i="1"/>
  <c r="AH38" i="1"/>
  <c r="AH40" i="1"/>
  <c r="AH41" i="1" s="1"/>
  <c r="AH63" i="1"/>
  <c r="AH70" i="1"/>
  <c r="AH103" i="1"/>
  <c r="AH120" i="1"/>
  <c r="AH123" i="1"/>
  <c r="AH166" i="1"/>
  <c r="AH167" i="1" s="1"/>
  <c r="O65" i="1"/>
  <c r="N65" i="1"/>
  <c r="M65" i="1"/>
  <c r="L65" i="1"/>
  <c r="K65" i="1"/>
  <c r="J65" i="1"/>
  <c r="I65" i="1"/>
  <c r="H65" i="1"/>
  <c r="G65" i="1"/>
  <c r="F65" i="1"/>
  <c r="E65" i="1"/>
  <c r="H8" i="24"/>
  <c r="FB8" i="24"/>
  <c r="FA8" i="24"/>
  <c r="EZ8" i="24"/>
  <c r="EY8" i="24"/>
  <c r="EX8" i="24"/>
  <c r="EW8" i="24"/>
  <c r="EV8" i="24"/>
  <c r="EU8" i="24"/>
  <c r="ET8" i="24"/>
  <c r="ES8" i="24"/>
  <c r="ER8" i="24"/>
  <c r="EQ8" i="24"/>
  <c r="EP8" i="24"/>
  <c r="EO8" i="24"/>
  <c r="EN8" i="24"/>
  <c r="EM8" i="24"/>
  <c r="EL8" i="24"/>
  <c r="EK8" i="24"/>
  <c r="EJ8" i="24"/>
  <c r="EI8" i="24"/>
  <c r="EH8" i="24"/>
  <c r="EG8" i="24"/>
  <c r="EF8" i="24"/>
  <c r="EE8" i="24"/>
  <c r="ED8" i="24"/>
  <c r="EC8" i="24"/>
  <c r="EB8" i="24"/>
  <c r="EA8" i="24"/>
  <c r="DZ8" i="24"/>
  <c r="DY8" i="24"/>
  <c r="DX8" i="24"/>
  <c r="DW8" i="24"/>
  <c r="DV8" i="24"/>
  <c r="DU8" i="24"/>
  <c r="DT8" i="24"/>
  <c r="DS8" i="24"/>
  <c r="DR8" i="24"/>
  <c r="DQ8" i="24"/>
  <c r="DP8" i="24"/>
  <c r="DO8" i="24"/>
  <c r="DN8" i="24"/>
  <c r="DM8" i="24"/>
  <c r="DL8" i="24"/>
  <c r="DK8" i="24"/>
  <c r="DJ8" i="24"/>
  <c r="DI8" i="24"/>
  <c r="DH8" i="24"/>
  <c r="DG8" i="24"/>
  <c r="DF8" i="24"/>
  <c r="DE8" i="24"/>
  <c r="DD8" i="24"/>
  <c r="DC8" i="24"/>
  <c r="DB8" i="24"/>
  <c r="DA8" i="24"/>
  <c r="CZ8" i="24"/>
  <c r="CY8" i="24"/>
  <c r="CX8" i="24"/>
  <c r="CW8" i="24"/>
  <c r="CV8" i="24"/>
  <c r="CU8" i="24"/>
  <c r="CT8" i="24"/>
  <c r="CS8" i="24"/>
  <c r="CR8" i="24"/>
  <c r="CQ8" i="24"/>
  <c r="CP8" i="24"/>
  <c r="CO8" i="24"/>
  <c r="CN8" i="24"/>
  <c r="CM8" i="24"/>
  <c r="CL8" i="24"/>
  <c r="CK8" i="24"/>
  <c r="CJ8" i="24"/>
  <c r="CI8" i="24"/>
  <c r="CH8" i="24"/>
  <c r="CG8" i="24"/>
  <c r="CF8" i="24"/>
  <c r="CE8" i="24"/>
  <c r="CD8" i="24"/>
  <c r="CC8" i="24"/>
  <c r="CB8" i="24"/>
  <c r="CA8" i="24"/>
  <c r="BZ8" i="24"/>
  <c r="BY8" i="24"/>
  <c r="BX8" i="24"/>
  <c r="BW8" i="24"/>
  <c r="BV8" i="24"/>
  <c r="BU8" i="24"/>
  <c r="BT8" i="24"/>
  <c r="BS8" i="24"/>
  <c r="BR8" i="24"/>
  <c r="BQ8" i="24"/>
  <c r="BP8" i="24"/>
  <c r="BO8" i="24"/>
  <c r="BN8" i="24"/>
  <c r="BM8" i="24"/>
  <c r="BL8" i="24"/>
  <c r="BK8" i="24"/>
  <c r="BJ8" i="24"/>
  <c r="BI8" i="24"/>
  <c r="BH8" i="24"/>
  <c r="BG8" i="24"/>
  <c r="BF8" i="24"/>
  <c r="BE8" i="24"/>
  <c r="BD8" i="24"/>
  <c r="BC8" i="24"/>
  <c r="BB8" i="24"/>
  <c r="BA8" i="24"/>
  <c r="AZ8" i="24"/>
  <c r="AY8" i="24"/>
  <c r="AX8" i="24"/>
  <c r="AW8" i="24"/>
  <c r="AV8" i="24"/>
  <c r="AU8" i="24"/>
  <c r="AT8" i="24"/>
  <c r="AS8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W8" i="24"/>
  <c r="N8" i="24"/>
  <c r="AG63" i="1"/>
  <c r="AF63" i="1"/>
  <c r="AE63" i="1"/>
  <c r="AD63" i="1"/>
  <c r="AC63" i="1"/>
  <c r="AB63" i="1"/>
  <c r="E4" i="24"/>
  <c r="AJ124" i="1" l="1"/>
  <c r="AJ42" i="1"/>
  <c r="AJ43" i="1" s="1"/>
  <c r="AK124" i="1"/>
  <c r="AK42" i="1"/>
  <c r="AY29" i="28"/>
  <c r="AY44" i="28"/>
  <c r="BC45" i="28"/>
  <c r="AH107" i="1"/>
  <c r="AI100" i="1"/>
  <c r="F18" i="25"/>
  <c r="G18" i="25"/>
  <c r="D17" i="27"/>
  <c r="AH100" i="1"/>
  <c r="AH14" i="1"/>
  <c r="AI14" i="1"/>
  <c r="AJ33" i="1"/>
  <c r="AJ64" i="1"/>
  <c r="AJ65" i="1" s="1"/>
  <c r="AJ96" i="1"/>
  <c r="AD106" i="1"/>
  <c r="K29" i="25"/>
  <c r="AE106" i="1"/>
  <c r="AK64" i="1"/>
  <c r="AK65" i="1" s="1"/>
  <c r="AK33" i="1"/>
  <c r="AK43" i="1"/>
  <c r="AI107" i="1"/>
  <c r="AI162" i="1"/>
  <c r="BB106" i="1"/>
  <c r="BR106" i="1"/>
  <c r="CH106" i="1"/>
  <c r="CX106" i="1"/>
  <c r="BL106" i="1"/>
  <c r="CB106" i="1"/>
  <c r="CR106" i="1"/>
  <c r="CZ106" i="1"/>
  <c r="BE106" i="1"/>
  <c r="BM106" i="1"/>
  <c r="BU106" i="1"/>
  <c r="CC106" i="1"/>
  <c r="CK106" i="1"/>
  <c r="CS106" i="1"/>
  <c r="DA106" i="1"/>
  <c r="BN106" i="1"/>
  <c r="CD106" i="1"/>
  <c r="CT106" i="1"/>
  <c r="AY106" i="1"/>
  <c r="BG106" i="1"/>
  <c r="BO106" i="1"/>
  <c r="BW106" i="1"/>
  <c r="CE106" i="1"/>
  <c r="CM106" i="1"/>
  <c r="CU106" i="1"/>
  <c r="DC106" i="1"/>
  <c r="BJ106" i="1"/>
  <c r="BZ106" i="1"/>
  <c r="CP106" i="1"/>
  <c r="DF106" i="1"/>
  <c r="BC106" i="1"/>
  <c r="BS106" i="1"/>
  <c r="CI106" i="1"/>
  <c r="BD106" i="1"/>
  <c r="BT106" i="1"/>
  <c r="CJ106" i="1"/>
  <c r="BF106" i="1"/>
  <c r="BV106" i="1"/>
  <c r="CL106" i="1"/>
  <c r="DB106" i="1"/>
  <c r="AZ106" i="1"/>
  <c r="BH106" i="1"/>
  <c r="BP106" i="1"/>
  <c r="BX106" i="1"/>
  <c r="CF106" i="1"/>
  <c r="CN106" i="1"/>
  <c r="CV106" i="1"/>
  <c r="DD106" i="1"/>
  <c r="BK106" i="1"/>
  <c r="CA106" i="1"/>
  <c r="CQ106" i="1"/>
  <c r="CY106" i="1"/>
  <c r="AC106" i="1"/>
  <c r="BA106" i="1"/>
  <c r="BI106" i="1"/>
  <c r="BQ106" i="1"/>
  <c r="BY106" i="1"/>
  <c r="CG106" i="1"/>
  <c r="CO106" i="1"/>
  <c r="CW106" i="1"/>
  <c r="DE106" i="1"/>
  <c r="AI99" i="1"/>
  <c r="AI161" i="1"/>
  <c r="AI15" i="1"/>
  <c r="AG100" i="1"/>
  <c r="AH99" i="1"/>
  <c r="AC100" i="1"/>
  <c r="AI131" i="1"/>
  <c r="AI132" i="1" s="1"/>
  <c r="AE100" i="1"/>
  <c r="AB100" i="1"/>
  <c r="AD100" i="1"/>
  <c r="AF100" i="1"/>
  <c r="AJ162" i="1"/>
  <c r="AI96" i="1"/>
  <c r="AH131" i="1"/>
  <c r="AH132" i="1" s="1"/>
  <c r="AH96" i="1"/>
  <c r="D18" i="25"/>
  <c r="E18" i="25"/>
  <c r="AH15" i="1"/>
  <c r="AH64" i="1" l="1"/>
  <c r="AH65" i="1" s="1"/>
  <c r="AH42" i="1"/>
  <c r="AH43" i="1" s="1"/>
  <c r="AI33" i="1"/>
  <c r="AI42" i="1"/>
  <c r="AI43" i="1" s="1"/>
  <c r="AY50" i="28"/>
  <c r="AY45" i="28"/>
  <c r="I29" i="25"/>
  <c r="AI124" i="1"/>
  <c r="AI64" i="1"/>
  <c r="AI65" i="1" s="1"/>
  <c r="J29" i="25"/>
  <c r="AH46" i="1"/>
  <c r="AI46" i="1"/>
  <c r="AH124" i="1"/>
  <c r="AH33" i="1"/>
  <c r="AJ97" i="1"/>
  <c r="AJ108" i="1" s="1"/>
  <c r="AH97" i="1" l="1"/>
  <c r="AY88" i="1"/>
  <c r="AE38" i="28"/>
  <c r="AI97" i="1"/>
  <c r="AI108" i="1" s="1"/>
  <c r="AJ98" i="1"/>
  <c r="AH98" i="1"/>
  <c r="AH44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AG35" i="1"/>
  <c r="AG37" i="1"/>
  <c r="D16" i="5"/>
  <c r="I54" i="1"/>
  <c r="J54" i="1" s="1"/>
  <c r="K54" i="1" s="1"/>
  <c r="L54" i="1" s="1"/>
  <c r="M54" i="1" s="1"/>
  <c r="N54" i="1" s="1"/>
  <c r="I55" i="1"/>
  <c r="J55" i="1" s="1"/>
  <c r="K55" i="1" s="1"/>
  <c r="L55" i="1" s="1"/>
  <c r="M55" i="1" s="1"/>
  <c r="N55" i="1" s="1"/>
  <c r="I53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G38" i="1"/>
  <c r="AG34" i="1"/>
  <c r="AZ88" i="1" l="1"/>
  <c r="AF38" i="28"/>
  <c r="AI98" i="1"/>
  <c r="AI44" i="1"/>
  <c r="AI48" i="1" s="1"/>
  <c r="S46" i="1"/>
  <c r="AA46" i="1"/>
  <c r="AI160" i="1"/>
  <c r="AI163" i="1" s="1"/>
  <c r="AI169" i="1" s="1"/>
  <c r="AH48" i="1"/>
  <c r="AY36" i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V46" i="1"/>
  <c r="AD46" i="1"/>
  <c r="O46" i="1"/>
  <c r="W46" i="1"/>
  <c r="AE46" i="1"/>
  <c r="AB46" i="1"/>
  <c r="AC46" i="1"/>
  <c r="T46" i="1"/>
  <c r="U46" i="1"/>
  <c r="R46" i="1"/>
  <c r="Z46" i="1"/>
  <c r="P46" i="1"/>
  <c r="X46" i="1"/>
  <c r="AF46" i="1"/>
  <c r="N46" i="1"/>
  <c r="Y46" i="1"/>
  <c r="Q46" i="1"/>
  <c r="AG46" i="1"/>
  <c r="M46" i="1"/>
  <c r="L46" i="1"/>
  <c r="J53" i="1"/>
  <c r="AG1" i="1"/>
  <c r="AG3" i="1" s="1"/>
  <c r="AG2" i="1"/>
  <c r="AS2" i="1" s="1"/>
  <c r="AG12" i="1"/>
  <c r="AG19" i="1"/>
  <c r="AG26" i="1"/>
  <c r="AG70" i="1"/>
  <c r="AG120" i="1"/>
  <c r="AG123" i="1"/>
  <c r="AH161" i="1" s="1"/>
  <c r="AG145" i="1"/>
  <c r="AG166" i="1"/>
  <c r="AH1" i="1"/>
  <c r="AH3" i="1" s="1"/>
  <c r="AH2" i="1"/>
  <c r="AT2" i="1" s="1"/>
  <c r="AF12" i="1"/>
  <c r="AF19" i="1"/>
  <c r="AF26" i="1"/>
  <c r="AF34" i="1"/>
  <c r="AF35" i="1"/>
  <c r="AF38" i="1"/>
  <c r="AF70" i="1"/>
  <c r="AF120" i="1"/>
  <c r="AF123" i="1"/>
  <c r="AF145" i="1"/>
  <c r="AE37" i="1"/>
  <c r="AE26" i="1"/>
  <c r="AE12" i="1"/>
  <c r="AE19" i="1"/>
  <c r="AE34" i="1"/>
  <c r="AE35" i="1"/>
  <c r="AE38" i="1"/>
  <c r="AE120" i="1"/>
  <c r="AE123" i="1"/>
  <c r="AE145" i="1"/>
  <c r="AE70" i="1"/>
  <c r="AF1" i="1"/>
  <c r="AF3" i="1" s="1"/>
  <c r="AF2" i="1"/>
  <c r="AR2" i="1" s="1"/>
  <c r="AE1" i="1"/>
  <c r="AE3" i="1" s="1"/>
  <c r="AE2" i="1"/>
  <c r="AQ2" i="1" s="1"/>
  <c r="AE166" i="1"/>
  <c r="AE167" i="1" s="1"/>
  <c r="AA37" i="1"/>
  <c r="BA88" i="1" l="1"/>
  <c r="AG38" i="28"/>
  <c r="AK49" i="28"/>
  <c r="AF15" i="1"/>
  <c r="AE15" i="1"/>
  <c r="AH162" i="1"/>
  <c r="AH108" i="1"/>
  <c r="AH160" i="1" s="1"/>
  <c r="AG99" i="1"/>
  <c r="AG15" i="1"/>
  <c r="AF14" i="1"/>
  <c r="AF42" i="1" s="1"/>
  <c r="AF99" i="1"/>
  <c r="AE14" i="1"/>
  <c r="AE42" i="1" s="1"/>
  <c r="AE99" i="1"/>
  <c r="K53" i="1"/>
  <c r="AG14" i="1"/>
  <c r="AG131" i="1"/>
  <c r="AG132" i="1" s="1"/>
  <c r="AG167" i="1"/>
  <c r="AG162" i="1"/>
  <c r="AG161" i="1"/>
  <c r="AF131" i="1"/>
  <c r="AF132" i="1" s="1"/>
  <c r="AE131" i="1"/>
  <c r="AE132" i="1" s="1"/>
  <c r="AF162" i="1"/>
  <c r="AF166" i="1"/>
  <c r="AD34" i="1"/>
  <c r="AD37" i="1"/>
  <c r="AC37" i="1"/>
  <c r="AB37" i="1"/>
  <c r="Z37" i="1"/>
  <c r="Y37" i="1"/>
  <c r="X37" i="1"/>
  <c r="W37" i="1"/>
  <c r="V37" i="1"/>
  <c r="U37" i="1"/>
  <c r="T37" i="1"/>
  <c r="S37" i="1"/>
  <c r="R37" i="1"/>
  <c r="Q37" i="1"/>
  <c r="P37" i="1"/>
  <c r="P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AC34" i="1"/>
  <c r="AB34" i="1"/>
  <c r="AA34" i="1"/>
  <c r="Z34" i="1"/>
  <c r="Y34" i="1"/>
  <c r="X34" i="1"/>
  <c r="W34" i="1"/>
  <c r="V34" i="1"/>
  <c r="U34" i="1"/>
  <c r="T34" i="1"/>
  <c r="S34" i="1"/>
  <c r="R34" i="1"/>
  <c r="P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4" i="1"/>
  <c r="AA26" i="1"/>
  <c r="Z26" i="1"/>
  <c r="Y26" i="1"/>
  <c r="X26" i="1"/>
  <c r="W26" i="1"/>
  <c r="V26" i="1"/>
  <c r="U26" i="1"/>
  <c r="T26" i="1"/>
  <c r="S26" i="1"/>
  <c r="R26" i="1"/>
  <c r="Q28" i="1"/>
  <c r="Q26" i="1" s="1"/>
  <c r="P26" i="1"/>
  <c r="AC26" i="1"/>
  <c r="AB26" i="1"/>
  <c r="P13" i="26"/>
  <c r="Z120" i="1"/>
  <c r="AA120" i="1"/>
  <c r="AB120" i="1"/>
  <c r="AC120" i="1"/>
  <c r="AD120" i="1"/>
  <c r="Y120" i="1"/>
  <c r="AD26" i="1"/>
  <c r="AD123" i="1"/>
  <c r="AD145" i="1"/>
  <c r="F32" i="25"/>
  <c r="AD12" i="1"/>
  <c r="AD19" i="1"/>
  <c r="C33" i="25"/>
  <c r="C32" i="25"/>
  <c r="D33" i="25"/>
  <c r="E32" i="25"/>
  <c r="D32" i="25"/>
  <c r="AG64" i="1" l="1"/>
  <c r="AG65" i="1" s="1"/>
  <c r="AG42" i="1"/>
  <c r="BB88" i="1"/>
  <c r="AH38" i="28"/>
  <c r="AD15" i="1"/>
  <c r="AH163" i="1"/>
  <c r="AH169" i="1" s="1"/>
  <c r="AE64" i="1"/>
  <c r="AE65" i="1" s="1"/>
  <c r="AF64" i="1"/>
  <c r="AF65" i="1" s="1"/>
  <c r="AG33" i="1"/>
  <c r="AE33" i="1"/>
  <c r="AE124" i="1"/>
  <c r="AF33" i="1"/>
  <c r="AF124" i="1"/>
  <c r="AD14" i="1"/>
  <c r="AD42" i="1" s="1"/>
  <c r="AD99" i="1"/>
  <c r="L53" i="1"/>
  <c r="AG124" i="1"/>
  <c r="Q34" i="1"/>
  <c r="AF167" i="1"/>
  <c r="AB12" i="1"/>
  <c r="AB15" i="1" s="1"/>
  <c r="AC12" i="1"/>
  <c r="AC19" i="1"/>
  <c r="AD70" i="1"/>
  <c r="AC70" i="1"/>
  <c r="AC145" i="1"/>
  <c r="BC88" i="1" l="1"/>
  <c r="AI38" i="28"/>
  <c r="AC103" i="1"/>
  <c r="AC107" i="1" s="1"/>
  <c r="D28" i="27" s="1"/>
  <c r="AD64" i="1"/>
  <c r="AD65" i="1" s="1"/>
  <c r="AD33" i="1"/>
  <c r="AD124" i="1"/>
  <c r="AC99" i="1"/>
  <c r="AC15" i="1"/>
  <c r="AB99" i="1"/>
  <c r="M53" i="1"/>
  <c r="AC14" i="1"/>
  <c r="AC42" i="1" s="1"/>
  <c r="E33" i="25"/>
  <c r="AC123" i="1"/>
  <c r="BD88" i="1" l="1"/>
  <c r="AJ38" i="28"/>
  <c r="D29" i="25"/>
  <c r="AC64" i="1"/>
  <c r="AC65" i="1" s="1"/>
  <c r="N53" i="1"/>
  <c r="F33" i="25"/>
  <c r="AC33" i="1"/>
  <c r="AC124" i="1"/>
  <c r="AE162" i="1"/>
  <c r="AD103" i="1"/>
  <c r="AD107" i="1" s="1"/>
  <c r="AC96" i="1"/>
  <c r="BE88" i="1" l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N88" i="1" s="1"/>
  <c r="CO88" i="1" s="1"/>
  <c r="CP88" i="1" s="1"/>
  <c r="CQ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DC88" i="1" s="1"/>
  <c r="DD88" i="1" s="1"/>
  <c r="DE88" i="1" s="1"/>
  <c r="DF88" i="1" s="1"/>
  <c r="DG88" i="1" s="1"/>
  <c r="AK38" i="28"/>
  <c r="E29" i="25"/>
  <c r="AE103" i="1"/>
  <c r="AE107" i="1" s="1"/>
  <c r="AC97" i="1"/>
  <c r="AC44" i="1" s="1"/>
  <c r="AD96" i="1"/>
  <c r="C15" i="25"/>
  <c r="C22" i="29"/>
  <c r="C21" i="27" s="1"/>
  <c r="N22" i="25"/>
  <c r="M22" i="25"/>
  <c r="AK70" i="1"/>
  <c r="K22" i="25"/>
  <c r="J22" i="25"/>
  <c r="I22" i="25"/>
  <c r="H22" i="25"/>
  <c r="F22" i="25"/>
  <c r="E22" i="25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N33" i="27"/>
  <c r="N32" i="27"/>
  <c r="F29" i="25" l="1"/>
  <c r="L22" i="25"/>
  <c r="AK96" i="1"/>
  <c r="AK97" i="1" s="1"/>
  <c r="AG107" i="1"/>
  <c r="AE96" i="1"/>
  <c r="AF103" i="1"/>
  <c r="AF107" i="1" s="1"/>
  <c r="AD97" i="1"/>
  <c r="AD108" i="1" s="1"/>
  <c r="AC98" i="1"/>
  <c r="AC108" i="1"/>
  <c r="C22" i="25"/>
  <c r="D22" i="25"/>
  <c r="G22" i="25"/>
  <c r="N10" i="27"/>
  <c r="M10" i="27"/>
  <c r="L10" i="27"/>
  <c r="K10" i="27"/>
  <c r="I10" i="27"/>
  <c r="H10" i="27"/>
  <c r="G10" i="27"/>
  <c r="F10" i="27"/>
  <c r="E10" i="27"/>
  <c r="D10" i="27"/>
  <c r="C10" i="27"/>
  <c r="H29" i="25" l="1"/>
  <c r="G29" i="25"/>
  <c r="AK98" i="1"/>
  <c r="AK108" i="1"/>
  <c r="AE97" i="1"/>
  <c r="AE108" i="1" s="1"/>
  <c r="AG96" i="1"/>
  <c r="AF96" i="1"/>
  <c r="AF97" i="1" s="1"/>
  <c r="AD44" i="1"/>
  <c r="AD98" i="1"/>
  <c r="P22" i="25"/>
  <c r="N14" i="27"/>
  <c r="AA12" i="1"/>
  <c r="AA15" i="1" s="1"/>
  <c r="AB123" i="1"/>
  <c r="AB145" i="1"/>
  <c r="AB166" i="1"/>
  <c r="AB167" i="1" s="1"/>
  <c r="AB103" i="1"/>
  <c r="AB107" i="1" s="1"/>
  <c r="AB19" i="1"/>
  <c r="N10" i="25"/>
  <c r="M10" i="25"/>
  <c r="L10" i="25"/>
  <c r="K10" i="25"/>
  <c r="J10" i="25"/>
  <c r="I10" i="25"/>
  <c r="H10" i="25"/>
  <c r="G10" i="25"/>
  <c r="F10" i="25"/>
  <c r="E10" i="25"/>
  <c r="D10" i="25"/>
  <c r="C10" i="25"/>
  <c r="CI19" i="24"/>
  <c r="CI20" i="24" s="1"/>
  <c r="CJ19" i="24"/>
  <c r="CJ20" i="24" s="1"/>
  <c r="CK19" i="24"/>
  <c r="CK20" i="24" s="1"/>
  <c r="CL19" i="24"/>
  <c r="CL20" i="24" s="1"/>
  <c r="CM19" i="24"/>
  <c r="CM20" i="24" s="1"/>
  <c r="CN19" i="24"/>
  <c r="CN20" i="24" s="1"/>
  <c r="CO19" i="24"/>
  <c r="CO20" i="24" s="1"/>
  <c r="CP19" i="24"/>
  <c r="CP20" i="24" s="1"/>
  <c r="CQ19" i="24"/>
  <c r="CQ20" i="24" s="1"/>
  <c r="CR19" i="24"/>
  <c r="CR20" i="24" s="1"/>
  <c r="CS19" i="24"/>
  <c r="CS20" i="24" s="1"/>
  <c r="CT19" i="24"/>
  <c r="CT20" i="24" s="1"/>
  <c r="CU19" i="24"/>
  <c r="CU20" i="24" s="1"/>
  <c r="CV19" i="24"/>
  <c r="CV20" i="24" s="1"/>
  <c r="CW19" i="24"/>
  <c r="CW20" i="24" s="1"/>
  <c r="CX19" i="24"/>
  <c r="CX20" i="24" s="1"/>
  <c r="CY19" i="24"/>
  <c r="CY20" i="24" s="1"/>
  <c r="CZ19" i="24"/>
  <c r="CZ20" i="24" s="1"/>
  <c r="DA19" i="24"/>
  <c r="DA20" i="24" s="1"/>
  <c r="DB19" i="24"/>
  <c r="DB20" i="24" s="1"/>
  <c r="DC19" i="24"/>
  <c r="DC20" i="24" s="1"/>
  <c r="DD19" i="24"/>
  <c r="DD20" i="24" s="1"/>
  <c r="DE19" i="24"/>
  <c r="DE20" i="24" s="1"/>
  <c r="DF19" i="24"/>
  <c r="DF20" i="24" s="1"/>
  <c r="DG19" i="24"/>
  <c r="DG20" i="24" s="1"/>
  <c r="DH19" i="24"/>
  <c r="DH20" i="24" s="1"/>
  <c r="DI19" i="24"/>
  <c r="DI20" i="24" s="1"/>
  <c r="DJ19" i="24"/>
  <c r="DJ20" i="24" s="1"/>
  <c r="DK19" i="24"/>
  <c r="DK20" i="24" s="1"/>
  <c r="DL19" i="24"/>
  <c r="DL20" i="24" s="1"/>
  <c r="DM19" i="24"/>
  <c r="DM20" i="24" s="1"/>
  <c r="DN19" i="24"/>
  <c r="DN20" i="24" s="1"/>
  <c r="DO19" i="24"/>
  <c r="DO20" i="24" s="1"/>
  <c r="DP19" i="24"/>
  <c r="DP20" i="24" s="1"/>
  <c r="DQ19" i="24"/>
  <c r="DQ20" i="24" s="1"/>
  <c r="DR19" i="24"/>
  <c r="DR20" i="24" s="1"/>
  <c r="DS19" i="24"/>
  <c r="DS20" i="24" s="1"/>
  <c r="DT19" i="24"/>
  <c r="DT20" i="24" s="1"/>
  <c r="DU19" i="24"/>
  <c r="DU20" i="24" s="1"/>
  <c r="DV19" i="24"/>
  <c r="DV20" i="24" s="1"/>
  <c r="DW19" i="24"/>
  <c r="DW20" i="24" s="1"/>
  <c r="DX19" i="24"/>
  <c r="DX20" i="24" s="1"/>
  <c r="DY19" i="24"/>
  <c r="DY20" i="24" s="1"/>
  <c r="DZ19" i="24"/>
  <c r="DZ20" i="24" s="1"/>
  <c r="EA19" i="24"/>
  <c r="EA20" i="24" s="1"/>
  <c r="EB19" i="24"/>
  <c r="EB20" i="24" s="1"/>
  <c r="EC19" i="24"/>
  <c r="EC20" i="24" s="1"/>
  <c r="ED19" i="24"/>
  <c r="ED20" i="24" s="1"/>
  <c r="EE19" i="24"/>
  <c r="EE20" i="24" s="1"/>
  <c r="EF19" i="24"/>
  <c r="EF20" i="24" s="1"/>
  <c r="EG19" i="24"/>
  <c r="EG20" i="24" s="1"/>
  <c r="EH19" i="24"/>
  <c r="EH20" i="24" s="1"/>
  <c r="EI19" i="24"/>
  <c r="EI20" i="24" s="1"/>
  <c r="EJ19" i="24"/>
  <c r="EJ20" i="24" s="1"/>
  <c r="EK19" i="24"/>
  <c r="EK20" i="24" s="1"/>
  <c r="EL19" i="24"/>
  <c r="EL20" i="24" s="1"/>
  <c r="EM19" i="24"/>
  <c r="EM20" i="24" s="1"/>
  <c r="EN19" i="24"/>
  <c r="EN20" i="24" s="1"/>
  <c r="EO19" i="24"/>
  <c r="EO20" i="24" s="1"/>
  <c r="EP19" i="24"/>
  <c r="EP20" i="24" s="1"/>
  <c r="EQ19" i="24"/>
  <c r="EQ20" i="24" s="1"/>
  <c r="ER19" i="24"/>
  <c r="ER20" i="24" s="1"/>
  <c r="ES19" i="24"/>
  <c r="ES20" i="24" s="1"/>
  <c r="ET19" i="24"/>
  <c r="ET20" i="24" s="1"/>
  <c r="EU19" i="24"/>
  <c r="EU20" i="24" s="1"/>
  <c r="EV19" i="24"/>
  <c r="EV20" i="24" s="1"/>
  <c r="EW19" i="24"/>
  <c r="EW20" i="24" s="1"/>
  <c r="EX19" i="24"/>
  <c r="EX20" i="24" s="1"/>
  <c r="EY19" i="24"/>
  <c r="EY20" i="24" s="1"/>
  <c r="EZ19" i="24"/>
  <c r="EZ20" i="24" s="1"/>
  <c r="FA19" i="24"/>
  <c r="FA20" i="24" s="1"/>
  <c r="FB19" i="24"/>
  <c r="FB20" i="24" s="1"/>
  <c r="C29" i="25" l="1"/>
  <c r="N18" i="27"/>
  <c r="AE44" i="1"/>
  <c r="AE48" i="1" s="1"/>
  <c r="AE98" i="1"/>
  <c r="AG97" i="1"/>
  <c r="AF108" i="1"/>
  <c r="AF98" i="1"/>
  <c r="AF44" i="1"/>
  <c r="AC166" i="1"/>
  <c r="AC162" i="1"/>
  <c r="G54" i="1"/>
  <c r="O98" i="1"/>
  <c r="N98" i="1"/>
  <c r="M98" i="1"/>
  <c r="L98" i="1"/>
  <c r="K98" i="1"/>
  <c r="J98" i="1"/>
  <c r="AA96" i="1"/>
  <c r="AA103" i="1"/>
  <c r="AA107" i="1" s="1"/>
  <c r="AA123" i="1"/>
  <c r="AB161" i="1" s="1"/>
  <c r="AA130" i="1"/>
  <c r="AA145" i="1"/>
  <c r="AA166" i="1"/>
  <c r="AA167" i="1" s="1"/>
  <c r="AB94" i="1"/>
  <c r="AC94" i="1" s="1"/>
  <c r="AA19" i="1"/>
  <c r="C13" i="25"/>
  <c r="Z12" i="1"/>
  <c r="Z15" i="1" s="1"/>
  <c r="Z19" i="1"/>
  <c r="W12" i="1"/>
  <c r="W15" i="1" s="1"/>
  <c r="X12" i="1"/>
  <c r="X15" i="1" s="1"/>
  <c r="Y12" i="1"/>
  <c r="AC2" i="1"/>
  <c r="AO2" i="1" s="1"/>
  <c r="AD2" i="1"/>
  <c r="AP2" i="1" s="1"/>
  <c r="AK2" i="1"/>
  <c r="AL2" i="1"/>
  <c r="AM2" i="1"/>
  <c r="AB2" i="1"/>
  <c r="AN2" i="1" s="1"/>
  <c r="Y19" i="1"/>
  <c r="Y103" i="1"/>
  <c r="Y107" i="1" s="1"/>
  <c r="Y123" i="1"/>
  <c r="Y130" i="1"/>
  <c r="Y145" i="1"/>
  <c r="Z103" i="1"/>
  <c r="Z107" i="1" s="1"/>
  <c r="Z130" i="1"/>
  <c r="Z145" i="1"/>
  <c r="C11" i="20"/>
  <c r="N19" i="27" l="1"/>
  <c r="N25" i="27"/>
  <c r="N26" i="27" s="1"/>
  <c r="Y14" i="1"/>
  <c r="Y42" i="1" s="1"/>
  <c r="Y15" i="1"/>
  <c r="AE40" i="1"/>
  <c r="BC40" i="1" s="1"/>
  <c r="BO40" i="1" s="1"/>
  <c r="CA40" i="1" s="1"/>
  <c r="CM40" i="1" s="1"/>
  <c r="CY40" i="1" s="1"/>
  <c r="AF40" i="1"/>
  <c r="AG40" i="1"/>
  <c r="AF48" i="1"/>
  <c r="AG98" i="1"/>
  <c r="AG44" i="1"/>
  <c r="AG108" i="1"/>
  <c r="AZ2" i="1"/>
  <c r="AZ20" i="1" s="1"/>
  <c r="AY2" i="1"/>
  <c r="AY20" i="1" s="1"/>
  <c r="BB2" i="1"/>
  <c r="BB20" i="1" s="1"/>
  <c r="BA2" i="1"/>
  <c r="BA20" i="1" s="1"/>
  <c r="BD2" i="1"/>
  <c r="BD20" i="1" s="1"/>
  <c r="AC167" i="1"/>
  <c r="AD94" i="1"/>
  <c r="AE94" i="1" s="1"/>
  <c r="AC95" i="1"/>
  <c r="Y95" i="1"/>
  <c r="Y96" i="1"/>
  <c r="Z95" i="1"/>
  <c r="Z96" i="1"/>
  <c r="AB162" i="1"/>
  <c r="AA95" i="1"/>
  <c r="AA14" i="1"/>
  <c r="AA42" i="1" s="1"/>
  <c r="AA162" i="1"/>
  <c r="Y131" i="1"/>
  <c r="Y132" i="1" s="1"/>
  <c r="T96" i="1"/>
  <c r="W96" i="1"/>
  <c r="X96" i="1"/>
  <c r="X103" i="1"/>
  <c r="X107" i="1" s="1"/>
  <c r="X120" i="1"/>
  <c r="X123" i="1"/>
  <c r="X130" i="1"/>
  <c r="X145" i="1"/>
  <c r="AY91" i="1"/>
  <c r="X14" i="1"/>
  <c r="X42" i="1" s="1"/>
  <c r="X19" i="1"/>
  <c r="AD40" i="1"/>
  <c r="AY92" i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CZ92" i="1" s="1"/>
  <c r="DA92" i="1" s="1"/>
  <c r="DB92" i="1" s="1"/>
  <c r="DC92" i="1" s="1"/>
  <c r="DD92" i="1" s="1"/>
  <c r="DE92" i="1" s="1"/>
  <c r="DF92" i="1" s="1"/>
  <c r="DG92" i="1" s="1"/>
  <c r="R96" i="1"/>
  <c r="P96" i="1"/>
  <c r="W14" i="1"/>
  <c r="W42" i="1" s="1"/>
  <c r="W19" i="1"/>
  <c r="W103" i="1"/>
  <c r="W107" i="1" s="1"/>
  <c r="W120" i="1"/>
  <c r="W123" i="1"/>
  <c r="W130" i="1"/>
  <c r="W166" i="1"/>
  <c r="W167" i="1" s="1"/>
  <c r="F19" i="1"/>
  <c r="AB40" i="1"/>
  <c r="P21" i="1"/>
  <c r="O21" i="1"/>
  <c r="N21" i="1"/>
  <c r="M21" i="1"/>
  <c r="L21" i="1"/>
  <c r="K21" i="1"/>
  <c r="J21" i="1"/>
  <c r="I21" i="1"/>
  <c r="H21" i="1"/>
  <c r="G21" i="1"/>
  <c r="P20" i="1"/>
  <c r="O20" i="1"/>
  <c r="N20" i="1"/>
  <c r="M20" i="1"/>
  <c r="L20" i="1"/>
  <c r="K20" i="1"/>
  <c r="J20" i="1"/>
  <c r="I20" i="1"/>
  <c r="H20" i="1"/>
  <c r="G20" i="1"/>
  <c r="F21" i="1"/>
  <c r="F20" i="1"/>
  <c r="D11" i="20"/>
  <c r="F11" i="20"/>
  <c r="H11" i="20"/>
  <c r="I25" i="15"/>
  <c r="H25" i="15"/>
  <c r="G25" i="15"/>
  <c r="F25" i="15"/>
  <c r="E25" i="15"/>
  <c r="D25" i="15"/>
  <c r="C25" i="15"/>
  <c r="V130" i="1"/>
  <c r="U130" i="1"/>
  <c r="T130" i="1"/>
  <c r="S130" i="1"/>
  <c r="R130" i="1"/>
  <c r="Q130" i="1"/>
  <c r="P130" i="1"/>
  <c r="V12" i="1"/>
  <c r="U12" i="1"/>
  <c r="S12" i="1"/>
  <c r="S15" i="1" s="1"/>
  <c r="S120" i="1"/>
  <c r="T120" i="1"/>
  <c r="U120" i="1"/>
  <c r="V120" i="1"/>
  <c r="S123" i="1"/>
  <c r="T123" i="1"/>
  <c r="U123" i="1"/>
  <c r="V123" i="1"/>
  <c r="S145" i="1"/>
  <c r="T145" i="1"/>
  <c r="U145" i="1"/>
  <c r="V145" i="1"/>
  <c r="T103" i="1"/>
  <c r="T107" i="1" s="1"/>
  <c r="U103" i="1"/>
  <c r="U107" i="1" s="1"/>
  <c r="V103" i="1"/>
  <c r="V107" i="1" s="1"/>
  <c r="S103" i="1"/>
  <c r="S107" i="1" s="1"/>
  <c r="V19" i="1"/>
  <c r="U19" i="1"/>
  <c r="T12" i="1"/>
  <c r="T19" i="1"/>
  <c r="S19" i="1"/>
  <c r="AZ91" i="1" l="1"/>
  <c r="AF41" i="28"/>
  <c r="AD18" i="28"/>
  <c r="AI49" i="28"/>
  <c r="N11" i="24"/>
  <c r="W33" i="1"/>
  <c r="AA33" i="1"/>
  <c r="Y33" i="1"/>
  <c r="Y124" i="1"/>
  <c r="Y64" i="1"/>
  <c r="Y65" i="1" s="1"/>
  <c r="U14" i="1"/>
  <c r="U15" i="1"/>
  <c r="V14" i="1"/>
  <c r="V15" i="1"/>
  <c r="T14" i="1"/>
  <c r="T15" i="1"/>
  <c r="AG48" i="1"/>
  <c r="AE41" i="1"/>
  <c r="AE43" i="1" s="1"/>
  <c r="AF41" i="1"/>
  <c r="AF43" i="1" s="1"/>
  <c r="BD40" i="1"/>
  <c r="BP40" i="1" s="1"/>
  <c r="CB40" i="1" s="1"/>
  <c r="CN40" i="1" s="1"/>
  <c r="CZ40" i="1" s="1"/>
  <c r="Y40" i="1"/>
  <c r="BI40" i="1" s="1"/>
  <c r="BU40" i="1" s="1"/>
  <c r="CG40" i="1" s="1"/>
  <c r="CS40" i="1" s="1"/>
  <c r="DE40" i="1" s="1"/>
  <c r="AA40" i="1"/>
  <c r="Z40" i="1"/>
  <c r="V40" i="1"/>
  <c r="BF40" i="1" s="1"/>
  <c r="BR40" i="1" s="1"/>
  <c r="CD40" i="1" s="1"/>
  <c r="CP40" i="1" s="1"/>
  <c r="DB40" i="1" s="1"/>
  <c r="N40" i="1"/>
  <c r="N41" i="1" s="1"/>
  <c r="O40" i="1"/>
  <c r="O41" i="1" s="1"/>
  <c r="W40" i="1"/>
  <c r="X40" i="1"/>
  <c r="Q40" i="1"/>
  <c r="Q41" i="1" s="1"/>
  <c r="R40" i="1"/>
  <c r="R41" i="1" s="1"/>
  <c r="L40" i="1"/>
  <c r="L41" i="1" s="1"/>
  <c r="T40" i="1"/>
  <c r="T41" i="1" s="1"/>
  <c r="AC40" i="1"/>
  <c r="AG41" i="1"/>
  <c r="AG43" i="1" s="1"/>
  <c r="AI45" i="1" s="1"/>
  <c r="AI47" i="1" s="1"/>
  <c r="P40" i="1"/>
  <c r="P41" i="1" s="1"/>
  <c r="S40" i="1"/>
  <c r="S41" i="1" s="1"/>
  <c r="M40" i="1"/>
  <c r="M41" i="1" s="1"/>
  <c r="U40" i="1"/>
  <c r="U41" i="1" s="1"/>
  <c r="AG160" i="1"/>
  <c r="AG163" i="1" s="1"/>
  <c r="AG169" i="1" s="1"/>
  <c r="AF94" i="1"/>
  <c r="AG94" i="1" s="1"/>
  <c r="AH94" i="1" s="1"/>
  <c r="AI94" i="1" s="1"/>
  <c r="AJ94" i="1" s="1"/>
  <c r="AE95" i="1"/>
  <c r="BM2" i="1"/>
  <c r="BM20" i="1" s="1"/>
  <c r="BH2" i="1"/>
  <c r="BH20" i="1" s="1"/>
  <c r="BJ2" i="1"/>
  <c r="BJ20" i="1" s="1"/>
  <c r="BL2" i="1"/>
  <c r="BL20" i="1" s="1"/>
  <c r="BF2" i="1"/>
  <c r="BF20" i="1" s="1"/>
  <c r="BK2" i="1"/>
  <c r="BK20" i="1" s="1"/>
  <c r="BG2" i="1"/>
  <c r="BG20" i="1" s="1"/>
  <c r="BI2" i="1"/>
  <c r="BI20" i="1" s="1"/>
  <c r="BN2" i="1"/>
  <c r="BN20" i="1" s="1"/>
  <c r="BE2" i="1"/>
  <c r="BE20" i="1" s="1"/>
  <c r="BC2" i="1"/>
  <c r="BC20" i="1" s="1"/>
  <c r="BP2" i="1"/>
  <c r="BP20" i="1" s="1"/>
  <c r="X33" i="1"/>
  <c r="AA64" i="1"/>
  <c r="AD41" i="1"/>
  <c r="AD43" i="1" s="1"/>
  <c r="AD95" i="1"/>
  <c r="G33" i="25"/>
  <c r="C23" i="25"/>
  <c r="C24" i="25" s="1"/>
  <c r="AB96" i="1"/>
  <c r="U95" i="1"/>
  <c r="U96" i="1"/>
  <c r="S95" i="1"/>
  <c r="S96" i="1"/>
  <c r="V95" i="1"/>
  <c r="V96" i="1"/>
  <c r="AB41" i="1"/>
  <c r="AB95" i="1"/>
  <c r="AA124" i="1"/>
  <c r="X95" i="1"/>
  <c r="X131" i="1"/>
  <c r="X132" i="1" s="1"/>
  <c r="W95" i="1"/>
  <c r="X64" i="1"/>
  <c r="X124" i="1"/>
  <c r="W145" i="1"/>
  <c r="W162" i="1" s="1"/>
  <c r="W131" i="1"/>
  <c r="W132" i="1" s="1"/>
  <c r="T95" i="1"/>
  <c r="W124" i="1"/>
  <c r="T162" i="1"/>
  <c r="S14" i="1"/>
  <c r="V162" i="1"/>
  <c r="J25" i="15"/>
  <c r="U162" i="1"/>
  <c r="S131" i="1"/>
  <c r="S132" i="1" s="1"/>
  <c r="U131" i="1"/>
  <c r="U132" i="1" s="1"/>
  <c r="V131" i="1"/>
  <c r="V132" i="1" s="1"/>
  <c r="T131" i="1"/>
  <c r="T132" i="1" s="1"/>
  <c r="L166" i="1"/>
  <c r="M166" i="1"/>
  <c r="N166" i="1"/>
  <c r="O166" i="1"/>
  <c r="P166" i="1"/>
  <c r="P167" i="1" s="1"/>
  <c r="Q166" i="1"/>
  <c r="R166" i="1"/>
  <c r="S166" i="1"/>
  <c r="T166" i="1"/>
  <c r="U166" i="1"/>
  <c r="V166" i="1"/>
  <c r="K166" i="1"/>
  <c r="R95" i="1"/>
  <c r="R103" i="1"/>
  <c r="R107" i="1" s="1"/>
  <c r="R120" i="1"/>
  <c r="R123" i="1"/>
  <c r="R145" i="1"/>
  <c r="S162" i="1" s="1"/>
  <c r="R12" i="1"/>
  <c r="R15" i="1" s="1"/>
  <c r="R19" i="1"/>
  <c r="Q12" i="1"/>
  <c r="Q15" i="1" s="1"/>
  <c r="Q19" i="1"/>
  <c r="Q103" i="1"/>
  <c r="Q107" i="1" s="1"/>
  <c r="Q120" i="1"/>
  <c r="Q123" i="1"/>
  <c r="Q145" i="1"/>
  <c r="P120" i="1"/>
  <c r="P145" i="1"/>
  <c r="P103" i="1"/>
  <c r="P107" i="1" s="1"/>
  <c r="P95" i="1"/>
  <c r="P12" i="1"/>
  <c r="P15" i="1" s="1"/>
  <c r="P19" i="1"/>
  <c r="M123" i="1"/>
  <c r="L123" i="1"/>
  <c r="K123" i="1"/>
  <c r="AG41" i="28" l="1"/>
  <c r="BA91" i="1"/>
  <c r="S33" i="1"/>
  <c r="S42" i="1"/>
  <c r="S43" i="1" s="1"/>
  <c r="T33" i="1"/>
  <c r="T42" i="1"/>
  <c r="T43" i="1" s="1"/>
  <c r="V33" i="1"/>
  <c r="V42" i="1"/>
  <c r="U33" i="1"/>
  <c r="U42" i="1"/>
  <c r="U43" i="1" s="1"/>
  <c r="BE40" i="1"/>
  <c r="BQ40" i="1" s="1"/>
  <c r="CC40" i="1" s="1"/>
  <c r="CO40" i="1" s="1"/>
  <c r="DA40" i="1" s="1"/>
  <c r="BB40" i="1"/>
  <c r="BN40" i="1" s="1"/>
  <c r="BZ40" i="1" s="1"/>
  <c r="CL40" i="1" s="1"/>
  <c r="CX40" i="1" s="1"/>
  <c r="Y97" i="1"/>
  <c r="Y98" i="1" s="1"/>
  <c r="AZ40" i="1"/>
  <c r="BL40" i="1" s="1"/>
  <c r="BX40" i="1" s="1"/>
  <c r="CJ40" i="1" s="1"/>
  <c r="CV40" i="1" s="1"/>
  <c r="AK94" i="1"/>
  <c r="AL94" i="1" s="1"/>
  <c r="AJ95" i="1"/>
  <c r="V64" i="1"/>
  <c r="V65" i="1" s="1"/>
  <c r="AI95" i="1"/>
  <c r="U124" i="1"/>
  <c r="V124" i="1"/>
  <c r="AH45" i="1"/>
  <c r="AH47" i="1" s="1"/>
  <c r="X97" i="1"/>
  <c r="X65" i="1"/>
  <c r="AA97" i="1"/>
  <c r="AA108" i="1" s="1"/>
  <c r="AA160" i="1" s="1"/>
  <c r="AA65" i="1"/>
  <c r="AH95" i="1"/>
  <c r="U64" i="1"/>
  <c r="U65" i="1" s="1"/>
  <c r="T124" i="1"/>
  <c r="T64" i="1"/>
  <c r="AG45" i="1"/>
  <c r="AG47" i="1" s="1"/>
  <c r="V41" i="1"/>
  <c r="Y41" i="1"/>
  <c r="Y43" i="1" s="1"/>
  <c r="AC41" i="1"/>
  <c r="AC43" i="1" s="1"/>
  <c r="AE45" i="1" s="1"/>
  <c r="AE47" i="1" s="1"/>
  <c r="BA40" i="1"/>
  <c r="BM40" i="1" s="1"/>
  <c r="BY40" i="1" s="1"/>
  <c r="CK40" i="1" s="1"/>
  <c r="CW40" i="1" s="1"/>
  <c r="X41" i="1"/>
  <c r="X43" i="1" s="1"/>
  <c r="BH40" i="1"/>
  <c r="BT40" i="1" s="1"/>
  <c r="CF40" i="1" s="1"/>
  <c r="CR40" i="1" s="1"/>
  <c r="DD40" i="1" s="1"/>
  <c r="W41" i="1"/>
  <c r="W43" i="1" s="1"/>
  <c r="BG40" i="1"/>
  <c r="BS40" i="1" s="1"/>
  <c r="CE40" i="1" s="1"/>
  <c r="CQ40" i="1" s="1"/>
  <c r="DC40" i="1" s="1"/>
  <c r="AG95" i="1"/>
  <c r="AF95" i="1"/>
  <c r="AF45" i="1"/>
  <c r="AF47" i="1" s="1"/>
  <c r="BS2" i="1"/>
  <c r="BS20" i="1" s="1"/>
  <c r="BZ2" i="1"/>
  <c r="BZ20" i="1" s="1"/>
  <c r="BR2" i="1"/>
  <c r="BR20" i="1" s="1"/>
  <c r="BU2" i="1"/>
  <c r="BU20" i="1" s="1"/>
  <c r="BV2" i="1"/>
  <c r="BV20" i="1" s="1"/>
  <c r="BQ2" i="1"/>
  <c r="BQ20" i="1" s="1"/>
  <c r="BW2" i="1"/>
  <c r="BW20" i="1" s="1"/>
  <c r="BT2" i="1"/>
  <c r="BT20" i="1" s="1"/>
  <c r="BX2" i="1"/>
  <c r="BX20" i="1" s="1"/>
  <c r="BY2" i="1"/>
  <c r="BY20" i="1" s="1"/>
  <c r="AD48" i="1"/>
  <c r="AC48" i="1"/>
  <c r="BO2" i="1"/>
  <c r="BO20" i="1" s="1"/>
  <c r="CB2" i="1"/>
  <c r="CB20" i="1" s="1"/>
  <c r="H33" i="25"/>
  <c r="Q96" i="1"/>
  <c r="AA41" i="1"/>
  <c r="AA43" i="1" s="1"/>
  <c r="Z41" i="1"/>
  <c r="Q95" i="1"/>
  <c r="S124" i="1"/>
  <c r="S64" i="1"/>
  <c r="S65" i="1" s="1"/>
  <c r="Q14" i="1"/>
  <c r="Q42" i="1" s="1"/>
  <c r="K25" i="15"/>
  <c r="P14" i="1"/>
  <c r="Q162" i="1"/>
  <c r="R14" i="1"/>
  <c r="R162" i="1"/>
  <c r="X162" i="1"/>
  <c r="Q131" i="1"/>
  <c r="Q132" i="1" s="1"/>
  <c r="R131" i="1"/>
  <c r="R132" i="1" s="1"/>
  <c r="C30" i="6"/>
  <c r="C19" i="15"/>
  <c r="C31" i="6"/>
  <c r="AY27" i="1"/>
  <c r="L26" i="1"/>
  <c r="O19" i="1"/>
  <c r="N19" i="1"/>
  <c r="M19" i="1"/>
  <c r="L19" i="1"/>
  <c r="K19" i="1"/>
  <c r="J19" i="1"/>
  <c r="I19" i="1"/>
  <c r="H19" i="1"/>
  <c r="G19" i="1"/>
  <c r="E19" i="1"/>
  <c r="AH41" i="28" l="1"/>
  <c r="BB91" i="1"/>
  <c r="AZ27" i="1"/>
  <c r="AF22" i="28"/>
  <c r="R33" i="1"/>
  <c r="R42" i="1"/>
  <c r="R43" i="1" s="1"/>
  <c r="P33" i="1"/>
  <c r="P42" i="1"/>
  <c r="P43" i="1" s="1"/>
  <c r="Y44" i="1"/>
  <c r="Y48" i="1" s="1"/>
  <c r="Y108" i="1"/>
  <c r="AM94" i="1"/>
  <c r="AN94" i="1" s="1"/>
  <c r="AO94" i="1" s="1"/>
  <c r="AP94" i="1" s="1"/>
  <c r="AL95" i="1"/>
  <c r="AY40" i="1"/>
  <c r="BK40" i="1" s="1"/>
  <c r="BW40" i="1" s="1"/>
  <c r="CI40" i="1" s="1"/>
  <c r="CU40" i="1" s="1"/>
  <c r="DG40" i="1" s="1"/>
  <c r="BJ40" i="1"/>
  <c r="BV40" i="1" s="1"/>
  <c r="CH40" i="1" s="1"/>
  <c r="CT40" i="1" s="1"/>
  <c r="DF40" i="1" s="1"/>
  <c r="AK95" i="1"/>
  <c r="U97" i="1"/>
  <c r="U108" i="1" s="1"/>
  <c r="V43" i="1"/>
  <c r="V97" i="1"/>
  <c r="V98" i="1" s="1"/>
  <c r="AA98" i="1"/>
  <c r="T97" i="1"/>
  <c r="T44" i="1" s="1"/>
  <c r="T48" i="1" s="1"/>
  <c r="T65" i="1"/>
  <c r="CG2" i="1"/>
  <c r="CG20" i="1" s="1"/>
  <c r="CI2" i="1"/>
  <c r="CI20" i="1" s="1"/>
  <c r="CJ2" i="1"/>
  <c r="CJ20" i="1" s="1"/>
  <c r="CC2" i="1"/>
  <c r="CC20" i="1" s="1"/>
  <c r="CL2" i="1"/>
  <c r="CL20" i="1" s="1"/>
  <c r="CF2" i="1"/>
  <c r="CF20" i="1" s="1"/>
  <c r="CK2" i="1"/>
  <c r="CK20" i="1" s="1"/>
  <c r="CD2" i="1"/>
  <c r="CD20" i="1" s="1"/>
  <c r="CH2" i="1"/>
  <c r="CH20" i="1" s="1"/>
  <c r="CE2" i="1"/>
  <c r="CE20" i="1" s="1"/>
  <c r="CA2" i="1"/>
  <c r="CA20" i="1" s="1"/>
  <c r="CN2" i="1"/>
  <c r="CN20" i="1" s="1"/>
  <c r="AY35" i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AY37" i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AY34" i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AY38" i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Q43" i="1"/>
  <c r="Q33" i="1"/>
  <c r="S97" i="1"/>
  <c r="S98" i="1" s="1"/>
  <c r="X108" i="1"/>
  <c r="X98" i="1"/>
  <c r="P64" i="1"/>
  <c r="P65" i="1" s="1"/>
  <c r="R124" i="1"/>
  <c r="R64" i="1"/>
  <c r="R65" i="1" s="1"/>
  <c r="X166" i="1"/>
  <c r="C19" i="6"/>
  <c r="DF27" i="1"/>
  <c r="DG27" i="1" s="1"/>
  <c r="K18" i="19"/>
  <c r="N145" i="1"/>
  <c r="M145" i="1"/>
  <c r="L145" i="1"/>
  <c r="K145" i="1"/>
  <c r="K162" i="1" s="1"/>
  <c r="J145" i="1"/>
  <c r="J162" i="1" s="1"/>
  <c r="O145" i="1"/>
  <c r="P162" i="1" s="1"/>
  <c r="O120" i="1"/>
  <c r="O93" i="1"/>
  <c r="O12" i="1"/>
  <c r="O15" i="1" s="1"/>
  <c r="K93" i="1"/>
  <c r="L93" i="1"/>
  <c r="M93" i="1"/>
  <c r="N93" i="1"/>
  <c r="AI41" i="28" l="1"/>
  <c r="BC91" i="1"/>
  <c r="AG22" i="28"/>
  <c r="BA27" i="1"/>
  <c r="AQ94" i="1"/>
  <c r="AR94" i="1" s="1"/>
  <c r="AP95" i="1"/>
  <c r="AO95" i="1"/>
  <c r="AN95" i="1"/>
  <c r="AM95" i="1"/>
  <c r="U98" i="1"/>
  <c r="V44" i="1"/>
  <c r="V48" i="1" s="1"/>
  <c r="U44" i="1"/>
  <c r="U48" i="1" s="1"/>
  <c r="V108" i="1"/>
  <c r="T98" i="1"/>
  <c r="T108" i="1"/>
  <c r="AF161" i="1"/>
  <c r="CQ2" i="1"/>
  <c r="CQ20" i="1" s="1"/>
  <c r="CP2" i="1"/>
  <c r="CP20" i="1" s="1"/>
  <c r="CO2" i="1"/>
  <c r="CO20" i="1" s="1"/>
  <c r="CW2" i="1"/>
  <c r="CW20" i="1" s="1"/>
  <c r="CT2" i="1"/>
  <c r="CT20" i="1" s="1"/>
  <c r="CV2" i="1"/>
  <c r="CV20" i="1" s="1"/>
  <c r="CR2" i="1"/>
  <c r="CR20" i="1" s="1"/>
  <c r="CU2" i="1"/>
  <c r="CU20" i="1" s="1"/>
  <c r="CX2" i="1"/>
  <c r="CX20" i="1" s="1"/>
  <c r="CS2" i="1"/>
  <c r="CS20" i="1" s="1"/>
  <c r="CM2" i="1"/>
  <c r="CM20" i="1" s="1"/>
  <c r="CZ2" i="1"/>
  <c r="CZ20" i="1" s="1"/>
  <c r="S44" i="1"/>
  <c r="R97" i="1"/>
  <c r="R98" i="1" s="1"/>
  <c r="P97" i="1"/>
  <c r="P98" i="1" s="1"/>
  <c r="S108" i="1"/>
  <c r="K95" i="1"/>
  <c r="M95" i="1"/>
  <c r="O95" i="1"/>
  <c r="N95" i="1"/>
  <c r="L95" i="1"/>
  <c r="M162" i="1"/>
  <c r="N162" i="1"/>
  <c r="L162" i="1"/>
  <c r="O162" i="1"/>
  <c r="D20" i="6"/>
  <c r="E20" i="6"/>
  <c r="F20" i="6"/>
  <c r="G20" i="6"/>
  <c r="H20" i="6"/>
  <c r="I20" i="6"/>
  <c r="J20" i="6"/>
  <c r="K20" i="6"/>
  <c r="L20" i="6"/>
  <c r="M20" i="6"/>
  <c r="C20" i="6"/>
  <c r="L107" i="1"/>
  <c r="K107" i="1"/>
  <c r="N20" i="6"/>
  <c r="AJ41" i="28" l="1"/>
  <c r="BD91" i="1"/>
  <c r="AH22" i="28"/>
  <c r="BB27" i="1"/>
  <c r="AS94" i="1"/>
  <c r="AR95" i="1"/>
  <c r="AQ95" i="1"/>
  <c r="U45" i="1"/>
  <c r="U47" i="1" s="1"/>
  <c r="V45" i="1"/>
  <c r="V47" i="1" s="1"/>
  <c r="AE161" i="1"/>
  <c r="DE2" i="1"/>
  <c r="DE20" i="1" s="1"/>
  <c r="DA2" i="1"/>
  <c r="DA20" i="1" s="1"/>
  <c r="DD2" i="1"/>
  <c r="DD20" i="1" s="1"/>
  <c r="DB2" i="1"/>
  <c r="DB20" i="1" s="1"/>
  <c r="DG2" i="1"/>
  <c r="DG20" i="1" s="1"/>
  <c r="DF2" i="1"/>
  <c r="DF20" i="1" s="1"/>
  <c r="DC2" i="1"/>
  <c r="DC20" i="1" s="1"/>
  <c r="CY2" i="1"/>
  <c r="CY20" i="1" s="1"/>
  <c r="R44" i="1"/>
  <c r="T45" i="1" s="1"/>
  <c r="T47" i="1" s="1"/>
  <c r="R108" i="1"/>
  <c r="S48" i="1"/>
  <c r="P44" i="1"/>
  <c r="P48" i="1" s="1"/>
  <c r="P108" i="1"/>
  <c r="P160" i="1" s="1"/>
  <c r="P20" i="6"/>
  <c r="C45" i="18"/>
  <c r="B34" i="18"/>
  <c r="C34" i="18" s="1"/>
  <c r="B12" i="18"/>
  <c r="C12" i="18" s="1"/>
  <c r="E3" i="18"/>
  <c r="C2" i="18"/>
  <c r="K27" i="16"/>
  <c r="N123" i="1"/>
  <c r="J120" i="1"/>
  <c r="K120" i="1"/>
  <c r="K131" i="1" s="1"/>
  <c r="K132" i="1" s="1"/>
  <c r="L120" i="1"/>
  <c r="L131" i="1" s="1"/>
  <c r="L132" i="1" s="1"/>
  <c r="M120" i="1"/>
  <c r="M131" i="1" s="1"/>
  <c r="M132" i="1" s="1"/>
  <c r="N120" i="1"/>
  <c r="L12" i="1"/>
  <c r="M12" i="1"/>
  <c r="N12" i="1"/>
  <c r="N15" i="1" s="1"/>
  <c r="K12" i="1"/>
  <c r="AK41" i="28" l="1"/>
  <c r="BE91" i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CV91" i="1" s="1"/>
  <c r="CW91" i="1" s="1"/>
  <c r="CX91" i="1" s="1"/>
  <c r="CY91" i="1" s="1"/>
  <c r="CZ91" i="1" s="1"/>
  <c r="DA91" i="1" s="1"/>
  <c r="DB91" i="1" s="1"/>
  <c r="DC91" i="1" s="1"/>
  <c r="DD91" i="1" s="1"/>
  <c r="DE91" i="1" s="1"/>
  <c r="DF91" i="1" s="1"/>
  <c r="DG91" i="1" s="1"/>
  <c r="AI22" i="28"/>
  <c r="BC27" i="1"/>
  <c r="AT94" i="1"/>
  <c r="AS95" i="1"/>
  <c r="K14" i="1"/>
  <c r="K33" i="1" s="1"/>
  <c r="K15" i="1"/>
  <c r="M14" i="1"/>
  <c r="M15" i="1"/>
  <c r="L14" i="1"/>
  <c r="L15" i="1"/>
  <c r="AE160" i="1"/>
  <c r="AE163" i="1" s="1"/>
  <c r="AE169" i="1" s="1"/>
  <c r="R48" i="1"/>
  <c r="P152" i="1"/>
  <c r="P153" i="1" s="1"/>
  <c r="E11" i="5"/>
  <c r="E16" i="5" s="1"/>
  <c r="F16" i="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L26" i="6"/>
  <c r="K26" i="6"/>
  <c r="J26" i="6"/>
  <c r="J13" i="6"/>
  <c r="K13" i="6"/>
  <c r="L13" i="6"/>
  <c r="M13" i="6"/>
  <c r="N13" i="6"/>
  <c r="L12" i="6"/>
  <c r="K12" i="6"/>
  <c r="J12" i="6"/>
  <c r="C10" i="6"/>
  <c r="D10" i="6"/>
  <c r="E10" i="6"/>
  <c r="F10" i="6"/>
  <c r="G10" i="6"/>
  <c r="H10" i="6"/>
  <c r="I10" i="6"/>
  <c r="J10" i="6"/>
  <c r="K10" i="6"/>
  <c r="L10" i="6"/>
  <c r="M10" i="6"/>
  <c r="N10" i="6"/>
  <c r="E1" i="1"/>
  <c r="E3" i="1" s="1"/>
  <c r="F1" i="1"/>
  <c r="F3" i="1" s="1"/>
  <c r="G1" i="1"/>
  <c r="G3" i="1" s="1"/>
  <c r="H1" i="1"/>
  <c r="I1" i="1"/>
  <c r="J1" i="1"/>
  <c r="J3" i="1" s="1"/>
  <c r="K1" i="1"/>
  <c r="L1" i="1"/>
  <c r="L3" i="1" s="1"/>
  <c r="M1" i="1"/>
  <c r="M3" i="1" s="1"/>
  <c r="N1" i="1"/>
  <c r="N3" i="1" s="1"/>
  <c r="O1" i="1"/>
  <c r="O3" i="1" s="1"/>
  <c r="P1" i="1"/>
  <c r="P3" i="1" s="1"/>
  <c r="Q1" i="1"/>
  <c r="Q3" i="1" s="1"/>
  <c r="R1" i="1"/>
  <c r="R3" i="1" s="1"/>
  <c r="S1" i="1"/>
  <c r="S3" i="1" s="1"/>
  <c r="T1" i="1"/>
  <c r="T3" i="1" s="1"/>
  <c r="U1" i="1"/>
  <c r="U3" i="1" s="1"/>
  <c r="V1" i="1"/>
  <c r="V3" i="1" s="1"/>
  <c r="W1" i="1"/>
  <c r="W3" i="1" s="1"/>
  <c r="X1" i="1"/>
  <c r="X3" i="1" s="1"/>
  <c r="Y1" i="1"/>
  <c r="Y3" i="1" s="1"/>
  <c r="Z1" i="1"/>
  <c r="Z3" i="1" s="1"/>
  <c r="AA1" i="1"/>
  <c r="AA3" i="1" s="1"/>
  <c r="AB3" i="1"/>
  <c r="AC1" i="1"/>
  <c r="AC3" i="1" s="1"/>
  <c r="AD1" i="1"/>
  <c r="AD3" i="1" s="1"/>
  <c r="AK1" i="1"/>
  <c r="AK3" i="1" s="1"/>
  <c r="AL1" i="1"/>
  <c r="AL3" i="1" s="1"/>
  <c r="AM1" i="1"/>
  <c r="AM3" i="1" s="1"/>
  <c r="AN1" i="1"/>
  <c r="AN3" i="1" s="1"/>
  <c r="AO1" i="1"/>
  <c r="AO3" i="1" s="1"/>
  <c r="AY1" i="1"/>
  <c r="AY3" i="1" s="1"/>
  <c r="AZ1" i="1"/>
  <c r="AZ3" i="1" s="1"/>
  <c r="BA1" i="1"/>
  <c r="BA3" i="1" s="1"/>
  <c r="BB1" i="1"/>
  <c r="BB3" i="1" s="1"/>
  <c r="BB86" i="1" s="1"/>
  <c r="AI36" i="28" s="1"/>
  <c r="BC1" i="1"/>
  <c r="BC3" i="1" s="1"/>
  <c r="BD1" i="1"/>
  <c r="BD3" i="1" s="1"/>
  <c r="BE1" i="1"/>
  <c r="BE3" i="1" s="1"/>
  <c r="BF1" i="1"/>
  <c r="BF3" i="1" s="1"/>
  <c r="BG1" i="1"/>
  <c r="BG3" i="1" s="1"/>
  <c r="BH1" i="1"/>
  <c r="BH3" i="1" s="1"/>
  <c r="BI1" i="1"/>
  <c r="BI3" i="1" s="1"/>
  <c r="BJ1" i="1"/>
  <c r="BJ3" i="1" s="1"/>
  <c r="BJ86" i="1" s="1"/>
  <c r="BK1" i="1"/>
  <c r="BK3" i="1" s="1"/>
  <c r="BL1" i="1"/>
  <c r="BL3" i="1" s="1"/>
  <c r="BM1" i="1"/>
  <c r="BM3" i="1" s="1"/>
  <c r="BN1" i="1"/>
  <c r="BN3" i="1" s="1"/>
  <c r="BO1" i="1"/>
  <c r="BO3" i="1" s="1"/>
  <c r="BP1" i="1"/>
  <c r="BP3" i="1" s="1"/>
  <c r="BQ1" i="1"/>
  <c r="BQ3" i="1" s="1"/>
  <c r="BR1" i="1"/>
  <c r="BR3" i="1" s="1"/>
  <c r="BR86" i="1" s="1"/>
  <c r="BS1" i="1"/>
  <c r="BS3" i="1" s="1"/>
  <c r="BT1" i="1"/>
  <c r="BT3" i="1" s="1"/>
  <c r="BU1" i="1"/>
  <c r="BU3" i="1" s="1"/>
  <c r="BV1" i="1"/>
  <c r="BV3" i="1" s="1"/>
  <c r="BW1" i="1"/>
  <c r="BW3" i="1" s="1"/>
  <c r="BX1" i="1"/>
  <c r="BX3" i="1" s="1"/>
  <c r="BY1" i="1"/>
  <c r="BY3" i="1" s="1"/>
  <c r="BZ1" i="1"/>
  <c r="BZ3" i="1" s="1"/>
  <c r="BZ86" i="1" s="1"/>
  <c r="CA1" i="1"/>
  <c r="CA3" i="1" s="1"/>
  <c r="CB1" i="1"/>
  <c r="CB3" i="1" s="1"/>
  <c r="CC1" i="1"/>
  <c r="CC3" i="1" s="1"/>
  <c r="CD1" i="1"/>
  <c r="CD3" i="1" s="1"/>
  <c r="CE1" i="1"/>
  <c r="CE3" i="1" s="1"/>
  <c r="CF1" i="1"/>
  <c r="CF3" i="1" s="1"/>
  <c r="CG1" i="1"/>
  <c r="CG3" i="1" s="1"/>
  <c r="CH1" i="1"/>
  <c r="CH3" i="1" s="1"/>
  <c r="CH86" i="1" s="1"/>
  <c r="CI1" i="1"/>
  <c r="CI3" i="1" s="1"/>
  <c r="CJ1" i="1"/>
  <c r="CJ3" i="1" s="1"/>
  <c r="CK1" i="1"/>
  <c r="CK3" i="1" s="1"/>
  <c r="CL1" i="1"/>
  <c r="CL3" i="1" s="1"/>
  <c r="CM1" i="1"/>
  <c r="CM3" i="1" s="1"/>
  <c r="CN1" i="1"/>
  <c r="CN3" i="1" s="1"/>
  <c r="CO1" i="1"/>
  <c r="CO3" i="1" s="1"/>
  <c r="CP1" i="1"/>
  <c r="CP3" i="1" s="1"/>
  <c r="CP86" i="1" s="1"/>
  <c r="CQ1" i="1"/>
  <c r="CQ3" i="1" s="1"/>
  <c r="CR1" i="1"/>
  <c r="CR3" i="1" s="1"/>
  <c r="CS1" i="1"/>
  <c r="CS3" i="1" s="1"/>
  <c r="CT1" i="1"/>
  <c r="CT3" i="1" s="1"/>
  <c r="CU1" i="1"/>
  <c r="CU3" i="1" s="1"/>
  <c r="CV1" i="1"/>
  <c r="CV3" i="1" s="1"/>
  <c r="CW1" i="1"/>
  <c r="CW3" i="1" s="1"/>
  <c r="CX1" i="1"/>
  <c r="CX3" i="1" s="1"/>
  <c r="CX86" i="1" s="1"/>
  <c r="CY1" i="1"/>
  <c r="CY3" i="1" s="1"/>
  <c r="CZ1" i="1"/>
  <c r="CZ3" i="1" s="1"/>
  <c r="DA1" i="1"/>
  <c r="DA3" i="1" s="1"/>
  <c r="DB1" i="1"/>
  <c r="DB3" i="1" s="1"/>
  <c r="DC1" i="1"/>
  <c r="DC3" i="1" s="1"/>
  <c r="DD1" i="1"/>
  <c r="DD3" i="1" s="1"/>
  <c r="DE1" i="1"/>
  <c r="DE3" i="1" s="1"/>
  <c r="DF1" i="1"/>
  <c r="DF3" i="1" s="1"/>
  <c r="DF86" i="1" s="1"/>
  <c r="DG1" i="1"/>
  <c r="DG3" i="1" s="1"/>
  <c r="D1" i="1"/>
  <c r="E7" i="13"/>
  <c r="J7" i="13" s="1"/>
  <c r="E6" i="13"/>
  <c r="J6" i="13" s="1"/>
  <c r="E5" i="13"/>
  <c r="J5" i="13" s="1"/>
  <c r="E4" i="13"/>
  <c r="J4" i="13" s="1"/>
  <c r="E3" i="13"/>
  <c r="J3" i="13" s="1"/>
  <c r="E2" i="13"/>
  <c r="J2" i="13" s="1"/>
  <c r="J18" i="12"/>
  <c r="K43" i="11"/>
  <c r="AJ22" i="28" l="1"/>
  <c r="BD27" i="1"/>
  <c r="L42" i="1"/>
  <c r="L43" i="1" s="1"/>
  <c r="M42" i="1"/>
  <c r="M43" i="1" s="1"/>
  <c r="DB86" i="1"/>
  <c r="CT86" i="1"/>
  <c r="CL86" i="1"/>
  <c r="CD86" i="1"/>
  <c r="BV86" i="1"/>
  <c r="BN86" i="1"/>
  <c r="BF86" i="1"/>
  <c r="DA86" i="1"/>
  <c r="CS86" i="1"/>
  <c r="CK86" i="1"/>
  <c r="CC86" i="1"/>
  <c r="BU86" i="1"/>
  <c r="BM86" i="1"/>
  <c r="DE86" i="1"/>
  <c r="CW86" i="1"/>
  <c r="CO86" i="1"/>
  <c r="CG86" i="1"/>
  <c r="BY86" i="1"/>
  <c r="BQ86" i="1"/>
  <c r="BI86" i="1"/>
  <c r="BA86" i="1"/>
  <c r="AH36" i="28" s="1"/>
  <c r="BE86" i="1"/>
  <c r="CZ86" i="1"/>
  <c r="CR86" i="1"/>
  <c r="CJ86" i="1"/>
  <c r="CB86" i="1"/>
  <c r="BT86" i="1"/>
  <c r="BL86" i="1"/>
  <c r="BD86" i="1"/>
  <c r="AK36" i="28" s="1"/>
  <c r="DG86" i="1"/>
  <c r="CY86" i="1"/>
  <c r="CQ86" i="1"/>
  <c r="CI86" i="1"/>
  <c r="CA86" i="1"/>
  <c r="BS86" i="1"/>
  <c r="BK86" i="1"/>
  <c r="BC86" i="1"/>
  <c r="AJ36" i="28" s="1"/>
  <c r="DD86" i="1"/>
  <c r="CV86" i="1"/>
  <c r="CN86" i="1"/>
  <c r="CF86" i="1"/>
  <c r="BX86" i="1"/>
  <c r="BP86" i="1"/>
  <c r="BH86" i="1"/>
  <c r="AZ86" i="1"/>
  <c r="AG36" i="28" s="1"/>
  <c r="DC86" i="1"/>
  <c r="CU86" i="1"/>
  <c r="CM86" i="1"/>
  <c r="CE86" i="1"/>
  <c r="BW86" i="1"/>
  <c r="BO86" i="1"/>
  <c r="BG86" i="1"/>
  <c r="AY86" i="1"/>
  <c r="AF36" i="28" s="1"/>
  <c r="AU94" i="1"/>
  <c r="AT95" i="1"/>
  <c r="J10" i="13"/>
  <c r="M64" i="1"/>
  <c r="M97" i="1" s="1"/>
  <c r="M108" i="1" s="1"/>
  <c r="BK69" i="1"/>
  <c r="BB69" i="1"/>
  <c r="AI30" i="28" s="1"/>
  <c r="CZ69" i="1"/>
  <c r="CZ70" i="1" s="1"/>
  <c r="BJ69" i="1"/>
  <c r="BJ70" i="1" s="1"/>
  <c r="CW69" i="1"/>
  <c r="CW70" i="1" s="1"/>
  <c r="CO69" i="1"/>
  <c r="BY69" i="1"/>
  <c r="BY70" i="1" s="1"/>
  <c r="BQ69" i="1"/>
  <c r="BA69" i="1"/>
  <c r="BA70" i="1" s="1"/>
  <c r="BT69" i="1"/>
  <c r="DG69" i="1"/>
  <c r="J22" i="29"/>
  <c r="J21" i="27" s="1"/>
  <c r="CH69" i="1"/>
  <c r="CH70" i="1" s="1"/>
  <c r="DD69" i="1"/>
  <c r="CN69" i="1"/>
  <c r="CN70" i="1" s="1"/>
  <c r="CF69" i="1"/>
  <c r="BP69" i="1"/>
  <c r="BP70" i="1" s="1"/>
  <c r="BH69" i="1"/>
  <c r="G22" i="29"/>
  <c r="G21" i="27" s="1"/>
  <c r="CR69" i="1"/>
  <c r="BD69" i="1"/>
  <c r="CQ69" i="1"/>
  <c r="CQ70" i="1" s="1"/>
  <c r="BS69" i="1"/>
  <c r="BS70" i="1" s="1"/>
  <c r="CX69" i="1"/>
  <c r="BZ69" i="1"/>
  <c r="DC69" i="1"/>
  <c r="DC70" i="1" s="1"/>
  <c r="CU69" i="1"/>
  <c r="CE69" i="1"/>
  <c r="CE70" i="1" s="1"/>
  <c r="BW69" i="1"/>
  <c r="BG69" i="1"/>
  <c r="BG70" i="1" s="1"/>
  <c r="AY69" i="1"/>
  <c r="CT69" i="1"/>
  <c r="CT70" i="1" s="1"/>
  <c r="CL69" i="1"/>
  <c r="BV69" i="1"/>
  <c r="BV70" i="1" s="1"/>
  <c r="BN69" i="1"/>
  <c r="M22" i="29"/>
  <c r="CB69" i="1"/>
  <c r="CB70" i="1" s="1"/>
  <c r="CI69" i="1"/>
  <c r="DF69" i="1"/>
  <c r="DF70" i="1" s="1"/>
  <c r="DA69" i="1"/>
  <c r="CK69" i="1"/>
  <c r="CK70" i="1" s="1"/>
  <c r="CC69" i="1"/>
  <c r="BM69" i="1"/>
  <c r="BM70" i="1" s="1"/>
  <c r="BE69" i="1"/>
  <c r="D22" i="29"/>
  <c r="D21" i="27" s="1"/>
  <c r="K64" i="1"/>
  <c r="K97" i="1" s="1"/>
  <c r="K108" i="1" s="1"/>
  <c r="M124" i="1"/>
  <c r="L64" i="1"/>
  <c r="L97" i="1" s="1"/>
  <c r="L44" i="1" s="1"/>
  <c r="L124" i="1"/>
  <c r="M33" i="1"/>
  <c r="AJ161" i="1"/>
  <c r="D19" i="5"/>
  <c r="E19" i="5"/>
  <c r="L33" i="1"/>
  <c r="D23" i="5"/>
  <c r="E23" i="5"/>
  <c r="D3" i="1"/>
  <c r="H3" i="1"/>
  <c r="I3" i="1"/>
  <c r="K3" i="1"/>
  <c r="D25" i="5"/>
  <c r="D13" i="15"/>
  <c r="C13" i="15"/>
  <c r="G11" i="5"/>
  <c r="G23" i="5" s="1"/>
  <c r="L14" i="6"/>
  <c r="L16" i="6" s="1"/>
  <c r="J14" i="6"/>
  <c r="J16" i="6" s="1"/>
  <c r="J17" i="6" s="1"/>
  <c r="K14" i="6"/>
  <c r="N103" i="1"/>
  <c r="N107" i="1" s="1"/>
  <c r="O103" i="1"/>
  <c r="O107" i="1" s="1"/>
  <c r="B21" i="9"/>
  <c r="B31" i="9" s="1"/>
  <c r="B41" i="9" s="1"/>
  <c r="B51" i="9" s="1"/>
  <c r="B61" i="9" s="1"/>
  <c r="B19" i="9"/>
  <c r="B29" i="9" s="1"/>
  <c r="B39" i="9" s="1"/>
  <c r="B49" i="9" s="1"/>
  <c r="B59" i="9" s="1"/>
  <c r="B18" i="9"/>
  <c r="B28" i="9" s="1"/>
  <c r="B38" i="9" s="1"/>
  <c r="B48" i="9" s="1"/>
  <c r="B58" i="9" s="1"/>
  <c r="B17" i="9"/>
  <c r="B27" i="9" s="1"/>
  <c r="B37" i="9" s="1"/>
  <c r="B47" i="9" s="1"/>
  <c r="B57" i="9" s="1"/>
  <c r="B16" i="9"/>
  <c r="B26" i="9" s="1"/>
  <c r="B36" i="9" s="1"/>
  <c r="B46" i="9" s="1"/>
  <c r="B56" i="9" s="1"/>
  <c r="B15" i="9"/>
  <c r="B25" i="9" s="1"/>
  <c r="B35" i="9" s="1"/>
  <c r="B45" i="9" s="1"/>
  <c r="B55" i="9" s="1"/>
  <c r="B14" i="9"/>
  <c r="B24" i="9" s="1"/>
  <c r="B34" i="9" s="1"/>
  <c r="B44" i="9" s="1"/>
  <c r="B54" i="9" s="1"/>
  <c r="B13" i="9"/>
  <c r="B23" i="9" s="1"/>
  <c r="B33" i="9" s="1"/>
  <c r="B43" i="9" s="1"/>
  <c r="B53" i="9" s="1"/>
  <c r="B12" i="9"/>
  <c r="B22" i="9" s="1"/>
  <c r="B32" i="9" s="1"/>
  <c r="B42" i="9" s="1"/>
  <c r="B52" i="9" s="1"/>
  <c r="B62" i="9" s="1"/>
  <c r="B10" i="9"/>
  <c r="AK22" i="28" l="1"/>
  <c r="BE27" i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BD70" i="1"/>
  <c r="AK30" i="28"/>
  <c r="L45" i="1"/>
  <c r="AY94" i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DC94" i="1" s="1"/>
  <c r="DD94" i="1" s="1"/>
  <c r="DE94" i="1" s="1"/>
  <c r="DF94" i="1" s="1"/>
  <c r="DG94" i="1" s="1"/>
  <c r="AU95" i="1"/>
  <c r="C22" i="20"/>
  <c r="H23" i="5"/>
  <c r="F23" i="5"/>
  <c r="F19" i="5"/>
  <c r="M44" i="1"/>
  <c r="M45" i="1" s="1"/>
  <c r="M47" i="1" s="1"/>
  <c r="B20" i="9"/>
  <c r="B30" i="9" s="1"/>
  <c r="B40" i="9" s="1"/>
  <c r="B50" i="9" s="1"/>
  <c r="B60" i="9" s="1"/>
  <c r="I21" i="20"/>
  <c r="F22" i="29"/>
  <c r="F21" i="27" s="1"/>
  <c r="C28" i="20"/>
  <c r="L108" i="1"/>
  <c r="D15" i="20"/>
  <c r="C15" i="20"/>
  <c r="C21" i="20"/>
  <c r="G21" i="20"/>
  <c r="Y166" i="1"/>
  <c r="F52" i="1"/>
  <c r="F57" i="1" s="1"/>
  <c r="E13" i="15"/>
  <c r="M26" i="6"/>
  <c r="N26" i="6"/>
  <c r="I11" i="5"/>
  <c r="K16" i="6"/>
  <c r="L17" i="6"/>
  <c r="M48" i="1" l="1"/>
  <c r="DG24" i="1"/>
  <c r="CC24" i="1"/>
  <c r="DB24" i="1"/>
  <c r="K24" i="1"/>
  <c r="K25" i="1" s="1"/>
  <c r="CO24" i="1"/>
  <c r="CE24" i="1"/>
  <c r="DE24" i="1"/>
  <c r="I24" i="1"/>
  <c r="I25" i="1" s="1"/>
  <c r="N24" i="1"/>
  <c r="N25" i="1" s="1"/>
  <c r="CF24" i="1"/>
  <c r="L24" i="1"/>
  <c r="L25" i="1" s="1"/>
  <c r="L49" i="1" s="1"/>
  <c r="BD24" i="1"/>
  <c r="X24" i="1"/>
  <c r="X25" i="1" s="1"/>
  <c r="CP24" i="1"/>
  <c r="E24" i="1"/>
  <c r="E25" i="1" s="1"/>
  <c r="Q53" i="1" s="1"/>
  <c r="AB24" i="1"/>
  <c r="AB25" i="1" s="1"/>
  <c r="CZ24" i="1"/>
  <c r="BM24" i="1"/>
  <c r="CY24" i="1"/>
  <c r="CL24" i="1"/>
  <c r="BO24" i="1"/>
  <c r="BC24" i="1"/>
  <c r="BP24" i="1"/>
  <c r="Q24" i="1"/>
  <c r="Q25" i="1" s="1"/>
  <c r="Q49" i="1" s="1"/>
  <c r="Y24" i="1"/>
  <c r="Y25" i="1" s="1"/>
  <c r="AH24" i="1"/>
  <c r="AH25" i="1" s="1"/>
  <c r="CW24" i="1"/>
  <c r="BJ24" i="1"/>
  <c r="BU24" i="1"/>
  <c r="H24" i="1"/>
  <c r="H25" i="1" s="1"/>
  <c r="CT24" i="1"/>
  <c r="BW24" i="1"/>
  <c r="CI24" i="1"/>
  <c r="BX24" i="1"/>
  <c r="S24" i="1"/>
  <c r="S25" i="1" s="1"/>
  <c r="S49" i="1" s="1"/>
  <c r="AA24" i="1"/>
  <c r="AA25" i="1" s="1"/>
  <c r="AI24" i="1"/>
  <c r="AI25" i="1" s="1"/>
  <c r="AJ24" i="1"/>
  <c r="AJ25" i="1" s="1"/>
  <c r="BA24" i="1"/>
  <c r="DF24" i="1"/>
  <c r="BL24" i="1"/>
  <c r="BS24" i="1"/>
  <c r="CK24" i="1"/>
  <c r="BR24" i="1"/>
  <c r="CM24" i="1"/>
  <c r="AY24" i="1"/>
  <c r="CN24" i="1"/>
  <c r="W24" i="1"/>
  <c r="W25" i="1" s="1"/>
  <c r="AC24" i="1"/>
  <c r="AC25" i="1" s="1"/>
  <c r="AK24" i="1"/>
  <c r="AK25" i="1" s="1"/>
  <c r="BI24" i="1"/>
  <c r="BB24" i="1"/>
  <c r="BT24" i="1"/>
  <c r="G24" i="1"/>
  <c r="G25" i="1" s="1"/>
  <c r="CS24" i="1"/>
  <c r="BF24" i="1"/>
  <c r="CU24" i="1"/>
  <c r="J24" i="1"/>
  <c r="J25" i="1" s="1"/>
  <c r="CV24" i="1"/>
  <c r="V24" i="1"/>
  <c r="V25" i="1" s="1"/>
  <c r="V49" i="1" s="1"/>
  <c r="AD24" i="1"/>
  <c r="AD25" i="1" s="1"/>
  <c r="AN24" i="1"/>
  <c r="BQ24" i="1"/>
  <c r="CX24" i="1"/>
  <c r="CB24" i="1"/>
  <c r="O24" i="1"/>
  <c r="O25" i="1" s="1"/>
  <c r="DA24" i="1"/>
  <c r="BN24" i="1"/>
  <c r="CQ24" i="1"/>
  <c r="DC24" i="1"/>
  <c r="DD24" i="1"/>
  <c r="T24" i="1"/>
  <c r="T25" i="1" s="1"/>
  <c r="T49" i="1" s="1"/>
  <c r="AE24" i="1"/>
  <c r="AE25" i="1" s="1"/>
  <c r="AL24" i="1"/>
  <c r="BY24" i="1"/>
  <c r="CA24" i="1"/>
  <c r="CJ24" i="1"/>
  <c r="BZ24" i="1"/>
  <c r="BV24" i="1"/>
  <c r="AZ24" i="1"/>
  <c r="R24" i="1"/>
  <c r="R25" i="1" s="1"/>
  <c r="U24" i="1"/>
  <c r="U25" i="1" s="1"/>
  <c r="U49" i="1" s="1"/>
  <c r="AF24" i="1"/>
  <c r="AF25" i="1" s="1"/>
  <c r="AM24" i="1"/>
  <c r="AM25" i="1" s="1"/>
  <c r="BK24" i="1"/>
  <c r="CG24" i="1"/>
  <c r="F24" i="1"/>
  <c r="F25" i="1" s="1"/>
  <c r="CR24" i="1"/>
  <c r="BE24" i="1"/>
  <c r="M24" i="1"/>
  <c r="M25" i="1" s="1"/>
  <c r="M49" i="1" s="1"/>
  <c r="CD24" i="1"/>
  <c r="BG24" i="1"/>
  <c r="CH24" i="1"/>
  <c r="BH24" i="1"/>
  <c r="P24" i="1"/>
  <c r="P25" i="1" s="1"/>
  <c r="P49" i="1" s="1"/>
  <c r="Z24" i="1"/>
  <c r="Z25" i="1" s="1"/>
  <c r="AG24" i="1"/>
  <c r="E22" i="29"/>
  <c r="E21" i="27" s="1"/>
  <c r="E15" i="20"/>
  <c r="W64" i="1"/>
  <c r="W65" i="1" s="1"/>
  <c r="Z166" i="1"/>
  <c r="F56" i="1"/>
  <c r="F13" i="15"/>
  <c r="J11" i="5"/>
  <c r="K17" i="6"/>
  <c r="H22" i="29" l="1"/>
  <c r="H21" i="27" s="1"/>
  <c r="D21" i="20"/>
  <c r="I22" i="29"/>
  <c r="I21" i="27" s="1"/>
  <c r="AZ69" i="1"/>
  <c r="AY84" i="1"/>
  <c r="AF34" i="28" s="1"/>
  <c r="AB49" i="1"/>
  <c r="AD20" i="28"/>
  <c r="X49" i="1"/>
  <c r="AM49" i="1"/>
  <c r="AY25" i="1"/>
  <c r="BK25" i="1" s="1"/>
  <c r="BW25" i="1" s="1"/>
  <c r="CI25" i="1" s="1"/>
  <c r="CU25" i="1" s="1"/>
  <c r="DG25" i="1" s="1"/>
  <c r="AC49" i="1"/>
  <c r="AI20" i="28"/>
  <c r="AF49" i="1"/>
  <c r="BD25" i="1"/>
  <c r="BP25" i="1" s="1"/>
  <c r="CB25" i="1" s="1"/>
  <c r="CN25" i="1" s="1"/>
  <c r="CZ25" i="1" s="1"/>
  <c r="W49" i="1"/>
  <c r="R55" i="1"/>
  <c r="AI49" i="1"/>
  <c r="BG25" i="1"/>
  <c r="BS25" i="1" s="1"/>
  <c r="CE25" i="1" s="1"/>
  <c r="CQ25" i="1" s="1"/>
  <c r="H12" i="24"/>
  <c r="AG25" i="1"/>
  <c r="BB25" i="1"/>
  <c r="BN25" i="1" s="1"/>
  <c r="BZ25" i="1" s="1"/>
  <c r="CL25" i="1" s="1"/>
  <c r="CX25" i="1" s="1"/>
  <c r="R49" i="1"/>
  <c r="AD49" i="1"/>
  <c r="AA49" i="1"/>
  <c r="AF20" i="28"/>
  <c r="Z49" i="1"/>
  <c r="AK20" i="28"/>
  <c r="AE49" i="1"/>
  <c r="BC25" i="1"/>
  <c r="AH49" i="1"/>
  <c r="BF25" i="1"/>
  <c r="BR25" i="1" s="1"/>
  <c r="CD25" i="1" s="1"/>
  <c r="CP25" i="1" s="1"/>
  <c r="DB25" i="1" s="1"/>
  <c r="AK49" i="1"/>
  <c r="BI25" i="1"/>
  <c r="BU25" i="1" s="1"/>
  <c r="CG25" i="1" s="1"/>
  <c r="CS25" i="1" s="1"/>
  <c r="DE25" i="1" s="1"/>
  <c r="AJ49" i="1"/>
  <c r="BH25" i="1"/>
  <c r="BT25" i="1" s="1"/>
  <c r="CF25" i="1" s="1"/>
  <c r="CR25" i="1" s="1"/>
  <c r="DD25" i="1" s="1"/>
  <c r="Y49" i="1"/>
  <c r="K22" i="29"/>
  <c r="K21" i="27" s="1"/>
  <c r="AF160" i="1"/>
  <c r="AF163" i="1" s="1"/>
  <c r="AF169" i="1" s="1"/>
  <c r="D15" i="25"/>
  <c r="W97" i="1"/>
  <c r="W98" i="1" s="1"/>
  <c r="W161" i="1"/>
  <c r="G13" i="15"/>
  <c r="K11" i="5"/>
  <c r="BO25" i="1" l="1"/>
  <c r="CA25" i="1" s="1"/>
  <c r="CM25" i="1" s="1"/>
  <c r="CY25" i="1" s="1"/>
  <c r="AJ20" i="28"/>
  <c r="P21" i="27"/>
  <c r="AQ25" i="28"/>
  <c r="AQ20" i="28"/>
  <c r="F21" i="20"/>
  <c r="E21" i="20"/>
  <c r="AZ84" i="1"/>
  <c r="AG34" i="28" s="1"/>
  <c r="AD25" i="28"/>
  <c r="AG49" i="1"/>
  <c r="BE25" i="1"/>
  <c r="BQ25" i="1" s="1"/>
  <c r="CC25" i="1" s="1"/>
  <c r="CO25" i="1" s="1"/>
  <c r="DA25" i="1" s="1"/>
  <c r="DC25" i="1"/>
  <c r="AA55" i="1"/>
  <c r="BA25" i="1"/>
  <c r="BC69" i="1"/>
  <c r="AJ30" i="28" s="1"/>
  <c r="AZ70" i="1"/>
  <c r="AY70" i="1"/>
  <c r="W108" i="1"/>
  <c r="W160" i="1" s="1"/>
  <c r="W163" i="1" s="1"/>
  <c r="W169" i="1" s="1"/>
  <c r="W44" i="1"/>
  <c r="W45" i="1" s="1"/>
  <c r="W47" i="1" s="1"/>
  <c r="D12" i="25"/>
  <c r="H13" i="15"/>
  <c r="L11" i="5"/>
  <c r="BM25" i="1" l="1"/>
  <c r="BY25" i="1" s="1"/>
  <c r="CK25" i="1" s="1"/>
  <c r="CW25" i="1" s="1"/>
  <c r="AH20" i="28"/>
  <c r="BP25" i="28"/>
  <c r="BP20" i="28"/>
  <c r="AQ21" i="28"/>
  <c r="L22" i="29"/>
  <c r="H21" i="20"/>
  <c r="K21" i="20" s="1"/>
  <c r="I23" i="5"/>
  <c r="N22" i="29"/>
  <c r="BA84" i="1"/>
  <c r="AH34" i="28" s="1"/>
  <c r="BF69" i="1"/>
  <c r="BC70" i="1"/>
  <c r="BB70" i="1"/>
  <c r="W48" i="1"/>
  <c r="Y162" i="1"/>
  <c r="I13" i="15"/>
  <c r="M11" i="5"/>
  <c r="BP21" i="28" l="1"/>
  <c r="T11" i="24"/>
  <c r="P22" i="29"/>
  <c r="BB84" i="1"/>
  <c r="AI34" i="28" s="1"/>
  <c r="BI69" i="1"/>
  <c r="BF70" i="1"/>
  <c r="BE70" i="1"/>
  <c r="AD166" i="1"/>
  <c r="J13" i="15"/>
  <c r="Z162" i="1"/>
  <c r="N11" i="5"/>
  <c r="T19" i="24" l="1"/>
  <c r="T20" i="24" s="1"/>
  <c r="AQ39" i="28"/>
  <c r="BQ39" i="28" s="1"/>
  <c r="BC84" i="1"/>
  <c r="AJ34" i="28" s="1"/>
  <c r="BL69" i="1"/>
  <c r="BI70" i="1"/>
  <c r="BH70" i="1"/>
  <c r="G32" i="25"/>
  <c r="K13" i="15"/>
  <c r="BP39" i="28" l="1"/>
  <c r="AQ43" i="28"/>
  <c r="BQ43" i="28" s="1"/>
  <c r="BD84" i="1"/>
  <c r="AK34" i="28" s="1"/>
  <c r="BO69" i="1"/>
  <c r="BL70" i="1"/>
  <c r="BK70" i="1"/>
  <c r="J23" i="5" s="1"/>
  <c r="L13" i="15"/>
  <c r="BP43" i="28" l="1"/>
  <c r="BE84" i="1"/>
  <c r="BR69" i="1"/>
  <c r="BO70" i="1"/>
  <c r="BN70" i="1"/>
  <c r="H32" i="25"/>
  <c r="I32" i="25"/>
  <c r="M13" i="15"/>
  <c r="BF84" i="1" l="1"/>
  <c r="BU69" i="1"/>
  <c r="BR70" i="1"/>
  <c r="BQ70" i="1"/>
  <c r="L25" i="15"/>
  <c r="J32" i="25"/>
  <c r="N13" i="15"/>
  <c r="AD162" i="1"/>
  <c r="BG84" i="1" l="1"/>
  <c r="BX69" i="1"/>
  <c r="BU70" i="1"/>
  <c r="BT70" i="1"/>
  <c r="M25" i="15"/>
  <c r="K32" i="25"/>
  <c r="BH84" i="1" l="1"/>
  <c r="CA69" i="1"/>
  <c r="BX70" i="1"/>
  <c r="BW70" i="1"/>
  <c r="D13" i="25"/>
  <c r="N25" i="15"/>
  <c r="C13" i="20"/>
  <c r="BI84" i="1" l="1"/>
  <c r="CD69" i="1"/>
  <c r="CA70" i="1"/>
  <c r="BZ70" i="1"/>
  <c r="L32" i="25"/>
  <c r="E13" i="25"/>
  <c r="M32" i="25"/>
  <c r="P25" i="15"/>
  <c r="BJ84" i="1" l="1"/>
  <c r="CG69" i="1"/>
  <c r="CD70" i="1"/>
  <c r="CC70" i="1"/>
  <c r="F13" i="25"/>
  <c r="N32" i="25"/>
  <c r="P32" i="25" s="1"/>
  <c r="BK84" i="1" l="1"/>
  <c r="CJ69" i="1"/>
  <c r="CG70" i="1"/>
  <c r="CF70" i="1"/>
  <c r="G13" i="25"/>
  <c r="BL84" i="1" l="1"/>
  <c r="CM69" i="1"/>
  <c r="CJ70" i="1"/>
  <c r="CI70" i="1"/>
  <c r="H13" i="25"/>
  <c r="BM84" i="1" l="1"/>
  <c r="CP69" i="1"/>
  <c r="CM70" i="1"/>
  <c r="CL70" i="1"/>
  <c r="I13" i="25"/>
  <c r="AK162" i="1"/>
  <c r="BN84" i="1" l="1"/>
  <c r="CS69" i="1"/>
  <c r="CP70" i="1"/>
  <c r="CO70" i="1"/>
  <c r="AL162" i="1"/>
  <c r="BO84" i="1" l="1"/>
  <c r="CV69" i="1"/>
  <c r="CS70" i="1"/>
  <c r="CR70" i="1"/>
  <c r="BP84" i="1" l="1"/>
  <c r="CY69" i="1"/>
  <c r="CV70" i="1"/>
  <c r="CU70" i="1"/>
  <c r="AY128" i="1"/>
  <c r="AY130" i="1" s="1"/>
  <c r="BQ84" i="1" l="1"/>
  <c r="DB69" i="1"/>
  <c r="CY70" i="1"/>
  <c r="CX70" i="1"/>
  <c r="AZ128" i="1"/>
  <c r="AZ130" i="1" s="1"/>
  <c r="I32" i="29" l="1"/>
  <c r="BR84" i="1"/>
  <c r="DE69" i="1"/>
  <c r="DE70" i="1" s="1"/>
  <c r="DB70" i="1"/>
  <c r="DA70" i="1"/>
  <c r="BA128" i="1"/>
  <c r="BA130" i="1" s="1"/>
  <c r="J32" i="29" l="1"/>
  <c r="BS84" i="1"/>
  <c r="DG70" i="1"/>
  <c r="DD70" i="1"/>
  <c r="BB128" i="1"/>
  <c r="BB130" i="1" s="1"/>
  <c r="K32" i="29" l="1"/>
  <c r="BT84" i="1"/>
  <c r="N23" i="5"/>
  <c r="M29" i="25"/>
  <c r="K23" i="5"/>
  <c r="L23" i="5"/>
  <c r="M23" i="5"/>
  <c r="BC128" i="1"/>
  <c r="BC130" i="1" s="1"/>
  <c r="N29" i="27"/>
  <c r="N30" i="27" s="1"/>
  <c r="N29" i="25"/>
  <c r="L32" i="29" l="1"/>
  <c r="BU84" i="1"/>
  <c r="P29" i="25"/>
  <c r="BD128" i="1"/>
  <c r="BD130" i="1" s="1"/>
  <c r="M32" i="29" l="1"/>
  <c r="BV84" i="1"/>
  <c r="C29" i="29"/>
  <c r="BE128" i="1"/>
  <c r="BE130" i="1" s="1"/>
  <c r="AY147" i="1"/>
  <c r="N32" i="29" l="1"/>
  <c r="P32" i="29" s="1"/>
  <c r="C28" i="27"/>
  <c r="BW84" i="1"/>
  <c r="BF128" i="1"/>
  <c r="BF130" i="1" s="1"/>
  <c r="AZ147" i="1"/>
  <c r="E29" i="29"/>
  <c r="E28" i="27" s="1"/>
  <c r="BX84" i="1" l="1"/>
  <c r="BG128" i="1"/>
  <c r="BG130" i="1" s="1"/>
  <c r="BA147" i="1"/>
  <c r="F29" i="29"/>
  <c r="F28" i="27" s="1"/>
  <c r="BY84" i="1" l="1"/>
  <c r="BH128" i="1"/>
  <c r="BH130" i="1" s="1"/>
  <c r="BB147" i="1"/>
  <c r="G29" i="29" l="1"/>
  <c r="G28" i="27" s="1"/>
  <c r="D28" i="20"/>
  <c r="BZ84" i="1"/>
  <c r="BI128" i="1"/>
  <c r="BI130" i="1" s="1"/>
  <c r="BC147" i="1"/>
  <c r="AY135" i="1"/>
  <c r="H29" i="29"/>
  <c r="H28" i="27" s="1"/>
  <c r="E28" i="20" l="1"/>
  <c r="AY136" i="1"/>
  <c r="AY145" i="1"/>
  <c r="AY162" i="1" s="1"/>
  <c r="CA84" i="1"/>
  <c r="BJ128" i="1"/>
  <c r="BJ130" i="1" s="1"/>
  <c r="BD147" i="1"/>
  <c r="AZ135" i="1"/>
  <c r="I29" i="29" l="1"/>
  <c r="I28" i="27" s="1"/>
  <c r="AZ136" i="1"/>
  <c r="AZ145" i="1"/>
  <c r="AZ162" i="1" s="1"/>
  <c r="CB84" i="1"/>
  <c r="BK128" i="1"/>
  <c r="BK130" i="1" s="1"/>
  <c r="BE147" i="1"/>
  <c r="BA135" i="1"/>
  <c r="AY124" i="1"/>
  <c r="J29" i="29"/>
  <c r="J28" i="27" s="1"/>
  <c r="BA136" i="1" l="1"/>
  <c r="BA145" i="1"/>
  <c r="BA162" i="1" s="1"/>
  <c r="CC84" i="1"/>
  <c r="BL128" i="1"/>
  <c r="BL130" i="1" s="1"/>
  <c r="BF147" i="1"/>
  <c r="BB135" i="1"/>
  <c r="AZ124" i="1"/>
  <c r="K29" i="29" l="1"/>
  <c r="K28" i="27" s="1"/>
  <c r="P28" i="27" s="1"/>
  <c r="F28" i="20"/>
  <c r="BB136" i="1"/>
  <c r="BB145" i="1"/>
  <c r="BB162" i="1" s="1"/>
  <c r="CD84" i="1"/>
  <c r="BM128" i="1"/>
  <c r="BM130" i="1" s="1"/>
  <c r="BG147" i="1"/>
  <c r="BC135" i="1"/>
  <c r="BA124" i="1"/>
  <c r="G28" i="20" l="1"/>
  <c r="L29" i="29"/>
  <c r="BC136" i="1"/>
  <c r="BC145" i="1"/>
  <c r="BC162" i="1" s="1"/>
  <c r="CE84" i="1"/>
  <c r="BN128" i="1"/>
  <c r="BN130" i="1" s="1"/>
  <c r="BH147" i="1"/>
  <c r="BD135" i="1"/>
  <c r="AY85" i="1"/>
  <c r="AF35" i="28" s="1"/>
  <c r="BB124" i="1"/>
  <c r="AY102" i="1"/>
  <c r="AF46" i="28" s="1"/>
  <c r="AF47" i="28" s="1"/>
  <c r="AF48" i="28" s="1"/>
  <c r="M29" i="29"/>
  <c r="BD136" i="1" l="1"/>
  <c r="BD145" i="1"/>
  <c r="BD162" i="1" s="1"/>
  <c r="CF84" i="1"/>
  <c r="BO128" i="1"/>
  <c r="BO130" i="1" s="1"/>
  <c r="BI147" i="1"/>
  <c r="BE135" i="1"/>
  <c r="AZ85" i="1"/>
  <c r="AG35" i="28" s="1"/>
  <c r="BC124" i="1"/>
  <c r="AZ102" i="1"/>
  <c r="AG46" i="28" s="1"/>
  <c r="AG47" i="28" s="1"/>
  <c r="AG48" i="28" s="1"/>
  <c r="AY103" i="1"/>
  <c r="AY107" i="1" s="1"/>
  <c r="N29" i="29" s="1"/>
  <c r="P29" i="29" s="1"/>
  <c r="H28" i="20" l="1"/>
  <c r="I28" i="20" s="1"/>
  <c r="BE136" i="1"/>
  <c r="BE145" i="1"/>
  <c r="BE162" i="1" s="1"/>
  <c r="CG84" i="1"/>
  <c r="BP128" i="1"/>
  <c r="BP130" i="1" s="1"/>
  <c r="BJ147" i="1"/>
  <c r="BF135" i="1"/>
  <c r="BA85" i="1"/>
  <c r="AH35" i="28" s="1"/>
  <c r="BD124" i="1"/>
  <c r="BA102" i="1"/>
  <c r="AH46" i="28" s="1"/>
  <c r="AH47" i="28" s="1"/>
  <c r="AH48" i="28" s="1"/>
  <c r="AZ103" i="1"/>
  <c r="AZ107" i="1" s="1"/>
  <c r="K28" i="20" l="1"/>
  <c r="BF136" i="1"/>
  <c r="BF145" i="1"/>
  <c r="BF162" i="1" s="1"/>
  <c r="CH84" i="1"/>
  <c r="BQ128" i="1"/>
  <c r="BQ130" i="1" s="1"/>
  <c r="BK147" i="1"/>
  <c r="BG135" i="1"/>
  <c r="BB85" i="1"/>
  <c r="AI35" i="28" s="1"/>
  <c r="BE124" i="1"/>
  <c r="BB102" i="1"/>
  <c r="AI46" i="28" s="1"/>
  <c r="AI47" i="28" s="1"/>
  <c r="AI48" i="28" s="1"/>
  <c r="BA103" i="1"/>
  <c r="BA107" i="1" s="1"/>
  <c r="BG136" i="1" l="1"/>
  <c r="BG145" i="1"/>
  <c r="BG162" i="1" s="1"/>
  <c r="CI84" i="1"/>
  <c r="BR128" i="1"/>
  <c r="BR130" i="1" s="1"/>
  <c r="BL147" i="1"/>
  <c r="BH135" i="1"/>
  <c r="BC85" i="1"/>
  <c r="AJ35" i="28" s="1"/>
  <c r="BF124" i="1"/>
  <c r="BC102" i="1"/>
  <c r="AJ46" i="28" s="1"/>
  <c r="AJ47" i="28" s="1"/>
  <c r="AJ48" i="28" s="1"/>
  <c r="BB103" i="1"/>
  <c r="BB107" i="1" s="1"/>
  <c r="BH136" i="1" l="1"/>
  <c r="BH145" i="1"/>
  <c r="BH162" i="1" s="1"/>
  <c r="CJ84" i="1"/>
  <c r="BS128" i="1"/>
  <c r="BS130" i="1" s="1"/>
  <c r="BM147" i="1"/>
  <c r="BI135" i="1"/>
  <c r="BD85" i="1"/>
  <c r="AK35" i="28" s="1"/>
  <c r="BG124" i="1"/>
  <c r="BD102" i="1"/>
  <c r="AK46" i="28" s="1"/>
  <c r="AK47" i="28" s="1"/>
  <c r="AK48" i="28" s="1"/>
  <c r="BC103" i="1"/>
  <c r="BC107" i="1" s="1"/>
  <c r="BI136" i="1" l="1"/>
  <c r="BI145" i="1"/>
  <c r="BI162" i="1" s="1"/>
  <c r="CK84" i="1"/>
  <c r="BT128" i="1"/>
  <c r="BT130" i="1" s="1"/>
  <c r="BN147" i="1"/>
  <c r="BJ135" i="1"/>
  <c r="BE85" i="1"/>
  <c r="BH124" i="1"/>
  <c r="BE102" i="1"/>
  <c r="BD103" i="1"/>
  <c r="BD107" i="1" s="1"/>
  <c r="BJ136" i="1" l="1"/>
  <c r="BJ145" i="1"/>
  <c r="BJ162" i="1" s="1"/>
  <c r="CL84" i="1"/>
  <c r="BU128" i="1"/>
  <c r="BU130" i="1" s="1"/>
  <c r="BO147" i="1"/>
  <c r="BK135" i="1"/>
  <c r="BF85" i="1"/>
  <c r="BI124" i="1"/>
  <c r="BF102" i="1"/>
  <c r="BE103" i="1"/>
  <c r="BE107" i="1" s="1"/>
  <c r="BK136" i="1" l="1"/>
  <c r="BK145" i="1"/>
  <c r="BK162" i="1" s="1"/>
  <c r="CM84" i="1"/>
  <c r="BV128" i="1"/>
  <c r="BV130" i="1" s="1"/>
  <c r="BP147" i="1"/>
  <c r="BL135" i="1"/>
  <c r="BG85" i="1"/>
  <c r="BJ124" i="1"/>
  <c r="BG102" i="1"/>
  <c r="BF103" i="1"/>
  <c r="BF107" i="1" s="1"/>
  <c r="BL136" i="1" l="1"/>
  <c r="BL145" i="1"/>
  <c r="BL162" i="1" s="1"/>
  <c r="CN84" i="1"/>
  <c r="BW128" i="1"/>
  <c r="BW130" i="1" s="1"/>
  <c r="BQ147" i="1"/>
  <c r="BM135" i="1"/>
  <c r="BH85" i="1"/>
  <c r="BK124" i="1"/>
  <c r="BH102" i="1"/>
  <c r="BG103" i="1"/>
  <c r="BG107" i="1" s="1"/>
  <c r="BM136" i="1" l="1"/>
  <c r="BM145" i="1"/>
  <c r="BM162" i="1" s="1"/>
  <c r="CO84" i="1"/>
  <c r="BX128" i="1"/>
  <c r="BX130" i="1" s="1"/>
  <c r="BR147" i="1"/>
  <c r="BN135" i="1"/>
  <c r="BI85" i="1"/>
  <c r="BL124" i="1"/>
  <c r="BI102" i="1"/>
  <c r="BH103" i="1"/>
  <c r="BH107" i="1" s="1"/>
  <c r="BN136" i="1" l="1"/>
  <c r="BN145" i="1"/>
  <c r="BN162" i="1" s="1"/>
  <c r="CP84" i="1"/>
  <c r="BY128" i="1"/>
  <c r="BY130" i="1" s="1"/>
  <c r="BS147" i="1"/>
  <c r="BO135" i="1"/>
  <c r="BJ85" i="1"/>
  <c r="BM124" i="1"/>
  <c r="BJ102" i="1"/>
  <c r="BI103" i="1"/>
  <c r="BI107" i="1" s="1"/>
  <c r="BO136" i="1" l="1"/>
  <c r="BO145" i="1"/>
  <c r="BO162" i="1" s="1"/>
  <c r="CQ84" i="1"/>
  <c r="BZ128" i="1"/>
  <c r="BZ130" i="1" s="1"/>
  <c r="BT147" i="1"/>
  <c r="BP135" i="1"/>
  <c r="BK85" i="1"/>
  <c r="BN124" i="1"/>
  <c r="BK102" i="1"/>
  <c r="BJ103" i="1"/>
  <c r="BJ107" i="1" s="1"/>
  <c r="BP136" i="1" l="1"/>
  <c r="BP145" i="1"/>
  <c r="BP162" i="1" s="1"/>
  <c r="CR84" i="1"/>
  <c r="CA128" i="1"/>
  <c r="CA130" i="1" s="1"/>
  <c r="BU147" i="1"/>
  <c r="BQ135" i="1"/>
  <c r="BL85" i="1"/>
  <c r="BO124" i="1"/>
  <c r="BL102" i="1"/>
  <c r="BK103" i="1"/>
  <c r="BK107" i="1" s="1"/>
  <c r="BQ136" i="1" l="1"/>
  <c r="BQ145" i="1"/>
  <c r="BQ162" i="1" s="1"/>
  <c r="CS84" i="1"/>
  <c r="CB128" i="1"/>
  <c r="CB130" i="1" s="1"/>
  <c r="BV147" i="1"/>
  <c r="BR135" i="1"/>
  <c r="BM85" i="1"/>
  <c r="BP124" i="1"/>
  <c r="BM102" i="1"/>
  <c r="BL103" i="1"/>
  <c r="BL107" i="1" s="1"/>
  <c r="BR136" i="1" l="1"/>
  <c r="BR145" i="1"/>
  <c r="BR162" i="1" s="1"/>
  <c r="CT84" i="1"/>
  <c r="CC128" i="1"/>
  <c r="CC130" i="1" s="1"/>
  <c r="BW147" i="1"/>
  <c r="BS135" i="1"/>
  <c r="BN85" i="1"/>
  <c r="BQ124" i="1"/>
  <c r="BN102" i="1"/>
  <c r="BM103" i="1"/>
  <c r="BM107" i="1" s="1"/>
  <c r="BS136" i="1" l="1"/>
  <c r="BS145" i="1"/>
  <c r="BS162" i="1" s="1"/>
  <c r="CU84" i="1"/>
  <c r="CD128" i="1"/>
  <c r="CD130" i="1" s="1"/>
  <c r="BX147" i="1"/>
  <c r="BT135" i="1"/>
  <c r="BO85" i="1"/>
  <c r="BR124" i="1"/>
  <c r="BO102" i="1"/>
  <c r="BN103" i="1"/>
  <c r="BN107" i="1" s="1"/>
  <c r="BT136" i="1" l="1"/>
  <c r="BT145" i="1"/>
  <c r="BT162" i="1" s="1"/>
  <c r="CV84" i="1"/>
  <c r="CE128" i="1"/>
  <c r="CE130" i="1" s="1"/>
  <c r="BY147" i="1"/>
  <c r="BU135" i="1"/>
  <c r="BP85" i="1"/>
  <c r="BS124" i="1"/>
  <c r="BP102" i="1"/>
  <c r="BO103" i="1"/>
  <c r="BO107" i="1" s="1"/>
  <c r="BU136" i="1" l="1"/>
  <c r="BU145" i="1"/>
  <c r="BU162" i="1" s="1"/>
  <c r="CW84" i="1"/>
  <c r="CF128" i="1"/>
  <c r="CF130" i="1" s="1"/>
  <c r="BZ147" i="1"/>
  <c r="BV135" i="1"/>
  <c r="BQ85" i="1"/>
  <c r="BT124" i="1"/>
  <c r="BQ102" i="1"/>
  <c r="BP103" i="1"/>
  <c r="BP107" i="1" s="1"/>
  <c r="BV136" i="1" l="1"/>
  <c r="BV145" i="1"/>
  <c r="BV162" i="1" s="1"/>
  <c r="CX84" i="1"/>
  <c r="CG128" i="1"/>
  <c r="CG130" i="1" s="1"/>
  <c r="CA147" i="1"/>
  <c r="BW135" i="1"/>
  <c r="BR85" i="1"/>
  <c r="BU124" i="1"/>
  <c r="BR102" i="1"/>
  <c r="BQ103" i="1"/>
  <c r="BQ107" i="1" s="1"/>
  <c r="BW136" i="1" l="1"/>
  <c r="BW145" i="1"/>
  <c r="BW162" i="1" s="1"/>
  <c r="CY84" i="1"/>
  <c r="CH128" i="1"/>
  <c r="CH130" i="1" s="1"/>
  <c r="CB147" i="1"/>
  <c r="BX135" i="1"/>
  <c r="BS85" i="1"/>
  <c r="BV124" i="1"/>
  <c r="BS102" i="1"/>
  <c r="BR103" i="1"/>
  <c r="BR107" i="1" s="1"/>
  <c r="BX136" i="1" l="1"/>
  <c r="BX145" i="1"/>
  <c r="BX162" i="1" s="1"/>
  <c r="CZ84" i="1"/>
  <c r="CI128" i="1"/>
  <c r="CI130" i="1" s="1"/>
  <c r="CC147" i="1"/>
  <c r="BY135" i="1"/>
  <c r="BT85" i="1"/>
  <c r="BW124" i="1"/>
  <c r="BT102" i="1"/>
  <c r="BS103" i="1"/>
  <c r="BS107" i="1" s="1"/>
  <c r="BY136" i="1" l="1"/>
  <c r="BY145" i="1"/>
  <c r="BY162" i="1" s="1"/>
  <c r="DA84" i="1"/>
  <c r="CJ128" i="1"/>
  <c r="CJ130" i="1" s="1"/>
  <c r="CD147" i="1"/>
  <c r="BZ135" i="1"/>
  <c r="BU85" i="1"/>
  <c r="BX124" i="1"/>
  <c r="BU102" i="1"/>
  <c r="BT103" i="1"/>
  <c r="BT107" i="1" s="1"/>
  <c r="BZ136" i="1" l="1"/>
  <c r="BZ145" i="1"/>
  <c r="BZ162" i="1" s="1"/>
  <c r="DB84" i="1"/>
  <c r="CK128" i="1"/>
  <c r="CK130" i="1" s="1"/>
  <c r="CE147" i="1"/>
  <c r="CA135" i="1"/>
  <c r="BV85" i="1"/>
  <c r="BY124" i="1"/>
  <c r="BV102" i="1"/>
  <c r="BU103" i="1"/>
  <c r="BU107" i="1" s="1"/>
  <c r="CA136" i="1" l="1"/>
  <c r="CA145" i="1"/>
  <c r="CA162" i="1" s="1"/>
  <c r="DC84" i="1"/>
  <c r="CL128" i="1"/>
  <c r="CL130" i="1" s="1"/>
  <c r="CF147" i="1"/>
  <c r="CB135" i="1"/>
  <c r="BW85" i="1"/>
  <c r="BZ124" i="1"/>
  <c r="BW102" i="1"/>
  <c r="BV103" i="1"/>
  <c r="BV107" i="1" s="1"/>
  <c r="CB136" i="1" l="1"/>
  <c r="CB145" i="1"/>
  <c r="CB162" i="1" s="1"/>
  <c r="DD84" i="1"/>
  <c r="CM128" i="1"/>
  <c r="CM130" i="1" s="1"/>
  <c r="CG147" i="1"/>
  <c r="CC135" i="1"/>
  <c r="BX85" i="1"/>
  <c r="CA124" i="1"/>
  <c r="BX102" i="1"/>
  <c r="BW103" i="1"/>
  <c r="BW107" i="1" s="1"/>
  <c r="CC136" i="1" l="1"/>
  <c r="CC145" i="1"/>
  <c r="CC162" i="1" s="1"/>
  <c r="DE84" i="1"/>
  <c r="CN128" i="1"/>
  <c r="CN130" i="1" s="1"/>
  <c r="CH147" i="1"/>
  <c r="CD135" i="1"/>
  <c r="BY85" i="1"/>
  <c r="CB124" i="1"/>
  <c r="BY102" i="1"/>
  <c r="BX103" i="1"/>
  <c r="BX107" i="1" s="1"/>
  <c r="CD136" i="1" l="1"/>
  <c r="CD145" i="1"/>
  <c r="CD162" i="1" s="1"/>
  <c r="DF84" i="1"/>
  <c r="CO128" i="1"/>
  <c r="CO130" i="1" s="1"/>
  <c r="CI147" i="1"/>
  <c r="CE135" i="1"/>
  <c r="BZ85" i="1"/>
  <c r="CC124" i="1"/>
  <c r="BZ102" i="1"/>
  <c r="BY103" i="1"/>
  <c r="BY107" i="1" s="1"/>
  <c r="CE136" i="1" l="1"/>
  <c r="CE145" i="1"/>
  <c r="CE162" i="1" s="1"/>
  <c r="DG84" i="1"/>
  <c r="CP128" i="1"/>
  <c r="CP130" i="1" s="1"/>
  <c r="CJ147" i="1"/>
  <c r="CF135" i="1"/>
  <c r="CA85" i="1"/>
  <c r="CD124" i="1"/>
  <c r="CA102" i="1"/>
  <c r="BZ103" i="1"/>
  <c r="BZ107" i="1" s="1"/>
  <c r="CF136" i="1" l="1"/>
  <c r="CF145" i="1"/>
  <c r="CF162" i="1" s="1"/>
  <c r="CQ128" i="1"/>
  <c r="CQ130" i="1" s="1"/>
  <c r="CK147" i="1"/>
  <c r="CG135" i="1"/>
  <c r="CB85" i="1"/>
  <c r="CE124" i="1"/>
  <c r="CB102" i="1"/>
  <c r="CA103" i="1"/>
  <c r="CA107" i="1" s="1"/>
  <c r="CG136" i="1" l="1"/>
  <c r="CG145" i="1"/>
  <c r="CG162" i="1" s="1"/>
  <c r="CR128" i="1"/>
  <c r="CR130" i="1" s="1"/>
  <c r="CL147" i="1"/>
  <c r="CH135" i="1"/>
  <c r="CC85" i="1"/>
  <c r="CF124" i="1"/>
  <c r="CC102" i="1"/>
  <c r="CB103" i="1"/>
  <c r="CB107" i="1" s="1"/>
  <c r="CH136" i="1" l="1"/>
  <c r="CH145" i="1"/>
  <c r="CH162" i="1" s="1"/>
  <c r="CS128" i="1"/>
  <c r="CS130" i="1" s="1"/>
  <c r="CM147" i="1"/>
  <c r="CI135" i="1"/>
  <c r="CD85" i="1"/>
  <c r="CG124" i="1"/>
  <c r="CD102" i="1"/>
  <c r="CC103" i="1"/>
  <c r="CC107" i="1" s="1"/>
  <c r="CI136" i="1" l="1"/>
  <c r="CI145" i="1"/>
  <c r="CI162" i="1" s="1"/>
  <c r="CT128" i="1"/>
  <c r="CT130" i="1" s="1"/>
  <c r="CN147" i="1"/>
  <c r="CJ135" i="1"/>
  <c r="CE85" i="1"/>
  <c r="CH124" i="1"/>
  <c r="CE102" i="1"/>
  <c r="CD103" i="1"/>
  <c r="CD107" i="1" s="1"/>
  <c r="CJ136" i="1" l="1"/>
  <c r="CJ145" i="1"/>
  <c r="CJ162" i="1" s="1"/>
  <c r="CU128" i="1"/>
  <c r="CU130" i="1" s="1"/>
  <c r="CO147" i="1"/>
  <c r="CK135" i="1"/>
  <c r="CF85" i="1"/>
  <c r="CI124" i="1"/>
  <c r="CF102" i="1"/>
  <c r="CE103" i="1"/>
  <c r="CE107" i="1" s="1"/>
  <c r="CK136" i="1" l="1"/>
  <c r="CK145" i="1"/>
  <c r="CK162" i="1" s="1"/>
  <c r="CV128" i="1"/>
  <c r="CV130" i="1" s="1"/>
  <c r="CP147" i="1"/>
  <c r="CL135" i="1"/>
  <c r="CG85" i="1"/>
  <c r="CJ124" i="1"/>
  <c r="CG102" i="1"/>
  <c r="CF103" i="1"/>
  <c r="CF107" i="1" s="1"/>
  <c r="CL136" i="1" l="1"/>
  <c r="CL145" i="1"/>
  <c r="CL162" i="1" s="1"/>
  <c r="CW128" i="1"/>
  <c r="CW130" i="1" s="1"/>
  <c r="CQ147" i="1"/>
  <c r="CM135" i="1"/>
  <c r="CH85" i="1"/>
  <c r="CK124" i="1"/>
  <c r="CH102" i="1"/>
  <c r="CG103" i="1"/>
  <c r="CG107" i="1" s="1"/>
  <c r="CM136" i="1" l="1"/>
  <c r="CM145" i="1"/>
  <c r="CM162" i="1" s="1"/>
  <c r="CX128" i="1"/>
  <c r="CX130" i="1" s="1"/>
  <c r="CR147" i="1"/>
  <c r="CN135" i="1"/>
  <c r="CI85" i="1"/>
  <c r="CL124" i="1"/>
  <c r="CI102" i="1"/>
  <c r="CH103" i="1"/>
  <c r="CH107" i="1" s="1"/>
  <c r="CN136" i="1" l="1"/>
  <c r="CN145" i="1"/>
  <c r="CN162" i="1" s="1"/>
  <c r="CY128" i="1"/>
  <c r="CY130" i="1" s="1"/>
  <c r="CS147" i="1"/>
  <c r="CO135" i="1"/>
  <c r="CJ85" i="1"/>
  <c r="CM124" i="1"/>
  <c r="CJ102" i="1"/>
  <c r="CI103" i="1"/>
  <c r="CI107" i="1" s="1"/>
  <c r="CO136" i="1" l="1"/>
  <c r="CO145" i="1"/>
  <c r="CO162" i="1" s="1"/>
  <c r="CZ128" i="1"/>
  <c r="CZ130" i="1" s="1"/>
  <c r="CT147" i="1"/>
  <c r="CP135" i="1"/>
  <c r="CK85" i="1"/>
  <c r="CN124" i="1"/>
  <c r="CK102" i="1"/>
  <c r="CJ103" i="1"/>
  <c r="CJ107" i="1" s="1"/>
  <c r="CP136" i="1" l="1"/>
  <c r="CP145" i="1"/>
  <c r="CP162" i="1" s="1"/>
  <c r="DA128" i="1"/>
  <c r="DA130" i="1" s="1"/>
  <c r="CU147" i="1"/>
  <c r="CQ135" i="1"/>
  <c r="CL85" i="1"/>
  <c r="CO124" i="1"/>
  <c r="CL102" i="1"/>
  <c r="CK103" i="1"/>
  <c r="CK107" i="1" s="1"/>
  <c r="CQ136" i="1" l="1"/>
  <c r="CQ145" i="1"/>
  <c r="CQ162" i="1" s="1"/>
  <c r="DB128" i="1"/>
  <c r="DB130" i="1" s="1"/>
  <c r="CV147" i="1"/>
  <c r="CR135" i="1"/>
  <c r="CM85" i="1"/>
  <c r="CP124" i="1"/>
  <c r="CM102" i="1"/>
  <c r="CL103" i="1"/>
  <c r="CL107" i="1" s="1"/>
  <c r="CR136" i="1" l="1"/>
  <c r="CR145" i="1"/>
  <c r="CR162" i="1" s="1"/>
  <c r="DC128" i="1"/>
  <c r="DC130" i="1" s="1"/>
  <c r="CW147" i="1"/>
  <c r="CS135" i="1"/>
  <c r="CN85" i="1"/>
  <c r="CQ124" i="1"/>
  <c r="CN102" i="1"/>
  <c r="CM103" i="1"/>
  <c r="CM107" i="1" s="1"/>
  <c r="CS136" i="1" l="1"/>
  <c r="CS145" i="1"/>
  <c r="CS162" i="1" s="1"/>
  <c r="DD128" i="1"/>
  <c r="DD130" i="1" s="1"/>
  <c r="CX147" i="1"/>
  <c r="CT135" i="1"/>
  <c r="CO85" i="1"/>
  <c r="CR124" i="1"/>
  <c r="CO102" i="1"/>
  <c r="CN103" i="1"/>
  <c r="CN107" i="1" s="1"/>
  <c r="CT136" i="1" l="1"/>
  <c r="CT145" i="1"/>
  <c r="CT162" i="1" s="1"/>
  <c r="DE128" i="1"/>
  <c r="DE130" i="1" s="1"/>
  <c r="CY147" i="1"/>
  <c r="CU135" i="1"/>
  <c r="CP85" i="1"/>
  <c r="CS124" i="1"/>
  <c r="CP102" i="1"/>
  <c r="CO103" i="1"/>
  <c r="CO107" i="1" s="1"/>
  <c r="CU136" i="1" l="1"/>
  <c r="CU145" i="1"/>
  <c r="CU162" i="1" s="1"/>
  <c r="DF128" i="1"/>
  <c r="DF130" i="1" s="1"/>
  <c r="CZ147" i="1"/>
  <c r="CV135" i="1"/>
  <c r="CQ85" i="1"/>
  <c r="CT124" i="1"/>
  <c r="CQ102" i="1"/>
  <c r="CP103" i="1"/>
  <c r="CP107" i="1" s="1"/>
  <c r="CV136" i="1" l="1"/>
  <c r="CV145" i="1"/>
  <c r="CV162" i="1" s="1"/>
  <c r="DG128" i="1"/>
  <c r="DG130" i="1" s="1"/>
  <c r="DA147" i="1"/>
  <c r="CW135" i="1"/>
  <c r="CR85" i="1"/>
  <c r="CU124" i="1"/>
  <c r="CR102" i="1"/>
  <c r="CQ103" i="1"/>
  <c r="CQ107" i="1" s="1"/>
  <c r="CW136" i="1" l="1"/>
  <c r="CW145" i="1"/>
  <c r="CW162" i="1" s="1"/>
  <c r="DB147" i="1"/>
  <c r="CX135" i="1"/>
  <c r="CS85" i="1"/>
  <c r="CV124" i="1"/>
  <c r="CS102" i="1"/>
  <c r="CR103" i="1"/>
  <c r="CR107" i="1" s="1"/>
  <c r="CX136" i="1" l="1"/>
  <c r="CX145" i="1"/>
  <c r="CX162" i="1" s="1"/>
  <c r="DC147" i="1"/>
  <c r="CY135" i="1"/>
  <c r="CT85" i="1"/>
  <c r="CW124" i="1"/>
  <c r="CT102" i="1"/>
  <c r="CS103" i="1"/>
  <c r="CS107" i="1" s="1"/>
  <c r="CY136" i="1" l="1"/>
  <c r="CY145" i="1"/>
  <c r="CY162" i="1" s="1"/>
  <c r="DD147" i="1"/>
  <c r="CZ135" i="1"/>
  <c r="CU85" i="1"/>
  <c r="CX124" i="1"/>
  <c r="CU102" i="1"/>
  <c r="CT103" i="1"/>
  <c r="CT107" i="1" s="1"/>
  <c r="CZ136" i="1" l="1"/>
  <c r="CZ145" i="1"/>
  <c r="CZ162" i="1" s="1"/>
  <c r="DE147" i="1"/>
  <c r="DA135" i="1"/>
  <c r="CV85" i="1"/>
  <c r="CY124" i="1"/>
  <c r="CV102" i="1"/>
  <c r="CU103" i="1"/>
  <c r="CU107" i="1" s="1"/>
  <c r="DA136" i="1" l="1"/>
  <c r="DA145" i="1"/>
  <c r="DA162" i="1" s="1"/>
  <c r="DF147" i="1"/>
  <c r="DB135" i="1"/>
  <c r="CW85" i="1"/>
  <c r="CZ124" i="1"/>
  <c r="CW102" i="1"/>
  <c r="CV103" i="1"/>
  <c r="CV107" i="1" s="1"/>
  <c r="DB136" i="1" l="1"/>
  <c r="DB145" i="1"/>
  <c r="DB162" i="1" s="1"/>
  <c r="DG147" i="1"/>
  <c r="DC135" i="1"/>
  <c r="CX85" i="1"/>
  <c r="DA124" i="1"/>
  <c r="CX102" i="1"/>
  <c r="CW103" i="1"/>
  <c r="CW107" i="1" s="1"/>
  <c r="DC136" i="1" l="1"/>
  <c r="DC145" i="1"/>
  <c r="DC162" i="1" s="1"/>
  <c r="DD135" i="1"/>
  <c r="CY85" i="1"/>
  <c r="DB124" i="1"/>
  <c r="CY102" i="1"/>
  <c r="CX103" i="1"/>
  <c r="CX107" i="1" s="1"/>
  <c r="DD136" i="1" l="1"/>
  <c r="DD145" i="1"/>
  <c r="DD162" i="1" s="1"/>
  <c r="DE135" i="1"/>
  <c r="CZ85" i="1"/>
  <c r="DC124" i="1"/>
  <c r="CZ102" i="1"/>
  <c r="CY103" i="1"/>
  <c r="CY107" i="1" s="1"/>
  <c r="DE136" i="1" l="1"/>
  <c r="DE145" i="1"/>
  <c r="DE162" i="1" s="1"/>
  <c r="DF135" i="1"/>
  <c r="DA85" i="1"/>
  <c r="DD124" i="1"/>
  <c r="DA102" i="1"/>
  <c r="CZ103" i="1"/>
  <c r="CZ107" i="1" s="1"/>
  <c r="DF136" i="1" l="1"/>
  <c r="DF145" i="1"/>
  <c r="DF162" i="1" s="1"/>
  <c r="DG135" i="1"/>
  <c r="DG145" i="1" s="1"/>
  <c r="DB85" i="1"/>
  <c r="DE124" i="1"/>
  <c r="DB102" i="1"/>
  <c r="DA103" i="1"/>
  <c r="DA107" i="1" s="1"/>
  <c r="DG162" i="1" l="1"/>
  <c r="DG136" i="1"/>
  <c r="DC85" i="1"/>
  <c r="DF124" i="1"/>
  <c r="DC102" i="1"/>
  <c r="DB103" i="1"/>
  <c r="DB107" i="1" s="1"/>
  <c r="DD85" i="1" l="1"/>
  <c r="DG124" i="1"/>
  <c r="DD102" i="1"/>
  <c r="DC103" i="1"/>
  <c r="DC107" i="1" s="1"/>
  <c r="DE85" i="1" l="1"/>
  <c r="DE102" i="1"/>
  <c r="DD103" i="1"/>
  <c r="DD107" i="1" s="1"/>
  <c r="DF85" i="1" l="1"/>
  <c r="E14" i="5"/>
  <c r="DF102" i="1"/>
  <c r="DE103" i="1"/>
  <c r="DE107" i="1" s="1"/>
  <c r="DG85" i="1" l="1"/>
  <c r="DG102" i="1"/>
  <c r="DG103" i="1" s="1"/>
  <c r="DG107" i="1" s="1"/>
  <c r="DF103" i="1"/>
  <c r="DF107" i="1" s="1"/>
  <c r="G31" i="5" l="1"/>
  <c r="H31" i="5" s="1"/>
  <c r="I31" i="5"/>
  <c r="J31" i="5"/>
  <c r="K31" i="5"/>
  <c r="L31" i="5"/>
  <c r="M31" i="5"/>
  <c r="N31" i="5"/>
  <c r="O167" i="1"/>
  <c r="Q167" i="1"/>
  <c r="R167" i="1"/>
  <c r="S167" i="1"/>
  <c r="T167" i="1"/>
  <c r="U167" i="1"/>
  <c r="V167" i="1"/>
  <c r="X167" i="1"/>
  <c r="Y167" i="1"/>
  <c r="Z167" i="1"/>
  <c r="AD167" i="1"/>
  <c r="L161" i="1"/>
  <c r="M161" i="1"/>
  <c r="K160" i="1"/>
  <c r="L160" i="1"/>
  <c r="M160" i="1"/>
  <c r="E171" i="1"/>
  <c r="AJ49" i="28" l="1"/>
  <c r="M163" i="1"/>
  <c r="L163" i="1"/>
  <c r="M167" i="1" l="1"/>
  <c r="M169" i="1" s="1"/>
  <c r="N167" i="1"/>
  <c r="E6" i="1" l="1"/>
  <c r="F6" i="1"/>
  <c r="G6" i="1"/>
  <c r="H6" i="1"/>
  <c r="I6" i="1"/>
  <c r="J6" i="1"/>
  <c r="E7" i="1"/>
  <c r="F7" i="1"/>
  <c r="G7" i="1"/>
  <c r="H7" i="1"/>
  <c r="I7" i="1"/>
  <c r="E8" i="1"/>
  <c r="F8" i="1"/>
  <c r="G8" i="1"/>
  <c r="H8" i="1"/>
  <c r="I8" i="1"/>
  <c r="E10" i="1"/>
  <c r="F10" i="1"/>
  <c r="G10" i="1"/>
  <c r="H10" i="1"/>
  <c r="I10" i="1"/>
  <c r="E13" i="1"/>
  <c r="D13" i="6" s="1"/>
  <c r="F13" i="1"/>
  <c r="E13" i="6" s="1"/>
  <c r="G13" i="1"/>
  <c r="F13" i="6" s="1"/>
  <c r="H13" i="1"/>
  <c r="G13" i="6" s="1"/>
  <c r="I13" i="1"/>
  <c r="H13" i="6" s="1"/>
  <c r="J13" i="1"/>
  <c r="I13" i="6" s="1"/>
  <c r="E84" i="1"/>
  <c r="E98" i="1" s="1"/>
  <c r="F84" i="1"/>
  <c r="F98" i="1" s="1"/>
  <c r="G84" i="1"/>
  <c r="G98" i="1" s="1"/>
  <c r="H84" i="1"/>
  <c r="H98" i="1" s="1"/>
  <c r="I84" i="1"/>
  <c r="I98" i="1" s="1"/>
  <c r="E85" i="1"/>
  <c r="F85" i="1"/>
  <c r="G85" i="1"/>
  <c r="H85" i="1"/>
  <c r="I85" i="1"/>
  <c r="E86" i="1"/>
  <c r="F86" i="1"/>
  <c r="G86" i="1"/>
  <c r="H86" i="1"/>
  <c r="I86" i="1"/>
  <c r="E87" i="1"/>
  <c r="F87" i="1"/>
  <c r="G87" i="1"/>
  <c r="H87" i="1"/>
  <c r="I87" i="1"/>
  <c r="E90" i="1"/>
  <c r="F90" i="1"/>
  <c r="G90" i="1"/>
  <c r="H90" i="1"/>
  <c r="I90" i="1"/>
  <c r="E102" i="1"/>
  <c r="E103" i="1" s="1"/>
  <c r="F102" i="1"/>
  <c r="F103" i="1" s="1"/>
  <c r="G102" i="1"/>
  <c r="G103" i="1" s="1"/>
  <c r="H102" i="1"/>
  <c r="H103" i="1" s="1"/>
  <c r="I102" i="1"/>
  <c r="I103" i="1" s="1"/>
  <c r="J102" i="1"/>
  <c r="J103" i="1" s="1"/>
  <c r="E115" i="1"/>
  <c r="F115" i="1"/>
  <c r="G115" i="1"/>
  <c r="H115" i="1"/>
  <c r="I115" i="1"/>
  <c r="E116" i="1"/>
  <c r="F116" i="1"/>
  <c r="G116" i="1"/>
  <c r="H116" i="1"/>
  <c r="I116" i="1"/>
  <c r="E117" i="1"/>
  <c r="F117" i="1"/>
  <c r="G117" i="1"/>
  <c r="H117" i="1"/>
  <c r="I117" i="1"/>
  <c r="E118" i="1"/>
  <c r="F118" i="1"/>
  <c r="G118" i="1"/>
  <c r="H118" i="1"/>
  <c r="I118" i="1"/>
  <c r="E122" i="1"/>
  <c r="F122" i="1"/>
  <c r="G122" i="1"/>
  <c r="H122" i="1"/>
  <c r="I122" i="1"/>
  <c r="E147" i="1"/>
  <c r="F147" i="1"/>
  <c r="G147" i="1"/>
  <c r="H147" i="1"/>
  <c r="I147" i="1"/>
  <c r="E148" i="1"/>
  <c r="F148" i="1"/>
  <c r="G148" i="1"/>
  <c r="H148" i="1"/>
  <c r="I148" i="1"/>
  <c r="E149" i="1"/>
  <c r="F149" i="1"/>
  <c r="G149" i="1"/>
  <c r="H149" i="1"/>
  <c r="I149" i="1"/>
  <c r="D152" i="1"/>
  <c r="D149" i="1"/>
  <c r="D148" i="1"/>
  <c r="D147" i="1"/>
  <c r="D122" i="1"/>
  <c r="D118" i="1"/>
  <c r="D117" i="1"/>
  <c r="D116" i="1"/>
  <c r="D115" i="1"/>
  <c r="D102" i="1"/>
  <c r="D103" i="1" s="1"/>
  <c r="D107" i="1" s="1"/>
  <c r="D90" i="1"/>
  <c r="D87" i="1"/>
  <c r="D86" i="1"/>
  <c r="D85" i="1"/>
  <c r="D84" i="1"/>
  <c r="D13" i="1"/>
  <c r="D10" i="1"/>
  <c r="D8" i="1"/>
  <c r="D7" i="1"/>
  <c r="D6" i="1"/>
  <c r="D14" i="5" l="1"/>
  <c r="F14" i="5" s="1"/>
  <c r="J166" i="1"/>
  <c r="D93" i="1"/>
  <c r="D95" i="1" s="1"/>
  <c r="F93" i="1"/>
  <c r="F95" i="1" s="1"/>
  <c r="E93" i="1"/>
  <c r="E95" i="1" s="1"/>
  <c r="C21" i="6"/>
  <c r="J93" i="1"/>
  <c r="I93" i="1"/>
  <c r="I95" i="1" s="1"/>
  <c r="H93" i="1"/>
  <c r="H95" i="1" s="1"/>
  <c r="G93" i="1"/>
  <c r="G95" i="1" s="1"/>
  <c r="I107" i="1"/>
  <c r="H26" i="6" s="1"/>
  <c r="H107" i="1"/>
  <c r="G26" i="6" s="1"/>
  <c r="G107" i="1"/>
  <c r="F26" i="6" s="1"/>
  <c r="F107" i="1"/>
  <c r="J107" i="1"/>
  <c r="I26" i="6" s="1"/>
  <c r="E107" i="1"/>
  <c r="D26" i="6" s="1"/>
  <c r="C26" i="6"/>
  <c r="C13" i="6"/>
  <c r="D153" i="1"/>
  <c r="D154" i="1" s="1"/>
  <c r="H123" i="1"/>
  <c r="I123" i="1"/>
  <c r="G123" i="1"/>
  <c r="F123" i="1"/>
  <c r="J123" i="1"/>
  <c r="K124" i="1"/>
  <c r="D123" i="1"/>
  <c r="D161" i="1" s="1"/>
  <c r="E123" i="1"/>
  <c r="F166" i="1"/>
  <c r="F167" i="1" s="1"/>
  <c r="E166" i="1"/>
  <c r="E12" i="1"/>
  <c r="H120" i="1"/>
  <c r="I120" i="1"/>
  <c r="I166" i="1"/>
  <c r="H166" i="1"/>
  <c r="G166" i="1"/>
  <c r="F12" i="1"/>
  <c r="H12" i="1"/>
  <c r="G12" i="1"/>
  <c r="F120" i="1"/>
  <c r="D12" i="1"/>
  <c r="G120" i="1"/>
  <c r="E120" i="1"/>
  <c r="J12" i="1"/>
  <c r="D120" i="1"/>
  <c r="I12" i="1"/>
  <c r="L48" i="1" l="1"/>
  <c r="L47" i="1"/>
  <c r="J95" i="1"/>
  <c r="D24" i="5"/>
  <c r="D26" i="5" s="1"/>
  <c r="G131" i="1"/>
  <c r="G132" i="1" s="1"/>
  <c r="K161" i="1"/>
  <c r="K163" i="1" s="1"/>
  <c r="J161" i="1"/>
  <c r="E26" i="6"/>
  <c r="P26" i="6" s="1"/>
  <c r="H131" i="1"/>
  <c r="H132" i="1" s="1"/>
  <c r="I131" i="1"/>
  <c r="I132" i="1" s="1"/>
  <c r="I14" i="1"/>
  <c r="I33" i="1" s="1"/>
  <c r="H12" i="6"/>
  <c r="H16" i="6" s="1"/>
  <c r="F14" i="1"/>
  <c r="F33" i="1" s="1"/>
  <c r="E12" i="6"/>
  <c r="E16" i="6" s="1"/>
  <c r="G14" i="1"/>
  <c r="G33" i="1" s="1"/>
  <c r="F12" i="6"/>
  <c r="F16" i="6" s="1"/>
  <c r="H14" i="1"/>
  <c r="H33" i="1" s="1"/>
  <c r="G12" i="6"/>
  <c r="G16" i="6" s="1"/>
  <c r="J14" i="1"/>
  <c r="J33" i="1" s="1"/>
  <c r="I12" i="6"/>
  <c r="I16" i="6" s="1"/>
  <c r="E14" i="1"/>
  <c r="E33" i="1" s="1"/>
  <c r="D12" i="6"/>
  <c r="D16" i="6" s="1"/>
  <c r="H161" i="1"/>
  <c r="D14" i="1"/>
  <c r="C12" i="6"/>
  <c r="C16" i="6" s="1"/>
  <c r="J131" i="1"/>
  <c r="J132" i="1" s="1"/>
  <c r="E131" i="1"/>
  <c r="E132" i="1" s="1"/>
  <c r="E161" i="1"/>
  <c r="F161" i="1"/>
  <c r="I161" i="1"/>
  <c r="G161" i="1"/>
  <c r="F131" i="1"/>
  <c r="F132" i="1" s="1"/>
  <c r="D131" i="1"/>
  <c r="D173" i="1"/>
  <c r="E167" i="1"/>
  <c r="D132" i="1" l="1"/>
  <c r="D156" i="1" s="1"/>
  <c r="H64" i="1"/>
  <c r="H97" i="1" s="1"/>
  <c r="H108" i="1" s="1"/>
  <c r="H160" i="1" s="1"/>
  <c r="H163" i="1" s="1"/>
  <c r="I49" i="1"/>
  <c r="D64" i="1"/>
  <c r="D97" i="1" s="1"/>
  <c r="D108" i="1" s="1"/>
  <c r="D160" i="1" s="1"/>
  <c r="D163" i="1" s="1"/>
  <c r="D169" i="1" s="1"/>
  <c r="E49" i="1"/>
  <c r="E64" i="1"/>
  <c r="F64" i="1"/>
  <c r="G49" i="1"/>
  <c r="G64" i="1"/>
  <c r="G97" i="1" s="1"/>
  <c r="G108" i="1" s="1"/>
  <c r="G160" i="1" s="1"/>
  <c r="G163" i="1" s="1"/>
  <c r="J64" i="1"/>
  <c r="J97" i="1" s="1"/>
  <c r="J108" i="1" s="1"/>
  <c r="J160" i="1" s="1"/>
  <c r="J163" i="1" s="1"/>
  <c r="K49" i="1"/>
  <c r="I64" i="1"/>
  <c r="I97" i="1" s="1"/>
  <c r="I108" i="1" s="1"/>
  <c r="I160" i="1" s="1"/>
  <c r="I163" i="1" s="1"/>
  <c r="J49" i="1"/>
  <c r="J124" i="1"/>
  <c r="I124" i="1"/>
  <c r="F124" i="1"/>
  <c r="G124" i="1"/>
  <c r="F17" i="6"/>
  <c r="D17" i="6"/>
  <c r="E17" i="6"/>
  <c r="E124" i="1"/>
  <c r="I17" i="6"/>
  <c r="H17" i="6"/>
  <c r="C23" i="6"/>
  <c r="C24" i="6" s="1"/>
  <c r="C17" i="6"/>
  <c r="H124" i="1"/>
  <c r="G17" i="6"/>
  <c r="F49" i="1" l="1"/>
  <c r="Q54" i="1"/>
  <c r="H49" i="1"/>
  <c r="Q55" i="1"/>
  <c r="E97" i="1"/>
  <c r="E108" i="1" s="1"/>
  <c r="E152" i="1" s="1"/>
  <c r="E153" i="1" s="1"/>
  <c r="F97" i="1"/>
  <c r="F108" i="1" s="1"/>
  <c r="F160" i="1" s="1"/>
  <c r="F163" i="1" s="1"/>
  <c r="F169" i="1" s="1"/>
  <c r="C27" i="6"/>
  <c r="C28" i="6" s="1"/>
  <c r="E154" i="1" l="1"/>
  <c r="E156" i="1" s="1"/>
  <c r="E155" i="1"/>
  <c r="D19" i="6"/>
  <c r="D19" i="15"/>
  <c r="E160" i="1"/>
  <c r="E163" i="1" s="1"/>
  <c r="E169" i="1" s="1"/>
  <c r="E172" i="1" s="1"/>
  <c r="F152" i="1"/>
  <c r="E173" i="1" l="1"/>
  <c r="D30" i="6"/>
  <c r="D31" i="6" s="1"/>
  <c r="E19" i="15"/>
  <c r="E19" i="6"/>
  <c r="E21" i="6" s="1"/>
  <c r="E23" i="6" s="1"/>
  <c r="F171" i="1"/>
  <c r="F172" i="1" s="1"/>
  <c r="E30" i="6" s="1"/>
  <c r="G152" i="1"/>
  <c r="F153" i="1"/>
  <c r="D21" i="6"/>
  <c r="D23" i="6" s="1"/>
  <c r="G167" i="1"/>
  <c r="G169" i="1" s="1"/>
  <c r="F154" i="1" l="1"/>
  <c r="F156" i="1" s="1"/>
  <c r="F155" i="1"/>
  <c r="E31" i="6"/>
  <c r="F19" i="6"/>
  <c r="F19" i="15"/>
  <c r="F173" i="1"/>
  <c r="G171" i="1"/>
  <c r="G172" i="1" s="1"/>
  <c r="F30" i="6" s="1"/>
  <c r="F31" i="6" s="1"/>
  <c r="G153" i="1"/>
  <c r="G155" i="1" s="1"/>
  <c r="H152" i="1"/>
  <c r="D27" i="6"/>
  <c r="D28" i="6" s="1"/>
  <c r="D24" i="6"/>
  <c r="E24" i="6"/>
  <c r="E27" i="6"/>
  <c r="E28" i="6" s="1"/>
  <c r="H167" i="1"/>
  <c r="H169" i="1" s="1"/>
  <c r="G154" i="1" l="1"/>
  <c r="G156" i="1" s="1"/>
  <c r="G19" i="6"/>
  <c r="G21" i="6" s="1"/>
  <c r="G23" i="6" s="1"/>
  <c r="G19" i="15"/>
  <c r="I152" i="1"/>
  <c r="H153" i="1"/>
  <c r="H155" i="1" s="1"/>
  <c r="H171" i="1"/>
  <c r="H172" i="1" s="1"/>
  <c r="G30" i="6" s="1"/>
  <c r="G31" i="6" s="1"/>
  <c r="G173" i="1"/>
  <c r="F21" i="6"/>
  <c r="F23" i="6" s="1"/>
  <c r="I167" i="1"/>
  <c r="I169" i="1" s="1"/>
  <c r="H154" i="1" l="1"/>
  <c r="H156" i="1" s="1"/>
  <c r="H19" i="15"/>
  <c r="H19" i="6"/>
  <c r="H21" i="6" s="1"/>
  <c r="H23" i="6" s="1"/>
  <c r="J152" i="1"/>
  <c r="I153" i="1"/>
  <c r="F24" i="6"/>
  <c r="F27" i="6"/>
  <c r="F28" i="6" s="1"/>
  <c r="G24" i="6"/>
  <c r="G27" i="6"/>
  <c r="G28" i="6" s="1"/>
  <c r="H173" i="1"/>
  <c r="I171" i="1"/>
  <c r="I172" i="1" s="1"/>
  <c r="H30" i="6" s="1"/>
  <c r="H31" i="6" s="1"/>
  <c r="J167" i="1"/>
  <c r="J169" i="1" s="1"/>
  <c r="I154" i="1" l="1"/>
  <c r="I156" i="1" s="1"/>
  <c r="I155" i="1"/>
  <c r="I19" i="6"/>
  <c r="I21" i="6" s="1"/>
  <c r="I23" i="6" s="1"/>
  <c r="I19" i="15"/>
  <c r="K152" i="1"/>
  <c r="J153" i="1"/>
  <c r="H24" i="6"/>
  <c r="H27" i="6"/>
  <c r="H28" i="6" s="1"/>
  <c r="I173" i="1"/>
  <c r="J171" i="1"/>
  <c r="J172" i="1" s="1"/>
  <c r="I30" i="6" s="1"/>
  <c r="I31" i="6" s="1"/>
  <c r="K167" i="1"/>
  <c r="K169" i="1" s="1"/>
  <c r="J154" i="1" l="1"/>
  <c r="J156" i="1" s="1"/>
  <c r="J155" i="1"/>
  <c r="J19" i="6"/>
  <c r="J21" i="6" s="1"/>
  <c r="J23" i="6" s="1"/>
  <c r="J19" i="15"/>
  <c r="K153" i="1"/>
  <c r="L152" i="1"/>
  <c r="I24" i="6"/>
  <c r="I27" i="6"/>
  <c r="I28" i="6" s="1"/>
  <c r="J173" i="1"/>
  <c r="K171" i="1"/>
  <c r="K172" i="1" s="1"/>
  <c r="J30" i="6" s="1"/>
  <c r="J31" i="6" s="1"/>
  <c r="L167" i="1"/>
  <c r="L169" i="1" s="1"/>
  <c r="K154" i="1" l="1"/>
  <c r="K156" i="1" s="1"/>
  <c r="K155" i="1"/>
  <c r="K19" i="15"/>
  <c r="K19" i="6"/>
  <c r="K21" i="6" s="1"/>
  <c r="K23" i="6" s="1"/>
  <c r="J27" i="6"/>
  <c r="J28" i="6" s="1"/>
  <c r="J24" i="6"/>
  <c r="L153" i="1"/>
  <c r="M152" i="1"/>
  <c r="M153" i="1" s="1"/>
  <c r="M154" i="1" s="1"/>
  <c r="M156" i="1" s="1"/>
  <c r="L171" i="1"/>
  <c r="L172" i="1" s="1"/>
  <c r="K30" i="6" s="1"/>
  <c r="K31" i="6" s="1"/>
  <c r="K173" i="1"/>
  <c r="L154" i="1" l="1"/>
  <c r="L156" i="1" s="1"/>
  <c r="M155" i="1"/>
  <c r="L155" i="1"/>
  <c r="K27" i="6"/>
  <c r="K28" i="6" s="1"/>
  <c r="K24" i="6"/>
  <c r="L19" i="6"/>
  <c r="L21" i="6" s="1"/>
  <c r="L23" i="6" s="1"/>
  <c r="L19" i="15"/>
  <c r="M171" i="1"/>
  <c r="M172" i="1" s="1"/>
  <c r="L30" i="6" s="1"/>
  <c r="L31" i="6" s="1"/>
  <c r="L173" i="1"/>
  <c r="M19" i="6" l="1"/>
  <c r="M21" i="6" s="1"/>
  <c r="M19" i="15"/>
  <c r="L27" i="6"/>
  <c r="L28" i="6" s="1"/>
  <c r="L24" i="6"/>
  <c r="N171" i="1"/>
  <c r="M173" i="1"/>
  <c r="D23" i="25" l="1"/>
  <c r="D24" i="25" s="1"/>
  <c r="C23" i="20" l="1"/>
  <c r="E23" i="25"/>
  <c r="E24" i="25" s="1"/>
  <c r="F23" i="25" l="1"/>
  <c r="F24" i="25" s="1"/>
  <c r="G23" i="25" l="1"/>
  <c r="G24" i="25" s="1"/>
  <c r="AE37" i="28" l="1"/>
  <c r="AY87" i="1" l="1"/>
  <c r="AF37" i="28" s="1"/>
  <c r="AZ87" i="1" l="1"/>
  <c r="AG37" i="28" s="1"/>
  <c r="BA87" i="1" l="1"/>
  <c r="AH37" i="28" s="1"/>
  <c r="BB87" i="1" l="1"/>
  <c r="AI37" i="28" s="1"/>
  <c r="BC87" i="1" l="1"/>
  <c r="AJ37" i="28" s="1"/>
  <c r="BD87" i="1" l="1"/>
  <c r="AK37" i="28" s="1"/>
  <c r="BE87" i="1" l="1"/>
  <c r="BF87" i="1" l="1"/>
  <c r="BG87" i="1" l="1"/>
  <c r="BH87" i="1" l="1"/>
  <c r="BI87" i="1" l="1"/>
  <c r="BJ87" i="1" l="1"/>
  <c r="BK87" i="1" l="1"/>
  <c r="BL87" i="1" l="1"/>
  <c r="BM87" i="1" l="1"/>
  <c r="BN87" i="1" l="1"/>
  <c r="BO87" i="1" l="1"/>
  <c r="BP87" i="1" l="1"/>
  <c r="BQ87" i="1" l="1"/>
  <c r="BR87" i="1" l="1"/>
  <c r="BS87" i="1" l="1"/>
  <c r="BT87" i="1" l="1"/>
  <c r="BU87" i="1" l="1"/>
  <c r="BV87" i="1" l="1"/>
  <c r="BW87" i="1" l="1"/>
  <c r="BX87" i="1" l="1"/>
  <c r="BY87" i="1" l="1"/>
  <c r="BZ87" i="1" l="1"/>
  <c r="CA87" i="1" l="1"/>
  <c r="CB87" i="1" l="1"/>
  <c r="CC87" i="1" l="1"/>
  <c r="CD87" i="1" l="1"/>
  <c r="CE87" i="1" l="1"/>
  <c r="CF87" i="1" l="1"/>
  <c r="CG87" i="1" l="1"/>
  <c r="CH87" i="1" l="1"/>
  <c r="CI87" i="1" l="1"/>
  <c r="CJ87" i="1" l="1"/>
  <c r="CK87" i="1" l="1"/>
  <c r="CL87" i="1" l="1"/>
  <c r="CM87" i="1" l="1"/>
  <c r="CN87" i="1" l="1"/>
  <c r="CO87" i="1" l="1"/>
  <c r="CP87" i="1" l="1"/>
  <c r="CQ87" i="1" l="1"/>
  <c r="CR87" i="1" l="1"/>
  <c r="CS87" i="1" l="1"/>
  <c r="CT87" i="1" l="1"/>
  <c r="CU87" i="1" l="1"/>
  <c r="CV87" i="1" l="1"/>
  <c r="CW87" i="1" l="1"/>
  <c r="CX87" i="1" l="1"/>
  <c r="CY87" i="1" l="1"/>
  <c r="CZ87" i="1" l="1"/>
  <c r="DA87" i="1" l="1"/>
  <c r="DB87" i="1" l="1"/>
  <c r="DC87" i="1" l="1"/>
  <c r="DD87" i="1" l="1"/>
  <c r="DE87" i="1" l="1"/>
  <c r="DF87" i="1" l="1"/>
  <c r="DG87" i="1" l="1"/>
  <c r="N14" i="1" l="1"/>
  <c r="N42" i="1" s="1"/>
  <c r="M12" i="6"/>
  <c r="N33" i="1" l="1"/>
  <c r="N124" i="1"/>
  <c r="R53" i="1"/>
  <c r="M14" i="6"/>
  <c r="M16" i="6" s="1"/>
  <c r="N64" i="1"/>
  <c r="N97" i="1" s="1"/>
  <c r="N43" i="1" l="1"/>
  <c r="N108" i="1"/>
  <c r="N160" i="1" s="1"/>
  <c r="N44" i="1"/>
  <c r="N49" i="1"/>
  <c r="N161" i="1"/>
  <c r="M23" i="6"/>
  <c r="M17" i="6"/>
  <c r="N45" i="1" l="1"/>
  <c r="N47" i="1" s="1"/>
  <c r="N48" i="1"/>
  <c r="N152" i="1"/>
  <c r="N153" i="1" s="1"/>
  <c r="M24" i="6"/>
  <c r="M27" i="6"/>
  <c r="M28" i="6" s="1"/>
  <c r="N163" i="1"/>
  <c r="N169" i="1" s="1"/>
  <c r="N154" i="1" l="1"/>
  <c r="N155" i="1"/>
  <c r="N172" i="1"/>
  <c r="M30" i="6" s="1"/>
  <c r="M31" i="6" s="1"/>
  <c r="N173" i="1" l="1"/>
  <c r="O171" i="1"/>
  <c r="N131" i="1"/>
  <c r="N132" i="1" s="1"/>
  <c r="N156" i="1" s="1"/>
  <c r="D13" i="5" l="1"/>
  <c r="D15" i="5" s="1"/>
  <c r="N12" i="6"/>
  <c r="O14" i="1"/>
  <c r="O42" i="1" s="1"/>
  <c r="D20" i="5" l="1"/>
  <c r="D21" i="5" s="1"/>
  <c r="O33" i="1"/>
  <c r="R54" i="1"/>
  <c r="O64" i="1"/>
  <c r="P12" i="6"/>
  <c r="P14" i="6" s="1"/>
  <c r="P16" i="6" s="1"/>
  <c r="N14" i="6"/>
  <c r="N16" i="6" s="1"/>
  <c r="D28" i="5" l="1"/>
  <c r="O43" i="1"/>
  <c r="R52" i="1"/>
  <c r="R56" i="1" s="1"/>
  <c r="O49" i="1"/>
  <c r="O97" i="1"/>
  <c r="P17" i="6"/>
  <c r="N17" i="6"/>
  <c r="D32" i="5" l="1"/>
  <c r="D33" i="5" s="1"/>
  <c r="D29" i="5"/>
  <c r="O108" i="1"/>
  <c r="O160" i="1" s="1"/>
  <c r="O44" i="1"/>
  <c r="R57" i="1"/>
  <c r="O152" i="1" l="1"/>
  <c r="O153" i="1" s="1"/>
  <c r="O45" i="1"/>
  <c r="O47" i="1" s="1"/>
  <c r="P45" i="1"/>
  <c r="P47" i="1" s="1"/>
  <c r="O48" i="1"/>
  <c r="O154" i="1" l="1"/>
  <c r="P155" i="1"/>
  <c r="O155" i="1"/>
  <c r="O124" i="1"/>
  <c r="O123" i="1"/>
  <c r="O131" i="1" s="1"/>
  <c r="O132" i="1" s="1"/>
  <c r="O156" i="1" l="1"/>
  <c r="O161" i="1"/>
  <c r="O163" i="1" s="1"/>
  <c r="O169" i="1" s="1"/>
  <c r="O172" i="1" l="1"/>
  <c r="N30" i="6" s="1"/>
  <c r="N31" i="6" s="1"/>
  <c r="P171" i="1" l="1"/>
  <c r="O173" i="1"/>
  <c r="C12" i="15" l="1"/>
  <c r="C14" i="15" l="1"/>
  <c r="C16" i="15" s="1"/>
  <c r="C20" i="15"/>
  <c r="C22" i="15" l="1"/>
  <c r="C17" i="15"/>
  <c r="P154" i="1"/>
  <c r="C26" i="15" l="1"/>
  <c r="C27" i="15" s="1"/>
  <c r="C23" i="15"/>
  <c r="D20" i="15" l="1"/>
  <c r="P124" i="1" l="1"/>
  <c r="P123" i="1"/>
  <c r="P131" i="1" l="1"/>
  <c r="P132" i="1" s="1"/>
  <c r="P156" i="1" s="1"/>
  <c r="P161" i="1"/>
  <c r="P163" i="1" s="1"/>
  <c r="Q161" i="1"/>
  <c r="P169" i="1" l="1"/>
  <c r="Q124" i="1"/>
  <c r="D12" i="15"/>
  <c r="Q64" i="1"/>
  <c r="Q97" i="1" l="1"/>
  <c r="Q44" i="1" s="1"/>
  <c r="Q45" i="1" s="1"/>
  <c r="Q47" i="1" s="1"/>
  <c r="Q65" i="1"/>
  <c r="P172" i="1"/>
  <c r="C30" i="15"/>
  <c r="E12" i="15"/>
  <c r="E14" i="15" s="1"/>
  <c r="E16" i="15" s="1"/>
  <c r="D14" i="15"/>
  <c r="D16" i="15" s="1"/>
  <c r="Q108" i="1" l="1"/>
  <c r="Q152" i="1" s="1"/>
  <c r="R152" i="1" s="1"/>
  <c r="R153" i="1" s="1"/>
  <c r="Q98" i="1"/>
  <c r="Q48" i="1"/>
  <c r="R45" i="1"/>
  <c r="R47" i="1" s="1"/>
  <c r="S45" i="1"/>
  <c r="S47" i="1" s="1"/>
  <c r="P173" i="1"/>
  <c r="C29" i="15"/>
  <c r="Q171" i="1"/>
  <c r="E17" i="15"/>
  <c r="D17" i="15"/>
  <c r="D22" i="15"/>
  <c r="R161" i="1"/>
  <c r="Q153" i="1" l="1"/>
  <c r="Q154" i="1" s="1"/>
  <c r="Q156" i="1" s="1"/>
  <c r="Q160" i="1"/>
  <c r="Q163" i="1" s="1"/>
  <c r="Q169" i="1" s="1"/>
  <c r="Q172" i="1" s="1"/>
  <c r="S152" i="1"/>
  <c r="S153" i="1" s="1"/>
  <c r="S154" i="1" s="1"/>
  <c r="S156" i="1" s="1"/>
  <c r="R154" i="1"/>
  <c r="R156" i="1" s="1"/>
  <c r="R160" i="1"/>
  <c r="R163" i="1" s="1"/>
  <c r="R169" i="1" s="1"/>
  <c r="F20" i="15"/>
  <c r="D26" i="15"/>
  <c r="D27" i="15" s="1"/>
  <c r="D23" i="15"/>
  <c r="E20" i="15"/>
  <c r="E22" i="15" s="1"/>
  <c r="D30" i="15" l="1"/>
  <c r="T152" i="1"/>
  <c r="U152" i="1" s="1"/>
  <c r="U153" i="1" s="1"/>
  <c r="S155" i="1"/>
  <c r="Q155" i="1"/>
  <c r="R155" i="1"/>
  <c r="Q173" i="1"/>
  <c r="R171" i="1"/>
  <c r="R172" i="1" s="1"/>
  <c r="D29" i="15"/>
  <c r="G20" i="15"/>
  <c r="E23" i="15"/>
  <c r="E26" i="15"/>
  <c r="E27" i="15" s="1"/>
  <c r="E30" i="15"/>
  <c r="V152" i="1" l="1"/>
  <c r="W152" i="1" s="1"/>
  <c r="X152" i="1" s="1"/>
  <c r="Y152" i="1" s="1"/>
  <c r="Y153" i="1" s="1"/>
  <c r="Y154" i="1" s="1"/>
  <c r="Y156" i="1" s="1"/>
  <c r="T153" i="1"/>
  <c r="T154" i="1" s="1"/>
  <c r="T156" i="1" s="1"/>
  <c r="U154" i="1"/>
  <c r="U156" i="1" s="1"/>
  <c r="R173" i="1"/>
  <c r="S171" i="1"/>
  <c r="E29" i="15"/>
  <c r="H20" i="15"/>
  <c r="W153" i="1" l="1"/>
  <c r="W154" i="1" s="1"/>
  <c r="W156" i="1" s="1"/>
  <c r="V153" i="1"/>
  <c r="V154" i="1" s="1"/>
  <c r="V156" i="1" s="1"/>
  <c r="T155" i="1"/>
  <c r="U155" i="1"/>
  <c r="X153" i="1"/>
  <c r="I20" i="15"/>
  <c r="X155" i="1" l="1"/>
  <c r="V155" i="1"/>
  <c r="W155" i="1"/>
  <c r="X154" i="1"/>
  <c r="X156" i="1" s="1"/>
  <c r="Y155" i="1"/>
  <c r="J20" i="15"/>
  <c r="K20" i="15" l="1"/>
  <c r="L20" i="15" l="1"/>
  <c r="M20" i="15" l="1"/>
  <c r="E25" i="5" l="1"/>
  <c r="F25" i="5" s="1"/>
  <c r="G25" i="5"/>
  <c r="I25" i="5"/>
  <c r="J25" i="5"/>
  <c r="K25" i="5"/>
  <c r="L25" i="5"/>
  <c r="M25" i="5"/>
  <c r="N25" i="5"/>
  <c r="S161" i="1"/>
  <c r="F12" i="15"/>
  <c r="F14" i="15" s="1"/>
  <c r="F16" i="15" s="1"/>
  <c r="H25" i="5" l="1"/>
  <c r="S160" i="1"/>
  <c r="S163" i="1" s="1"/>
  <c r="S169" i="1" s="1"/>
  <c r="G12" i="15"/>
  <c r="G14" i="15" s="1"/>
  <c r="G16" i="15" s="1"/>
  <c r="F17" i="15"/>
  <c r="F22" i="15"/>
  <c r="I12" i="15" l="1"/>
  <c r="I14" i="15" s="1"/>
  <c r="I16" i="15" s="1"/>
  <c r="G17" i="15"/>
  <c r="G22" i="15"/>
  <c r="S172" i="1"/>
  <c r="F30" i="15"/>
  <c r="F26" i="15"/>
  <c r="F27" i="15" s="1"/>
  <c r="F23" i="15"/>
  <c r="T160" i="1" l="1"/>
  <c r="G23" i="15"/>
  <c r="G26" i="15"/>
  <c r="G27" i="15" s="1"/>
  <c r="F29" i="15"/>
  <c r="S173" i="1"/>
  <c r="T171" i="1"/>
  <c r="H12" i="15"/>
  <c r="I17" i="15"/>
  <c r="I22" i="15"/>
  <c r="T161" i="1"/>
  <c r="I26" i="15" l="1"/>
  <c r="I27" i="15" s="1"/>
  <c r="I23" i="15"/>
  <c r="V160" i="1"/>
  <c r="H14" i="15"/>
  <c r="H16" i="15" s="1"/>
  <c r="V161" i="1"/>
  <c r="T163" i="1"/>
  <c r="T169" i="1" s="1"/>
  <c r="T172" i="1" l="1"/>
  <c r="V163" i="1"/>
  <c r="V169" i="1" s="1"/>
  <c r="U160" i="1"/>
  <c r="U161" i="1"/>
  <c r="G30" i="15"/>
  <c r="H17" i="15"/>
  <c r="H22" i="15"/>
  <c r="U171" i="1" l="1"/>
  <c r="G29" i="15"/>
  <c r="I30" i="15"/>
  <c r="H26" i="15"/>
  <c r="H27" i="15" s="1"/>
  <c r="H23" i="15"/>
  <c r="U163" i="1"/>
  <c r="U169" i="1" s="1"/>
  <c r="T173" i="1"/>
  <c r="H30" i="15" l="1"/>
  <c r="U172" i="1"/>
  <c r="H29" i="15" l="1"/>
  <c r="U173" i="1"/>
  <c r="V171" i="1"/>
  <c r="V172" i="1" s="1"/>
  <c r="W171" i="1" s="1"/>
  <c r="W172" i="1" s="1"/>
  <c r="W173" i="1" s="1"/>
  <c r="V173" i="1" l="1"/>
  <c r="I29" i="15"/>
  <c r="G52" i="1" l="1"/>
  <c r="G57" i="1" s="1"/>
  <c r="G56" i="1" l="1"/>
  <c r="J12" i="15"/>
  <c r="K12" i="15" l="1"/>
  <c r="K14" i="15" s="1"/>
  <c r="K16" i="15" s="1"/>
  <c r="J14" i="15"/>
  <c r="J16" i="15" s="1"/>
  <c r="X161" i="1" l="1"/>
  <c r="K22" i="15"/>
  <c r="K17" i="15"/>
  <c r="J17" i="15"/>
  <c r="J22" i="15"/>
  <c r="X44" i="1" l="1"/>
  <c r="X160" i="1"/>
  <c r="X163" i="1" s="1"/>
  <c r="X169" i="1" s="1"/>
  <c r="K26" i="15"/>
  <c r="K27" i="15" s="1"/>
  <c r="K23" i="15"/>
  <c r="J23" i="15"/>
  <c r="J26" i="15"/>
  <c r="J27" i="15" s="1"/>
  <c r="J30" i="15"/>
  <c r="Y45" i="1" l="1"/>
  <c r="Y47" i="1" s="1"/>
  <c r="X45" i="1"/>
  <c r="X47" i="1" s="1"/>
  <c r="X48" i="1"/>
  <c r="K30" i="15"/>
  <c r="J29" i="15"/>
  <c r="X171" i="1"/>
  <c r="X172" i="1" s="1"/>
  <c r="X173" i="1" l="1"/>
  <c r="K29" i="15"/>
  <c r="Y171" i="1"/>
  <c r="Q52" i="1" l="1"/>
  <c r="Q57" i="1" s="1"/>
  <c r="Q56" i="1" l="1"/>
  <c r="L12" i="15" l="1"/>
  <c r="L14" i="15" l="1"/>
  <c r="L16" i="15" s="1"/>
  <c r="Y161" i="1" l="1"/>
  <c r="L22" i="15"/>
  <c r="L17" i="15"/>
  <c r="Y160" i="1" l="1"/>
  <c r="Y163" i="1" s="1"/>
  <c r="Y169" i="1" s="1"/>
  <c r="L26" i="15"/>
  <c r="L27" i="15" s="1"/>
  <c r="L23" i="15"/>
  <c r="L30" i="15" l="1"/>
  <c r="Y172" i="1"/>
  <c r="Y173" i="1" s="1"/>
  <c r="N12" i="15"/>
  <c r="L29" i="15" l="1"/>
  <c r="Z171" i="1"/>
  <c r="N14" i="15"/>
  <c r="N16" i="15" s="1"/>
  <c r="N17" i="15" l="1"/>
  <c r="H52" i="1" l="1"/>
  <c r="H56" i="1" s="1"/>
  <c r="M52" i="1" l="1"/>
  <c r="M56" i="1" s="1"/>
  <c r="L52" i="1"/>
  <c r="L56" i="1" s="1"/>
  <c r="N52" i="1"/>
  <c r="N56" i="1" s="1"/>
  <c r="J52" i="1"/>
  <c r="J56" i="1" s="1"/>
  <c r="I52" i="1"/>
  <c r="I56" i="1" s="1"/>
  <c r="K52" i="1"/>
  <c r="K56" i="1" s="1"/>
  <c r="H57" i="1"/>
  <c r="L57" i="1" l="1"/>
  <c r="M57" i="1"/>
  <c r="I57" i="1"/>
  <c r="J57" i="1"/>
  <c r="K57" i="1"/>
  <c r="N57" i="1"/>
  <c r="Z123" i="1" l="1"/>
  <c r="AA161" i="1" s="1"/>
  <c r="AA163" i="1" s="1"/>
  <c r="AA169" i="1" s="1"/>
  <c r="Z161" i="1" l="1"/>
  <c r="E13" i="5"/>
  <c r="M12" i="15"/>
  <c r="P12" i="15" s="1"/>
  <c r="P14" i="15" s="1"/>
  <c r="P16" i="15" s="1"/>
  <c r="Z14" i="1"/>
  <c r="Z42" i="1" s="1"/>
  <c r="E15" i="5" l="1"/>
  <c r="E17" i="5" s="1"/>
  <c r="F17" i="5" s="1"/>
  <c r="F13" i="5"/>
  <c r="Z33" i="1"/>
  <c r="Z124" i="1"/>
  <c r="M14" i="15"/>
  <c r="M16" i="15" s="1"/>
  <c r="M22" i="15" s="1"/>
  <c r="M26" i="15" s="1"/>
  <c r="M27" i="15" s="1"/>
  <c r="P17" i="15"/>
  <c r="Z64" i="1"/>
  <c r="Z65" i="1" s="1"/>
  <c r="E20" i="5" l="1"/>
  <c r="F15" i="5"/>
  <c r="Z97" i="1"/>
  <c r="Z98" i="1" s="1"/>
  <c r="Z43" i="1"/>
  <c r="M17" i="15"/>
  <c r="M23" i="15"/>
  <c r="E21" i="5" l="1"/>
  <c r="F21" i="5" s="1"/>
  <c r="F20" i="5"/>
  <c r="Z108" i="1"/>
  <c r="Z160" i="1" s="1"/>
  <c r="Z163" i="1" s="1"/>
  <c r="Z169" i="1" s="1"/>
  <c r="Z44" i="1"/>
  <c r="Z48" i="1" s="1"/>
  <c r="Z152" i="1" l="1"/>
  <c r="AA152" i="1" s="1"/>
  <c r="AA153" i="1" s="1"/>
  <c r="AA154" i="1" s="1"/>
  <c r="Z45" i="1"/>
  <c r="Z47" i="1" s="1"/>
  <c r="M30" i="15"/>
  <c r="Z172" i="1"/>
  <c r="AA171" i="1" s="1"/>
  <c r="AA172" i="1" s="1"/>
  <c r="AB171" i="1" s="1"/>
  <c r="Z153" i="1" l="1"/>
  <c r="AA131" i="1"/>
  <c r="AA132" i="1" s="1"/>
  <c r="AA156" i="1" s="1"/>
  <c r="AA173" i="1"/>
  <c r="Z131" i="1"/>
  <c r="Z132" i="1" s="1"/>
  <c r="M29" i="15"/>
  <c r="Z173" i="1"/>
  <c r="Z154" i="1" l="1"/>
  <c r="Z156" i="1" s="1"/>
  <c r="AA155" i="1"/>
  <c r="Z155" i="1"/>
  <c r="S55" i="1"/>
  <c r="S53" i="1" l="1"/>
  <c r="S54" i="1" l="1"/>
  <c r="S52" i="1" l="1"/>
  <c r="S56" i="1" s="1"/>
  <c r="S57" i="1" l="1"/>
  <c r="T55" i="1" l="1"/>
  <c r="AY49" i="1" l="1"/>
  <c r="AF25" i="28" s="1"/>
  <c r="BA49" i="1" l="1"/>
  <c r="AH25" i="28" s="1"/>
  <c r="BB49" i="1" l="1"/>
  <c r="AI25" i="28" s="1"/>
  <c r="BC49" i="1" l="1"/>
  <c r="AJ25" i="28" s="1"/>
  <c r="U55" i="1"/>
  <c r="BD49" i="1" l="1"/>
  <c r="AK25" i="28" s="1"/>
  <c r="BE49" i="1" l="1"/>
  <c r="BF49" i="1" l="1"/>
  <c r="BG49" i="1" l="1"/>
  <c r="BH49" i="1" l="1"/>
  <c r="BI49" i="1" l="1"/>
  <c r="BK49" i="1" l="1"/>
  <c r="BM49" i="1" l="1"/>
  <c r="BN49" i="1" l="1"/>
  <c r="BO49" i="1" l="1"/>
  <c r="V55" i="1"/>
  <c r="BP49" i="1" l="1"/>
  <c r="BQ49" i="1" l="1"/>
  <c r="BR49" i="1" l="1"/>
  <c r="BS49" i="1" l="1"/>
  <c r="BT49" i="1" l="1"/>
  <c r="BU49" i="1" l="1"/>
  <c r="BW49" i="1" l="1"/>
  <c r="BY49" i="1" l="1"/>
  <c r="BZ49" i="1" l="1"/>
  <c r="CA49" i="1" l="1"/>
  <c r="W55" i="1"/>
  <c r="Y55" i="1"/>
  <c r="X55" i="1"/>
  <c r="CB49" i="1" l="1"/>
  <c r="CC49" i="1" l="1"/>
  <c r="CD49" i="1" l="1"/>
  <c r="CE49" i="1" l="1"/>
  <c r="CF49" i="1" l="1"/>
  <c r="CG49" i="1" l="1"/>
  <c r="CI49" i="1" l="1"/>
  <c r="CK49" i="1" l="1"/>
  <c r="CL49" i="1" l="1"/>
  <c r="CM49" i="1" l="1"/>
  <c r="Z55" i="1"/>
  <c r="CN49" i="1" l="1"/>
  <c r="CO49" i="1" l="1"/>
  <c r="CP49" i="1" l="1"/>
  <c r="CQ49" i="1" l="1"/>
  <c r="CR49" i="1" l="1"/>
  <c r="CS49" i="1" l="1"/>
  <c r="CU49" i="1" l="1"/>
  <c r="CW49" i="1" l="1"/>
  <c r="CX49" i="1" l="1"/>
  <c r="CY49" i="1" l="1"/>
  <c r="CZ49" i="1" l="1"/>
  <c r="DA49" i="1" l="1"/>
  <c r="DB49" i="1" l="1"/>
  <c r="DC49" i="1" l="1"/>
  <c r="DD49" i="1" l="1"/>
  <c r="DE49" i="1" l="1"/>
  <c r="DG49" i="1" l="1"/>
  <c r="E15" i="25" l="1"/>
  <c r="AC161" i="1" l="1"/>
  <c r="D14" i="25"/>
  <c r="D19" i="25" l="1"/>
  <c r="D26" i="25" s="1"/>
  <c r="E12" i="25"/>
  <c r="F15" i="25"/>
  <c r="D20" i="25" l="1"/>
  <c r="AC160" i="1"/>
  <c r="AC163" i="1" s="1"/>
  <c r="AC169" i="1" s="1"/>
  <c r="E14" i="25"/>
  <c r="E19" i="25" s="1"/>
  <c r="D30" i="25"/>
  <c r="D31" i="25" s="1"/>
  <c r="D27" i="25"/>
  <c r="E26" i="25" l="1"/>
  <c r="E20" i="25"/>
  <c r="AD161" i="1"/>
  <c r="E27" i="25" l="1"/>
  <c r="E30" i="25"/>
  <c r="E31" i="25" s="1"/>
  <c r="F12" i="25"/>
  <c r="AD160" i="1"/>
  <c r="AD163" i="1" s="1"/>
  <c r="AD169" i="1" s="1"/>
  <c r="F14" i="25" l="1"/>
  <c r="F19" i="25" s="1"/>
  <c r="E37" i="25"/>
  <c r="G15" i="25"/>
  <c r="F20" i="25" l="1"/>
  <c r="F26" i="25"/>
  <c r="F30" i="25" l="1"/>
  <c r="F31" i="25" s="1"/>
  <c r="F27" i="25"/>
  <c r="G12" i="25" l="1"/>
  <c r="F37" i="25"/>
  <c r="H15" i="25"/>
  <c r="G14" i="25" l="1"/>
  <c r="G19" i="25" s="1"/>
  <c r="G20" i="25" l="1"/>
  <c r="G26" i="25"/>
  <c r="H11" i="24"/>
  <c r="H19" i="24" s="1"/>
  <c r="H20" i="24" s="1"/>
  <c r="H23" i="25" l="1"/>
  <c r="H24" i="25" s="1"/>
  <c r="G27" i="25"/>
  <c r="G30" i="25"/>
  <c r="G31" i="25" s="1"/>
  <c r="I15" i="25" l="1"/>
  <c r="H12" i="25"/>
  <c r="H14" i="25" s="1"/>
  <c r="G37" i="25"/>
  <c r="I19" i="24" l="1"/>
  <c r="I20" i="24" l="1"/>
  <c r="J15" i="25" l="1"/>
  <c r="H37" i="25"/>
  <c r="I12" i="25"/>
  <c r="I14" i="25" s="1"/>
  <c r="I23" i="25" l="1"/>
  <c r="I24" i="25" s="1"/>
  <c r="J19" i="24"/>
  <c r="J20" i="24" l="1"/>
  <c r="J13" i="25" l="1"/>
  <c r="K15" i="25"/>
  <c r="J12" i="25"/>
  <c r="I33" i="25" l="1"/>
  <c r="J14" i="25"/>
  <c r="J23" i="25"/>
  <c r="J24" i="25" s="1"/>
  <c r="K19" i="24"/>
  <c r="AJ46" i="1" l="1"/>
  <c r="K20" i="24"/>
  <c r="I37" i="25"/>
  <c r="AJ44" i="1" l="1"/>
  <c r="AJ45" i="1" s="1"/>
  <c r="AJ47" i="1" s="1"/>
  <c r="L15" i="25"/>
  <c r="K12" i="25"/>
  <c r="AJ48" i="1" l="1"/>
  <c r="K13" i="25"/>
  <c r="K14" i="25" s="1"/>
  <c r="L16" i="25"/>
  <c r="L19" i="24"/>
  <c r="AK46" i="1" l="1"/>
  <c r="AJ160" i="1"/>
  <c r="AJ163" i="1" s="1"/>
  <c r="K23" i="25"/>
  <c r="K24" i="25" s="1"/>
  <c r="L20" i="24"/>
  <c r="J33" i="25"/>
  <c r="AK44" i="1" l="1"/>
  <c r="AK45" i="1" s="1"/>
  <c r="AK47" i="1" s="1"/>
  <c r="AJ166" i="1"/>
  <c r="J37" i="25"/>
  <c r="M15" i="25"/>
  <c r="L12" i="25"/>
  <c r="AK48" i="1" l="1"/>
  <c r="AJ167" i="1"/>
  <c r="L13" i="25"/>
  <c r="L14" i="25" s="1"/>
  <c r="AK161" i="1"/>
  <c r="M16" i="25"/>
  <c r="AJ169" i="1" l="1"/>
  <c r="L23" i="25"/>
  <c r="L24" i="25" s="1"/>
  <c r="K33" i="25"/>
  <c r="K37" i="25" l="1"/>
  <c r="G16" i="5"/>
  <c r="H16" i="5" s="1"/>
  <c r="AK160" i="1"/>
  <c r="AK163" i="1" s="1"/>
  <c r="AK166" i="1"/>
  <c r="M12" i="25"/>
  <c r="N15" i="25"/>
  <c r="AK167" i="1" l="1"/>
  <c r="AK169" i="1" s="1"/>
  <c r="L33" i="25"/>
  <c r="N16" i="25"/>
  <c r="N19" i="24"/>
  <c r="M23" i="25"/>
  <c r="M24" i="25" s="1"/>
  <c r="L37" i="25" l="1"/>
  <c r="N20" i="24"/>
  <c r="AM63" i="1" l="1"/>
  <c r="N12" i="25"/>
  <c r="AM100" i="1" l="1"/>
  <c r="M33" i="25"/>
  <c r="N23" i="25"/>
  <c r="AL166" i="1" l="1"/>
  <c r="AL167" i="1" s="1"/>
  <c r="N24" i="25"/>
  <c r="P23" i="25"/>
  <c r="P24" i="25" s="1"/>
  <c r="N33" i="25" l="1"/>
  <c r="P33" i="25" s="1"/>
  <c r="AY41" i="1" l="1"/>
  <c r="AZ41" i="1" l="1"/>
  <c r="BA41" i="1" l="1"/>
  <c r="BB41" i="1" l="1"/>
  <c r="BC41" i="1" l="1"/>
  <c r="BD41" i="1" l="1"/>
  <c r="BE41" i="1" l="1"/>
  <c r="BF41" i="1" l="1"/>
  <c r="BG41" i="1" l="1"/>
  <c r="BH41" i="1" l="1"/>
  <c r="BI41" i="1" l="1"/>
  <c r="BJ41" i="1" l="1"/>
  <c r="BK41" i="1" l="1"/>
  <c r="BL41" i="1" l="1"/>
  <c r="BM41" i="1" l="1"/>
  <c r="BN41" i="1" l="1"/>
  <c r="BO41" i="1" l="1"/>
  <c r="BP41" i="1" l="1"/>
  <c r="BQ41" i="1" l="1"/>
  <c r="BR41" i="1" l="1"/>
  <c r="BS41" i="1" l="1"/>
  <c r="BT41" i="1" l="1"/>
  <c r="BU41" i="1" l="1"/>
  <c r="BV41" i="1" l="1"/>
  <c r="BW41" i="1" l="1"/>
  <c r="BX41" i="1" l="1"/>
  <c r="BY41" i="1" l="1"/>
  <c r="BZ41" i="1" l="1"/>
  <c r="CA41" i="1" l="1"/>
  <c r="CB41" i="1" l="1"/>
  <c r="CC41" i="1" l="1"/>
  <c r="CD41" i="1" l="1"/>
  <c r="CE41" i="1" l="1"/>
  <c r="CF41" i="1" l="1"/>
  <c r="CG41" i="1" l="1"/>
  <c r="CH41" i="1" l="1"/>
  <c r="CI41" i="1" l="1"/>
  <c r="CJ41" i="1" l="1"/>
  <c r="CK41" i="1" l="1"/>
  <c r="CL41" i="1" l="1"/>
  <c r="CM41" i="1" l="1"/>
  <c r="CN41" i="1" l="1"/>
  <c r="CO41" i="1" l="1"/>
  <c r="CP41" i="1" l="1"/>
  <c r="CQ41" i="1" l="1"/>
  <c r="CR41" i="1" l="1"/>
  <c r="CS41" i="1" l="1"/>
  <c r="CT41" i="1" l="1"/>
  <c r="CU41" i="1" l="1"/>
  <c r="CV41" i="1" l="1"/>
  <c r="CW41" i="1" l="1"/>
  <c r="CX41" i="1" l="1"/>
  <c r="CY41" i="1" l="1"/>
  <c r="CZ41" i="1" l="1"/>
  <c r="DA41" i="1" l="1"/>
  <c r="DB41" i="1" l="1"/>
  <c r="DC41" i="1" l="1"/>
  <c r="DD41" i="1" l="1"/>
  <c r="DE41" i="1" l="1"/>
  <c r="DF41" i="1" l="1"/>
  <c r="DG41" i="1" l="1"/>
  <c r="G24" i="5" l="1"/>
  <c r="G26" i="5" l="1"/>
  <c r="E24" i="5"/>
  <c r="H24" i="5" s="1"/>
  <c r="AA44" i="1"/>
  <c r="AA48" i="1" s="1"/>
  <c r="N19" i="15"/>
  <c r="N20" i="15" s="1"/>
  <c r="N22" i="15" s="1"/>
  <c r="N19" i="6"/>
  <c r="N21" i="6" s="1"/>
  <c r="N23" i="6" s="1"/>
  <c r="E26" i="5" l="1"/>
  <c r="F26" i="5" s="1"/>
  <c r="F24" i="5"/>
  <c r="AA45" i="1"/>
  <c r="AA47" i="1" s="1"/>
  <c r="N26" i="15"/>
  <c r="N27" i="15" s="1"/>
  <c r="N23" i="15"/>
  <c r="N24" i="6"/>
  <c r="N27" i="6"/>
  <c r="N28" i="6" s="1"/>
  <c r="P19" i="6"/>
  <c r="P21" i="6" s="1"/>
  <c r="P23" i="6" s="1"/>
  <c r="P19" i="15"/>
  <c r="P20" i="15" s="1"/>
  <c r="P22" i="15" s="1"/>
  <c r="E28" i="5" l="1"/>
  <c r="F28" i="5" s="1"/>
  <c r="H26" i="5"/>
  <c r="P23" i="15"/>
  <c r="P26" i="15"/>
  <c r="P27" i="15" s="1"/>
  <c r="P27" i="6"/>
  <c r="P28" i="6" s="1"/>
  <c r="P24" i="6"/>
  <c r="E29" i="5" l="1"/>
  <c r="F29" i="5" s="1"/>
  <c r="E32" i="5"/>
  <c r="F32" i="5" s="1"/>
  <c r="N30" i="15"/>
  <c r="E33" i="5" l="1"/>
  <c r="F33" i="5" s="1"/>
  <c r="N29" i="15"/>
  <c r="G13" i="5" l="1"/>
  <c r="H13" i="5" s="1"/>
  <c r="C12" i="25"/>
  <c r="P12" i="25" s="1"/>
  <c r="AB14" i="1"/>
  <c r="AB42" i="1" s="1"/>
  <c r="AB64" i="1" l="1"/>
  <c r="AB65" i="1" s="1"/>
  <c r="AB33" i="1"/>
  <c r="AB43" i="1"/>
  <c r="AB124" i="1"/>
  <c r="C14" i="25"/>
  <c r="AB97" i="1" l="1"/>
  <c r="D37" i="25"/>
  <c r="AB108" i="1" l="1"/>
  <c r="AB152" i="1" s="1"/>
  <c r="AB44" i="1"/>
  <c r="AB45" i="1" s="1"/>
  <c r="AB98" i="1"/>
  <c r="AB160" i="1" l="1"/>
  <c r="AB163" i="1" s="1"/>
  <c r="AB169" i="1" s="1"/>
  <c r="AD45" i="1"/>
  <c r="AD47" i="1" s="1"/>
  <c r="AB48" i="1"/>
  <c r="AC152" i="1"/>
  <c r="AD152" i="1" s="1"/>
  <c r="AE152" i="1" s="1"/>
  <c r="AF152" i="1" s="1"/>
  <c r="AB153" i="1"/>
  <c r="AB47" i="1"/>
  <c r="AC45" i="1"/>
  <c r="AC47" i="1" s="1"/>
  <c r="AB131" i="1"/>
  <c r="AB132" i="1" s="1"/>
  <c r="AB154" i="1" l="1"/>
  <c r="AB156" i="1" s="1"/>
  <c r="AB172" i="1"/>
  <c r="C36" i="25" s="1"/>
  <c r="C37" i="25"/>
  <c r="AF153" i="1"/>
  <c r="AG152" i="1"/>
  <c r="AE153" i="1"/>
  <c r="AC153" i="1"/>
  <c r="AD153" i="1"/>
  <c r="AF154" i="1" l="1"/>
  <c r="AF156" i="1" s="1"/>
  <c r="AD154" i="1"/>
  <c r="AC154" i="1"/>
  <c r="AE154" i="1"/>
  <c r="AE156" i="1" s="1"/>
  <c r="AB173" i="1"/>
  <c r="AC171" i="1"/>
  <c r="AC172" i="1" s="1"/>
  <c r="AG153" i="1"/>
  <c r="AH152" i="1"/>
  <c r="AD131" i="1"/>
  <c r="AD132" i="1" s="1"/>
  <c r="AC131" i="1"/>
  <c r="AC132" i="1" s="1"/>
  <c r="AC173" i="1" l="1"/>
  <c r="AD156" i="1"/>
  <c r="AG154" i="1"/>
  <c r="AG156" i="1" s="1"/>
  <c r="AC156" i="1"/>
  <c r="D36" i="25"/>
  <c r="AD171" i="1"/>
  <c r="AD172" i="1" s="1"/>
  <c r="AH153" i="1"/>
  <c r="AI152" i="1"/>
  <c r="AJ152" i="1" s="1"/>
  <c r="AK152" i="1" s="1"/>
  <c r="AE171" i="1" l="1"/>
  <c r="AE172" i="1" s="1"/>
  <c r="AE173" i="1" s="1"/>
  <c r="AH154" i="1"/>
  <c r="AH156" i="1" s="1"/>
  <c r="E36" i="25"/>
  <c r="AK153" i="1"/>
  <c r="AK154" i="1" s="1"/>
  <c r="AK156" i="1" s="1"/>
  <c r="AD173" i="1"/>
  <c r="AJ153" i="1"/>
  <c r="AI153" i="1"/>
  <c r="C32" i="20"/>
  <c r="F36" i="25" l="1"/>
  <c r="AF171" i="1"/>
  <c r="AF172" i="1" s="1"/>
  <c r="AG171" i="1" s="1"/>
  <c r="AG172" i="1" s="1"/>
  <c r="AI154" i="1"/>
  <c r="AI156" i="1" s="1"/>
  <c r="AJ154" i="1"/>
  <c r="AJ156" i="1" s="1"/>
  <c r="AF173" i="1" l="1"/>
  <c r="G36" i="25"/>
  <c r="AH171" i="1"/>
  <c r="AH172" i="1" s="1"/>
  <c r="AH173" i="1" s="1"/>
  <c r="H36" i="25"/>
  <c r="D32" i="20"/>
  <c r="AG173" i="1"/>
  <c r="AI171" i="1" l="1"/>
  <c r="AI172" i="1" s="1"/>
  <c r="AI173" i="1" s="1"/>
  <c r="I36" i="25"/>
  <c r="J36" i="25" l="1"/>
  <c r="AJ171" i="1"/>
  <c r="AJ172" i="1" s="1"/>
  <c r="AK171" i="1" s="1"/>
  <c r="AK172" i="1" s="1"/>
  <c r="K36" i="25" l="1"/>
  <c r="AJ173" i="1"/>
  <c r="F32" i="20"/>
  <c r="AL171" i="1"/>
  <c r="AK173" i="1"/>
  <c r="L36" i="25"/>
  <c r="M13" i="25" l="1"/>
  <c r="M14" i="25" s="1"/>
  <c r="AL14" i="1"/>
  <c r="AL15" i="1"/>
  <c r="AL124" i="1" l="1"/>
  <c r="AL42" i="1"/>
  <c r="AL43" i="1"/>
  <c r="AL33" i="1"/>
  <c r="AL123" i="1"/>
  <c r="AM161" i="1" s="1"/>
  <c r="AL161" i="1" l="1"/>
  <c r="N13" i="25"/>
  <c r="G14" i="5"/>
  <c r="G15" i="5" l="1"/>
  <c r="H15" i="5" s="1"/>
  <c r="H14" i="5"/>
  <c r="N14" i="25"/>
  <c r="P13" i="25"/>
  <c r="P14" i="25" s="1"/>
  <c r="AM64" i="1"/>
  <c r="AM97" i="1" s="1"/>
  <c r="G17" i="5" l="1"/>
  <c r="H17" i="5" s="1"/>
  <c r="AM44" i="1"/>
  <c r="AM108" i="1"/>
  <c r="AM98" i="1"/>
  <c r="AM65" i="1"/>
  <c r="AM160" i="1" l="1"/>
  <c r="AM163" i="1" s="1"/>
  <c r="AM169" i="1" s="1"/>
  <c r="N37" i="25" l="1"/>
  <c r="AL25" i="1" l="1"/>
  <c r="M11" i="24"/>
  <c r="M19" i="24" s="1"/>
  <c r="AL49" i="1" l="1"/>
  <c r="AX25" i="1"/>
  <c r="M20" i="24"/>
  <c r="AL63" i="1"/>
  <c r="T53" i="1"/>
  <c r="AE20" i="28" l="1"/>
  <c r="AX26" i="1"/>
  <c r="AX49" i="1"/>
  <c r="AE25" i="28" s="1"/>
  <c r="AL100" i="1"/>
  <c r="AM46" i="1" s="1"/>
  <c r="AM48" i="1" s="1"/>
  <c r="U53" i="1"/>
  <c r="BJ25" i="1"/>
  <c r="G19" i="5"/>
  <c r="AL64" i="1"/>
  <c r="AL97" i="1" s="1"/>
  <c r="AL98" i="1" s="1"/>
  <c r="AX30" i="1" l="1"/>
  <c r="AX9" i="1" s="1"/>
  <c r="AX31" i="1"/>
  <c r="AX10" i="1" s="1"/>
  <c r="AX32" i="1"/>
  <c r="AX28" i="1"/>
  <c r="AX29" i="1"/>
  <c r="AX8" i="1" s="1"/>
  <c r="G20" i="5"/>
  <c r="H20" i="5" s="1"/>
  <c r="H19" i="5"/>
  <c r="AL46" i="1"/>
  <c r="V53" i="1"/>
  <c r="BJ49" i="1"/>
  <c r="BV25" i="1"/>
  <c r="AL65" i="1"/>
  <c r="AL44" i="1"/>
  <c r="AX7" i="1" l="1"/>
  <c r="AX12" i="1" s="1"/>
  <c r="AX13" i="1"/>
  <c r="AX14" i="1" s="1"/>
  <c r="AX89" i="1"/>
  <c r="AX93" i="1" s="1"/>
  <c r="G21" i="5"/>
  <c r="H21" i="5" s="1"/>
  <c r="G28" i="5"/>
  <c r="H28" i="5" s="1"/>
  <c r="AL45" i="1"/>
  <c r="AL47" i="1" s="1"/>
  <c r="AM45" i="1"/>
  <c r="AM47" i="1" s="1"/>
  <c r="AL48" i="1"/>
  <c r="AL108" i="1"/>
  <c r="AL152" i="1" s="1"/>
  <c r="AM152" i="1" s="1"/>
  <c r="AN149" i="1" s="1"/>
  <c r="AO149" i="1" s="1"/>
  <c r="AP149" i="1" s="1"/>
  <c r="AQ149" i="1" s="1"/>
  <c r="AR149" i="1" s="1"/>
  <c r="Y53" i="1"/>
  <c r="X53" i="1"/>
  <c r="W53" i="1"/>
  <c r="BV49" i="1"/>
  <c r="CH25" i="1"/>
  <c r="AX33" i="1" l="1"/>
  <c r="AX122" i="1"/>
  <c r="AX123" i="1" s="1"/>
  <c r="AX42" i="1"/>
  <c r="AX43" i="1" s="1"/>
  <c r="AX95" i="1"/>
  <c r="AX96" i="1"/>
  <c r="AS149" i="1"/>
  <c r="AT149" i="1" s="1"/>
  <c r="AU149" i="1" s="1"/>
  <c r="AV149" i="1" s="1"/>
  <c r="AW149" i="1" s="1"/>
  <c r="G32" i="5"/>
  <c r="G33" i="5" s="1"/>
  <c r="H33" i="5" s="1"/>
  <c r="G29" i="5"/>
  <c r="H29" i="5" s="1"/>
  <c r="AM153" i="1"/>
  <c r="AM154" i="1" s="1"/>
  <c r="AM156" i="1" s="1"/>
  <c r="AL160" i="1"/>
  <c r="AL163" i="1" s="1"/>
  <c r="AL169" i="1" s="1"/>
  <c r="AA53" i="1"/>
  <c r="CH49" i="1"/>
  <c r="Z53" i="1"/>
  <c r="CT25" i="1"/>
  <c r="H32" i="5" l="1"/>
  <c r="AL153" i="1"/>
  <c r="AL154" i="1" s="1"/>
  <c r="M37" i="25"/>
  <c r="AL172" i="1"/>
  <c r="CT49" i="1"/>
  <c r="DF25" i="1"/>
  <c r="AM171" i="1" l="1"/>
  <c r="AM172" i="1" s="1"/>
  <c r="DF49" i="1"/>
  <c r="M36" i="25"/>
  <c r="AL173" i="1"/>
  <c r="AL131" i="1"/>
  <c r="AL132" i="1" s="1"/>
  <c r="AL156" i="1" s="1"/>
  <c r="AM173" i="1" l="1"/>
  <c r="AN171" i="1"/>
  <c r="H32" i="20"/>
  <c r="N36" i="25"/>
  <c r="AN12" i="1" l="1"/>
  <c r="AN99" i="1" l="1"/>
  <c r="C12" i="20"/>
  <c r="AY99" i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DC99" i="1" s="1"/>
  <c r="DD99" i="1" s="1"/>
  <c r="DE99" i="1" s="1"/>
  <c r="DF99" i="1" s="1"/>
  <c r="DG99" i="1" s="1"/>
  <c r="O19" i="24"/>
  <c r="C14" i="20" l="1"/>
  <c r="C12" i="29"/>
  <c r="C12" i="27" s="1"/>
  <c r="O20" i="24"/>
  <c r="AN63" i="1"/>
  <c r="C18" i="25" s="1"/>
  <c r="C19" i="25" s="1"/>
  <c r="C20" i="25" l="1"/>
  <c r="C26" i="25"/>
  <c r="C18" i="29"/>
  <c r="C17" i="27" s="1"/>
  <c r="C17" i="20"/>
  <c r="C18" i="20" s="1"/>
  <c r="AN100" i="1"/>
  <c r="C23" i="29"/>
  <c r="C22" i="27" s="1"/>
  <c r="C27" i="25" l="1"/>
  <c r="C30" i="25"/>
  <c r="AN46" i="1"/>
  <c r="AP46" i="1"/>
  <c r="AP48" i="1" s="1"/>
  <c r="C19" i="20"/>
  <c r="C25" i="20"/>
  <c r="C24" i="29"/>
  <c r="C23" i="27" s="1"/>
  <c r="C34" i="25" l="1"/>
  <c r="D34" i="25" s="1"/>
  <c r="E34" i="25" s="1"/>
  <c r="F34" i="25" s="1"/>
  <c r="G34" i="25" s="1"/>
  <c r="C31" i="25"/>
  <c r="C26" i="20"/>
  <c r="C29" i="20"/>
  <c r="C30" i="20" s="1"/>
  <c r="AN14" i="1" l="1"/>
  <c r="AN42" i="1" s="1"/>
  <c r="AN15" i="1"/>
  <c r="C13" i="29"/>
  <c r="AQ16" i="28" l="1"/>
  <c r="C15" i="27"/>
  <c r="C13" i="27"/>
  <c r="AN124" i="1"/>
  <c r="AN64" i="1"/>
  <c r="AN43" i="1"/>
  <c r="AN33" i="1"/>
  <c r="C14" i="29"/>
  <c r="BQ16" i="28" l="1"/>
  <c r="BP16" i="28"/>
  <c r="AN97" i="1"/>
  <c r="AN108" i="1" s="1"/>
  <c r="AN152" i="1" s="1"/>
  <c r="AN44" i="1"/>
  <c r="AN45" i="1" s="1"/>
  <c r="AN47" i="1" s="1"/>
  <c r="AQ23" i="28"/>
  <c r="BQ23" i="28" s="1"/>
  <c r="C19" i="29"/>
  <c r="C18" i="27" s="1"/>
  <c r="C14" i="27"/>
  <c r="AN65" i="1"/>
  <c r="AN161" i="1"/>
  <c r="AN48" i="1" l="1"/>
  <c r="AN98" i="1"/>
  <c r="BP23" i="28"/>
  <c r="AS161" i="1"/>
  <c r="C26" i="29"/>
  <c r="C25" i="27" s="1"/>
  <c r="C20" i="29"/>
  <c r="C19" i="27" s="1"/>
  <c r="AN153" i="1"/>
  <c r="AN154" i="1" s="1"/>
  <c r="AN156" i="1" s="1"/>
  <c r="AN160" i="1"/>
  <c r="AN163" i="1" s="1"/>
  <c r="AN169" i="1" s="1"/>
  <c r="C27" i="29" l="1"/>
  <c r="C26" i="27" s="1"/>
  <c r="C30" i="29"/>
  <c r="AN172" i="1"/>
  <c r="AO171" i="1" s="1"/>
  <c r="C37" i="29"/>
  <c r="C33" i="27" s="1"/>
  <c r="C29" i="27" l="1"/>
  <c r="C34" i="29"/>
  <c r="C31" i="29"/>
  <c r="C30" i="27" s="1"/>
  <c r="C36" i="29"/>
  <c r="C32" i="27" s="1"/>
  <c r="AN173" i="1"/>
  <c r="AY15" i="1" l="1"/>
  <c r="AZ15" i="1" l="1"/>
  <c r="BA15" i="1" l="1"/>
  <c r="BB15" i="1" l="1"/>
  <c r="BC15" i="1" l="1"/>
  <c r="BD15" i="1" l="1"/>
  <c r="BE15" i="1" l="1"/>
  <c r="BF15" i="1" l="1"/>
  <c r="BG15" i="1" l="1"/>
  <c r="BH15" i="1" l="1"/>
  <c r="BI15" i="1" l="1"/>
  <c r="BJ15" i="1" l="1"/>
  <c r="BK15" i="1" l="1"/>
  <c r="BL15" i="1" l="1"/>
  <c r="BM15" i="1" l="1"/>
  <c r="BN15" i="1" l="1"/>
  <c r="BO15" i="1" l="1"/>
  <c r="BP15" i="1" l="1"/>
  <c r="BQ15" i="1" l="1"/>
  <c r="BR15" i="1" l="1"/>
  <c r="BS15" i="1" l="1"/>
  <c r="BT15" i="1" l="1"/>
  <c r="BU15" i="1" l="1"/>
  <c r="BV15" i="1" l="1"/>
  <c r="BW15" i="1" l="1"/>
  <c r="BX15" i="1" l="1"/>
  <c r="BY15" i="1" l="1"/>
  <c r="BZ15" i="1" l="1"/>
  <c r="CA15" i="1" l="1"/>
  <c r="CB15" i="1" l="1"/>
  <c r="CC15" i="1" l="1"/>
  <c r="CD15" i="1" l="1"/>
  <c r="CE15" i="1" l="1"/>
  <c r="CF15" i="1" l="1"/>
  <c r="CG15" i="1" l="1"/>
  <c r="CH15" i="1" l="1"/>
  <c r="CI15" i="1" l="1"/>
  <c r="CJ15" i="1" l="1"/>
  <c r="CK15" i="1" l="1"/>
  <c r="CL15" i="1" l="1"/>
  <c r="CM15" i="1" l="1"/>
  <c r="CN15" i="1" l="1"/>
  <c r="CO15" i="1" l="1"/>
  <c r="CP15" i="1" l="1"/>
  <c r="CQ15" i="1" l="1"/>
  <c r="CR15" i="1" l="1"/>
  <c r="CS15" i="1" l="1"/>
  <c r="CT15" i="1" l="1"/>
  <c r="CU15" i="1" l="1"/>
  <c r="CV15" i="1" l="1"/>
  <c r="CW15" i="1" l="1"/>
  <c r="CX15" i="1" l="1"/>
  <c r="CY15" i="1" l="1"/>
  <c r="CZ15" i="1" l="1"/>
  <c r="DA15" i="1" l="1"/>
  <c r="DB15" i="1" l="1"/>
  <c r="DC15" i="1" l="1"/>
  <c r="DD15" i="1" l="1"/>
  <c r="DE15" i="1" l="1"/>
  <c r="DF15" i="1" l="1"/>
  <c r="DG15" i="1" l="1"/>
  <c r="AN19" i="1"/>
  <c r="D15" i="29" l="1"/>
  <c r="D15" i="27" s="1"/>
  <c r="E15" i="29" l="1"/>
  <c r="E15" i="27" s="1"/>
  <c r="F15" i="29" l="1"/>
  <c r="F15" i="27" s="1"/>
  <c r="E16" i="29"/>
  <c r="G15" i="29" l="1"/>
  <c r="G15" i="27" s="1"/>
  <c r="F16" i="29"/>
  <c r="Q19" i="24" l="1"/>
  <c r="H15" i="29"/>
  <c r="H15" i="27" s="1"/>
  <c r="G16" i="29"/>
  <c r="D23" i="29"/>
  <c r="D22" i="27" s="1"/>
  <c r="D12" i="29"/>
  <c r="D12" i="27" s="1"/>
  <c r="D13" i="29"/>
  <c r="D13" i="27" s="1"/>
  <c r="AO46" i="1"/>
  <c r="Q20" i="24" l="1"/>
  <c r="H16" i="29"/>
  <c r="D14" i="29"/>
  <c r="D24" i="29"/>
  <c r="D23" i="27" s="1"/>
  <c r="R19" i="24"/>
  <c r="AO14" i="1"/>
  <c r="AO42" i="1" s="1"/>
  <c r="AO43" i="1" l="1"/>
  <c r="F18" i="29"/>
  <c r="F17" i="27" s="1"/>
  <c r="D19" i="29"/>
  <c r="D26" i="29" s="1"/>
  <c r="D34" i="29" s="1"/>
  <c r="D14" i="27"/>
  <c r="AO124" i="1"/>
  <c r="AO64" i="1"/>
  <c r="AO44" i="1" s="1"/>
  <c r="AO33" i="1"/>
  <c r="E12" i="29"/>
  <c r="E12" i="27" s="1"/>
  <c r="I15" i="29"/>
  <c r="I15" i="27" s="1"/>
  <c r="J15" i="29"/>
  <c r="J15" i="27" s="1"/>
  <c r="F23" i="29"/>
  <c r="F22" i="27" s="1"/>
  <c r="F12" i="29"/>
  <c r="F12" i="27" s="1"/>
  <c r="R20" i="24"/>
  <c r="G18" i="29" l="1"/>
  <c r="G17" i="27" s="1"/>
  <c r="E13" i="29"/>
  <c r="D20" i="29"/>
  <c r="D19" i="27" s="1"/>
  <c r="D18" i="27"/>
  <c r="D30" i="29"/>
  <c r="D25" i="27"/>
  <c r="E23" i="29"/>
  <c r="AO65" i="1"/>
  <c r="AO97" i="1"/>
  <c r="H12" i="29"/>
  <c r="H12" i="27" s="1"/>
  <c r="I16" i="29"/>
  <c r="K15" i="29"/>
  <c r="K15" i="27" s="1"/>
  <c r="D27" i="29"/>
  <c r="D26" i="27" s="1"/>
  <c r="F24" i="29"/>
  <c r="F23" i="27" s="1"/>
  <c r="F13" i="29"/>
  <c r="F14" i="29" l="1"/>
  <c r="F13" i="27"/>
  <c r="F15" i="20"/>
  <c r="G15" i="20" s="1"/>
  <c r="E14" i="29"/>
  <c r="E13" i="27"/>
  <c r="D12" i="20"/>
  <c r="E24" i="29"/>
  <c r="E23" i="27" s="1"/>
  <c r="E22" i="27"/>
  <c r="G23" i="29"/>
  <c r="D22" i="20"/>
  <c r="D31" i="29"/>
  <c r="D30" i="27" s="1"/>
  <c r="D29" i="27"/>
  <c r="AO98" i="1"/>
  <c r="AO108" i="1"/>
  <c r="AO152" i="1" s="1"/>
  <c r="AP152" i="1" s="1"/>
  <c r="AQ45" i="1"/>
  <c r="G12" i="29"/>
  <c r="G12" i="27" s="1"/>
  <c r="J16" i="29"/>
  <c r="H13" i="29"/>
  <c r="H23" i="29"/>
  <c r="H24" i="29" l="1"/>
  <c r="H23" i="27" s="1"/>
  <c r="H22" i="27"/>
  <c r="H14" i="29"/>
  <c r="H14" i="27" s="1"/>
  <c r="H13" i="27"/>
  <c r="AQ27" i="28"/>
  <c r="H18" i="25"/>
  <c r="G24" i="29"/>
  <c r="G23" i="27" s="1"/>
  <c r="G22" i="27"/>
  <c r="F19" i="29"/>
  <c r="F14" i="27"/>
  <c r="AP45" i="1"/>
  <c r="AP47" i="1" s="1"/>
  <c r="AQ47" i="1"/>
  <c r="AP153" i="1"/>
  <c r="AP154" i="1" s="1"/>
  <c r="AP156" i="1" s="1"/>
  <c r="AQ152" i="1"/>
  <c r="H18" i="29"/>
  <c r="D17" i="20"/>
  <c r="E17" i="20" s="1"/>
  <c r="L15" i="29"/>
  <c r="E12" i="20"/>
  <c r="G13" i="29"/>
  <c r="D13" i="20"/>
  <c r="E13" i="20" s="1"/>
  <c r="E19" i="29"/>
  <c r="E14" i="27"/>
  <c r="D23" i="20"/>
  <c r="E22" i="20"/>
  <c r="E23" i="20" s="1"/>
  <c r="K16" i="29"/>
  <c r="AO160" i="1"/>
  <c r="AO163" i="1" s="1"/>
  <c r="AO169" i="1" s="1"/>
  <c r="AO172" i="1" s="1"/>
  <c r="AO45" i="1"/>
  <c r="AO47" i="1" s="1"/>
  <c r="AO48" i="1"/>
  <c r="W11" i="24"/>
  <c r="I18" i="25"/>
  <c r="I19" i="25" s="1"/>
  <c r="J12" i="29"/>
  <c r="J12" i="27" s="1"/>
  <c r="BP27" i="28" l="1"/>
  <c r="BQ27" i="28"/>
  <c r="H19" i="29"/>
  <c r="H18" i="27" s="1"/>
  <c r="H17" i="27"/>
  <c r="G14" i="29"/>
  <c r="G13" i="27"/>
  <c r="H19" i="25"/>
  <c r="AQ28" i="28"/>
  <c r="BQ28" i="28" s="1"/>
  <c r="I20" i="25"/>
  <c r="I26" i="25"/>
  <c r="AQ153" i="1"/>
  <c r="AQ154" i="1" s="1"/>
  <c r="AQ156" i="1" s="1"/>
  <c r="AR152" i="1"/>
  <c r="AS152" i="1" s="1"/>
  <c r="I12" i="29"/>
  <c r="I12" i="27" s="1"/>
  <c r="F18" i="27"/>
  <c r="F20" i="29"/>
  <c r="F19" i="27" s="1"/>
  <c r="F26" i="29"/>
  <c r="C33" i="20"/>
  <c r="I18" i="29"/>
  <c r="I17" i="27" s="1"/>
  <c r="E18" i="27"/>
  <c r="E20" i="29"/>
  <c r="E19" i="27" s="1"/>
  <c r="E26" i="29"/>
  <c r="E34" i="29" s="1"/>
  <c r="D14" i="20"/>
  <c r="AO173" i="1"/>
  <c r="AP171" i="1"/>
  <c r="AP172" i="1" s="1"/>
  <c r="AO153" i="1"/>
  <c r="AO154" i="1" s="1"/>
  <c r="AO156" i="1" s="1"/>
  <c r="L16" i="29"/>
  <c r="K12" i="29"/>
  <c r="K12" i="27" s="1"/>
  <c r="F37" i="29"/>
  <c r="F33" i="27" s="1"/>
  <c r="I13" i="29"/>
  <c r="I13" i="27" s="1"/>
  <c r="D37" i="29"/>
  <c r="D33" i="27" s="1"/>
  <c r="J13" i="29"/>
  <c r="J23" i="29"/>
  <c r="D36" i="29"/>
  <c r="D32" i="27" s="1"/>
  <c r="AE17" i="28" l="1"/>
  <c r="AE18" i="28"/>
  <c r="F34" i="29"/>
  <c r="BP28" i="28"/>
  <c r="J14" i="29"/>
  <c r="J14" i="27" s="1"/>
  <c r="J13" i="27"/>
  <c r="J24" i="29"/>
  <c r="J23" i="27" s="1"/>
  <c r="J22" i="27"/>
  <c r="H26" i="29"/>
  <c r="H30" i="29" s="1"/>
  <c r="H20" i="29"/>
  <c r="H19" i="27" s="1"/>
  <c r="AR153" i="1"/>
  <c r="AR154" i="1" s="1"/>
  <c r="AR156" i="1" s="1"/>
  <c r="AT152" i="1"/>
  <c r="AU152" i="1" s="1"/>
  <c r="AQ44" i="28"/>
  <c r="BQ44" i="28" s="1"/>
  <c r="AQ29" i="28"/>
  <c r="BQ29" i="28" s="1"/>
  <c r="H20" i="25"/>
  <c r="H26" i="25"/>
  <c r="J18" i="29"/>
  <c r="J18" i="25"/>
  <c r="I30" i="25"/>
  <c r="I31" i="25" s="1"/>
  <c r="I27" i="25"/>
  <c r="G19" i="29"/>
  <c r="G14" i="27"/>
  <c r="F25" i="27"/>
  <c r="F30" i="29"/>
  <c r="F27" i="29"/>
  <c r="F26" i="27" s="1"/>
  <c r="AP173" i="1"/>
  <c r="AQ171" i="1"/>
  <c r="AQ172" i="1" s="1"/>
  <c r="F12" i="20"/>
  <c r="E25" i="27"/>
  <c r="E27" i="29"/>
  <c r="E26" i="27" s="1"/>
  <c r="E30" i="29"/>
  <c r="I23" i="29"/>
  <c r="D18" i="20"/>
  <c r="E14" i="20"/>
  <c r="W19" i="24"/>
  <c r="E37" i="29"/>
  <c r="E33" i="27" s="1"/>
  <c r="M15" i="29"/>
  <c r="AE21" i="28"/>
  <c r="AY21" i="1"/>
  <c r="I14" i="29"/>
  <c r="E36" i="29"/>
  <c r="E32" i="27" s="1"/>
  <c r="F13" i="20"/>
  <c r="G13" i="20" s="1"/>
  <c r="K23" i="29"/>
  <c r="K22" i="27" s="1"/>
  <c r="G12" i="20" l="1"/>
  <c r="BP44" i="28"/>
  <c r="BP29" i="28"/>
  <c r="AU153" i="1"/>
  <c r="AU154" i="1" s="1"/>
  <c r="AU156" i="1" s="1"/>
  <c r="AV152" i="1"/>
  <c r="J19" i="29"/>
  <c r="J20" i="29" s="1"/>
  <c r="J19" i="27" s="1"/>
  <c r="J17" i="27"/>
  <c r="I19" i="29"/>
  <c r="I14" i="27"/>
  <c r="H25" i="27"/>
  <c r="H27" i="29"/>
  <c r="H26" i="27" s="1"/>
  <c r="I24" i="29"/>
  <c r="I23" i="27" s="1"/>
  <c r="I22" i="27"/>
  <c r="W20" i="24"/>
  <c r="AS153" i="1"/>
  <c r="AS154" i="1" s="1"/>
  <c r="AS156" i="1" s="1"/>
  <c r="AT153" i="1"/>
  <c r="H31" i="29"/>
  <c r="H30" i="27" s="1"/>
  <c r="H29" i="27"/>
  <c r="J19" i="25"/>
  <c r="H30" i="25"/>
  <c r="H31" i="25" s="1"/>
  <c r="H27" i="25"/>
  <c r="H34" i="25"/>
  <c r="I34" i="25" s="1"/>
  <c r="F17" i="20"/>
  <c r="G17" i="20" s="1"/>
  <c r="K18" i="25"/>
  <c r="K19" i="25" s="1"/>
  <c r="G18" i="27"/>
  <c r="G20" i="29"/>
  <c r="G19" i="27" s="1"/>
  <c r="G26" i="29"/>
  <c r="G34" i="29" s="1"/>
  <c r="H34" i="29" s="1"/>
  <c r="AQ45" i="28"/>
  <c r="BQ45" i="28" s="1"/>
  <c r="AQ50" i="28"/>
  <c r="BQ50" i="28" s="1"/>
  <c r="AQ173" i="1"/>
  <c r="AR171" i="1"/>
  <c r="AR172" i="1" s="1"/>
  <c r="AR173" i="1" s="1"/>
  <c r="AS160" i="1"/>
  <c r="AS163" i="1" s="1"/>
  <c r="F31" i="29"/>
  <c r="F30" i="27" s="1"/>
  <c r="F29" i="27"/>
  <c r="F22" i="20"/>
  <c r="G22" i="20" s="1"/>
  <c r="G23" i="20" s="1"/>
  <c r="K18" i="29"/>
  <c r="K17" i="27" s="1"/>
  <c r="D19" i="20"/>
  <c r="E19" i="20" s="1"/>
  <c r="E18" i="20"/>
  <c r="D25" i="20"/>
  <c r="F14" i="20"/>
  <c r="E31" i="29"/>
  <c r="E30" i="27" s="1"/>
  <c r="E29" i="27"/>
  <c r="G37" i="29"/>
  <c r="G33" i="27" s="1"/>
  <c r="AY19" i="1"/>
  <c r="K24" i="29"/>
  <c r="K23" i="27" s="1"/>
  <c r="K13" i="29"/>
  <c r="F36" i="29"/>
  <c r="F32" i="27" s="1"/>
  <c r="I18" i="27" l="1"/>
  <c r="I20" i="29"/>
  <c r="I19" i="27" s="1"/>
  <c r="AV153" i="1"/>
  <c r="AV154" i="1" s="1"/>
  <c r="AV156" i="1" s="1"/>
  <c r="AW152" i="1"/>
  <c r="AW153" i="1" s="1"/>
  <c r="AW154" i="1" s="1"/>
  <c r="AW156" i="1" s="1"/>
  <c r="AY17" i="1"/>
  <c r="AZ21" i="1" s="1"/>
  <c r="AZ19" i="1" s="1"/>
  <c r="AF18" i="28"/>
  <c r="K14" i="29"/>
  <c r="K13" i="27"/>
  <c r="J26" i="29"/>
  <c r="J30" i="29" s="1"/>
  <c r="I26" i="29"/>
  <c r="I25" i="27" s="1"/>
  <c r="BP50" i="28"/>
  <c r="BP45" i="28"/>
  <c r="J18" i="27"/>
  <c r="AT154" i="1"/>
  <c r="AT156" i="1" s="1"/>
  <c r="G25" i="27"/>
  <c r="G27" i="29"/>
  <c r="G26" i="27" s="1"/>
  <c r="G30" i="29"/>
  <c r="K20" i="25"/>
  <c r="K26" i="25"/>
  <c r="J26" i="25"/>
  <c r="J20" i="25"/>
  <c r="AS171" i="1"/>
  <c r="F23" i="20"/>
  <c r="F18" i="20"/>
  <c r="G18" i="20" s="1"/>
  <c r="G14" i="20"/>
  <c r="E25" i="20"/>
  <c r="D26" i="20"/>
  <c r="E26" i="20" s="1"/>
  <c r="D29" i="20"/>
  <c r="Y11" i="24"/>
  <c r="Y13" i="24"/>
  <c r="Y12" i="24"/>
  <c r="N15" i="29"/>
  <c r="I16" i="5"/>
  <c r="AY26" i="1"/>
  <c r="AF21" i="28" s="1"/>
  <c r="G36" i="29"/>
  <c r="G32" i="27" s="1"/>
  <c r="K14" i="27" l="1"/>
  <c r="K19" i="29"/>
  <c r="K26" i="29" s="1"/>
  <c r="J27" i="29"/>
  <c r="J26" i="27" s="1"/>
  <c r="J25" i="27"/>
  <c r="AZ17" i="1"/>
  <c r="AG18" i="28"/>
  <c r="H15" i="20"/>
  <c r="I15" i="20" s="1"/>
  <c r="AF17" i="28"/>
  <c r="I34" i="29"/>
  <c r="J34" i="29" s="1"/>
  <c r="I30" i="29"/>
  <c r="I31" i="29" s="1"/>
  <c r="I30" i="27" s="1"/>
  <c r="I27" i="29"/>
  <c r="I26" i="27" s="1"/>
  <c r="J31" i="29"/>
  <c r="J30" i="27" s="1"/>
  <c r="J29" i="27"/>
  <c r="G31" i="29"/>
  <c r="G30" i="27" s="1"/>
  <c r="G29" i="27"/>
  <c r="K30" i="25"/>
  <c r="K31" i="25" s="1"/>
  <c r="K27" i="25"/>
  <c r="J27" i="25"/>
  <c r="J30" i="25"/>
  <c r="J31" i="25" s="1"/>
  <c r="J34" i="25"/>
  <c r="K34" i="25" s="1"/>
  <c r="D30" i="20"/>
  <c r="E30" i="20" s="1"/>
  <c r="E29" i="20"/>
  <c r="F25" i="20"/>
  <c r="F19" i="20"/>
  <c r="G19" i="20" s="1"/>
  <c r="AY28" i="1"/>
  <c r="AY31" i="1"/>
  <c r="AY10" i="1" s="1"/>
  <c r="AY30" i="1"/>
  <c r="AY29" i="1"/>
  <c r="AY32" i="1"/>
  <c r="Y19" i="24"/>
  <c r="AX61" i="1" s="1"/>
  <c r="AX63" i="1" s="1"/>
  <c r="AX100" i="1" s="1"/>
  <c r="AX64" i="1" l="1"/>
  <c r="K20" i="29"/>
  <c r="K19" i="27" s="1"/>
  <c r="K18" i="27"/>
  <c r="K34" i="29"/>
  <c r="BA21" i="1"/>
  <c r="BA19" i="1" s="1"/>
  <c r="AG17" i="28"/>
  <c r="K30" i="29"/>
  <c r="K25" i="27"/>
  <c r="I29" i="27"/>
  <c r="K27" i="29"/>
  <c r="K26" i="27" s="1"/>
  <c r="F26" i="20"/>
  <c r="G26" i="20" s="1"/>
  <c r="F29" i="20"/>
  <c r="G25" i="20"/>
  <c r="Z13" i="24"/>
  <c r="AY8" i="1"/>
  <c r="Z12" i="24"/>
  <c r="AY9" i="1"/>
  <c r="M12" i="29"/>
  <c r="M18" i="25"/>
  <c r="Y20" i="24"/>
  <c r="AY7" i="1"/>
  <c r="Z11" i="24"/>
  <c r="AX65" i="1" l="1"/>
  <c r="AX44" i="1"/>
  <c r="AX97" i="1"/>
  <c r="BA17" i="1"/>
  <c r="AH18" i="28"/>
  <c r="K31" i="29"/>
  <c r="K30" i="27" s="1"/>
  <c r="K29" i="27"/>
  <c r="AE39" i="28"/>
  <c r="AE43" i="28" s="1"/>
  <c r="M19" i="25"/>
  <c r="M18" i="29"/>
  <c r="F30" i="20"/>
  <c r="G30" i="20" s="1"/>
  <c r="G29" i="20"/>
  <c r="AY12" i="1"/>
  <c r="M23" i="29"/>
  <c r="Z19" i="24"/>
  <c r="M13" i="29"/>
  <c r="M14" i="29" s="1"/>
  <c r="AX98" i="1" l="1"/>
  <c r="AX108" i="1"/>
  <c r="AH17" i="28"/>
  <c r="BA26" i="1"/>
  <c r="BB21" i="1"/>
  <c r="BB19" i="1" s="1"/>
  <c r="AE16" i="28"/>
  <c r="AE44" i="28" s="1"/>
  <c r="AE50" i="28" s="1"/>
  <c r="M20" i="25"/>
  <c r="M26" i="25"/>
  <c r="M19" i="29"/>
  <c r="M20" i="29" s="1"/>
  <c r="AY89" i="1"/>
  <c r="N12" i="29"/>
  <c r="AY13" i="1"/>
  <c r="M24" i="29"/>
  <c r="AE23" i="28"/>
  <c r="Z20" i="24"/>
  <c r="AY61" i="1"/>
  <c r="AY63" i="1" s="1"/>
  <c r="N18" i="25" l="1"/>
  <c r="N19" i="25" s="1"/>
  <c r="AY100" i="1"/>
  <c r="AX152" i="1"/>
  <c r="AX160" i="1"/>
  <c r="AH21" i="28"/>
  <c r="BA29" i="1"/>
  <c r="BA32" i="1"/>
  <c r="BA31" i="1"/>
  <c r="BA10" i="1" s="1"/>
  <c r="BA30" i="1"/>
  <c r="BA28" i="1"/>
  <c r="BB17" i="1"/>
  <c r="AI18" i="28"/>
  <c r="AY93" i="1"/>
  <c r="AY95" i="1" s="1"/>
  <c r="AF39" i="28"/>
  <c r="AF43" i="28" s="1"/>
  <c r="M30" i="25"/>
  <c r="M31" i="25" s="1"/>
  <c r="M27" i="25"/>
  <c r="M26" i="29"/>
  <c r="M30" i="29" s="1"/>
  <c r="M31" i="29" s="1"/>
  <c r="AY14" i="1"/>
  <c r="N18" i="29"/>
  <c r="N13" i="29"/>
  <c r="N14" i="29" s="1"/>
  <c r="N23" i="29" l="1"/>
  <c r="N24" i="29" s="1"/>
  <c r="AI17" i="28"/>
  <c r="BB26" i="1"/>
  <c r="BC21" i="1"/>
  <c r="BC19" i="1" s="1"/>
  <c r="AB12" i="24"/>
  <c r="BA9" i="1"/>
  <c r="BA7" i="1"/>
  <c r="AB11" i="24"/>
  <c r="BA8" i="1"/>
  <c r="AB13" i="24"/>
  <c r="AY122" i="1"/>
  <c r="AY123" i="1" s="1"/>
  <c r="AY161" i="1" s="1"/>
  <c r="AY42" i="1"/>
  <c r="AY43" i="1" s="1"/>
  <c r="AF16" i="28"/>
  <c r="AF44" i="28" s="1"/>
  <c r="AF50" i="28" s="1"/>
  <c r="AY96" i="1"/>
  <c r="N20" i="25"/>
  <c r="N26" i="25"/>
  <c r="N19" i="29"/>
  <c r="AY33" i="1"/>
  <c r="AF23" i="28" s="1"/>
  <c r="M27" i="29"/>
  <c r="AY64" i="1"/>
  <c r="N26" i="29" l="1"/>
  <c r="N27" i="29" s="1"/>
  <c r="AB19" i="24"/>
  <c r="AB20" i="24" s="1"/>
  <c r="BA12" i="1"/>
  <c r="BC17" i="1"/>
  <c r="AJ18" i="28"/>
  <c r="AI21" i="28"/>
  <c r="BB30" i="1"/>
  <c r="BB29" i="1"/>
  <c r="BB28" i="1"/>
  <c r="BB32" i="1"/>
  <c r="BB31" i="1"/>
  <c r="BB10" i="1" s="1"/>
  <c r="AY97" i="1"/>
  <c r="AY98" i="1" s="1"/>
  <c r="AY44" i="1"/>
  <c r="N30" i="25"/>
  <c r="N31" i="25" s="1"/>
  <c r="N27" i="25"/>
  <c r="AY65" i="1"/>
  <c r="N20" i="29"/>
  <c r="AY108" i="1" l="1"/>
  <c r="AY160" i="1" s="1"/>
  <c r="AY163" i="1" s="1"/>
  <c r="BA61" i="1"/>
  <c r="BA63" i="1" s="1"/>
  <c r="N30" i="29"/>
  <c r="N31" i="29" s="1"/>
  <c r="AJ17" i="28"/>
  <c r="BC26" i="1"/>
  <c r="BD21" i="1"/>
  <c r="BD19" i="1" s="1"/>
  <c r="AC13" i="24"/>
  <c r="BB8" i="1"/>
  <c r="AC12" i="24"/>
  <c r="BB9" i="1"/>
  <c r="BA13" i="1"/>
  <c r="BA14" i="1" s="1"/>
  <c r="BA89" i="1"/>
  <c r="BB7" i="1"/>
  <c r="AC11" i="24"/>
  <c r="BA100" i="1" l="1"/>
  <c r="BB12" i="1"/>
  <c r="AJ21" i="28"/>
  <c r="BC32" i="1"/>
  <c r="BC28" i="1"/>
  <c r="BC31" i="1"/>
  <c r="BC10" i="1" s="1"/>
  <c r="BC29" i="1"/>
  <c r="BC30" i="1"/>
  <c r="AH39" i="28"/>
  <c r="AH43" i="28" s="1"/>
  <c r="BA93" i="1"/>
  <c r="BA33" i="1"/>
  <c r="AH23" i="28" s="1"/>
  <c r="BA122" i="1"/>
  <c r="BA123" i="1" s="1"/>
  <c r="BA64" i="1"/>
  <c r="AH16" i="28"/>
  <c r="BA42" i="1"/>
  <c r="BA43" i="1" s="1"/>
  <c r="AC19" i="24"/>
  <c r="BD17" i="1"/>
  <c r="AK18" i="28"/>
  <c r="BB13" i="1" l="1"/>
  <c r="BB14" i="1" s="1"/>
  <c r="BB89" i="1"/>
  <c r="BB93" i="1" s="1"/>
  <c r="AH44" i="28"/>
  <c r="AH50" i="28" s="1"/>
  <c r="BB61" i="1"/>
  <c r="BB63" i="1" s="1"/>
  <c r="BB100" i="1" s="1"/>
  <c r="AC20" i="24"/>
  <c r="AD13" i="24"/>
  <c r="BC8" i="1"/>
  <c r="BA44" i="1"/>
  <c r="BA65" i="1"/>
  <c r="BC7" i="1"/>
  <c r="AD11" i="24"/>
  <c r="AD12" i="24"/>
  <c r="BC9" i="1"/>
  <c r="BA96" i="1"/>
  <c r="BA97" i="1" s="1"/>
  <c r="BA95" i="1"/>
  <c r="AI16" i="28"/>
  <c r="AK17" i="28"/>
  <c r="BE21" i="1"/>
  <c r="BE19" i="1" s="1"/>
  <c r="BE17" i="1" s="1"/>
  <c r="BD26" i="1"/>
  <c r="AI39" i="28"/>
  <c r="AI43" i="28" s="1"/>
  <c r="BB33" i="1" l="1"/>
  <c r="AI23" i="28" s="1"/>
  <c r="BB122" i="1"/>
  <c r="BB123" i="1" s="1"/>
  <c r="BB161" i="1" s="1"/>
  <c r="BB42" i="1"/>
  <c r="BB43" i="1" s="1"/>
  <c r="BC12" i="1"/>
  <c r="BB64" i="1"/>
  <c r="AI44" i="28"/>
  <c r="AK21" i="28"/>
  <c r="BD29" i="1"/>
  <c r="BD30" i="1"/>
  <c r="BD32" i="1"/>
  <c r="BD28" i="1"/>
  <c r="BD31" i="1"/>
  <c r="BD10" i="1" s="1"/>
  <c r="BF21" i="1"/>
  <c r="BF19" i="1" s="1"/>
  <c r="BF17" i="1" s="1"/>
  <c r="BE26" i="1"/>
  <c r="BB95" i="1"/>
  <c r="BB96" i="1"/>
  <c r="BA108" i="1"/>
  <c r="BA160" i="1" s="1"/>
  <c r="BA98" i="1"/>
  <c r="AD19" i="24"/>
  <c r="BC13" i="1" l="1"/>
  <c r="BC14" i="1" s="1"/>
  <c r="BC89" i="1"/>
  <c r="BC93" i="1" s="1"/>
  <c r="BB65" i="1"/>
  <c r="BB44" i="1"/>
  <c r="BB97" i="1"/>
  <c r="AI50" i="28"/>
  <c r="AI45" i="28"/>
  <c r="BC61" i="1"/>
  <c r="BC63" i="1" s="1"/>
  <c r="BC100" i="1" s="1"/>
  <c r="AD20" i="24"/>
  <c r="AE13" i="24"/>
  <c r="BD8" i="1"/>
  <c r="AE11" i="24"/>
  <c r="BD7" i="1"/>
  <c r="AE12" i="24"/>
  <c r="BD9" i="1"/>
  <c r="BE30" i="1"/>
  <c r="BE31" i="1"/>
  <c r="BE10" i="1" s="1"/>
  <c r="BE28" i="1"/>
  <c r="BE29" i="1"/>
  <c r="BE32" i="1"/>
  <c r="AJ39" i="28"/>
  <c r="AJ43" i="28" s="1"/>
  <c r="BF26" i="1"/>
  <c r="BG21" i="1"/>
  <c r="BG19" i="1" s="1"/>
  <c r="BG17" i="1" s="1"/>
  <c r="BC122" i="1" l="1"/>
  <c r="BC123" i="1" s="1"/>
  <c r="BC161" i="1" s="1"/>
  <c r="AJ16" i="28"/>
  <c r="AJ44" i="28" s="1"/>
  <c r="AJ45" i="28" s="1"/>
  <c r="BC42" i="1"/>
  <c r="BC43" i="1" s="1"/>
  <c r="BC33" i="1"/>
  <c r="AJ23" i="28" s="1"/>
  <c r="BC64" i="1"/>
  <c r="BB98" i="1"/>
  <c r="BB108" i="1"/>
  <c r="BB160" i="1" s="1"/>
  <c r="BB163" i="1" s="1"/>
  <c r="AE19" i="24"/>
  <c r="BD12" i="1"/>
  <c r="BE7" i="1"/>
  <c r="AF11" i="24"/>
  <c r="BE8" i="1"/>
  <c r="AF13" i="24"/>
  <c r="BH21" i="1"/>
  <c r="BH19" i="1" s="1"/>
  <c r="BH17" i="1" s="1"/>
  <c r="BG26" i="1"/>
  <c r="AF12" i="24"/>
  <c r="BE9" i="1"/>
  <c r="BC46" i="1"/>
  <c r="BF30" i="1"/>
  <c r="BF32" i="1"/>
  <c r="BF31" i="1"/>
  <c r="BF10" i="1" s="1"/>
  <c r="BF28" i="1"/>
  <c r="BF29" i="1"/>
  <c r="BC95" i="1"/>
  <c r="BC96" i="1"/>
  <c r="BC97" i="1" l="1"/>
  <c r="BC44" i="1"/>
  <c r="BC48" i="1" s="1"/>
  <c r="BC65" i="1"/>
  <c r="BC45" i="1"/>
  <c r="BC47" i="1" s="1"/>
  <c r="BD13" i="1"/>
  <c r="BD14" i="1" s="1"/>
  <c r="AK16" i="28" s="1"/>
  <c r="BD89" i="1"/>
  <c r="BD93" i="1" s="1"/>
  <c r="BD61" i="1"/>
  <c r="BD63" i="1" s="1"/>
  <c r="AE20" i="24"/>
  <c r="AJ50" i="28"/>
  <c r="AG13" i="24"/>
  <c r="BF8" i="1"/>
  <c r="AF19" i="24"/>
  <c r="BE12" i="1"/>
  <c r="AG12" i="24"/>
  <c r="BF9" i="1"/>
  <c r="BG28" i="1"/>
  <c r="BG31" i="1"/>
  <c r="BG10" i="1" s="1"/>
  <c r="BG29" i="1"/>
  <c r="BG32" i="1"/>
  <c r="BG30" i="1"/>
  <c r="AK39" i="28"/>
  <c r="AK43" i="28" s="1"/>
  <c r="BF7" i="1"/>
  <c r="AG11" i="24"/>
  <c r="BH26" i="1"/>
  <c r="BI21" i="1"/>
  <c r="BI19" i="1" s="1"/>
  <c r="BI17" i="1" s="1"/>
  <c r="BD122" i="1" l="1"/>
  <c r="BD123" i="1" s="1"/>
  <c r="BD161" i="1" s="1"/>
  <c r="BD100" i="1"/>
  <c r="BD46" i="1" s="1"/>
  <c r="BC108" i="1"/>
  <c r="BC160" i="1" s="1"/>
  <c r="BC163" i="1" s="1"/>
  <c r="BC98" i="1"/>
  <c r="BD42" i="1"/>
  <c r="BD43" i="1" s="1"/>
  <c r="BD33" i="1"/>
  <c r="AK23" i="28" s="1"/>
  <c r="BD64" i="1"/>
  <c r="AK44" i="28"/>
  <c r="AK50" i="28" s="1"/>
  <c r="BF12" i="1"/>
  <c r="BI26" i="1"/>
  <c r="BJ21" i="1"/>
  <c r="BJ19" i="1" s="1"/>
  <c r="BJ17" i="1" s="1"/>
  <c r="BG8" i="1"/>
  <c r="AH13" i="24"/>
  <c r="BH32" i="1"/>
  <c r="BH29" i="1"/>
  <c r="BH28" i="1"/>
  <c r="BH30" i="1"/>
  <c r="BH31" i="1"/>
  <c r="BH10" i="1" s="1"/>
  <c r="BD95" i="1"/>
  <c r="BD96" i="1"/>
  <c r="BE89" i="1"/>
  <c r="BE93" i="1" s="1"/>
  <c r="BE13" i="1"/>
  <c r="BE14" i="1" s="1"/>
  <c r="BG9" i="1"/>
  <c r="AH12" i="24"/>
  <c r="BE61" i="1"/>
  <c r="BE63" i="1" s="1"/>
  <c r="AF20" i="24"/>
  <c r="AG19" i="24"/>
  <c r="BG7" i="1"/>
  <c r="AH11" i="24"/>
  <c r="BE100" i="1" l="1"/>
  <c r="BD65" i="1"/>
  <c r="BD44" i="1"/>
  <c r="BD48" i="1" s="1"/>
  <c r="BD97" i="1"/>
  <c r="BF89" i="1"/>
  <c r="BF93" i="1" s="1"/>
  <c r="BF13" i="1"/>
  <c r="BF14" i="1" s="1"/>
  <c r="BD45" i="1"/>
  <c r="BD47" i="1" s="1"/>
  <c r="AK45" i="28"/>
  <c r="BF61" i="1"/>
  <c r="BF63" i="1" s="1"/>
  <c r="AG20" i="24"/>
  <c r="BE46" i="1"/>
  <c r="BJ26" i="1"/>
  <c r="BK21" i="1"/>
  <c r="BK19" i="1" s="1"/>
  <c r="BK17" i="1" s="1"/>
  <c r="BH9" i="1"/>
  <c r="AI12" i="24"/>
  <c r="BH7" i="1"/>
  <c r="AI11" i="24"/>
  <c r="AH19" i="24"/>
  <c r="BE96" i="1"/>
  <c r="BE95" i="1"/>
  <c r="BH8" i="1"/>
  <c r="AI13" i="24"/>
  <c r="BE42" i="1"/>
  <c r="BE43" i="1" s="1"/>
  <c r="BE33" i="1"/>
  <c r="BE64" i="1"/>
  <c r="BE122" i="1"/>
  <c r="BE123" i="1" s="1"/>
  <c r="BE161" i="1" s="1"/>
  <c r="BG12" i="1"/>
  <c r="BF100" i="1" l="1"/>
  <c r="BF46" i="1" s="1"/>
  <c r="BD108" i="1"/>
  <c r="BD160" i="1" s="1"/>
  <c r="BD163" i="1" s="1"/>
  <c r="BD98" i="1"/>
  <c r="BF96" i="1"/>
  <c r="BF95" i="1"/>
  <c r="BF42" i="1"/>
  <c r="BF43" i="1" s="1"/>
  <c r="BF122" i="1"/>
  <c r="BF123" i="1" s="1"/>
  <c r="BF161" i="1" s="1"/>
  <c r="BF33" i="1"/>
  <c r="BF64" i="1"/>
  <c r="AI19" i="24"/>
  <c r="BH61" i="1" s="1"/>
  <c r="BH63" i="1" s="1"/>
  <c r="BG89" i="1"/>
  <c r="BG93" i="1" s="1"/>
  <c r="BG13" i="1"/>
  <c r="BG14" i="1" s="1"/>
  <c r="BE44" i="1"/>
  <c r="BE45" i="1" s="1"/>
  <c r="BE47" i="1" s="1"/>
  <c r="BE97" i="1"/>
  <c r="BE65" i="1"/>
  <c r="BL21" i="1"/>
  <c r="BL19" i="1" s="1"/>
  <c r="BL17" i="1" s="1"/>
  <c r="BM21" i="1" s="1"/>
  <c r="BM19" i="1" s="1"/>
  <c r="BM17" i="1" s="1"/>
  <c r="BK26" i="1"/>
  <c r="J16" i="5"/>
  <c r="BJ28" i="1"/>
  <c r="BJ30" i="1"/>
  <c r="BJ29" i="1"/>
  <c r="BJ32" i="1"/>
  <c r="BJ31" i="1"/>
  <c r="BJ10" i="1" s="1"/>
  <c r="AH20" i="24"/>
  <c r="BG61" i="1"/>
  <c r="BG63" i="1" s="1"/>
  <c r="BH12" i="1"/>
  <c r="BG100" i="1" l="1"/>
  <c r="BG46" i="1" s="1"/>
  <c r="BF97" i="1"/>
  <c r="BF65" i="1"/>
  <c r="BF44" i="1"/>
  <c r="BF45" i="1" s="1"/>
  <c r="BF47" i="1" s="1"/>
  <c r="AI20" i="24"/>
  <c r="BE108" i="1"/>
  <c r="BE160" i="1" s="1"/>
  <c r="BE163" i="1" s="1"/>
  <c r="BE98" i="1"/>
  <c r="BJ8" i="1"/>
  <c r="AK13" i="24"/>
  <c r="AK12" i="24"/>
  <c r="BJ9" i="1"/>
  <c r="BG42" i="1"/>
  <c r="BG43" i="1" s="1"/>
  <c r="BG64" i="1"/>
  <c r="BG122" i="1"/>
  <c r="BG123" i="1" s="1"/>
  <c r="BG161" i="1" s="1"/>
  <c r="BG33" i="1"/>
  <c r="BE48" i="1"/>
  <c r="AK11" i="24"/>
  <c r="BJ7" i="1"/>
  <c r="BG95" i="1"/>
  <c r="BG96" i="1"/>
  <c r="BH13" i="1"/>
  <c r="BH14" i="1" s="1"/>
  <c r="BH89" i="1"/>
  <c r="BH93" i="1" s="1"/>
  <c r="BK31" i="1"/>
  <c r="BK10" i="1" s="1"/>
  <c r="BK29" i="1"/>
  <c r="BK32" i="1"/>
  <c r="BK30" i="1"/>
  <c r="BK28" i="1"/>
  <c r="BN21" i="1"/>
  <c r="BN19" i="1" s="1"/>
  <c r="BN17" i="1" s="1"/>
  <c r="BM26" i="1"/>
  <c r="BH100" i="1" l="1"/>
  <c r="BH46" i="1"/>
  <c r="BF98" i="1"/>
  <c r="BF108" i="1"/>
  <c r="BF160" i="1" s="1"/>
  <c r="BF163" i="1" s="1"/>
  <c r="BF48" i="1"/>
  <c r="AL12" i="24"/>
  <c r="BK9" i="1"/>
  <c r="BK8" i="1"/>
  <c r="AL13" i="24"/>
  <c r="BM31" i="1"/>
  <c r="BM10" i="1" s="1"/>
  <c r="BM30" i="1"/>
  <c r="BM32" i="1"/>
  <c r="BM29" i="1"/>
  <c r="BM28" i="1"/>
  <c r="BH95" i="1"/>
  <c r="BH96" i="1"/>
  <c r="BJ12" i="1"/>
  <c r="AK19" i="24"/>
  <c r="BO21" i="1"/>
  <c r="BO19" i="1" s="1"/>
  <c r="BO17" i="1" s="1"/>
  <c r="BN26" i="1"/>
  <c r="BH42" i="1"/>
  <c r="BH43" i="1" s="1"/>
  <c r="BH33" i="1"/>
  <c r="BH64" i="1"/>
  <c r="BH122" i="1"/>
  <c r="BH123" i="1" s="1"/>
  <c r="BH161" i="1" s="1"/>
  <c r="BG44" i="1"/>
  <c r="BG65" i="1"/>
  <c r="BG97" i="1"/>
  <c r="BK7" i="1"/>
  <c r="AL11" i="24"/>
  <c r="AL19" i="24" l="1"/>
  <c r="BH44" i="1"/>
  <c r="BH97" i="1"/>
  <c r="BH65" i="1"/>
  <c r="BK12" i="1"/>
  <c r="BG108" i="1"/>
  <c r="BG160" i="1" s="1"/>
  <c r="BG163" i="1" s="1"/>
  <c r="BG98" i="1"/>
  <c r="BN31" i="1"/>
  <c r="BN10" i="1" s="1"/>
  <c r="BN32" i="1"/>
  <c r="BN30" i="1"/>
  <c r="BN28" i="1"/>
  <c r="BN29" i="1"/>
  <c r="BJ61" i="1"/>
  <c r="BJ63" i="1" s="1"/>
  <c r="AK20" i="24"/>
  <c r="BJ89" i="1"/>
  <c r="BJ93" i="1" s="1"/>
  <c r="BJ13" i="1"/>
  <c r="BJ14" i="1" s="1"/>
  <c r="BM8" i="1"/>
  <c r="AN13" i="24"/>
  <c r="BO26" i="1"/>
  <c r="BP21" i="1"/>
  <c r="BP19" i="1" s="1"/>
  <c r="BP17" i="1" s="1"/>
  <c r="BM9" i="1"/>
  <c r="AN12" i="24"/>
  <c r="BG45" i="1"/>
  <c r="BG47" i="1" s="1"/>
  <c r="BG48" i="1"/>
  <c r="AN11" i="24"/>
  <c r="BM7" i="1"/>
  <c r="BJ100" i="1" l="1"/>
  <c r="BK61" i="1"/>
  <c r="BK63" i="1" s="1"/>
  <c r="BK100" i="1" s="1"/>
  <c r="AL20" i="24"/>
  <c r="BH45" i="1"/>
  <c r="BH47" i="1" s="1"/>
  <c r="BH48" i="1"/>
  <c r="BO29" i="1"/>
  <c r="BO31" i="1"/>
  <c r="BO10" i="1" s="1"/>
  <c r="BO32" i="1"/>
  <c r="BO30" i="1"/>
  <c r="BO28" i="1"/>
  <c r="BJ42" i="1"/>
  <c r="BJ43" i="1" s="1"/>
  <c r="BJ122" i="1"/>
  <c r="BJ123" i="1" s="1"/>
  <c r="BJ33" i="1"/>
  <c r="BJ64" i="1"/>
  <c r="BM12" i="1"/>
  <c r="BK13" i="1"/>
  <c r="BK14" i="1" s="1"/>
  <c r="BK89" i="1"/>
  <c r="BK93" i="1" s="1"/>
  <c r="AO11" i="24"/>
  <c r="BN7" i="1"/>
  <c r="BH98" i="1"/>
  <c r="BH108" i="1"/>
  <c r="BH160" i="1" s="1"/>
  <c r="BH163" i="1" s="1"/>
  <c r="BJ95" i="1"/>
  <c r="BJ96" i="1"/>
  <c r="AN19" i="24"/>
  <c r="BP26" i="1"/>
  <c r="BQ21" i="1"/>
  <c r="BQ19" i="1" s="1"/>
  <c r="BQ17" i="1" s="1"/>
  <c r="AO13" i="24"/>
  <c r="BN8" i="1"/>
  <c r="BN9" i="1"/>
  <c r="AO12" i="24"/>
  <c r="AO19" i="24" l="1"/>
  <c r="BP31" i="1"/>
  <c r="BP10" i="1" s="1"/>
  <c r="BP32" i="1"/>
  <c r="BP28" i="1"/>
  <c r="BP30" i="1"/>
  <c r="BP29" i="1"/>
  <c r="BK95" i="1"/>
  <c r="BK96" i="1"/>
  <c r="AP12" i="24"/>
  <c r="BO9" i="1"/>
  <c r="BN12" i="1"/>
  <c r="BR21" i="1"/>
  <c r="BR19" i="1" s="1"/>
  <c r="BR17" i="1" s="1"/>
  <c r="BQ26" i="1"/>
  <c r="AP11" i="24"/>
  <c r="BO7" i="1"/>
  <c r="BM61" i="1"/>
  <c r="BM63" i="1" s="1"/>
  <c r="BM100" i="1" s="1"/>
  <c r="AN20" i="24"/>
  <c r="BK33" i="1"/>
  <c r="BK64" i="1"/>
  <c r="BK122" i="1"/>
  <c r="BK123" i="1" s="1"/>
  <c r="BK161" i="1" s="1"/>
  <c r="BK42" i="1"/>
  <c r="BK43" i="1" s="1"/>
  <c r="BM13" i="1"/>
  <c r="BM14" i="1" s="1"/>
  <c r="BM89" i="1"/>
  <c r="BM93" i="1" s="1"/>
  <c r="BJ44" i="1"/>
  <c r="BJ65" i="1"/>
  <c r="BJ97" i="1"/>
  <c r="AP13" i="24"/>
  <c r="BO8" i="1"/>
  <c r="BK97" i="1" l="1"/>
  <c r="BO12" i="1"/>
  <c r="BO89" i="1" s="1"/>
  <c r="BO93" i="1" s="1"/>
  <c r="AP19" i="24"/>
  <c r="BM96" i="1"/>
  <c r="BM95" i="1"/>
  <c r="BQ29" i="1"/>
  <c r="BQ31" i="1"/>
  <c r="BQ10" i="1" s="1"/>
  <c r="BQ30" i="1"/>
  <c r="BQ32" i="1"/>
  <c r="BQ28" i="1"/>
  <c r="BR26" i="1"/>
  <c r="BS21" i="1"/>
  <c r="BS19" i="1" s="1"/>
  <c r="BS17" i="1" s="1"/>
  <c r="BP7" i="1"/>
  <c r="AQ11" i="24"/>
  <c r="BO13" i="1"/>
  <c r="BO14" i="1" s="1"/>
  <c r="BM42" i="1"/>
  <c r="BM43" i="1" s="1"/>
  <c r="BM122" i="1"/>
  <c r="BM123" i="1" s="1"/>
  <c r="BM64" i="1"/>
  <c r="BM33" i="1"/>
  <c r="BP8" i="1"/>
  <c r="AQ13" i="24"/>
  <c r="AQ12" i="24"/>
  <c r="BP9" i="1"/>
  <c r="BK65" i="1"/>
  <c r="BK44" i="1"/>
  <c r="BN13" i="1"/>
  <c r="BN14" i="1" s="1"/>
  <c r="BN89" i="1"/>
  <c r="BN93" i="1" s="1"/>
  <c r="BJ98" i="1"/>
  <c r="BJ108" i="1"/>
  <c r="BJ160" i="1" s="1"/>
  <c r="AO20" i="24"/>
  <c r="BN61" i="1"/>
  <c r="BN63" i="1" s="1"/>
  <c r="BN100" i="1" s="1"/>
  <c r="BO61" i="1" l="1"/>
  <c r="BO63" i="1" s="1"/>
  <c r="BO100" i="1" s="1"/>
  <c r="AP20" i="24"/>
  <c r="BK98" i="1"/>
  <c r="BK108" i="1"/>
  <c r="BK160" i="1" s="1"/>
  <c r="BK163" i="1" s="1"/>
  <c r="BO42" i="1"/>
  <c r="BO43" i="1" s="1"/>
  <c r="BO122" i="1"/>
  <c r="BO123" i="1" s="1"/>
  <c r="BO33" i="1"/>
  <c r="BQ9" i="1"/>
  <c r="AR12" i="24"/>
  <c r="AQ19" i="24"/>
  <c r="BN42" i="1"/>
  <c r="BN43" i="1" s="1"/>
  <c r="BN122" i="1"/>
  <c r="BN123" i="1" s="1"/>
  <c r="BN161" i="1" s="1"/>
  <c r="BN33" i="1"/>
  <c r="BN64" i="1"/>
  <c r="BM44" i="1"/>
  <c r="BM97" i="1"/>
  <c r="BM65" i="1"/>
  <c r="BP12" i="1"/>
  <c r="BN96" i="1"/>
  <c r="BN95" i="1"/>
  <c r="BQ8" i="1"/>
  <c r="AR13" i="24"/>
  <c r="BT21" i="1"/>
  <c r="BT19" i="1" s="1"/>
  <c r="BT17" i="1" s="1"/>
  <c r="BS26" i="1"/>
  <c r="BR31" i="1"/>
  <c r="BR10" i="1" s="1"/>
  <c r="BR30" i="1"/>
  <c r="BR29" i="1"/>
  <c r="BR28" i="1"/>
  <c r="BR32" i="1"/>
  <c r="BO95" i="1"/>
  <c r="BO96" i="1"/>
  <c r="AR11" i="24"/>
  <c r="BQ7" i="1"/>
  <c r="AR19" i="24" l="1"/>
  <c r="AR20" i="24" s="1"/>
  <c r="BO46" i="1"/>
  <c r="BO64" i="1"/>
  <c r="BO161" i="1"/>
  <c r="BP89" i="1"/>
  <c r="BP93" i="1" s="1"/>
  <c r="BP13" i="1"/>
  <c r="BP14" i="1" s="1"/>
  <c r="BM108" i="1"/>
  <c r="BM160" i="1" s="1"/>
  <c r="BM98" i="1"/>
  <c r="BU21" i="1"/>
  <c r="BU19" i="1" s="1"/>
  <c r="BU17" i="1" s="1"/>
  <c r="BT26" i="1"/>
  <c r="BP61" i="1"/>
  <c r="BP63" i="1" s="1"/>
  <c r="AQ20" i="24"/>
  <c r="BS32" i="1"/>
  <c r="BS29" i="1"/>
  <c r="BS30" i="1"/>
  <c r="BS31" i="1"/>
  <c r="BS10" i="1" s="1"/>
  <c r="BS28" i="1"/>
  <c r="AS11" i="24"/>
  <c r="BR7" i="1"/>
  <c r="BN44" i="1"/>
  <c r="BN97" i="1"/>
  <c r="BN65" i="1"/>
  <c r="BQ61" i="1"/>
  <c r="BQ63" i="1" s="1"/>
  <c r="AS13" i="24"/>
  <c r="BR8" i="1"/>
  <c r="BQ12" i="1"/>
  <c r="AS12" i="24"/>
  <c r="BR9" i="1"/>
  <c r="BP100" i="1" l="1"/>
  <c r="BO44" i="1"/>
  <c r="BO48" i="1" s="1"/>
  <c r="BO97" i="1"/>
  <c r="BO65" i="1"/>
  <c r="BO45" i="1"/>
  <c r="BO47" i="1" s="1"/>
  <c r="AS19" i="24"/>
  <c r="AT12" i="24"/>
  <c r="BS9" i="1"/>
  <c r="BT31" i="1"/>
  <c r="BT10" i="1" s="1"/>
  <c r="BT30" i="1"/>
  <c r="BT29" i="1"/>
  <c r="BT28" i="1"/>
  <c r="BT32" i="1"/>
  <c r="BN108" i="1"/>
  <c r="BN160" i="1" s="1"/>
  <c r="BN163" i="1" s="1"/>
  <c r="BN98" i="1"/>
  <c r="AT13" i="24"/>
  <c r="BS8" i="1"/>
  <c r="BV21" i="1"/>
  <c r="BV19" i="1" s="1"/>
  <c r="BV17" i="1" s="1"/>
  <c r="BU26" i="1"/>
  <c r="BQ13" i="1"/>
  <c r="BQ14" i="1" s="1"/>
  <c r="BQ89" i="1"/>
  <c r="BQ93" i="1" s="1"/>
  <c r="BR12" i="1"/>
  <c r="BP46" i="1"/>
  <c r="BP42" i="1"/>
  <c r="BP43" i="1" s="1"/>
  <c r="BP122" i="1"/>
  <c r="BP123" i="1" s="1"/>
  <c r="BP161" i="1" s="1"/>
  <c r="BP64" i="1"/>
  <c r="BP33" i="1"/>
  <c r="BS7" i="1"/>
  <c r="AT11" i="24"/>
  <c r="BP95" i="1"/>
  <c r="BP96" i="1"/>
  <c r="BQ100" i="1" l="1"/>
  <c r="BQ46" i="1" s="1"/>
  <c r="BO98" i="1"/>
  <c r="BO108" i="1"/>
  <c r="BO160" i="1" s="1"/>
  <c r="BO163" i="1" s="1"/>
  <c r="BR61" i="1"/>
  <c r="BR63" i="1" s="1"/>
  <c r="AS20" i="24"/>
  <c r="AT19" i="24"/>
  <c r="BV26" i="1"/>
  <c r="BW21" i="1"/>
  <c r="BW19" i="1" s="1"/>
  <c r="BW17" i="1" s="1"/>
  <c r="BP44" i="1"/>
  <c r="BP97" i="1"/>
  <c r="BP65" i="1"/>
  <c r="BR13" i="1"/>
  <c r="BR14" i="1" s="1"/>
  <c r="BR89" i="1"/>
  <c r="BR93" i="1" s="1"/>
  <c r="BT7" i="1"/>
  <c r="AU11" i="24"/>
  <c r="AU13" i="24"/>
  <c r="BT8" i="1"/>
  <c r="BS12" i="1"/>
  <c r="AU12" i="24"/>
  <c r="BT9" i="1"/>
  <c r="BQ95" i="1"/>
  <c r="BQ96" i="1"/>
  <c r="BQ42" i="1"/>
  <c r="BQ43" i="1" s="1"/>
  <c r="BQ33" i="1"/>
  <c r="BQ122" i="1"/>
  <c r="BQ123" i="1" s="1"/>
  <c r="BQ161" i="1" s="1"/>
  <c r="BQ64" i="1"/>
  <c r="BR100" i="1" l="1"/>
  <c r="BR46" i="1" s="1"/>
  <c r="BS61" i="1"/>
  <c r="BS63" i="1" s="1"/>
  <c r="AT20" i="24"/>
  <c r="BP45" i="1"/>
  <c r="BP47" i="1" s="1"/>
  <c r="BP48" i="1"/>
  <c r="AU19" i="24"/>
  <c r="BP98" i="1"/>
  <c r="BP108" i="1"/>
  <c r="BP160" i="1" s="1"/>
  <c r="BP163" i="1" s="1"/>
  <c r="BT12" i="1"/>
  <c r="BR42" i="1"/>
  <c r="BR122" i="1"/>
  <c r="BR123" i="1" s="1"/>
  <c r="BR161" i="1" s="1"/>
  <c r="BR33" i="1"/>
  <c r="BR64" i="1"/>
  <c r="BQ44" i="1"/>
  <c r="BQ97" i="1"/>
  <c r="BQ65" i="1"/>
  <c r="BW26" i="1"/>
  <c r="BX21" i="1"/>
  <c r="BX19" i="1" s="1"/>
  <c r="BX17" i="1" s="1"/>
  <c r="BY21" i="1" s="1"/>
  <c r="BY19" i="1" s="1"/>
  <c r="BY17" i="1" s="1"/>
  <c r="K16" i="5"/>
  <c r="BS89" i="1"/>
  <c r="BS93" i="1" s="1"/>
  <c r="BS13" i="1"/>
  <c r="BS14" i="1" s="1"/>
  <c r="BR96" i="1"/>
  <c r="BR95" i="1"/>
  <c r="BV29" i="1"/>
  <c r="BV30" i="1"/>
  <c r="BV32" i="1"/>
  <c r="BV31" i="1"/>
  <c r="BV10" i="1" s="1"/>
  <c r="BV28" i="1"/>
  <c r="BS100" i="1" l="1"/>
  <c r="BS46" i="1" s="1"/>
  <c r="BQ45" i="1"/>
  <c r="BQ47" i="1" s="1"/>
  <c r="BQ48" i="1"/>
  <c r="AW11" i="24"/>
  <c r="BV7" i="1"/>
  <c r="AU20" i="24"/>
  <c r="BT61" i="1"/>
  <c r="BT63" i="1" s="1"/>
  <c r="BY26" i="1"/>
  <c r="BZ21" i="1"/>
  <c r="BZ19" i="1" s="1"/>
  <c r="BZ17" i="1" s="1"/>
  <c r="BW31" i="1"/>
  <c r="BW10" i="1" s="1"/>
  <c r="BW30" i="1"/>
  <c r="BW32" i="1"/>
  <c r="BW28" i="1"/>
  <c r="BW29" i="1"/>
  <c r="AW13" i="24"/>
  <c r="BV8" i="1"/>
  <c r="BQ108" i="1"/>
  <c r="BQ160" i="1" s="1"/>
  <c r="BQ163" i="1" s="1"/>
  <c r="BQ98" i="1"/>
  <c r="BS95" i="1"/>
  <c r="BS96" i="1"/>
  <c r="BR43" i="1"/>
  <c r="BV9" i="1"/>
  <c r="AW12" i="24"/>
  <c r="BT13" i="1"/>
  <c r="BT14" i="1" s="1"/>
  <c r="BT89" i="1"/>
  <c r="BT93" i="1" s="1"/>
  <c r="BS42" i="1"/>
  <c r="BS64" i="1"/>
  <c r="BS33" i="1"/>
  <c r="BS122" i="1"/>
  <c r="BS123" i="1" s="1"/>
  <c r="BS161" i="1" s="1"/>
  <c r="BR44" i="1"/>
  <c r="BR97" i="1"/>
  <c r="BR65" i="1"/>
  <c r="BT100" i="1" l="1"/>
  <c r="BT46" i="1" s="1"/>
  <c r="BV12" i="1"/>
  <c r="BT96" i="1"/>
  <c r="BT95" i="1"/>
  <c r="BZ26" i="1"/>
  <c r="CA21" i="1"/>
  <c r="CA19" i="1" s="1"/>
  <c r="CA17" i="1" s="1"/>
  <c r="BR98" i="1"/>
  <c r="BR108" i="1"/>
  <c r="BR160" i="1" s="1"/>
  <c r="BR163" i="1" s="1"/>
  <c r="BR45" i="1"/>
  <c r="BR47" i="1" s="1"/>
  <c r="BS43" i="1"/>
  <c r="BW9" i="1"/>
  <c r="AX12" i="24"/>
  <c r="BT42" i="1"/>
  <c r="BT43" i="1" s="1"/>
  <c r="BT33" i="1"/>
  <c r="BT122" i="1"/>
  <c r="BT123" i="1" s="1"/>
  <c r="BT161" i="1" s="1"/>
  <c r="BT64" i="1"/>
  <c r="BY28" i="1"/>
  <c r="BY30" i="1"/>
  <c r="BY32" i="1"/>
  <c r="BY29" i="1"/>
  <c r="BY31" i="1"/>
  <c r="BY10" i="1" s="1"/>
  <c r="BR48" i="1"/>
  <c r="AX13" i="24"/>
  <c r="BW8" i="1"/>
  <c r="AX11" i="24"/>
  <c r="BW7" i="1"/>
  <c r="BS44" i="1"/>
  <c r="BS65" i="1"/>
  <c r="BS97" i="1"/>
  <c r="AW19" i="24"/>
  <c r="BV13" i="1" l="1"/>
  <c r="BV14" i="1" s="1"/>
  <c r="BV89" i="1"/>
  <c r="BV93" i="1" s="1"/>
  <c r="BS45" i="1"/>
  <c r="BS47" i="1" s="1"/>
  <c r="BS48" i="1"/>
  <c r="BS98" i="1"/>
  <c r="BS108" i="1"/>
  <c r="BS160" i="1" s="1"/>
  <c r="BS163" i="1" s="1"/>
  <c r="CA26" i="1"/>
  <c r="CB21" i="1"/>
  <c r="CB19" i="1" s="1"/>
  <c r="CB17" i="1" s="1"/>
  <c r="BY8" i="1"/>
  <c r="AZ13" i="24"/>
  <c r="BZ32" i="1"/>
  <c r="BZ31" i="1"/>
  <c r="BZ10" i="1" s="1"/>
  <c r="BZ29" i="1"/>
  <c r="BZ30" i="1"/>
  <c r="BZ28" i="1"/>
  <c r="BV61" i="1"/>
  <c r="BV63" i="1" s="1"/>
  <c r="BV100" i="1" s="1"/>
  <c r="AW20" i="24"/>
  <c r="BT44" i="1"/>
  <c r="BT97" i="1"/>
  <c r="BT65" i="1"/>
  <c r="BW12" i="1"/>
  <c r="BY9" i="1"/>
  <c r="AZ12" i="24"/>
  <c r="AX19" i="24"/>
  <c r="BY7" i="1"/>
  <c r="AZ11" i="24"/>
  <c r="BV42" i="1" l="1"/>
  <c r="BV43" i="1" s="1"/>
  <c r="BV122" i="1"/>
  <c r="BV123" i="1" s="1"/>
  <c r="BV33" i="1"/>
  <c r="BV96" i="1"/>
  <c r="BV95" i="1"/>
  <c r="BZ8" i="1"/>
  <c r="BA13" i="24"/>
  <c r="CB26" i="1"/>
  <c r="CC21" i="1"/>
  <c r="CC19" i="1" s="1"/>
  <c r="CC17" i="1" s="1"/>
  <c r="BT98" i="1"/>
  <c r="BT108" i="1"/>
  <c r="BT160" i="1" s="1"/>
  <c r="BT163" i="1" s="1"/>
  <c r="AZ19" i="24"/>
  <c r="BT45" i="1"/>
  <c r="BT47" i="1" s="1"/>
  <c r="BT48" i="1"/>
  <c r="BW61" i="1"/>
  <c r="BW63" i="1" s="1"/>
  <c r="BW100" i="1" s="1"/>
  <c r="AX20" i="24"/>
  <c r="BA12" i="24"/>
  <c r="BZ9" i="1"/>
  <c r="BW13" i="1"/>
  <c r="BW14" i="1" s="1"/>
  <c r="BW89" i="1"/>
  <c r="BW93" i="1" s="1"/>
  <c r="CA28" i="1"/>
  <c r="CA30" i="1"/>
  <c r="CA29" i="1"/>
  <c r="CA31" i="1"/>
  <c r="CA10" i="1" s="1"/>
  <c r="CA32" i="1"/>
  <c r="BY12" i="1"/>
  <c r="BV64" i="1"/>
  <c r="BA11" i="24"/>
  <c r="BZ7" i="1"/>
  <c r="BZ12" i="1" l="1"/>
  <c r="BW96" i="1"/>
  <c r="BW95" i="1"/>
  <c r="CC26" i="1"/>
  <c r="CD21" i="1"/>
  <c r="CD19" i="1" s="1"/>
  <c r="CD17" i="1" s="1"/>
  <c r="BZ13" i="1"/>
  <c r="BZ14" i="1" s="1"/>
  <c r="BZ89" i="1"/>
  <c r="BZ93" i="1" s="1"/>
  <c r="CA7" i="1"/>
  <c r="BB11" i="24"/>
  <c r="BA19" i="24"/>
  <c r="BY61" i="1"/>
  <c r="BY63" i="1" s="1"/>
  <c r="AZ20" i="24"/>
  <c r="BV44" i="1"/>
  <c r="BV97" i="1"/>
  <c r="BV65" i="1"/>
  <c r="BW42" i="1"/>
  <c r="BW43" i="1" s="1"/>
  <c r="BW122" i="1"/>
  <c r="BW123" i="1" s="1"/>
  <c r="BW161" i="1" s="1"/>
  <c r="BW64" i="1"/>
  <c r="BW33" i="1"/>
  <c r="BY13" i="1"/>
  <c r="BY14" i="1" s="1"/>
  <c r="BY89" i="1"/>
  <c r="BY93" i="1" s="1"/>
  <c r="CB30" i="1"/>
  <c r="CB32" i="1"/>
  <c r="CB28" i="1"/>
  <c r="CB31" i="1"/>
  <c r="CB10" i="1" s="1"/>
  <c r="CB29" i="1"/>
  <c r="CA8" i="1"/>
  <c r="BB13" i="24"/>
  <c r="BB12" i="24"/>
  <c r="CA9" i="1"/>
  <c r="BY100" i="1" l="1"/>
  <c r="BB19" i="24"/>
  <c r="BZ96" i="1"/>
  <c r="BZ95" i="1"/>
  <c r="BY96" i="1"/>
  <c r="BY95" i="1"/>
  <c r="CD26" i="1"/>
  <c r="CE21" i="1"/>
  <c r="CE19" i="1" s="1"/>
  <c r="CE17" i="1" s="1"/>
  <c r="BC11" i="24"/>
  <c r="CB7" i="1"/>
  <c r="CA12" i="1"/>
  <c r="CB9" i="1"/>
  <c r="BC12" i="24"/>
  <c r="BV108" i="1"/>
  <c r="BV160" i="1" s="1"/>
  <c r="BV98" i="1"/>
  <c r="BZ42" i="1"/>
  <c r="BZ43" i="1" s="1"/>
  <c r="BZ33" i="1"/>
  <c r="BZ122" i="1"/>
  <c r="BZ123" i="1" s="1"/>
  <c r="BY42" i="1"/>
  <c r="BY43" i="1" s="1"/>
  <c r="BY64" i="1"/>
  <c r="BY122" i="1"/>
  <c r="BY123" i="1" s="1"/>
  <c r="BY33" i="1"/>
  <c r="CC28" i="1"/>
  <c r="CC29" i="1"/>
  <c r="CC31" i="1"/>
  <c r="CC10" i="1" s="1"/>
  <c r="CC30" i="1"/>
  <c r="CC32" i="1"/>
  <c r="BC13" i="24"/>
  <c r="CB8" i="1"/>
  <c r="BW44" i="1"/>
  <c r="BW97" i="1"/>
  <c r="BW65" i="1"/>
  <c r="BA20" i="24"/>
  <c r="BZ61" i="1"/>
  <c r="BZ63" i="1" s="1"/>
  <c r="BZ100" i="1" s="1"/>
  <c r="CA61" i="1" l="1"/>
  <c r="CA63" i="1" s="1"/>
  <c r="BB20" i="24"/>
  <c r="BZ64" i="1"/>
  <c r="BZ65" i="1" s="1"/>
  <c r="BC19" i="24"/>
  <c r="CC9" i="1"/>
  <c r="BD12" i="24"/>
  <c r="BZ161" i="1"/>
  <c r="CA13" i="1"/>
  <c r="CA14" i="1" s="1"/>
  <c r="CA89" i="1"/>
  <c r="CA93" i="1" s="1"/>
  <c r="BD13" i="24"/>
  <c r="CC8" i="1"/>
  <c r="BW98" i="1"/>
  <c r="BW108" i="1"/>
  <c r="BW160" i="1" s="1"/>
  <c r="BW163" i="1" s="1"/>
  <c r="CC7" i="1"/>
  <c r="BD11" i="24"/>
  <c r="CE26" i="1"/>
  <c r="CF21" i="1"/>
  <c r="CF19" i="1" s="1"/>
  <c r="CF17" i="1" s="1"/>
  <c r="BY44" i="1"/>
  <c r="BY65" i="1"/>
  <c r="BY97" i="1"/>
  <c r="CD32" i="1"/>
  <c r="CD29" i="1"/>
  <c r="CD28" i="1"/>
  <c r="CD31" i="1"/>
  <c r="CD10" i="1" s="1"/>
  <c r="CD30" i="1"/>
  <c r="CB12" i="1"/>
  <c r="CA100" i="1" l="1"/>
  <c r="CA46" i="1" s="1"/>
  <c r="CC12" i="1"/>
  <c r="CB61" i="1"/>
  <c r="CB63" i="1" s="1"/>
  <c r="BC20" i="24"/>
  <c r="BZ44" i="1"/>
  <c r="BZ97" i="1"/>
  <c r="BZ108" i="1" s="1"/>
  <c r="BZ160" i="1" s="1"/>
  <c r="BZ163" i="1" s="1"/>
  <c r="BY108" i="1"/>
  <c r="BY160" i="1" s="1"/>
  <c r="BY98" i="1"/>
  <c r="CA96" i="1"/>
  <c r="CA95" i="1"/>
  <c r="CA42" i="1"/>
  <c r="CA122" i="1"/>
  <c r="CA123" i="1" s="1"/>
  <c r="CA161" i="1" s="1"/>
  <c r="CA33" i="1"/>
  <c r="CA64" i="1"/>
  <c r="CB13" i="1"/>
  <c r="CB14" i="1" s="1"/>
  <c r="CB89" i="1"/>
  <c r="CB93" i="1" s="1"/>
  <c r="CD9" i="1"/>
  <c r="BE12" i="24"/>
  <c r="CG21" i="1"/>
  <c r="CG19" i="1" s="1"/>
  <c r="CG17" i="1" s="1"/>
  <c r="CF26" i="1"/>
  <c r="CE30" i="1"/>
  <c r="CE28" i="1"/>
  <c r="CE31" i="1"/>
  <c r="CE10" i="1" s="1"/>
  <c r="CE32" i="1"/>
  <c r="CE29" i="1"/>
  <c r="BE11" i="24"/>
  <c r="CD7" i="1"/>
  <c r="CD8" i="1"/>
  <c r="BE13" i="24"/>
  <c r="BD19" i="24"/>
  <c r="CB100" i="1" l="1"/>
  <c r="CB46" i="1" s="1"/>
  <c r="CC13" i="1"/>
  <c r="CC14" i="1" s="1"/>
  <c r="CC89" i="1"/>
  <c r="CC93" i="1" s="1"/>
  <c r="CD12" i="1"/>
  <c r="BE19" i="24"/>
  <c r="BZ98" i="1"/>
  <c r="CF30" i="1"/>
  <c r="CF32" i="1"/>
  <c r="CF31" i="1"/>
  <c r="CF10" i="1" s="1"/>
  <c r="CF28" i="1"/>
  <c r="CF29" i="1"/>
  <c r="CG26" i="1"/>
  <c r="CH21" i="1"/>
  <c r="CH19" i="1" s="1"/>
  <c r="CH17" i="1" s="1"/>
  <c r="CE8" i="1"/>
  <c r="BF13" i="24"/>
  <c r="CB96" i="1"/>
  <c r="CB95" i="1"/>
  <c r="BF12" i="24"/>
  <c r="CE9" i="1"/>
  <c r="BD20" i="24"/>
  <c r="CC61" i="1"/>
  <c r="CC63" i="1" s="1"/>
  <c r="CC100" i="1" s="1"/>
  <c r="CA43" i="1"/>
  <c r="CB42" i="1"/>
  <c r="CB64" i="1"/>
  <c r="CB33" i="1"/>
  <c r="CB122" i="1"/>
  <c r="CB123" i="1" s="1"/>
  <c r="CB161" i="1" s="1"/>
  <c r="CE7" i="1"/>
  <c r="BF11" i="24"/>
  <c r="CA44" i="1"/>
  <c r="CA97" i="1"/>
  <c r="CA65" i="1"/>
  <c r="CC33" i="1" l="1"/>
  <c r="CC42" i="1"/>
  <c r="CC43" i="1" s="1"/>
  <c r="CC122" i="1"/>
  <c r="CC123" i="1" s="1"/>
  <c r="CC161" i="1" s="1"/>
  <c r="CC96" i="1"/>
  <c r="CC95" i="1"/>
  <c r="CD89" i="1"/>
  <c r="CD93" i="1" s="1"/>
  <c r="CD13" i="1"/>
  <c r="CD14" i="1" s="1"/>
  <c r="CD61" i="1"/>
  <c r="CD63" i="1" s="1"/>
  <c r="BE20" i="24"/>
  <c r="CE12" i="1"/>
  <c r="CC64" i="1"/>
  <c r="CA98" i="1"/>
  <c r="CA108" i="1"/>
  <c r="CA160" i="1" s="1"/>
  <c r="CA163" i="1" s="1"/>
  <c r="CI21" i="1"/>
  <c r="CI19" i="1" s="1"/>
  <c r="CI17" i="1" s="1"/>
  <c r="CH26" i="1"/>
  <c r="CF7" i="1"/>
  <c r="BG11" i="24"/>
  <c r="CC46" i="1"/>
  <c r="CB44" i="1"/>
  <c r="CB48" i="1" s="1"/>
  <c r="CB97" i="1"/>
  <c r="CB65" i="1"/>
  <c r="CF9" i="1"/>
  <c r="BG12" i="24"/>
  <c r="CB43" i="1"/>
  <c r="CA45" i="1"/>
  <c r="CA47" i="1" s="1"/>
  <c r="BF19" i="24"/>
  <c r="CA48" i="1"/>
  <c r="BG13" i="24"/>
  <c r="CF8" i="1"/>
  <c r="CD100" i="1" l="1"/>
  <c r="CD46" i="1" s="1"/>
  <c r="CD95" i="1"/>
  <c r="CD96" i="1"/>
  <c r="CD42" i="1"/>
  <c r="CD43" i="1" s="1"/>
  <c r="CD64" i="1"/>
  <c r="CD33" i="1"/>
  <c r="CD122" i="1"/>
  <c r="CD123" i="1" s="1"/>
  <c r="CD161" i="1" s="1"/>
  <c r="CE13" i="1"/>
  <c r="CE14" i="1" s="1"/>
  <c r="CE89" i="1"/>
  <c r="CE93" i="1" s="1"/>
  <c r="CC65" i="1"/>
  <c r="CC44" i="1"/>
  <c r="CC97" i="1"/>
  <c r="BF20" i="24"/>
  <c r="CE61" i="1"/>
  <c r="CE63" i="1" s="1"/>
  <c r="CE100" i="1" s="1"/>
  <c r="BG19" i="24"/>
  <c r="CH32" i="1"/>
  <c r="CH28" i="1"/>
  <c r="CH30" i="1"/>
  <c r="CH31" i="1"/>
  <c r="CH10" i="1" s="1"/>
  <c r="CH29" i="1"/>
  <c r="CF12" i="1"/>
  <c r="L16" i="5"/>
  <c r="CI26" i="1"/>
  <c r="CJ21" i="1"/>
  <c r="CJ19" i="1" s="1"/>
  <c r="CJ17" i="1" s="1"/>
  <c r="CK21" i="1" s="1"/>
  <c r="CK19" i="1" s="1"/>
  <c r="CK17" i="1" s="1"/>
  <c r="CB108" i="1"/>
  <c r="CB160" i="1" s="1"/>
  <c r="CB163" i="1" s="1"/>
  <c r="CB98" i="1"/>
  <c r="CB45" i="1"/>
  <c r="CB47" i="1" s="1"/>
  <c r="CE122" i="1" l="1"/>
  <c r="CE123" i="1" s="1"/>
  <c r="CE42" i="1"/>
  <c r="CE43" i="1" s="1"/>
  <c r="CE33" i="1"/>
  <c r="CE96" i="1"/>
  <c r="CE95" i="1"/>
  <c r="CC98" i="1"/>
  <c r="CC108" i="1"/>
  <c r="CC160" i="1" s="1"/>
  <c r="CC163" i="1" s="1"/>
  <c r="CE161" i="1"/>
  <c r="CD44" i="1"/>
  <c r="CD97" i="1"/>
  <c r="CD65" i="1"/>
  <c r="CC45" i="1"/>
  <c r="CC47" i="1" s="1"/>
  <c r="CC48" i="1"/>
  <c r="CE46" i="1"/>
  <c r="CE64" i="1"/>
  <c r="CI32" i="1"/>
  <c r="CI31" i="1"/>
  <c r="CI10" i="1" s="1"/>
  <c r="CI30" i="1"/>
  <c r="CI29" i="1"/>
  <c r="CI28" i="1"/>
  <c r="CF89" i="1"/>
  <c r="CF93" i="1" s="1"/>
  <c r="CF13" i="1"/>
  <c r="CF14" i="1" s="1"/>
  <c r="BI12" i="24"/>
  <c r="CH9" i="1"/>
  <c r="CF61" i="1"/>
  <c r="CF63" i="1" s="1"/>
  <c r="BG20" i="24"/>
  <c r="CH7" i="1"/>
  <c r="BI11" i="24"/>
  <c r="CK26" i="1"/>
  <c r="CL21" i="1"/>
  <c r="CL19" i="1" s="1"/>
  <c r="CL17" i="1" s="1"/>
  <c r="BI13" i="24"/>
  <c r="CH8" i="1"/>
  <c r="CF100" i="1" l="1"/>
  <c r="CD45" i="1"/>
  <c r="CD47" i="1" s="1"/>
  <c r="CD48" i="1"/>
  <c r="CD98" i="1"/>
  <c r="CD108" i="1"/>
  <c r="CD160" i="1" s="1"/>
  <c r="CD163" i="1" s="1"/>
  <c r="CF46" i="1"/>
  <c r="CE44" i="1"/>
  <c r="CE97" i="1"/>
  <c r="CE65" i="1"/>
  <c r="CL26" i="1"/>
  <c r="CM21" i="1"/>
  <c r="CM19" i="1" s="1"/>
  <c r="CM17" i="1" s="1"/>
  <c r="BJ11" i="24"/>
  <c r="CI7" i="1"/>
  <c r="CK31" i="1"/>
  <c r="CK10" i="1" s="1"/>
  <c r="CK29" i="1"/>
  <c r="CK28" i="1"/>
  <c r="CK30" i="1"/>
  <c r="CK32" i="1"/>
  <c r="BJ13" i="24"/>
  <c r="CI8" i="1"/>
  <c r="CF96" i="1"/>
  <c r="CF95" i="1"/>
  <c r="BJ12" i="24"/>
  <c r="CI9" i="1"/>
  <c r="BI19" i="24"/>
  <c r="CF33" i="1"/>
  <c r="CF42" i="1"/>
  <c r="CF43" i="1" s="1"/>
  <c r="CF64" i="1"/>
  <c r="CF122" i="1"/>
  <c r="CF123" i="1" s="1"/>
  <c r="CF161" i="1" s="1"/>
  <c r="CH12" i="1"/>
  <c r="CE48" i="1" l="1"/>
  <c r="CE45" i="1"/>
  <c r="CE47" i="1" s="1"/>
  <c r="CE108" i="1"/>
  <c r="CE160" i="1" s="1"/>
  <c r="CE163" i="1" s="1"/>
  <c r="CE98" i="1"/>
  <c r="CI12" i="1"/>
  <c r="CF44" i="1"/>
  <c r="CF45" i="1" s="1"/>
  <c r="CF47" i="1" s="1"/>
  <c r="CF97" i="1"/>
  <c r="CF65" i="1"/>
  <c r="CM26" i="1"/>
  <c r="CN21" i="1"/>
  <c r="CN19" i="1" s="1"/>
  <c r="CN17" i="1" s="1"/>
  <c r="CK7" i="1"/>
  <c r="BL11" i="24"/>
  <c r="BL13" i="24"/>
  <c r="CK8" i="1"/>
  <c r="BJ19" i="24"/>
  <c r="BI20" i="24"/>
  <c r="CH61" i="1"/>
  <c r="CH63" i="1" s="1"/>
  <c r="CL28" i="1"/>
  <c r="CL31" i="1"/>
  <c r="CL10" i="1" s="1"/>
  <c r="CL32" i="1"/>
  <c r="CL30" i="1"/>
  <c r="CL29" i="1"/>
  <c r="CH89" i="1"/>
  <c r="CH93" i="1" s="1"/>
  <c r="CH13" i="1"/>
  <c r="CH14" i="1" s="1"/>
  <c r="BL12" i="24"/>
  <c r="CK9" i="1"/>
  <c r="CH100" i="1" l="1"/>
  <c r="CI89" i="1"/>
  <c r="CI93" i="1" s="1"/>
  <c r="CI13" i="1"/>
  <c r="CI14" i="1" s="1"/>
  <c r="BL19" i="24"/>
  <c r="CK61" i="1" s="1"/>
  <c r="CK63" i="1" s="1"/>
  <c r="CF48" i="1"/>
  <c r="BM11" i="24"/>
  <c r="CL7" i="1"/>
  <c r="CI61" i="1"/>
  <c r="CI63" i="1" s="1"/>
  <c r="CI100" i="1" s="1"/>
  <c r="BJ20" i="24"/>
  <c r="CM32" i="1"/>
  <c r="CM30" i="1"/>
  <c r="CM29" i="1"/>
  <c r="CM28" i="1"/>
  <c r="CM31" i="1"/>
  <c r="CM10" i="1" s="1"/>
  <c r="CH95" i="1"/>
  <c r="CH96" i="1"/>
  <c r="BM13" i="24"/>
  <c r="CL8" i="1"/>
  <c r="CK12" i="1"/>
  <c r="CH42" i="1"/>
  <c r="CH43" i="1" s="1"/>
  <c r="CH122" i="1"/>
  <c r="CH123" i="1" s="1"/>
  <c r="CH33" i="1"/>
  <c r="CH64" i="1"/>
  <c r="CL9" i="1"/>
  <c r="BM12" i="24"/>
  <c r="CF98" i="1"/>
  <c r="CF108" i="1"/>
  <c r="CF160" i="1" s="1"/>
  <c r="CF163" i="1" s="1"/>
  <c r="CO21" i="1"/>
  <c r="CO19" i="1" s="1"/>
  <c r="CO17" i="1" s="1"/>
  <c r="CN26" i="1"/>
  <c r="CI95" i="1" l="1"/>
  <c r="CI96" i="1"/>
  <c r="CI122" i="1"/>
  <c r="CI123" i="1" s="1"/>
  <c r="CI161" i="1" s="1"/>
  <c r="CI42" i="1"/>
  <c r="CI43" i="1" s="1"/>
  <c r="CI33" i="1"/>
  <c r="CI64" i="1"/>
  <c r="BL20" i="24"/>
  <c r="BN11" i="24"/>
  <c r="CM7" i="1"/>
  <c r="CM8" i="1"/>
  <c r="BN13" i="24"/>
  <c r="CM9" i="1"/>
  <c r="BN12" i="24"/>
  <c r="CN28" i="1"/>
  <c r="CN29" i="1"/>
  <c r="CN31" i="1"/>
  <c r="CN10" i="1" s="1"/>
  <c r="CN32" i="1"/>
  <c r="CN30" i="1"/>
  <c r="CH44" i="1"/>
  <c r="CH97" i="1"/>
  <c r="CH65" i="1"/>
  <c r="CP21" i="1"/>
  <c r="CP19" i="1" s="1"/>
  <c r="CP17" i="1" s="1"/>
  <c r="CO26" i="1"/>
  <c r="CK89" i="1"/>
  <c r="CK93" i="1" s="1"/>
  <c r="CK13" i="1"/>
  <c r="CK14" i="1" s="1"/>
  <c r="CL12" i="1"/>
  <c r="BM19" i="24"/>
  <c r="CK100" i="1" l="1"/>
  <c r="CI65" i="1"/>
  <c r="CI97" i="1"/>
  <c r="CI44" i="1"/>
  <c r="CM12" i="1"/>
  <c r="CM13" i="1" s="1"/>
  <c r="CM14" i="1" s="1"/>
  <c r="BN19" i="24"/>
  <c r="BN20" i="24" s="1"/>
  <c r="CL61" i="1"/>
  <c r="CL63" i="1" s="1"/>
  <c r="CL100" i="1" s="1"/>
  <c r="BM20" i="24"/>
  <c r="CN7" i="1"/>
  <c r="BO11" i="24"/>
  <c r="CH108" i="1"/>
  <c r="CH160" i="1" s="1"/>
  <c r="CH98" i="1"/>
  <c r="CL13" i="1"/>
  <c r="CL14" i="1" s="1"/>
  <c r="CL89" i="1"/>
  <c r="CL93" i="1" s="1"/>
  <c r="CN9" i="1"/>
  <c r="BO12" i="24"/>
  <c r="CK42" i="1"/>
  <c r="CK43" i="1" s="1"/>
  <c r="CK122" i="1"/>
  <c r="CK123" i="1" s="1"/>
  <c r="CK33" i="1"/>
  <c r="CK64" i="1"/>
  <c r="CK96" i="1"/>
  <c r="CK95" i="1"/>
  <c r="CO30" i="1"/>
  <c r="CO28" i="1"/>
  <c r="CO31" i="1"/>
  <c r="CO10" i="1" s="1"/>
  <c r="CO32" i="1"/>
  <c r="CO29" i="1"/>
  <c r="BO13" i="24"/>
  <c r="CN8" i="1"/>
  <c r="CP26" i="1"/>
  <c r="CQ21" i="1"/>
  <c r="CQ19" i="1" s="1"/>
  <c r="CQ17" i="1" s="1"/>
  <c r="CI98" i="1" l="1"/>
  <c r="CI108" i="1"/>
  <c r="CI160" i="1" s="1"/>
  <c r="CI163" i="1" s="1"/>
  <c r="CM61" i="1"/>
  <c r="CM63" i="1" s="1"/>
  <c r="CM89" i="1"/>
  <c r="CM93" i="1" s="1"/>
  <c r="CM95" i="1" s="1"/>
  <c r="CO7" i="1"/>
  <c r="BP11" i="24"/>
  <c r="CO9" i="1"/>
  <c r="BP12" i="24"/>
  <c r="BO19" i="24"/>
  <c r="CN12" i="1"/>
  <c r="CL96" i="1"/>
  <c r="CL95" i="1"/>
  <c r="CL42" i="1"/>
  <c r="CL43" i="1" s="1"/>
  <c r="CL64" i="1"/>
  <c r="CL33" i="1"/>
  <c r="CL122" i="1"/>
  <c r="CL123" i="1" s="1"/>
  <c r="CL161" i="1" s="1"/>
  <c r="CK44" i="1"/>
  <c r="CK65" i="1"/>
  <c r="CK97" i="1"/>
  <c r="CR21" i="1"/>
  <c r="CR19" i="1" s="1"/>
  <c r="CR17" i="1" s="1"/>
  <c r="CQ26" i="1"/>
  <c r="CP29" i="1"/>
  <c r="CP31" i="1"/>
  <c r="CP10" i="1" s="1"/>
  <c r="CP28" i="1"/>
  <c r="CP30" i="1"/>
  <c r="CP32" i="1"/>
  <c r="CO8" i="1"/>
  <c r="BP13" i="24"/>
  <c r="CM42" i="1"/>
  <c r="CM43" i="1" s="1"/>
  <c r="CM122" i="1"/>
  <c r="CM123" i="1" s="1"/>
  <c r="CM33" i="1"/>
  <c r="CM100" i="1" l="1"/>
  <c r="CM161" i="1"/>
  <c r="CM46" i="1"/>
  <c r="CM64" i="1"/>
  <c r="CM96" i="1"/>
  <c r="CN61" i="1"/>
  <c r="CN63" i="1" s="1"/>
  <c r="CN100" i="1" s="1"/>
  <c r="BO20" i="24"/>
  <c r="CN13" i="1"/>
  <c r="CN14" i="1" s="1"/>
  <c r="CN89" i="1"/>
  <c r="CN93" i="1" s="1"/>
  <c r="CQ31" i="1"/>
  <c r="CQ10" i="1" s="1"/>
  <c r="CQ32" i="1"/>
  <c r="CQ30" i="1"/>
  <c r="CQ29" i="1"/>
  <c r="CQ28" i="1"/>
  <c r="CL44" i="1"/>
  <c r="CL97" i="1"/>
  <c r="CL65" i="1"/>
  <c r="BP19" i="24"/>
  <c r="BQ12" i="24"/>
  <c r="CP9" i="1"/>
  <c r="BQ13" i="24"/>
  <c r="CP8" i="1"/>
  <c r="CK108" i="1"/>
  <c r="CK160" i="1" s="1"/>
  <c r="CK98" i="1"/>
  <c r="CO12" i="1"/>
  <c r="CP7" i="1"/>
  <c r="BQ11" i="24"/>
  <c r="CS21" i="1"/>
  <c r="CS19" i="1" s="1"/>
  <c r="CS17" i="1" s="1"/>
  <c r="CR26" i="1"/>
  <c r="CM44" i="1" l="1"/>
  <c r="CM97" i="1"/>
  <c r="CM65" i="1"/>
  <c r="BQ19" i="24"/>
  <c r="CL108" i="1"/>
  <c r="CL160" i="1" s="1"/>
  <c r="CL163" i="1" s="1"/>
  <c r="CL98" i="1"/>
  <c r="CN95" i="1"/>
  <c r="CN96" i="1"/>
  <c r="CQ9" i="1"/>
  <c r="BR12" i="24"/>
  <c r="CO13" i="1"/>
  <c r="CO14" i="1" s="1"/>
  <c r="CO89" i="1"/>
  <c r="CO93" i="1" s="1"/>
  <c r="CT21" i="1"/>
  <c r="CT19" i="1" s="1"/>
  <c r="CT17" i="1" s="1"/>
  <c r="CS26" i="1"/>
  <c r="CN42" i="1"/>
  <c r="CN43" i="1" s="1"/>
  <c r="CN33" i="1"/>
  <c r="CN64" i="1"/>
  <c r="CN122" i="1"/>
  <c r="CN123" i="1" s="1"/>
  <c r="CN161" i="1" s="1"/>
  <c r="CP12" i="1"/>
  <c r="CR29" i="1"/>
  <c r="CR30" i="1"/>
  <c r="CR31" i="1"/>
  <c r="CR10" i="1" s="1"/>
  <c r="CR32" i="1"/>
  <c r="CR28" i="1"/>
  <c r="CQ8" i="1"/>
  <c r="BR13" i="24"/>
  <c r="BP20" i="24"/>
  <c r="CO61" i="1"/>
  <c r="CO63" i="1" s="1"/>
  <c r="CQ7" i="1"/>
  <c r="BR11" i="24"/>
  <c r="CN46" i="1"/>
  <c r="CO100" i="1" l="1"/>
  <c r="CO46" i="1" s="1"/>
  <c r="CM45" i="1"/>
  <c r="CM47" i="1" s="1"/>
  <c r="CM48" i="1"/>
  <c r="CM108" i="1"/>
  <c r="CM160" i="1" s="1"/>
  <c r="CM163" i="1" s="1"/>
  <c r="CM98" i="1"/>
  <c r="BR19" i="24"/>
  <c r="CP61" i="1"/>
  <c r="CP63" i="1" s="1"/>
  <c r="BQ20" i="24"/>
  <c r="CQ12" i="1"/>
  <c r="BS12" i="24"/>
  <c r="CR9" i="1"/>
  <c r="CO96" i="1"/>
  <c r="CO95" i="1"/>
  <c r="CR7" i="1"/>
  <c r="BS11" i="24"/>
  <c r="BS13" i="24"/>
  <c r="CR8" i="1"/>
  <c r="CO42" i="1"/>
  <c r="CO43" i="1" s="1"/>
  <c r="CO122" i="1"/>
  <c r="CO123" i="1" s="1"/>
  <c r="CO161" i="1" s="1"/>
  <c r="CO33" i="1"/>
  <c r="CO64" i="1"/>
  <c r="CN44" i="1"/>
  <c r="CN45" i="1" s="1"/>
  <c r="CN47" i="1" s="1"/>
  <c r="CN65" i="1"/>
  <c r="CN97" i="1"/>
  <c r="CP13" i="1"/>
  <c r="CP14" i="1" s="1"/>
  <c r="CP89" i="1"/>
  <c r="CP93" i="1" s="1"/>
  <c r="CT26" i="1"/>
  <c r="CU21" i="1"/>
  <c r="CU19" i="1" s="1"/>
  <c r="CU17" i="1" s="1"/>
  <c r="CP100" i="1" l="1"/>
  <c r="CP46" i="1" s="1"/>
  <c r="BR20" i="24"/>
  <c r="CQ61" i="1"/>
  <c r="CQ63" i="1" s="1"/>
  <c r="CN48" i="1"/>
  <c r="CO44" i="1"/>
  <c r="CO97" i="1"/>
  <c r="CO65" i="1"/>
  <c r="CP42" i="1"/>
  <c r="CP33" i="1"/>
  <c r="CP122" i="1"/>
  <c r="CP123" i="1" s="1"/>
  <c r="CP161" i="1" s="1"/>
  <c r="CP64" i="1"/>
  <c r="CN98" i="1"/>
  <c r="CN108" i="1"/>
  <c r="CN160" i="1" s="1"/>
  <c r="CN163" i="1" s="1"/>
  <c r="CV21" i="1"/>
  <c r="CV19" i="1" s="1"/>
  <c r="CV17" i="1" s="1"/>
  <c r="CW21" i="1" s="1"/>
  <c r="CW19" i="1" s="1"/>
  <c r="CW17" i="1" s="1"/>
  <c r="CU26" i="1"/>
  <c r="M16" i="5"/>
  <c r="CQ13" i="1"/>
  <c r="CQ14" i="1" s="1"/>
  <c r="CQ89" i="1"/>
  <c r="CQ93" i="1" s="1"/>
  <c r="CT32" i="1"/>
  <c r="CT30" i="1"/>
  <c r="CT29" i="1"/>
  <c r="CT28" i="1"/>
  <c r="CT31" i="1"/>
  <c r="CT10" i="1" s="1"/>
  <c r="BS19" i="24"/>
  <c r="CP95" i="1"/>
  <c r="CP96" i="1"/>
  <c r="CR12" i="1"/>
  <c r="CQ100" i="1" l="1"/>
  <c r="CQ46" i="1" s="1"/>
  <c r="CO45" i="1"/>
  <c r="CO47" i="1" s="1"/>
  <c r="CO48" i="1"/>
  <c r="CQ42" i="1"/>
  <c r="CQ43" i="1" s="1"/>
  <c r="CQ64" i="1"/>
  <c r="CQ122" i="1"/>
  <c r="CQ123" i="1" s="1"/>
  <c r="CQ161" i="1" s="1"/>
  <c r="CQ33" i="1"/>
  <c r="CU32" i="1"/>
  <c r="CU30" i="1"/>
  <c r="CU28" i="1"/>
  <c r="CU29" i="1"/>
  <c r="CU31" i="1"/>
  <c r="CU10" i="1" s="1"/>
  <c r="CX21" i="1"/>
  <c r="CX19" i="1" s="1"/>
  <c r="CX17" i="1" s="1"/>
  <c r="CW26" i="1"/>
  <c r="CO98" i="1"/>
  <c r="CO108" i="1"/>
  <c r="CO160" i="1" s="1"/>
  <c r="CO163" i="1" s="1"/>
  <c r="CQ95" i="1"/>
  <c r="CQ96" i="1"/>
  <c r="CR61" i="1"/>
  <c r="CR63" i="1" s="1"/>
  <c r="BS20" i="24"/>
  <c r="CP43" i="1"/>
  <c r="BU11" i="24"/>
  <c r="CT7" i="1"/>
  <c r="CT8" i="1"/>
  <c r="BU13" i="24"/>
  <c r="CR13" i="1"/>
  <c r="CR14" i="1" s="1"/>
  <c r="CR89" i="1"/>
  <c r="CR93" i="1" s="1"/>
  <c r="CT9" i="1"/>
  <c r="BU12" i="24"/>
  <c r="CP44" i="1"/>
  <c r="CP65" i="1"/>
  <c r="CP97" i="1"/>
  <c r="CR100" i="1" l="1"/>
  <c r="CR46" i="1" s="1"/>
  <c r="CP45" i="1"/>
  <c r="CP47" i="1" s="1"/>
  <c r="CT12" i="1"/>
  <c r="BV11" i="24"/>
  <c r="CU7" i="1"/>
  <c r="CP98" i="1"/>
  <c r="CP108" i="1"/>
  <c r="CP160" i="1" s="1"/>
  <c r="CP163" i="1" s="1"/>
  <c r="CU9" i="1"/>
  <c r="BV12" i="24"/>
  <c r="CP48" i="1"/>
  <c r="CW28" i="1"/>
  <c r="CW29" i="1"/>
  <c r="CW30" i="1"/>
  <c r="CW31" i="1"/>
  <c r="CW10" i="1" s="1"/>
  <c r="CW32" i="1"/>
  <c r="BU19" i="24"/>
  <c r="CX26" i="1"/>
  <c r="CY21" i="1"/>
  <c r="CY19" i="1" s="1"/>
  <c r="CY17" i="1" s="1"/>
  <c r="CQ44" i="1"/>
  <c r="CQ97" i="1"/>
  <c r="CQ65" i="1"/>
  <c r="CR96" i="1"/>
  <c r="CR95" i="1"/>
  <c r="CR42" i="1"/>
  <c r="CR43" i="1" s="1"/>
  <c r="CR33" i="1"/>
  <c r="CR64" i="1"/>
  <c r="CR122" i="1"/>
  <c r="CR123" i="1" s="1"/>
  <c r="CR161" i="1" s="1"/>
  <c r="BV13" i="24"/>
  <c r="CU8" i="1"/>
  <c r="CT13" i="1" l="1"/>
  <c r="CT14" i="1" s="1"/>
  <c r="CT89" i="1"/>
  <c r="CT93" i="1" s="1"/>
  <c r="CQ45" i="1"/>
  <c r="CQ47" i="1" s="1"/>
  <c r="CQ48" i="1"/>
  <c r="CR97" i="1"/>
  <c r="CX29" i="1"/>
  <c r="CX31" i="1"/>
  <c r="CX10" i="1" s="1"/>
  <c r="CX32" i="1"/>
  <c r="CX30" i="1"/>
  <c r="CX28" i="1"/>
  <c r="BX12" i="24"/>
  <c r="CW9" i="1"/>
  <c r="BU20" i="24"/>
  <c r="CT61" i="1"/>
  <c r="CT63" i="1" s="1"/>
  <c r="CT100" i="1" s="1"/>
  <c r="CQ98" i="1"/>
  <c r="CQ108" i="1"/>
  <c r="CQ160" i="1" s="1"/>
  <c r="CQ163" i="1" s="1"/>
  <c r="BX13" i="24"/>
  <c r="CW8" i="1"/>
  <c r="CW7" i="1"/>
  <c r="BX11" i="24"/>
  <c r="CU12" i="1"/>
  <c r="CR44" i="1"/>
  <c r="CR45" i="1" s="1"/>
  <c r="CR47" i="1" s="1"/>
  <c r="CR65" i="1"/>
  <c r="CZ21" i="1"/>
  <c r="CZ19" i="1" s="1"/>
  <c r="CZ17" i="1" s="1"/>
  <c r="CY26" i="1"/>
  <c r="BV19" i="24"/>
  <c r="CT95" i="1" l="1"/>
  <c r="CT96" i="1"/>
  <c r="CT42" i="1"/>
  <c r="CT43" i="1" s="1"/>
  <c r="CT33" i="1"/>
  <c r="CT122" i="1"/>
  <c r="CT123" i="1" s="1"/>
  <c r="CR108" i="1"/>
  <c r="CR160" i="1" s="1"/>
  <c r="CR163" i="1" s="1"/>
  <c r="CR98" i="1"/>
  <c r="BX19" i="24"/>
  <c r="CW61" i="1" s="1"/>
  <c r="CW63" i="1" s="1"/>
  <c r="CT64" i="1"/>
  <c r="CT44" i="1" s="1"/>
  <c r="CU13" i="1"/>
  <c r="CU14" i="1" s="1"/>
  <c r="CU89" i="1"/>
  <c r="CU93" i="1" s="1"/>
  <c r="CZ26" i="1"/>
  <c r="DA21" i="1"/>
  <c r="DA19" i="1" s="1"/>
  <c r="DA17" i="1" s="1"/>
  <c r="CR48" i="1"/>
  <c r="BY12" i="24"/>
  <c r="CX9" i="1"/>
  <c r="CU61" i="1"/>
  <c r="CU63" i="1" s="1"/>
  <c r="BV20" i="24"/>
  <c r="CY29" i="1"/>
  <c r="CY32" i="1"/>
  <c r="CY31" i="1"/>
  <c r="CY10" i="1" s="1"/>
  <c r="CY28" i="1"/>
  <c r="CY30" i="1"/>
  <c r="CW12" i="1"/>
  <c r="CX7" i="1"/>
  <c r="BY11" i="24"/>
  <c r="BY13" i="24"/>
  <c r="CX8" i="1"/>
  <c r="CU100" i="1" l="1"/>
  <c r="CT65" i="1"/>
  <c r="BX20" i="24"/>
  <c r="CT97" i="1"/>
  <c r="CZ30" i="1"/>
  <c r="CZ28" i="1"/>
  <c r="CZ29" i="1"/>
  <c r="CZ32" i="1"/>
  <c r="CZ31" i="1"/>
  <c r="CZ10" i="1" s="1"/>
  <c r="CY8" i="1"/>
  <c r="BZ13" i="24"/>
  <c r="BZ12" i="24"/>
  <c r="CY9" i="1"/>
  <c r="CY7" i="1"/>
  <c r="BZ11" i="24"/>
  <c r="BY19" i="24"/>
  <c r="CU96" i="1"/>
  <c r="CU95" i="1"/>
  <c r="DA26" i="1"/>
  <c r="DB21" i="1"/>
  <c r="DB19" i="1" s="1"/>
  <c r="DB17" i="1" s="1"/>
  <c r="CX12" i="1"/>
  <c r="CW89" i="1"/>
  <c r="CW93" i="1" s="1"/>
  <c r="CW13" i="1"/>
  <c r="CW14" i="1" s="1"/>
  <c r="CU42" i="1"/>
  <c r="CU43" i="1" s="1"/>
  <c r="CU33" i="1"/>
  <c r="CU64" i="1"/>
  <c r="CU122" i="1"/>
  <c r="CU123" i="1" s="1"/>
  <c r="CU161" i="1" s="1"/>
  <c r="CW100" i="1" l="1"/>
  <c r="CT108" i="1"/>
  <c r="CT160" i="1" s="1"/>
  <c r="CT98" i="1"/>
  <c r="BZ19" i="24"/>
  <c r="DA28" i="1"/>
  <c r="DA29" i="1"/>
  <c r="DA32" i="1"/>
  <c r="DA30" i="1"/>
  <c r="DA31" i="1"/>
  <c r="DA10" i="1" s="1"/>
  <c r="CW42" i="1"/>
  <c r="CW43" i="1" s="1"/>
  <c r="CW122" i="1"/>
  <c r="CW123" i="1" s="1"/>
  <c r="CW33" i="1"/>
  <c r="CW64" i="1"/>
  <c r="CX61" i="1"/>
  <c r="CX63" i="1" s="1"/>
  <c r="CX100" i="1" s="1"/>
  <c r="BY20" i="24"/>
  <c r="CX13" i="1"/>
  <c r="CX14" i="1" s="1"/>
  <c r="CX89" i="1"/>
  <c r="CX93" i="1" s="1"/>
  <c r="CW95" i="1"/>
  <c r="CW96" i="1"/>
  <c r="CY12" i="1"/>
  <c r="CA13" i="24"/>
  <c r="CZ8" i="1"/>
  <c r="CA11" i="24"/>
  <c r="CZ7" i="1"/>
  <c r="CU44" i="1"/>
  <c r="CU97" i="1"/>
  <c r="CU65" i="1"/>
  <c r="DB26" i="1"/>
  <c r="DC21" i="1"/>
  <c r="DC19" i="1" s="1"/>
  <c r="DC17" i="1" s="1"/>
  <c r="CZ9" i="1"/>
  <c r="CA12" i="24"/>
  <c r="CZ12" i="1" l="1"/>
  <c r="CY61" i="1"/>
  <c r="CY63" i="1" s="1"/>
  <c r="BZ20" i="24"/>
  <c r="CA19" i="24"/>
  <c r="CA20" i="24" s="1"/>
  <c r="CU108" i="1"/>
  <c r="CU160" i="1" s="1"/>
  <c r="CU163" i="1" s="1"/>
  <c r="CU98" i="1"/>
  <c r="CX42" i="1"/>
  <c r="CX43" i="1" s="1"/>
  <c r="CX33" i="1"/>
  <c r="CX64" i="1"/>
  <c r="CX122" i="1"/>
  <c r="CX123" i="1" s="1"/>
  <c r="CX161" i="1" s="1"/>
  <c r="CB12" i="24"/>
  <c r="DA9" i="1"/>
  <c r="CX95" i="1"/>
  <c r="CX96" i="1"/>
  <c r="DD21" i="1"/>
  <c r="DD19" i="1" s="1"/>
  <c r="DD17" i="1" s="1"/>
  <c r="DC26" i="1"/>
  <c r="DB30" i="1"/>
  <c r="DB29" i="1"/>
  <c r="DB28" i="1"/>
  <c r="DB32" i="1"/>
  <c r="DB31" i="1"/>
  <c r="DB10" i="1" s="1"/>
  <c r="CY89" i="1"/>
  <c r="CY93" i="1" s="1"/>
  <c r="CY13" i="1"/>
  <c r="CY14" i="1" s="1"/>
  <c r="DA8" i="1"/>
  <c r="CB13" i="24"/>
  <c r="CW44" i="1"/>
  <c r="CW97" i="1"/>
  <c r="CW65" i="1"/>
  <c r="DA7" i="1"/>
  <c r="CB11" i="24"/>
  <c r="CY100" i="1" l="1"/>
  <c r="CY46" i="1" s="1"/>
  <c r="CZ89" i="1"/>
  <c r="CZ93" i="1" s="1"/>
  <c r="CZ13" i="1"/>
  <c r="CZ14" i="1" s="1"/>
  <c r="CB19" i="24"/>
  <c r="DA61" i="1" s="1"/>
  <c r="DA63" i="1" s="1"/>
  <c r="CX97" i="1"/>
  <c r="CX108" i="1" s="1"/>
  <c r="CX160" i="1" s="1"/>
  <c r="CX163" i="1" s="1"/>
  <c r="DA12" i="1"/>
  <c r="CZ61" i="1"/>
  <c r="CZ63" i="1" s="1"/>
  <c r="DB7" i="1"/>
  <c r="CC11" i="24"/>
  <c r="DC29" i="1"/>
  <c r="DC30" i="1"/>
  <c r="DC28" i="1"/>
  <c r="DC31" i="1"/>
  <c r="DC10" i="1" s="1"/>
  <c r="DC32" i="1"/>
  <c r="CY42" i="1"/>
  <c r="CY33" i="1"/>
  <c r="CY122" i="1"/>
  <c r="CY123" i="1" s="1"/>
  <c r="CY161" i="1" s="1"/>
  <c r="CY64" i="1"/>
  <c r="CW108" i="1"/>
  <c r="CW160" i="1" s="1"/>
  <c r="CW98" i="1"/>
  <c r="DB8" i="1"/>
  <c r="CC13" i="24"/>
  <c r="DD26" i="1"/>
  <c r="DE21" i="1"/>
  <c r="DE19" i="1" s="1"/>
  <c r="DE17" i="1" s="1"/>
  <c r="CY96" i="1"/>
  <c r="CY95" i="1"/>
  <c r="DB9" i="1"/>
  <c r="CC12" i="24"/>
  <c r="CX44" i="1"/>
  <c r="CX65" i="1"/>
  <c r="CZ100" i="1" l="1"/>
  <c r="CZ46" i="1" s="1"/>
  <c r="CZ96" i="1"/>
  <c r="CZ95" i="1"/>
  <c r="CZ64" i="1"/>
  <c r="CZ42" i="1"/>
  <c r="CZ43" i="1" s="1"/>
  <c r="CZ122" i="1"/>
  <c r="CZ123" i="1" s="1"/>
  <c r="CZ161" i="1" s="1"/>
  <c r="CZ33" i="1"/>
  <c r="DA13" i="1"/>
  <c r="DA14" i="1" s="1"/>
  <c r="DA89" i="1"/>
  <c r="DA93" i="1" s="1"/>
  <c r="CB20" i="24"/>
  <c r="CX98" i="1"/>
  <c r="DC8" i="1"/>
  <c r="CD13" i="24"/>
  <c r="CY43" i="1"/>
  <c r="CC19" i="24"/>
  <c r="DF21" i="1"/>
  <c r="DF19" i="1" s="1"/>
  <c r="DF17" i="1" s="1"/>
  <c r="DE26" i="1"/>
  <c r="DC9" i="1"/>
  <c r="CD12" i="24"/>
  <c r="CY44" i="1"/>
  <c r="CY65" i="1"/>
  <c r="CY97" i="1"/>
  <c r="DD31" i="1"/>
  <c r="DD10" i="1" s="1"/>
  <c r="DD29" i="1"/>
  <c r="DD30" i="1"/>
  <c r="DD32" i="1"/>
  <c r="DD28" i="1"/>
  <c r="DB12" i="1"/>
  <c r="DC7" i="1"/>
  <c r="CD11" i="24"/>
  <c r="DA100" i="1" l="1"/>
  <c r="DA46" i="1" s="1"/>
  <c r="CZ97" i="1"/>
  <c r="CZ65" i="1"/>
  <c r="CZ44" i="1"/>
  <c r="CZ48" i="1" s="1"/>
  <c r="CY45" i="1"/>
  <c r="CY47" i="1" s="1"/>
  <c r="DA42" i="1"/>
  <c r="DA43" i="1" s="1"/>
  <c r="DA64" i="1"/>
  <c r="DA33" i="1"/>
  <c r="DA122" i="1"/>
  <c r="DA123" i="1" s="1"/>
  <c r="DA161" i="1" s="1"/>
  <c r="DA95" i="1"/>
  <c r="DA96" i="1"/>
  <c r="DB13" i="1"/>
  <c r="DB14" i="1" s="1"/>
  <c r="DB89" i="1"/>
  <c r="DB93" i="1" s="1"/>
  <c r="CD19" i="24"/>
  <c r="CY108" i="1"/>
  <c r="CY160" i="1" s="1"/>
  <c r="CY163" i="1" s="1"/>
  <c r="CY98" i="1"/>
  <c r="DC12" i="1"/>
  <c r="CE12" i="24"/>
  <c r="DD9" i="1"/>
  <c r="DB61" i="1"/>
  <c r="DB63" i="1" s="1"/>
  <c r="CC20" i="24"/>
  <c r="CE13" i="24"/>
  <c r="DD8" i="1"/>
  <c r="DD7" i="1"/>
  <c r="CE11" i="24"/>
  <c r="CY48" i="1"/>
  <c r="DG21" i="1"/>
  <c r="DG19" i="1" s="1"/>
  <c r="DG17" i="1" s="1"/>
  <c r="DF26" i="1"/>
  <c r="DB100" i="1" l="1"/>
  <c r="CZ45" i="1"/>
  <c r="CZ47" i="1" s="1"/>
  <c r="CZ98" i="1"/>
  <c r="CZ108" i="1"/>
  <c r="CZ160" i="1" s="1"/>
  <c r="CZ163" i="1" s="1"/>
  <c r="DA44" i="1"/>
  <c r="DA45" i="1" s="1"/>
  <c r="DA47" i="1" s="1"/>
  <c r="DA97" i="1"/>
  <c r="DA65" i="1"/>
  <c r="DD12" i="1"/>
  <c r="DC89" i="1"/>
  <c r="DC93" i="1" s="1"/>
  <c r="DC13" i="1"/>
  <c r="DC14" i="1" s="1"/>
  <c r="CE19" i="24"/>
  <c r="DF31" i="1"/>
  <c r="DF10" i="1" s="1"/>
  <c r="DF29" i="1"/>
  <c r="DF30" i="1"/>
  <c r="DF32" i="1"/>
  <c r="DF28" i="1"/>
  <c r="DB96" i="1"/>
  <c r="DB95" i="1"/>
  <c r="DB42" i="1"/>
  <c r="DB43" i="1" s="1"/>
  <c r="DB122" i="1"/>
  <c r="DB123" i="1" s="1"/>
  <c r="DB161" i="1" s="1"/>
  <c r="DB64" i="1"/>
  <c r="DB33" i="1"/>
  <c r="DB46" i="1"/>
  <c r="DG26" i="1"/>
  <c r="N16" i="5"/>
  <c r="DC61" i="1"/>
  <c r="DC63" i="1" s="1"/>
  <c r="CD20" i="24"/>
  <c r="DA48" i="1" l="1"/>
  <c r="DC100" i="1"/>
  <c r="DC46" i="1" s="1"/>
  <c r="DA98" i="1"/>
  <c r="DA108" i="1"/>
  <c r="DA160" i="1" s="1"/>
  <c r="DA163" i="1" s="1"/>
  <c r="DD13" i="1"/>
  <c r="DD14" i="1" s="1"/>
  <c r="DD42" i="1" s="1"/>
  <c r="DD43" i="1" s="1"/>
  <c r="DD89" i="1"/>
  <c r="DD93" i="1" s="1"/>
  <c r="DD61" i="1"/>
  <c r="DD63" i="1" s="1"/>
  <c r="CE20" i="24"/>
  <c r="DF7" i="1"/>
  <c r="CG11" i="24"/>
  <c r="DG32" i="1"/>
  <c r="DG28" i="1"/>
  <c r="DG29" i="1"/>
  <c r="DG31" i="1"/>
  <c r="DG10" i="1" s="1"/>
  <c r="DG30" i="1"/>
  <c r="DF9" i="1"/>
  <c r="CG12" i="24"/>
  <c r="DC42" i="1"/>
  <c r="DC43" i="1" s="1"/>
  <c r="DC64" i="1"/>
  <c r="DC33" i="1"/>
  <c r="DC122" i="1"/>
  <c r="DC123" i="1" s="1"/>
  <c r="DB44" i="1"/>
  <c r="DB45" i="1" s="1"/>
  <c r="DB47" i="1" s="1"/>
  <c r="DB97" i="1"/>
  <c r="DB65" i="1"/>
  <c r="DF8" i="1"/>
  <c r="CG13" i="24"/>
  <c r="DC95" i="1"/>
  <c r="DC96" i="1"/>
  <c r="DD100" i="1" l="1"/>
  <c r="DD46" i="1" s="1"/>
  <c r="DD95" i="1"/>
  <c r="DD96" i="1"/>
  <c r="DD122" i="1"/>
  <c r="DD123" i="1" s="1"/>
  <c r="DD161" i="1" s="1"/>
  <c r="DD33" i="1"/>
  <c r="DD64" i="1"/>
  <c r="DD44" i="1" s="1"/>
  <c r="CG19" i="24"/>
  <c r="DC44" i="1"/>
  <c r="DC97" i="1"/>
  <c r="DC65" i="1"/>
  <c r="DB48" i="1"/>
  <c r="DG9" i="1"/>
  <c r="CH12" i="24"/>
  <c r="DF12" i="1"/>
  <c r="DB108" i="1"/>
  <c r="DB160" i="1" s="1"/>
  <c r="DB163" i="1" s="1"/>
  <c r="DB98" i="1"/>
  <c r="DG8" i="1"/>
  <c r="CH13" i="24"/>
  <c r="DG7" i="1"/>
  <c r="CH11" i="24"/>
  <c r="DC161" i="1"/>
  <c r="DD97" i="1" l="1"/>
  <c r="DD65" i="1"/>
  <c r="CH19" i="24"/>
  <c r="DD45" i="1"/>
  <c r="DD47" i="1" s="1"/>
  <c r="DC108" i="1"/>
  <c r="DC160" i="1" s="1"/>
  <c r="DC163" i="1" s="1"/>
  <c r="DC98" i="1"/>
  <c r="DC45" i="1"/>
  <c r="DC47" i="1" s="1"/>
  <c r="DC48" i="1"/>
  <c r="CG20" i="24"/>
  <c r="DF61" i="1"/>
  <c r="DF63" i="1" s="1"/>
  <c r="DF89" i="1"/>
  <c r="DF93" i="1" s="1"/>
  <c r="DF13" i="1"/>
  <c r="DF14" i="1" s="1"/>
  <c r="DG12" i="1"/>
  <c r="DD48" i="1"/>
  <c r="DF100" i="1" l="1"/>
  <c r="DD108" i="1"/>
  <c r="DD160" i="1" s="1"/>
  <c r="DD163" i="1" s="1"/>
  <c r="DD98" i="1"/>
  <c r="DG61" i="1"/>
  <c r="DG63" i="1" s="1"/>
  <c r="CH20" i="24"/>
  <c r="DF95" i="1"/>
  <c r="DF96" i="1"/>
  <c r="DF42" i="1"/>
  <c r="DF43" i="1" s="1"/>
  <c r="DF122" i="1"/>
  <c r="DF123" i="1" s="1"/>
  <c r="DF33" i="1"/>
  <c r="DF64" i="1"/>
  <c r="DG13" i="1"/>
  <c r="DG14" i="1" s="1"/>
  <c r="DG89" i="1"/>
  <c r="DG93" i="1" s="1"/>
  <c r="DG100" i="1" l="1"/>
  <c r="DG95" i="1"/>
  <c r="DG96" i="1"/>
  <c r="DG42" i="1"/>
  <c r="DG43" i="1" s="1"/>
  <c r="DG33" i="1"/>
  <c r="DG64" i="1"/>
  <c r="DG122" i="1"/>
  <c r="DG123" i="1" s="1"/>
  <c r="DG161" i="1" s="1"/>
  <c r="DF44" i="1"/>
  <c r="DF65" i="1"/>
  <c r="DF97" i="1"/>
  <c r="AN25" i="1"/>
  <c r="DG44" i="1" l="1"/>
  <c r="DG97" i="1"/>
  <c r="DG65" i="1"/>
  <c r="DF98" i="1"/>
  <c r="DF108" i="1"/>
  <c r="DF160" i="1" s="1"/>
  <c r="AN49" i="1"/>
  <c r="T54" i="1"/>
  <c r="AZ25" i="1"/>
  <c r="AG20" i="28" s="1"/>
  <c r="DG108" i="1" l="1"/>
  <c r="DG160" i="1" s="1"/>
  <c r="DG163" i="1" s="1"/>
  <c r="DG98" i="1"/>
  <c r="T52" i="1"/>
  <c r="T56" i="1" s="1"/>
  <c r="AZ49" i="1"/>
  <c r="AG25" i="28" s="1"/>
  <c r="AZ26" i="1"/>
  <c r="AG21" i="28" s="1"/>
  <c r="U54" i="1"/>
  <c r="BL25" i="1"/>
  <c r="BL49" i="1" l="1"/>
  <c r="V54" i="1"/>
  <c r="BX25" i="1"/>
  <c r="BL26" i="1"/>
  <c r="AZ29" i="1"/>
  <c r="AZ31" i="1"/>
  <c r="AZ10" i="1" s="1"/>
  <c r="AZ30" i="1"/>
  <c r="AZ32" i="1"/>
  <c r="AZ28" i="1"/>
  <c r="U52" i="1"/>
  <c r="U56" i="1" s="1"/>
  <c r="T57" i="1"/>
  <c r="BL30" i="1" l="1"/>
  <c r="BL29" i="1"/>
  <c r="BL32" i="1"/>
  <c r="BL31" i="1"/>
  <c r="BL10" i="1" s="1"/>
  <c r="BL28" i="1"/>
  <c r="U57" i="1"/>
  <c r="Y54" i="1"/>
  <c r="BX49" i="1"/>
  <c r="X54" i="1"/>
  <c r="CJ25" i="1"/>
  <c r="BX26" i="1"/>
  <c r="W54" i="1"/>
  <c r="AA12" i="24"/>
  <c r="AZ9" i="1"/>
  <c r="AZ8" i="1"/>
  <c r="AA13" i="24"/>
  <c r="AA11" i="24"/>
  <c r="AZ7" i="1"/>
  <c r="V52" i="1"/>
  <c r="V56" i="1" s="1"/>
  <c r="V57" i="1" l="1"/>
  <c r="Y52" i="1"/>
  <c r="Y56" i="1" s="1"/>
  <c r="BL7" i="1"/>
  <c r="AM11" i="24"/>
  <c r="W52" i="1"/>
  <c r="W56" i="1" s="1"/>
  <c r="BX30" i="1"/>
  <c r="BX31" i="1"/>
  <c r="BX10" i="1" s="1"/>
  <c r="BX32" i="1"/>
  <c r="BX28" i="1"/>
  <c r="BX29" i="1"/>
  <c r="AZ12" i="1"/>
  <c r="CV25" i="1"/>
  <c r="CJ26" i="1"/>
  <c r="AA54" i="1"/>
  <c r="Z54" i="1"/>
  <c r="CJ49" i="1"/>
  <c r="AM13" i="24"/>
  <c r="BL8" i="1"/>
  <c r="X52" i="1"/>
  <c r="X56" i="1" s="1"/>
  <c r="AM12" i="24"/>
  <c r="BL9" i="1"/>
  <c r="AA19" i="24"/>
  <c r="X57" i="1" l="1"/>
  <c r="AM19" i="24"/>
  <c r="AM20" i="24" s="1"/>
  <c r="AA52" i="1"/>
  <c r="AA56" i="1" s="1"/>
  <c r="CJ32" i="1"/>
  <c r="CJ31" i="1"/>
  <c r="CJ10" i="1" s="1"/>
  <c r="CJ28" i="1"/>
  <c r="CJ29" i="1"/>
  <c r="CJ30" i="1"/>
  <c r="CV49" i="1"/>
  <c r="CV26" i="1"/>
  <c r="W57" i="1"/>
  <c r="AA20" i="24"/>
  <c r="AZ61" i="1"/>
  <c r="AZ63" i="1" s="1"/>
  <c r="AZ100" i="1" s="1"/>
  <c r="BL12" i="1"/>
  <c r="Z52" i="1"/>
  <c r="Z56" i="1" s="1"/>
  <c r="BX9" i="1"/>
  <c r="AY12" i="24"/>
  <c r="AZ89" i="1"/>
  <c r="AZ13" i="1"/>
  <c r="AY13" i="24"/>
  <c r="BX8" i="1"/>
  <c r="AY11" i="24"/>
  <c r="BX7" i="1"/>
  <c r="Y57" i="1"/>
  <c r="AZ93" i="1" l="1"/>
  <c r="AZ95" i="1" s="1"/>
  <c r="AG39" i="28"/>
  <c r="AG43" i="28" s="1"/>
  <c r="BL61" i="1"/>
  <c r="BL63" i="1" s="1"/>
  <c r="BK12" i="24"/>
  <c r="CJ9" i="1"/>
  <c r="BL13" i="1"/>
  <c r="BL89" i="1"/>
  <c r="BL93" i="1" s="1"/>
  <c r="AZ14" i="1"/>
  <c r="CJ8" i="1"/>
  <c r="BK13" i="24"/>
  <c r="CJ7" i="1"/>
  <c r="BK11" i="24"/>
  <c r="BX12" i="1"/>
  <c r="AY19" i="24"/>
  <c r="Z57" i="1"/>
  <c r="CV31" i="1"/>
  <c r="CV10" i="1" s="1"/>
  <c r="CV30" i="1"/>
  <c r="CV28" i="1"/>
  <c r="CV32" i="1"/>
  <c r="CV29" i="1"/>
  <c r="AA57" i="1"/>
  <c r="BL100" i="1" l="1"/>
  <c r="AZ96" i="1"/>
  <c r="AZ42" i="1"/>
  <c r="AZ43" i="1" s="1"/>
  <c r="AG16" i="28"/>
  <c r="AG44" i="28" s="1"/>
  <c r="AG50" i="28" s="1"/>
  <c r="BK19" i="24"/>
  <c r="BK20" i="24" s="1"/>
  <c r="BL96" i="1"/>
  <c r="BL95" i="1"/>
  <c r="CV9" i="1"/>
  <c r="BW12" i="24"/>
  <c r="CJ12" i="1"/>
  <c r="BL14" i="1"/>
  <c r="BL42" i="1" s="1"/>
  <c r="AY20" i="24"/>
  <c r="BX61" i="1"/>
  <c r="BX63" i="1" s="1"/>
  <c r="BX89" i="1"/>
  <c r="BX93" i="1" s="1"/>
  <c r="BX13" i="1"/>
  <c r="AZ46" i="1"/>
  <c r="BA46" i="1"/>
  <c r="BA48" i="1" s="1"/>
  <c r="BB46" i="1"/>
  <c r="BB48" i="1" s="1"/>
  <c r="CV8" i="1"/>
  <c r="BW13" i="24"/>
  <c r="BN46" i="1"/>
  <c r="BN48" i="1" s="1"/>
  <c r="BL46" i="1"/>
  <c r="BM46" i="1"/>
  <c r="BM48" i="1" s="1"/>
  <c r="AZ64" i="1"/>
  <c r="AZ44" i="1" s="1"/>
  <c r="AZ33" i="1"/>
  <c r="AG23" i="28" s="1"/>
  <c r="AZ122" i="1"/>
  <c r="AZ123" i="1" s="1"/>
  <c r="BW11" i="24"/>
  <c r="CV7" i="1"/>
  <c r="BX100" i="1" l="1"/>
  <c r="CJ61" i="1"/>
  <c r="CJ63" i="1" s="1"/>
  <c r="CV12" i="1"/>
  <c r="CV89" i="1" s="1"/>
  <c r="CV93" i="1" s="1"/>
  <c r="CJ89" i="1"/>
  <c r="CJ93" i="1" s="1"/>
  <c r="CJ13" i="1"/>
  <c r="BX14" i="1"/>
  <c r="BX42" i="1" s="1"/>
  <c r="BX96" i="1"/>
  <c r="BX95" i="1"/>
  <c r="AZ97" i="1"/>
  <c r="AZ65" i="1"/>
  <c r="BW19" i="24"/>
  <c r="BA161" i="1"/>
  <c r="BA163" i="1" s="1"/>
  <c r="AZ161" i="1"/>
  <c r="BL43" i="1"/>
  <c r="BL64" i="1"/>
  <c r="BL44" i="1" s="1"/>
  <c r="BL122" i="1"/>
  <c r="BL123" i="1" s="1"/>
  <c r="BL33" i="1"/>
  <c r="CJ100" i="1" l="1"/>
  <c r="CV13" i="1"/>
  <c r="CV14" i="1" s="1"/>
  <c r="CV42" i="1" s="1"/>
  <c r="AZ98" i="1"/>
  <c r="AZ108" i="1"/>
  <c r="CJ14" i="1"/>
  <c r="CJ42" i="1" s="1"/>
  <c r="BW20" i="24"/>
  <c r="CV61" i="1"/>
  <c r="CV63" i="1" s="1"/>
  <c r="CV100" i="1" s="1"/>
  <c r="CJ96" i="1"/>
  <c r="CJ95" i="1"/>
  <c r="CK46" i="1"/>
  <c r="CK48" i="1" s="1"/>
  <c r="CJ46" i="1"/>
  <c r="CL46" i="1"/>
  <c r="CL48" i="1" s="1"/>
  <c r="BL161" i="1"/>
  <c r="BM161" i="1"/>
  <c r="BM163" i="1" s="1"/>
  <c r="BL65" i="1"/>
  <c r="BL97" i="1"/>
  <c r="CV95" i="1"/>
  <c r="CV96" i="1"/>
  <c r="BZ46" i="1"/>
  <c r="BZ48" i="1" s="1"/>
  <c r="BY46" i="1"/>
  <c r="BY48" i="1" s="1"/>
  <c r="BX46" i="1"/>
  <c r="BX43" i="1"/>
  <c r="BX33" i="1"/>
  <c r="BX122" i="1"/>
  <c r="BX123" i="1" s="1"/>
  <c r="BX64" i="1"/>
  <c r="BX44" i="1" s="1"/>
  <c r="CJ64" i="1" l="1"/>
  <c r="CJ44" i="1" s="1"/>
  <c r="CJ122" i="1"/>
  <c r="CJ123" i="1" s="1"/>
  <c r="CJ33" i="1"/>
  <c r="CJ43" i="1"/>
  <c r="AZ152" i="1"/>
  <c r="AZ160" i="1"/>
  <c r="AZ163" i="1" s="1"/>
  <c r="CV43" i="1"/>
  <c r="CV64" i="1"/>
  <c r="CV44" i="1" s="1"/>
  <c r="CV122" i="1"/>
  <c r="CV123" i="1" s="1"/>
  <c r="CV33" i="1"/>
  <c r="BX161" i="1"/>
  <c r="BY161" i="1"/>
  <c r="BY163" i="1" s="1"/>
  <c r="BB45" i="1"/>
  <c r="BB47" i="1" s="1"/>
  <c r="BA45" i="1"/>
  <c r="BA47" i="1" s="1"/>
  <c r="AZ45" i="1"/>
  <c r="AZ47" i="1" s="1"/>
  <c r="AZ48" i="1"/>
  <c r="BX65" i="1"/>
  <c r="BX97" i="1"/>
  <c r="BL98" i="1"/>
  <c r="BL108" i="1"/>
  <c r="BL152" i="1" l="1"/>
  <c r="BM152" i="1" s="1"/>
  <c r="BN152" i="1" s="1"/>
  <c r="BO152" i="1" s="1"/>
  <c r="BP152" i="1" s="1"/>
  <c r="BQ152" i="1" s="1"/>
  <c r="BR152" i="1" s="1"/>
  <c r="BS152" i="1" s="1"/>
  <c r="BT152" i="1" s="1"/>
  <c r="BL160" i="1"/>
  <c r="BL163" i="1" s="1"/>
  <c r="CK161" i="1"/>
  <c r="CK163" i="1" s="1"/>
  <c r="CJ161" i="1"/>
  <c r="BM45" i="1"/>
  <c r="BM47" i="1" s="1"/>
  <c r="BN45" i="1"/>
  <c r="BN47" i="1" s="1"/>
  <c r="BL45" i="1"/>
  <c r="BL47" i="1" s="1"/>
  <c r="BL48" i="1"/>
  <c r="CW161" i="1"/>
  <c r="CW163" i="1" s="1"/>
  <c r="CV161" i="1"/>
  <c r="CJ65" i="1"/>
  <c r="CJ97" i="1"/>
  <c r="CV65" i="1"/>
  <c r="CV97" i="1"/>
  <c r="CW46" i="1"/>
  <c r="CW48" i="1" s="1"/>
  <c r="CX46" i="1"/>
  <c r="CX48" i="1" s="1"/>
  <c r="CV46" i="1"/>
  <c r="BX98" i="1"/>
  <c r="BX108" i="1"/>
  <c r="BA152" i="1"/>
  <c r="BX45" i="1" l="1"/>
  <c r="BX47" i="1" s="1"/>
  <c r="BY45" i="1"/>
  <c r="BY47" i="1" s="1"/>
  <c r="BZ45" i="1"/>
  <c r="BZ47" i="1" s="1"/>
  <c r="BX48" i="1"/>
  <c r="BB152" i="1"/>
  <c r="CJ98" i="1"/>
  <c r="CJ108" i="1"/>
  <c r="BX160" i="1"/>
  <c r="BX163" i="1" s="1"/>
  <c r="BX152" i="1"/>
  <c r="BY152" i="1" s="1"/>
  <c r="BZ152" i="1" s="1"/>
  <c r="CA152" i="1" s="1"/>
  <c r="CB152" i="1" s="1"/>
  <c r="CC152" i="1" s="1"/>
  <c r="CD152" i="1" s="1"/>
  <c r="CE152" i="1" s="1"/>
  <c r="CF152" i="1" s="1"/>
  <c r="CV98" i="1"/>
  <c r="CV108" i="1"/>
  <c r="CV152" i="1" l="1"/>
  <c r="CW152" i="1" s="1"/>
  <c r="CX152" i="1" s="1"/>
  <c r="CY152" i="1" s="1"/>
  <c r="CZ152" i="1" s="1"/>
  <c r="DA152" i="1" s="1"/>
  <c r="DB152" i="1" s="1"/>
  <c r="DC152" i="1" s="1"/>
  <c r="DD152" i="1" s="1"/>
  <c r="CV160" i="1"/>
  <c r="CV163" i="1" s="1"/>
  <c r="CW45" i="1"/>
  <c r="CW47" i="1" s="1"/>
  <c r="CV45" i="1"/>
  <c r="CV47" i="1" s="1"/>
  <c r="CX45" i="1"/>
  <c r="CX47" i="1" s="1"/>
  <c r="BC152" i="1"/>
  <c r="CJ152" i="1"/>
  <c r="CK152" i="1" s="1"/>
  <c r="CL152" i="1" s="1"/>
  <c r="CM152" i="1" s="1"/>
  <c r="CN152" i="1" s="1"/>
  <c r="CO152" i="1" s="1"/>
  <c r="CP152" i="1" s="1"/>
  <c r="CQ152" i="1" s="1"/>
  <c r="CR152" i="1" s="1"/>
  <c r="CJ160" i="1"/>
  <c r="CJ163" i="1" s="1"/>
  <c r="CK45" i="1"/>
  <c r="CK47" i="1" s="1"/>
  <c r="CJ45" i="1"/>
  <c r="CJ47" i="1" s="1"/>
  <c r="CL45" i="1"/>
  <c r="CL47" i="1" s="1"/>
  <c r="CJ48" i="1"/>
  <c r="CV48" i="1"/>
  <c r="BD152" i="1" l="1"/>
  <c r="BE152" i="1" l="1"/>
  <c r="BF152" i="1" l="1"/>
  <c r="BG152" i="1" l="1"/>
  <c r="BH152" i="1" l="1"/>
  <c r="AS166" i="1" l="1"/>
  <c r="AS167" i="1" s="1"/>
  <c r="AS169" i="1" s="1"/>
  <c r="H33" i="29"/>
  <c r="H37" i="29" l="1"/>
  <c r="H33" i="27" s="1"/>
  <c r="AS172" i="1"/>
  <c r="D33" i="20"/>
  <c r="E33" i="20" s="1"/>
  <c r="AT171" i="1" l="1"/>
  <c r="AT172" i="1" s="1"/>
  <c r="AS173" i="1"/>
  <c r="I33" i="29"/>
  <c r="H36" i="29"/>
  <c r="H32" i="27" s="1"/>
  <c r="AT173" i="1" l="1"/>
  <c r="AU171" i="1"/>
  <c r="AU172" i="1" s="1"/>
  <c r="I37" i="29"/>
  <c r="I33" i="27" s="1"/>
  <c r="J33" i="29"/>
  <c r="J37" i="29"/>
  <c r="J33" i="27" s="1"/>
  <c r="AU173" i="1" l="1"/>
  <c r="AV171" i="1"/>
  <c r="AV172" i="1" s="1"/>
  <c r="AW171" i="1" s="1"/>
  <c r="AW172" i="1" s="1"/>
  <c r="AW173" i="1" s="1"/>
  <c r="I36" i="29"/>
  <c r="I32" i="27" s="1"/>
  <c r="K37" i="29"/>
  <c r="K33" i="27" s="1"/>
  <c r="K33" i="29"/>
  <c r="AV173" i="1" l="1"/>
  <c r="F33" i="20"/>
  <c r="G33" i="20" s="1"/>
  <c r="J36" i="29"/>
  <c r="J32" i="27" s="1"/>
  <c r="L33" i="29"/>
  <c r="K36" i="29" l="1"/>
  <c r="K32" i="27" s="1"/>
  <c r="AY148" i="1"/>
  <c r="M33" i="29"/>
  <c r="AZ148" i="1" l="1"/>
  <c r="AY166" i="1"/>
  <c r="AY167" i="1" s="1"/>
  <c r="AY169" i="1" s="1"/>
  <c r="N33" i="29"/>
  <c r="P33" i="29" s="1"/>
  <c r="AZ166" i="1" l="1"/>
  <c r="AZ167" i="1" s="1"/>
  <c r="AZ169" i="1" s="1"/>
  <c r="BA148" i="1"/>
  <c r="N37" i="29"/>
  <c r="BB148" i="1" l="1"/>
  <c r="BA166" i="1"/>
  <c r="BA167" i="1" s="1"/>
  <c r="BA169" i="1" s="1"/>
  <c r="BB166" i="1" l="1"/>
  <c r="BB167" i="1" s="1"/>
  <c r="BB169" i="1" s="1"/>
  <c r="BC148" i="1"/>
  <c r="BC166" i="1" l="1"/>
  <c r="BC167" i="1" s="1"/>
  <c r="BC169" i="1" s="1"/>
  <c r="BD148" i="1"/>
  <c r="BE148" i="1" l="1"/>
  <c r="BD166" i="1"/>
  <c r="BD167" i="1" s="1"/>
  <c r="BD169" i="1" s="1"/>
  <c r="BE166" i="1" l="1"/>
  <c r="BE167" i="1" s="1"/>
  <c r="BE169" i="1" s="1"/>
  <c r="BF148" i="1"/>
  <c r="BG148" i="1" l="1"/>
  <c r="BF166" i="1"/>
  <c r="BF167" i="1" s="1"/>
  <c r="BF169" i="1" s="1"/>
  <c r="BH148" i="1" l="1"/>
  <c r="BG166" i="1"/>
  <c r="BG167" i="1" s="1"/>
  <c r="BG169" i="1" s="1"/>
  <c r="BI148" i="1" l="1"/>
  <c r="BH166" i="1"/>
  <c r="BH167" i="1" s="1"/>
  <c r="BH169" i="1" s="1"/>
  <c r="BI166" i="1" l="1"/>
  <c r="BI167" i="1" s="1"/>
  <c r="BJ148" i="1"/>
  <c r="BJ166" i="1" l="1"/>
  <c r="BJ167" i="1" s="1"/>
  <c r="BK148" i="1"/>
  <c r="BK166" i="1" l="1"/>
  <c r="BK167" i="1" s="1"/>
  <c r="BK169" i="1" s="1"/>
  <c r="BL148" i="1"/>
  <c r="BL166" i="1" l="1"/>
  <c r="BL167" i="1" s="1"/>
  <c r="BL169" i="1" s="1"/>
  <c r="BM148" i="1"/>
  <c r="BM166" i="1" l="1"/>
  <c r="BM167" i="1" s="1"/>
  <c r="BM169" i="1" s="1"/>
  <c r="BN148" i="1"/>
  <c r="BO148" i="1" l="1"/>
  <c r="BN166" i="1"/>
  <c r="BN167" i="1" s="1"/>
  <c r="BN169" i="1" s="1"/>
  <c r="BP148" i="1" l="1"/>
  <c r="BO166" i="1"/>
  <c r="BO167" i="1" s="1"/>
  <c r="BO169" i="1" s="1"/>
  <c r="BP166" i="1" l="1"/>
  <c r="BP167" i="1" s="1"/>
  <c r="BP169" i="1" s="1"/>
  <c r="BQ148" i="1"/>
  <c r="BR148" i="1" l="1"/>
  <c r="BQ166" i="1"/>
  <c r="BQ167" i="1" s="1"/>
  <c r="BQ169" i="1" s="1"/>
  <c r="BR166" i="1" l="1"/>
  <c r="BR167" i="1" s="1"/>
  <c r="BR169" i="1" s="1"/>
  <c r="BS148" i="1"/>
  <c r="BS166" i="1" l="1"/>
  <c r="BS167" i="1" s="1"/>
  <c r="BS169" i="1" s="1"/>
  <c r="BT148" i="1"/>
  <c r="BT166" i="1" l="1"/>
  <c r="BT167" i="1" s="1"/>
  <c r="BT169" i="1" s="1"/>
  <c r="BU148" i="1"/>
  <c r="BU166" i="1" l="1"/>
  <c r="BU167" i="1" s="1"/>
  <c r="BV148" i="1"/>
  <c r="BW148" i="1" l="1"/>
  <c r="BV166" i="1"/>
  <c r="BV167" i="1" s="1"/>
  <c r="BW166" i="1" l="1"/>
  <c r="BW167" i="1" s="1"/>
  <c r="BW169" i="1" s="1"/>
  <c r="BX148" i="1"/>
  <c r="BX166" i="1" l="1"/>
  <c r="BX167" i="1" s="1"/>
  <c r="BX169" i="1" s="1"/>
  <c r="BY148" i="1"/>
  <c r="BZ148" i="1" l="1"/>
  <c r="BY166" i="1"/>
  <c r="BY167" i="1" s="1"/>
  <c r="BY169" i="1" s="1"/>
  <c r="BZ166" i="1" l="1"/>
  <c r="BZ167" i="1" s="1"/>
  <c r="BZ169" i="1" s="1"/>
  <c r="CA148" i="1"/>
  <c r="CA166" i="1" l="1"/>
  <c r="CA167" i="1" s="1"/>
  <c r="CA169" i="1" s="1"/>
  <c r="CB148" i="1"/>
  <c r="CB166" i="1" l="1"/>
  <c r="CB167" i="1" s="1"/>
  <c r="CB169" i="1" s="1"/>
  <c r="CC148" i="1"/>
  <c r="CC166" i="1" l="1"/>
  <c r="CC167" i="1" s="1"/>
  <c r="CC169" i="1" s="1"/>
  <c r="CD148" i="1"/>
  <c r="CD166" i="1" l="1"/>
  <c r="CD167" i="1" s="1"/>
  <c r="CD169" i="1" s="1"/>
  <c r="CE148" i="1"/>
  <c r="CE166" i="1" l="1"/>
  <c r="CE167" i="1" s="1"/>
  <c r="CE169" i="1" s="1"/>
  <c r="CF148" i="1"/>
  <c r="CF166" i="1" l="1"/>
  <c r="CF167" i="1" s="1"/>
  <c r="CF169" i="1" s="1"/>
  <c r="CG148" i="1"/>
  <c r="CG166" i="1" l="1"/>
  <c r="CG167" i="1" s="1"/>
  <c r="CH148" i="1"/>
  <c r="CH166" i="1" l="1"/>
  <c r="CH167" i="1" s="1"/>
  <c r="CI148" i="1"/>
  <c r="CI166" i="1" l="1"/>
  <c r="CI167" i="1" s="1"/>
  <c r="CI169" i="1" s="1"/>
  <c r="CJ148" i="1"/>
  <c r="CJ166" i="1" l="1"/>
  <c r="CJ167" i="1" s="1"/>
  <c r="CJ169" i="1" s="1"/>
  <c r="CK148" i="1"/>
  <c r="CK166" i="1" l="1"/>
  <c r="CK167" i="1" s="1"/>
  <c r="CK169" i="1" s="1"/>
  <c r="CL148" i="1"/>
  <c r="CL166" i="1" l="1"/>
  <c r="CL167" i="1" s="1"/>
  <c r="CL169" i="1" s="1"/>
  <c r="CM148" i="1"/>
  <c r="CM166" i="1" l="1"/>
  <c r="CM167" i="1" s="1"/>
  <c r="CM169" i="1" s="1"/>
  <c r="CN148" i="1"/>
  <c r="CN166" i="1" l="1"/>
  <c r="CN167" i="1" s="1"/>
  <c r="CN169" i="1" s="1"/>
  <c r="CO148" i="1"/>
  <c r="CO166" i="1" l="1"/>
  <c r="CO167" i="1" s="1"/>
  <c r="CO169" i="1" s="1"/>
  <c r="CP148" i="1"/>
  <c r="CP166" i="1" l="1"/>
  <c r="CP167" i="1" s="1"/>
  <c r="CP169" i="1" s="1"/>
  <c r="CQ148" i="1"/>
  <c r="CQ166" i="1" l="1"/>
  <c r="CQ167" i="1" s="1"/>
  <c r="CQ169" i="1" s="1"/>
  <c r="CR148" i="1"/>
  <c r="CR166" i="1" l="1"/>
  <c r="CR167" i="1" s="1"/>
  <c r="CR169" i="1" s="1"/>
  <c r="CS148" i="1"/>
  <c r="CS166" i="1" l="1"/>
  <c r="CS167" i="1" s="1"/>
  <c r="CT148" i="1"/>
  <c r="CT166" i="1" l="1"/>
  <c r="CT167" i="1" s="1"/>
  <c r="CU148" i="1"/>
  <c r="CU166" i="1" l="1"/>
  <c r="CU167" i="1" s="1"/>
  <c r="CU169" i="1" s="1"/>
  <c r="CV148" i="1"/>
  <c r="CV166" i="1" l="1"/>
  <c r="CV167" i="1" s="1"/>
  <c r="CV169" i="1" s="1"/>
  <c r="CW148" i="1"/>
  <c r="CW166" i="1" l="1"/>
  <c r="CW167" i="1" s="1"/>
  <c r="CW169" i="1" s="1"/>
  <c r="CX148" i="1"/>
  <c r="CX166" i="1" l="1"/>
  <c r="CX167" i="1" s="1"/>
  <c r="CX169" i="1" s="1"/>
  <c r="CY148" i="1"/>
  <c r="CY166" i="1" l="1"/>
  <c r="CY167" i="1" s="1"/>
  <c r="CY169" i="1" s="1"/>
  <c r="CZ148" i="1"/>
  <c r="DA148" i="1" l="1"/>
  <c r="CZ166" i="1"/>
  <c r="CZ167" i="1" s="1"/>
  <c r="CZ169" i="1" s="1"/>
  <c r="DA166" i="1" l="1"/>
  <c r="DA167" i="1" s="1"/>
  <c r="DA169" i="1" s="1"/>
  <c r="DB148" i="1"/>
  <c r="DB166" i="1" l="1"/>
  <c r="DB167" i="1" s="1"/>
  <c r="DB169" i="1" s="1"/>
  <c r="DC148" i="1"/>
  <c r="DC166" i="1" l="1"/>
  <c r="DC167" i="1" s="1"/>
  <c r="DC169" i="1" s="1"/>
  <c r="DD148" i="1"/>
  <c r="DD166" i="1" l="1"/>
  <c r="DD167" i="1" s="1"/>
  <c r="DD169" i="1" s="1"/>
  <c r="DE148" i="1"/>
  <c r="DE166" i="1" l="1"/>
  <c r="DE167" i="1" s="1"/>
  <c r="DF148" i="1"/>
  <c r="DF166" i="1" l="1"/>
  <c r="DF167" i="1" s="1"/>
  <c r="DG148" i="1"/>
  <c r="DG166" i="1" l="1"/>
  <c r="DG167" i="1" s="1"/>
  <c r="DG169" i="1" s="1"/>
  <c r="BI32" i="1"/>
  <c r="BU32" i="1" s="1"/>
  <c r="CG32" i="1" s="1"/>
  <c r="CS32" i="1" s="1"/>
  <c r="DE32" i="1" s="1"/>
  <c r="BI30" i="1"/>
  <c r="AE19" i="28"/>
  <c r="M16" i="29"/>
  <c r="AY22" i="1"/>
  <c r="AD21" i="28"/>
  <c r="BU30" i="1" l="1"/>
  <c r="BI9" i="1"/>
  <c r="AJ12" i="24"/>
  <c r="BI29" i="1"/>
  <c r="AF19" i="28"/>
  <c r="N16" i="29"/>
  <c r="AZ22" i="1"/>
  <c r="BI31" i="1"/>
  <c r="BU31" i="1" l="1"/>
  <c r="BI10" i="1"/>
  <c r="AG19" i="28"/>
  <c r="BA22" i="1"/>
  <c r="BU9" i="1"/>
  <c r="AV12" i="24"/>
  <c r="CG30" i="1"/>
  <c r="BU29" i="1"/>
  <c r="AJ13" i="24"/>
  <c r="BI8" i="1"/>
  <c r="BI28" i="1"/>
  <c r="BU10" i="1" l="1"/>
  <c r="CG31" i="1"/>
  <c r="AV13" i="24"/>
  <c r="CG29" i="1"/>
  <c r="BU8" i="1"/>
  <c r="CS30" i="1"/>
  <c r="BH12" i="24"/>
  <c r="CG9" i="1"/>
  <c r="BU28" i="1"/>
  <c r="AJ11" i="24"/>
  <c r="AJ19" i="24" s="1"/>
  <c r="BI7" i="1"/>
  <c r="BI12" i="1" s="1"/>
  <c r="I13" i="5"/>
  <c r="H12" i="20"/>
  <c r="K12" i="20" s="1"/>
  <c r="L12" i="29"/>
  <c r="L12" i="27" s="1"/>
  <c r="P12" i="27" s="1"/>
  <c r="AH19" i="28"/>
  <c r="BB22" i="1"/>
  <c r="J13" i="5" l="1"/>
  <c r="BI89" i="1"/>
  <c r="BI93" i="1" s="1"/>
  <c r="BI13" i="1"/>
  <c r="BC22" i="1"/>
  <c r="AI19" i="28"/>
  <c r="BI61" i="1"/>
  <c r="BI63" i="1" s="1"/>
  <c r="BI100" i="1" s="1"/>
  <c r="AJ20" i="24"/>
  <c r="CG10" i="1"/>
  <c r="CS31" i="1"/>
  <c r="AD39" i="28"/>
  <c r="AD43" i="28" s="1"/>
  <c r="DE30" i="1"/>
  <c r="CS9" i="1"/>
  <c r="BT12" i="24"/>
  <c r="AV11" i="24"/>
  <c r="AV19" i="24" s="1"/>
  <c r="CG28" i="1"/>
  <c r="BU7" i="1"/>
  <c r="BU12" i="1" s="1"/>
  <c r="I12" i="20"/>
  <c r="CS29" i="1"/>
  <c r="CG8" i="1"/>
  <c r="BH13" i="24"/>
  <c r="I14" i="5"/>
  <c r="I15" i="5" s="1"/>
  <c r="H13" i="20"/>
  <c r="K13" i="20" s="1"/>
  <c r="L13" i="29"/>
  <c r="I19" i="5"/>
  <c r="AX46" i="1"/>
  <c r="AX48" i="1" s="1"/>
  <c r="L18" i="29"/>
  <c r="L18" i="25"/>
  <c r="H17" i="20"/>
  <c r="P12" i="29"/>
  <c r="P13" i="29" l="1"/>
  <c r="L13" i="27"/>
  <c r="P13" i="27" s="1"/>
  <c r="P14" i="27" s="1"/>
  <c r="P18" i="29"/>
  <c r="L17" i="27"/>
  <c r="P17" i="27" s="1"/>
  <c r="P18" i="27" s="1"/>
  <c r="I20" i="5"/>
  <c r="I17" i="5"/>
  <c r="BD22" i="1"/>
  <c r="AJ19" i="28"/>
  <c r="J14" i="5"/>
  <c r="J15" i="5" s="1"/>
  <c r="BI14" i="1"/>
  <c r="P18" i="25"/>
  <c r="P19" i="25" s="1"/>
  <c r="L19" i="25"/>
  <c r="AV20" i="24"/>
  <c r="BU61" i="1"/>
  <c r="BU63" i="1" s="1"/>
  <c r="BU100" i="1" s="1"/>
  <c r="AY46" i="1"/>
  <c r="AY48" i="1" s="1"/>
  <c r="K14" i="20"/>
  <c r="I13" i="20"/>
  <c r="H14" i="20"/>
  <c r="I24" i="5"/>
  <c r="I26" i="5" s="1"/>
  <c r="L23" i="29"/>
  <c r="L22" i="27" s="1"/>
  <c r="P22" i="27" s="1"/>
  <c r="P23" i="27" s="1"/>
  <c r="H22" i="20"/>
  <c r="BI95" i="1"/>
  <c r="J24" i="5"/>
  <c r="J26" i="5" s="1"/>
  <c r="BI96" i="1"/>
  <c r="L14" i="29"/>
  <c r="P14" i="29"/>
  <c r="AX161" i="1"/>
  <c r="AX163" i="1" s="1"/>
  <c r="AX169" i="1" s="1"/>
  <c r="AX45" i="1"/>
  <c r="AX47" i="1" s="1"/>
  <c r="AD16" i="28"/>
  <c r="AD44" i="28" s="1"/>
  <c r="AD50" i="28" s="1"/>
  <c r="AD23" i="28"/>
  <c r="K13" i="5"/>
  <c r="BU13" i="1"/>
  <c r="BU89" i="1"/>
  <c r="BU93" i="1" s="1"/>
  <c r="DE31" i="1"/>
  <c r="DE10" i="1" s="1"/>
  <c r="CS10" i="1"/>
  <c r="J19" i="5"/>
  <c r="BT13" i="24"/>
  <c r="CS8" i="1"/>
  <c r="DE29" i="1"/>
  <c r="CF12" i="24"/>
  <c r="DE9" i="1"/>
  <c r="I17" i="20"/>
  <c r="K17" i="20"/>
  <c r="CS28" i="1"/>
  <c r="CG7" i="1"/>
  <c r="CG12" i="1" s="1"/>
  <c r="BH11" i="24"/>
  <c r="BH19" i="24" s="1"/>
  <c r="P19" i="29" l="1"/>
  <c r="L19" i="29"/>
  <c r="L18" i="27" s="1"/>
  <c r="L14" i="27"/>
  <c r="P25" i="27"/>
  <c r="P19" i="27"/>
  <c r="K18" i="20"/>
  <c r="K19" i="20" s="1"/>
  <c r="J20" i="5"/>
  <c r="J17" i="5"/>
  <c r="CG89" i="1"/>
  <c r="CG93" i="1" s="1"/>
  <c r="CG13" i="1"/>
  <c r="L13" i="5"/>
  <c r="H18" i="20"/>
  <c r="I14" i="20"/>
  <c r="P20" i="25"/>
  <c r="P26" i="25"/>
  <c r="I22" i="20"/>
  <c r="K22" i="20"/>
  <c r="K23" i="20" s="1"/>
  <c r="H23" i="20"/>
  <c r="I23" i="20" s="1"/>
  <c r="M37" i="29"/>
  <c r="BE22" i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AK19" i="28"/>
  <c r="L26" i="25"/>
  <c r="L20" i="25"/>
  <c r="I21" i="5"/>
  <c r="I28" i="5"/>
  <c r="DE28" i="1"/>
  <c r="CS7" i="1"/>
  <c r="CS12" i="1" s="1"/>
  <c r="BT11" i="24"/>
  <c r="BT19" i="24" s="1"/>
  <c r="BI46" i="1"/>
  <c r="BJ46" i="1"/>
  <c r="BJ48" i="1" s="1"/>
  <c r="BK46" i="1"/>
  <c r="BK48" i="1" s="1"/>
  <c r="BI64" i="1"/>
  <c r="BI44" i="1" s="1"/>
  <c r="BI42" i="1"/>
  <c r="BI43" i="1" s="1"/>
  <c r="BI122" i="1"/>
  <c r="BI123" i="1" s="1"/>
  <c r="BI33" i="1"/>
  <c r="P23" i="29"/>
  <c r="P24" i="29" s="1"/>
  <c r="P26" i="29" s="1"/>
  <c r="L24" i="29"/>
  <c r="K19" i="5"/>
  <c r="DE8" i="1"/>
  <c r="CF13" i="24"/>
  <c r="K24" i="5"/>
  <c r="K26" i="5" s="1"/>
  <c r="BU96" i="1"/>
  <c r="BU95" i="1"/>
  <c r="P20" i="29"/>
  <c r="BH20" i="24"/>
  <c r="CG61" i="1"/>
  <c r="CG63" i="1" s="1"/>
  <c r="K14" i="5"/>
  <c r="K15" i="5" s="1"/>
  <c r="BU14" i="1"/>
  <c r="L20" i="29"/>
  <c r="L19" i="27" s="1"/>
  <c r="K25" i="20" l="1"/>
  <c r="CG100" i="1"/>
  <c r="L26" i="29"/>
  <c r="L23" i="27"/>
  <c r="P29" i="27"/>
  <c r="P30" i="27" s="1"/>
  <c r="P26" i="27"/>
  <c r="K17" i="5"/>
  <c r="K20" i="5"/>
  <c r="K29" i="20"/>
  <c r="K30" i="20" s="1"/>
  <c r="K26" i="20"/>
  <c r="I29" i="5"/>
  <c r="I32" i="5"/>
  <c r="I33" i="5" s="1"/>
  <c r="H19" i="20"/>
  <c r="I19" i="20" s="1"/>
  <c r="I18" i="20"/>
  <c r="H25" i="20"/>
  <c r="CG14" i="1"/>
  <c r="L14" i="5"/>
  <c r="L15" i="5" s="1"/>
  <c r="L27" i="25"/>
  <c r="L34" i="25"/>
  <c r="M34" i="25" s="1"/>
  <c r="N34" i="25" s="1"/>
  <c r="P34" i="25" s="1"/>
  <c r="L30" i="25"/>
  <c r="L31" i="25" s="1"/>
  <c r="BT20" i="24"/>
  <c r="CS61" i="1"/>
  <c r="CS63" i="1" s="1"/>
  <c r="CS100" i="1" s="1"/>
  <c r="P30" i="25"/>
  <c r="P31" i="25" s="1"/>
  <c r="P27" i="25"/>
  <c r="J28" i="5"/>
  <c r="J21" i="5"/>
  <c r="CG96" i="1"/>
  <c r="CG95" i="1"/>
  <c r="L24" i="5"/>
  <c r="L26" i="5" s="1"/>
  <c r="BU122" i="1"/>
  <c r="BU123" i="1" s="1"/>
  <c r="BU64" i="1"/>
  <c r="BU44" i="1" s="1"/>
  <c r="BU33" i="1"/>
  <c r="BU42" i="1"/>
  <c r="BU43" i="1" s="1"/>
  <c r="L19" i="5"/>
  <c r="M13" i="5"/>
  <c r="CS13" i="1"/>
  <c r="CS89" i="1"/>
  <c r="CS93" i="1" s="1"/>
  <c r="P30" i="29"/>
  <c r="P31" i="29" s="1"/>
  <c r="P27" i="29"/>
  <c r="BU46" i="1"/>
  <c r="BW46" i="1"/>
  <c r="BW48" i="1" s="1"/>
  <c r="BV46" i="1"/>
  <c r="BV48" i="1" s="1"/>
  <c r="BI97" i="1"/>
  <c r="BI65" i="1"/>
  <c r="L27" i="29"/>
  <c r="L26" i="27" s="1"/>
  <c r="L30" i="29"/>
  <c r="BJ161" i="1"/>
  <c r="BJ163" i="1" s="1"/>
  <c r="BJ169" i="1" s="1"/>
  <c r="BI161" i="1"/>
  <c r="CF11" i="24"/>
  <c r="CF19" i="24" s="1"/>
  <c r="DE7" i="1"/>
  <c r="DE12" i="1" s="1"/>
  <c r="L31" i="29" l="1"/>
  <c r="L30" i="27" s="1"/>
  <c r="L29" i="27"/>
  <c r="L34" i="29"/>
  <c r="M34" i="29" s="1"/>
  <c r="N34" i="29" s="1"/>
  <c r="P34" i="29" s="1"/>
  <c r="L25" i="27"/>
  <c r="L20" i="5"/>
  <c r="L17" i="5"/>
  <c r="AX149" i="1"/>
  <c r="M24" i="5"/>
  <c r="M26" i="5" s="1"/>
  <c r="CS95" i="1"/>
  <c r="CS96" i="1"/>
  <c r="J29" i="5"/>
  <c r="J32" i="5"/>
  <c r="J33" i="5" s="1"/>
  <c r="CF20" i="24"/>
  <c r="DE61" i="1"/>
  <c r="DE63" i="1" s="1"/>
  <c r="DE100" i="1" s="1"/>
  <c r="CS14" i="1"/>
  <c r="M14" i="5"/>
  <c r="M15" i="5" s="1"/>
  <c r="CG33" i="1"/>
  <c r="CG42" i="1"/>
  <c r="CG43" i="1" s="1"/>
  <c r="CG64" i="1"/>
  <c r="CG44" i="1" s="1"/>
  <c r="CG122" i="1"/>
  <c r="CG123" i="1" s="1"/>
  <c r="AY45" i="1"/>
  <c r="AY47" i="1" s="1"/>
  <c r="BU65" i="1"/>
  <c r="BU97" i="1"/>
  <c r="K21" i="5"/>
  <c r="K28" i="5"/>
  <c r="N13" i="5"/>
  <c r="DE89" i="1"/>
  <c r="DE93" i="1" s="1"/>
  <c r="DE13" i="1"/>
  <c r="BI98" i="1"/>
  <c r="BI108" i="1"/>
  <c r="CI46" i="1"/>
  <c r="CI48" i="1" s="1"/>
  <c r="CH46" i="1"/>
  <c r="CH48" i="1" s="1"/>
  <c r="CG46" i="1"/>
  <c r="BV161" i="1"/>
  <c r="BV163" i="1" s="1"/>
  <c r="BV169" i="1" s="1"/>
  <c r="BU161" i="1"/>
  <c r="M19" i="5"/>
  <c r="H26" i="20"/>
  <c r="I26" i="20" s="1"/>
  <c r="H29" i="20"/>
  <c r="I25" i="20"/>
  <c r="AY149" i="1" l="1"/>
  <c r="AX153" i="1"/>
  <c r="AX154" i="1" s="1"/>
  <c r="M17" i="5"/>
  <c r="M20" i="5"/>
  <c r="N19" i="5"/>
  <c r="L37" i="29"/>
  <c r="L33" i="27" s="1"/>
  <c r="AX171" i="1"/>
  <c r="AX172" i="1" s="1"/>
  <c r="AX120" i="1"/>
  <c r="AX131" i="1" s="1"/>
  <c r="AX132" i="1" s="1"/>
  <c r="H33" i="20"/>
  <c r="I33" i="20" s="1"/>
  <c r="CS42" i="1"/>
  <c r="CS43" i="1" s="1"/>
  <c r="CS122" i="1"/>
  <c r="CS123" i="1" s="1"/>
  <c r="CS33" i="1"/>
  <c r="CS64" i="1"/>
  <c r="CS44" i="1" s="1"/>
  <c r="H30" i="20"/>
  <c r="I30" i="20" s="1"/>
  <c r="I29" i="20"/>
  <c r="K32" i="5"/>
  <c r="K33" i="5" s="1"/>
  <c r="K29" i="5"/>
  <c r="CU46" i="1"/>
  <c r="CU48" i="1" s="1"/>
  <c r="CT46" i="1"/>
  <c r="CT48" i="1" s="1"/>
  <c r="CS46" i="1"/>
  <c r="BI45" i="1"/>
  <c r="BI47" i="1" s="1"/>
  <c r="BJ45" i="1"/>
  <c r="BJ47" i="1" s="1"/>
  <c r="BK45" i="1"/>
  <c r="BK47" i="1" s="1"/>
  <c r="BI48" i="1"/>
  <c r="N14" i="5"/>
  <c r="N15" i="5" s="1"/>
  <c r="DE14" i="1"/>
  <c r="DE96" i="1"/>
  <c r="N24" i="5"/>
  <c r="N26" i="5" s="1"/>
  <c r="DE95" i="1"/>
  <c r="CH161" i="1"/>
  <c r="CH163" i="1" s="1"/>
  <c r="CH169" i="1" s="1"/>
  <c r="CG161" i="1"/>
  <c r="BI160" i="1"/>
  <c r="BI163" i="1" s="1"/>
  <c r="BI169" i="1" s="1"/>
  <c r="BI152" i="1"/>
  <c r="BJ152" i="1" s="1"/>
  <c r="BK152" i="1" s="1"/>
  <c r="BU98" i="1"/>
  <c r="BU108" i="1"/>
  <c r="CG97" i="1"/>
  <c r="CG65" i="1"/>
  <c r="L28" i="5"/>
  <c r="L21" i="5"/>
  <c r="AX156" i="1" l="1"/>
  <c r="AX173" i="1"/>
  <c r="N17" i="5"/>
  <c r="N20" i="5"/>
  <c r="L36" i="29"/>
  <c r="L32" i="27" s="1"/>
  <c r="CS65" i="1"/>
  <c r="CS97" i="1"/>
  <c r="DE46" i="1"/>
  <c r="DF46" i="1"/>
  <c r="DF48" i="1" s="1"/>
  <c r="DG46" i="1"/>
  <c r="DG48" i="1" s="1"/>
  <c r="L29" i="5"/>
  <c r="L32" i="5"/>
  <c r="L33" i="5" s="1"/>
  <c r="DE42" i="1"/>
  <c r="DE43" i="1" s="1"/>
  <c r="DE64" i="1"/>
  <c r="DE44" i="1" s="1"/>
  <c r="DE122" i="1"/>
  <c r="DE123" i="1" s="1"/>
  <c r="DE33" i="1"/>
  <c r="CT161" i="1"/>
  <c r="CT163" i="1" s="1"/>
  <c r="CT169" i="1" s="1"/>
  <c r="CS161" i="1"/>
  <c r="AY152" i="1"/>
  <c r="M28" i="5"/>
  <c r="M21" i="5"/>
  <c r="BU152" i="1"/>
  <c r="BV152" i="1" s="1"/>
  <c r="BW152" i="1" s="1"/>
  <c r="BU160" i="1"/>
  <c r="BU163" i="1" s="1"/>
  <c r="BU169" i="1" s="1"/>
  <c r="BV45" i="1"/>
  <c r="BV47" i="1" s="1"/>
  <c r="BU45" i="1"/>
  <c r="BU47" i="1" s="1"/>
  <c r="BW45" i="1"/>
  <c r="BW47" i="1" s="1"/>
  <c r="BU48" i="1"/>
  <c r="CG108" i="1"/>
  <c r="CG98" i="1"/>
  <c r="N28" i="5" l="1"/>
  <c r="N21" i="5"/>
  <c r="DF161" i="1"/>
  <c r="DF163" i="1" s="1"/>
  <c r="DF169" i="1" s="1"/>
  <c r="DE161" i="1"/>
  <c r="M32" i="5"/>
  <c r="M33" i="5" s="1"/>
  <c r="M29" i="5"/>
  <c r="CS98" i="1"/>
  <c r="CS108" i="1"/>
  <c r="AZ149" i="1"/>
  <c r="AY153" i="1"/>
  <c r="AY154" i="1" s="1"/>
  <c r="M36" i="29"/>
  <c r="AY171" i="1"/>
  <c r="AY172" i="1" s="1"/>
  <c r="CG45" i="1"/>
  <c r="CG47" i="1" s="1"/>
  <c r="CH45" i="1"/>
  <c r="CH47" i="1" s="1"/>
  <c r="CI45" i="1"/>
  <c r="CI47" i="1" s="1"/>
  <c r="CG48" i="1"/>
  <c r="AY120" i="1"/>
  <c r="CG160" i="1"/>
  <c r="CG163" i="1" s="1"/>
  <c r="CG169" i="1" s="1"/>
  <c r="CG152" i="1"/>
  <c r="CH152" i="1" s="1"/>
  <c r="CI152" i="1" s="1"/>
  <c r="DE65" i="1"/>
  <c r="DE97" i="1"/>
  <c r="AY131" i="1" l="1"/>
  <c r="AY132" i="1" s="1"/>
  <c r="AY156" i="1" s="1"/>
  <c r="AZ120" i="1"/>
  <c r="DE108" i="1"/>
  <c r="DE98" i="1"/>
  <c r="AZ153" i="1"/>
  <c r="AZ154" i="1" s="1"/>
  <c r="BA149" i="1"/>
  <c r="AZ171" i="1"/>
  <c r="AZ172" i="1" s="1"/>
  <c r="AY173" i="1"/>
  <c r="N36" i="29"/>
  <c r="CS152" i="1"/>
  <c r="CT152" i="1" s="1"/>
  <c r="CU152" i="1" s="1"/>
  <c r="CS160" i="1"/>
  <c r="CS163" i="1" s="1"/>
  <c r="CS169" i="1" s="1"/>
  <c r="CS45" i="1"/>
  <c r="CS47" i="1" s="1"/>
  <c r="CT45" i="1"/>
  <c r="CT47" i="1" s="1"/>
  <c r="CU45" i="1"/>
  <c r="CU47" i="1" s="1"/>
  <c r="CS48" i="1"/>
  <c r="N32" i="5"/>
  <c r="N33" i="5" s="1"/>
  <c r="N29" i="5"/>
  <c r="BA171" i="1" l="1"/>
  <c r="BA172" i="1" s="1"/>
  <c r="AZ173" i="1"/>
  <c r="BA153" i="1"/>
  <c r="BA154" i="1" s="1"/>
  <c r="BB149" i="1"/>
  <c r="DE160" i="1"/>
  <c r="DE163" i="1" s="1"/>
  <c r="DE169" i="1" s="1"/>
  <c r="DE152" i="1"/>
  <c r="DF152" i="1" s="1"/>
  <c r="DG152" i="1" s="1"/>
  <c r="DE45" i="1"/>
  <c r="DE47" i="1" s="1"/>
  <c r="DG45" i="1"/>
  <c r="DG47" i="1" s="1"/>
  <c r="DF45" i="1"/>
  <c r="DF47" i="1" s="1"/>
  <c r="DE48" i="1"/>
  <c r="AZ131" i="1"/>
  <c r="AZ132" i="1" s="1"/>
  <c r="AZ156" i="1" s="1"/>
  <c r="BA120" i="1"/>
  <c r="BA131" i="1" l="1"/>
  <c r="BA132" i="1" s="1"/>
  <c r="BA156" i="1" s="1"/>
  <c r="BB120" i="1"/>
  <c r="BB153" i="1"/>
  <c r="BB154" i="1" s="1"/>
  <c r="BC149" i="1"/>
  <c r="BB171" i="1"/>
  <c r="BB172" i="1" s="1"/>
  <c r="BA173" i="1"/>
  <c r="BB173" i="1" l="1"/>
  <c r="BC171" i="1"/>
  <c r="BC172" i="1" s="1"/>
  <c r="BC153" i="1"/>
  <c r="BC154" i="1" s="1"/>
  <c r="BD149" i="1"/>
  <c r="BC120" i="1"/>
  <c r="BB131" i="1"/>
  <c r="BB132" i="1" s="1"/>
  <c r="BB156" i="1" s="1"/>
  <c r="BC173" i="1" l="1"/>
  <c r="BD171" i="1"/>
  <c r="BD172" i="1" s="1"/>
  <c r="BC131" i="1"/>
  <c r="BC132" i="1" s="1"/>
  <c r="BC156" i="1" s="1"/>
  <c r="BD120" i="1"/>
  <c r="BD153" i="1"/>
  <c r="BD154" i="1" s="1"/>
  <c r="BE149" i="1"/>
  <c r="BE153" i="1" l="1"/>
  <c r="BE154" i="1" s="1"/>
  <c r="BF149" i="1"/>
  <c r="BE120" i="1"/>
  <c r="BD131" i="1"/>
  <c r="BD132" i="1" s="1"/>
  <c r="BD156" i="1" s="1"/>
  <c r="BD173" i="1"/>
  <c r="BE171" i="1"/>
  <c r="BE172" i="1" s="1"/>
  <c r="BF171" i="1" l="1"/>
  <c r="BF172" i="1" s="1"/>
  <c r="BE173" i="1"/>
  <c r="BF153" i="1"/>
  <c r="BF154" i="1" s="1"/>
  <c r="BG149" i="1"/>
  <c r="BE131" i="1"/>
  <c r="BE132" i="1" s="1"/>
  <c r="BE156" i="1" s="1"/>
  <c r="BF120" i="1"/>
  <c r="BG171" i="1" l="1"/>
  <c r="BG172" i="1" s="1"/>
  <c r="BF173" i="1"/>
  <c r="BF131" i="1"/>
  <c r="BF132" i="1" s="1"/>
  <c r="BF156" i="1" s="1"/>
  <c r="BG120" i="1"/>
  <c r="BG153" i="1"/>
  <c r="BG154" i="1" s="1"/>
  <c r="BH149" i="1"/>
  <c r="BH153" i="1" l="1"/>
  <c r="BH154" i="1" s="1"/>
  <c r="BI149" i="1"/>
  <c r="BH120" i="1"/>
  <c r="BG131" i="1"/>
  <c r="BG132" i="1" s="1"/>
  <c r="BG156" i="1" s="1"/>
  <c r="BH171" i="1"/>
  <c r="BH172" i="1" s="1"/>
  <c r="BG173" i="1"/>
  <c r="BI171" i="1" l="1"/>
  <c r="BI172" i="1" s="1"/>
  <c r="BH173" i="1"/>
  <c r="BI120" i="1"/>
  <c r="BH131" i="1"/>
  <c r="BH132" i="1" s="1"/>
  <c r="BH156" i="1" s="1"/>
  <c r="BJ149" i="1"/>
  <c r="BI153" i="1"/>
  <c r="BI154" i="1" s="1"/>
  <c r="BJ153" i="1" l="1"/>
  <c r="BJ154" i="1" s="1"/>
  <c r="BK149" i="1"/>
  <c r="BJ120" i="1"/>
  <c r="BI131" i="1"/>
  <c r="BI132" i="1" s="1"/>
  <c r="BI156" i="1" s="1"/>
  <c r="BJ171" i="1"/>
  <c r="BJ172" i="1" s="1"/>
  <c r="BI173" i="1"/>
  <c r="BJ173" i="1" l="1"/>
  <c r="BK171" i="1"/>
  <c r="BK172" i="1" s="1"/>
  <c r="BK120" i="1"/>
  <c r="BJ131" i="1"/>
  <c r="BJ132" i="1" s="1"/>
  <c r="BJ156" i="1" s="1"/>
  <c r="BK153" i="1"/>
  <c r="BK154" i="1" s="1"/>
  <c r="BL149" i="1"/>
  <c r="BK131" i="1" l="1"/>
  <c r="BK132" i="1" s="1"/>
  <c r="BK156" i="1" s="1"/>
  <c r="BL120" i="1"/>
  <c r="BK173" i="1"/>
  <c r="BL171" i="1"/>
  <c r="BL172" i="1" s="1"/>
  <c r="BL153" i="1"/>
  <c r="BL154" i="1" s="1"/>
  <c r="BM149" i="1"/>
  <c r="BM153" i="1" l="1"/>
  <c r="BM154" i="1" s="1"/>
  <c r="BN149" i="1"/>
  <c r="BL173" i="1"/>
  <c r="BM171" i="1"/>
  <c r="BM172" i="1" s="1"/>
  <c r="BL131" i="1"/>
  <c r="BL132" i="1" s="1"/>
  <c r="BL156" i="1" s="1"/>
  <c r="BM120" i="1"/>
  <c r="BO149" i="1" l="1"/>
  <c r="BN153" i="1"/>
  <c r="BN154" i="1" s="1"/>
  <c r="BN120" i="1"/>
  <c r="BM131" i="1"/>
  <c r="BM132" i="1" s="1"/>
  <c r="BM156" i="1" s="1"/>
  <c r="BN171" i="1"/>
  <c r="BN172" i="1" s="1"/>
  <c r="BM173" i="1"/>
  <c r="BO171" i="1" l="1"/>
  <c r="BO172" i="1" s="1"/>
  <c r="BN173" i="1"/>
  <c r="BN131" i="1"/>
  <c r="BN132" i="1" s="1"/>
  <c r="BN156" i="1" s="1"/>
  <c r="BO120" i="1"/>
  <c r="BO153" i="1"/>
  <c r="BO154" i="1" s="1"/>
  <c r="BP149" i="1"/>
  <c r="BP153" i="1" l="1"/>
  <c r="BP154" i="1" s="1"/>
  <c r="BQ149" i="1"/>
  <c r="BP171" i="1"/>
  <c r="BP172" i="1" s="1"/>
  <c r="BO173" i="1"/>
  <c r="BO131" i="1"/>
  <c r="BO132" i="1" s="1"/>
  <c r="BO156" i="1" s="1"/>
  <c r="BP120" i="1"/>
  <c r="BQ171" i="1" l="1"/>
  <c r="BQ172" i="1" s="1"/>
  <c r="BP173" i="1"/>
  <c r="BP131" i="1"/>
  <c r="BP132" i="1" s="1"/>
  <c r="BP156" i="1" s="1"/>
  <c r="BQ120" i="1"/>
  <c r="BQ153" i="1"/>
  <c r="BQ154" i="1" s="1"/>
  <c r="BR149" i="1"/>
  <c r="BR120" i="1" l="1"/>
  <c r="BQ131" i="1"/>
  <c r="BQ132" i="1" s="1"/>
  <c r="BQ156" i="1" s="1"/>
  <c r="BR153" i="1"/>
  <c r="BR154" i="1" s="1"/>
  <c r="BS149" i="1"/>
  <c r="BQ173" i="1"/>
  <c r="BR171" i="1"/>
  <c r="BR172" i="1" s="1"/>
  <c r="BR131" i="1" l="1"/>
  <c r="BR132" i="1" s="1"/>
  <c r="BR156" i="1" s="1"/>
  <c r="BS120" i="1"/>
  <c r="BR173" i="1"/>
  <c r="BS171" i="1"/>
  <c r="BS172" i="1" s="1"/>
  <c r="BT149" i="1"/>
  <c r="BS153" i="1"/>
  <c r="BS154" i="1" s="1"/>
  <c r="BT153" i="1" l="1"/>
  <c r="BT154" i="1" s="1"/>
  <c r="BU149" i="1"/>
  <c r="BT171" i="1"/>
  <c r="BT172" i="1" s="1"/>
  <c r="BS173" i="1"/>
  <c r="BT120" i="1"/>
  <c r="BS131" i="1"/>
  <c r="BS132" i="1" s="1"/>
  <c r="BS156" i="1" s="1"/>
  <c r="BU120" i="1" l="1"/>
  <c r="BT131" i="1"/>
  <c r="BT132" i="1" s="1"/>
  <c r="BT156" i="1" s="1"/>
  <c r="BV149" i="1"/>
  <c r="BU153" i="1"/>
  <c r="BU154" i="1" s="1"/>
  <c r="BT173" i="1"/>
  <c r="BU171" i="1"/>
  <c r="BU172" i="1" s="1"/>
  <c r="BV171" i="1" l="1"/>
  <c r="BV172" i="1" s="1"/>
  <c r="BU173" i="1"/>
  <c r="BV153" i="1"/>
  <c r="BV154" i="1" s="1"/>
  <c r="BW149" i="1"/>
  <c r="BV120" i="1"/>
  <c r="BU131" i="1"/>
  <c r="BU132" i="1" s="1"/>
  <c r="BU156" i="1" s="1"/>
  <c r="BV131" i="1" l="1"/>
  <c r="BV132" i="1" s="1"/>
  <c r="BV156" i="1" s="1"/>
  <c r="BW120" i="1"/>
  <c r="BW153" i="1"/>
  <c r="BW154" i="1" s="1"/>
  <c r="BX149" i="1"/>
  <c r="BW171" i="1"/>
  <c r="BW172" i="1" s="1"/>
  <c r="BV173" i="1"/>
  <c r="BX171" i="1" l="1"/>
  <c r="BX172" i="1" s="1"/>
  <c r="BW173" i="1"/>
  <c r="BX153" i="1"/>
  <c r="BX154" i="1" s="1"/>
  <c r="BY149" i="1"/>
  <c r="BX120" i="1"/>
  <c r="BW131" i="1"/>
  <c r="BW132" i="1" s="1"/>
  <c r="BW156" i="1" s="1"/>
  <c r="BX131" i="1" l="1"/>
  <c r="BX132" i="1" s="1"/>
  <c r="BX156" i="1" s="1"/>
  <c r="BY120" i="1"/>
  <c r="BY153" i="1"/>
  <c r="BY154" i="1" s="1"/>
  <c r="BZ149" i="1"/>
  <c r="BY171" i="1"/>
  <c r="BY172" i="1" s="1"/>
  <c r="BX173" i="1"/>
  <c r="BY173" i="1" l="1"/>
  <c r="BZ171" i="1"/>
  <c r="BZ172" i="1" s="1"/>
  <c r="BZ153" i="1"/>
  <c r="BZ154" i="1" s="1"/>
  <c r="CA149" i="1"/>
  <c r="BZ120" i="1"/>
  <c r="BY131" i="1"/>
  <c r="BY132" i="1" s="1"/>
  <c r="BY156" i="1" s="1"/>
  <c r="CA171" i="1" l="1"/>
  <c r="CA172" i="1" s="1"/>
  <c r="BZ173" i="1"/>
  <c r="BZ131" i="1"/>
  <c r="BZ132" i="1" s="1"/>
  <c r="BZ156" i="1" s="1"/>
  <c r="CA120" i="1"/>
  <c r="CB149" i="1"/>
  <c r="CA153" i="1"/>
  <c r="CA154" i="1" s="1"/>
  <c r="CB153" i="1" l="1"/>
  <c r="CB154" i="1" s="1"/>
  <c r="CC149" i="1"/>
  <c r="CA131" i="1"/>
  <c r="CA132" i="1" s="1"/>
  <c r="CA156" i="1" s="1"/>
  <c r="CB120" i="1"/>
  <c r="CA173" i="1"/>
  <c r="CB171" i="1"/>
  <c r="CB172" i="1" s="1"/>
  <c r="CC171" i="1" l="1"/>
  <c r="CC172" i="1" s="1"/>
  <c r="CB173" i="1"/>
  <c r="CC120" i="1"/>
  <c r="CB131" i="1"/>
  <c r="CB132" i="1" s="1"/>
  <c r="CB156" i="1" s="1"/>
  <c r="CD149" i="1"/>
  <c r="CC153" i="1"/>
  <c r="CC154" i="1" s="1"/>
  <c r="CD153" i="1" l="1"/>
  <c r="CD154" i="1" s="1"/>
  <c r="CE149" i="1"/>
  <c r="CC131" i="1"/>
  <c r="CC132" i="1" s="1"/>
  <c r="CC156" i="1" s="1"/>
  <c r="CD120" i="1"/>
  <c r="CD171" i="1"/>
  <c r="CD172" i="1" s="1"/>
  <c r="CC173" i="1"/>
  <c r="CE171" i="1" l="1"/>
  <c r="CE172" i="1" s="1"/>
  <c r="CD173" i="1"/>
  <c r="CE120" i="1"/>
  <c r="CD131" i="1"/>
  <c r="CD132" i="1" s="1"/>
  <c r="CD156" i="1" s="1"/>
  <c r="CE153" i="1"/>
  <c r="CE154" i="1" s="1"/>
  <c r="CF149" i="1"/>
  <c r="CF120" i="1" l="1"/>
  <c r="CE131" i="1"/>
  <c r="CE132" i="1" s="1"/>
  <c r="CE156" i="1" s="1"/>
  <c r="CF153" i="1"/>
  <c r="CF154" i="1" s="1"/>
  <c r="CG149" i="1"/>
  <c r="CF171" i="1"/>
  <c r="CF172" i="1" s="1"/>
  <c r="CE173" i="1"/>
  <c r="CG171" i="1" l="1"/>
  <c r="CG172" i="1" s="1"/>
  <c r="CF173" i="1"/>
  <c r="CG153" i="1"/>
  <c r="CG154" i="1" s="1"/>
  <c r="CH149" i="1"/>
  <c r="CF131" i="1"/>
  <c r="CF132" i="1" s="1"/>
  <c r="CF156" i="1" s="1"/>
  <c r="CG120" i="1"/>
  <c r="CG173" i="1" l="1"/>
  <c r="CH171" i="1"/>
  <c r="CH172" i="1" s="1"/>
  <c r="CH120" i="1"/>
  <c r="CG131" i="1"/>
  <c r="CG132" i="1" s="1"/>
  <c r="CG156" i="1" s="1"/>
  <c r="CH153" i="1"/>
  <c r="CH154" i="1" s="1"/>
  <c r="CI149" i="1"/>
  <c r="CI120" i="1" l="1"/>
  <c r="CH131" i="1"/>
  <c r="CH132" i="1" s="1"/>
  <c r="CH156" i="1" s="1"/>
  <c r="CI153" i="1"/>
  <c r="CI154" i="1" s="1"/>
  <c r="CJ149" i="1"/>
  <c r="CH173" i="1"/>
  <c r="CI171" i="1"/>
  <c r="CI172" i="1" s="1"/>
  <c r="CJ171" i="1" l="1"/>
  <c r="CJ172" i="1" s="1"/>
  <c r="CI173" i="1"/>
  <c r="CJ153" i="1"/>
  <c r="CJ154" i="1" s="1"/>
  <c r="CK149" i="1"/>
  <c r="CI131" i="1"/>
  <c r="CI132" i="1" s="1"/>
  <c r="CI156" i="1" s="1"/>
  <c r="CJ120" i="1"/>
  <c r="CK120" i="1" l="1"/>
  <c r="CJ131" i="1"/>
  <c r="CJ132" i="1" s="1"/>
  <c r="CJ156" i="1" s="1"/>
  <c r="CK153" i="1"/>
  <c r="CK154" i="1" s="1"/>
  <c r="CL149" i="1"/>
  <c r="CK171" i="1"/>
  <c r="CK172" i="1" s="1"/>
  <c r="CJ173" i="1"/>
  <c r="CK131" i="1" l="1"/>
  <c r="CK132" i="1" s="1"/>
  <c r="CK156" i="1" s="1"/>
  <c r="CL120" i="1"/>
  <c r="CL171" i="1"/>
  <c r="CL172" i="1" s="1"/>
  <c r="CK173" i="1"/>
  <c r="CM149" i="1"/>
  <c r="CL153" i="1"/>
  <c r="CL154" i="1" s="1"/>
  <c r="CL131" i="1" l="1"/>
  <c r="CL132" i="1" s="1"/>
  <c r="CL156" i="1" s="1"/>
  <c r="CM120" i="1"/>
  <c r="CM153" i="1"/>
  <c r="CM154" i="1" s="1"/>
  <c r="CN149" i="1"/>
  <c r="CM171" i="1"/>
  <c r="CM172" i="1" s="1"/>
  <c r="CL173" i="1"/>
  <c r="CM173" i="1" l="1"/>
  <c r="CN171" i="1"/>
  <c r="CN172" i="1" s="1"/>
  <c r="CN153" i="1"/>
  <c r="CN154" i="1" s="1"/>
  <c r="CO149" i="1"/>
  <c r="CN120" i="1"/>
  <c r="CM131" i="1"/>
  <c r="CM132" i="1" s="1"/>
  <c r="CM156" i="1" s="1"/>
  <c r="CN131" i="1" l="1"/>
  <c r="CN132" i="1" s="1"/>
  <c r="CN156" i="1" s="1"/>
  <c r="CO120" i="1"/>
  <c r="CO153" i="1"/>
  <c r="CO154" i="1" s="1"/>
  <c r="CP149" i="1"/>
  <c r="CN173" i="1"/>
  <c r="CO171" i="1"/>
  <c r="CO172" i="1" s="1"/>
  <c r="CO173" i="1" l="1"/>
  <c r="CP171" i="1"/>
  <c r="CP172" i="1" s="1"/>
  <c r="CP120" i="1"/>
  <c r="CO131" i="1"/>
  <c r="CO132" i="1" s="1"/>
  <c r="CO156" i="1" s="1"/>
  <c r="CP153" i="1"/>
  <c r="CP154" i="1" s="1"/>
  <c r="CQ149" i="1"/>
  <c r="CQ171" i="1" l="1"/>
  <c r="CQ172" i="1" s="1"/>
  <c r="CP173" i="1"/>
  <c r="CQ153" i="1"/>
  <c r="CQ154" i="1" s="1"/>
  <c r="CR149" i="1"/>
  <c r="CP131" i="1"/>
  <c r="CP132" i="1" s="1"/>
  <c r="CP156" i="1" s="1"/>
  <c r="CQ120" i="1"/>
  <c r="CR171" i="1" l="1"/>
  <c r="CR172" i="1" s="1"/>
  <c r="CQ173" i="1"/>
  <c r="CR153" i="1"/>
  <c r="CR154" i="1" s="1"/>
  <c r="CS149" i="1"/>
  <c r="CR120" i="1"/>
  <c r="CQ131" i="1"/>
  <c r="CQ132" i="1" s="1"/>
  <c r="CQ156" i="1" s="1"/>
  <c r="CR173" i="1" l="1"/>
  <c r="CS171" i="1"/>
  <c r="CS172" i="1" s="1"/>
  <c r="CR131" i="1"/>
  <c r="CR132" i="1" s="1"/>
  <c r="CR156" i="1" s="1"/>
  <c r="CS120" i="1"/>
  <c r="CS153" i="1"/>
  <c r="CS154" i="1" s="1"/>
  <c r="CT149" i="1"/>
  <c r="CT120" i="1" l="1"/>
  <c r="CS131" i="1"/>
  <c r="CS132" i="1" s="1"/>
  <c r="CS156" i="1" s="1"/>
  <c r="CT153" i="1"/>
  <c r="CT154" i="1" s="1"/>
  <c r="CU149" i="1"/>
  <c r="CS173" i="1"/>
  <c r="CT171" i="1"/>
  <c r="CT172" i="1" s="1"/>
  <c r="CU120" i="1" l="1"/>
  <c r="CT131" i="1"/>
  <c r="CT132" i="1" s="1"/>
  <c r="CT156" i="1" s="1"/>
  <c r="CT173" i="1"/>
  <c r="CU171" i="1"/>
  <c r="CU172" i="1" s="1"/>
  <c r="CU153" i="1"/>
  <c r="CU154" i="1" s="1"/>
  <c r="CV149" i="1"/>
  <c r="CV153" i="1" l="1"/>
  <c r="CV154" i="1" s="1"/>
  <c r="CW149" i="1"/>
  <c r="CU173" i="1"/>
  <c r="CV171" i="1"/>
  <c r="CV172" i="1" s="1"/>
  <c r="CU131" i="1"/>
  <c r="CU132" i="1" s="1"/>
  <c r="CU156" i="1" s="1"/>
  <c r="CV120" i="1"/>
  <c r="CV173" i="1" l="1"/>
  <c r="CW171" i="1"/>
  <c r="CW172" i="1" s="1"/>
  <c r="CW120" i="1"/>
  <c r="CV131" i="1"/>
  <c r="CV132" i="1" s="1"/>
  <c r="CV156" i="1" s="1"/>
  <c r="CW153" i="1"/>
  <c r="CW154" i="1" s="1"/>
  <c r="CX149" i="1"/>
  <c r="CW131" i="1" l="1"/>
  <c r="CW132" i="1" s="1"/>
  <c r="CW156" i="1" s="1"/>
  <c r="CX120" i="1"/>
  <c r="CY149" i="1"/>
  <c r="CX153" i="1"/>
  <c r="CX154" i="1" s="1"/>
  <c r="CX171" i="1"/>
  <c r="CX172" i="1" s="1"/>
  <c r="CW173" i="1"/>
  <c r="CY153" i="1" l="1"/>
  <c r="CY154" i="1" s="1"/>
  <c r="CZ149" i="1"/>
  <c r="CY171" i="1"/>
  <c r="CY172" i="1" s="1"/>
  <c r="CX173" i="1"/>
  <c r="CX131" i="1"/>
  <c r="CX132" i="1" s="1"/>
  <c r="CX156" i="1" s="1"/>
  <c r="CY120" i="1"/>
  <c r="CZ171" i="1" l="1"/>
  <c r="CZ172" i="1" s="1"/>
  <c r="CY173" i="1"/>
  <c r="CZ120" i="1"/>
  <c r="CY131" i="1"/>
  <c r="CY132" i="1" s="1"/>
  <c r="CY156" i="1" s="1"/>
  <c r="CZ153" i="1"/>
  <c r="CZ154" i="1" s="1"/>
  <c r="DA149" i="1"/>
  <c r="DA153" i="1" l="1"/>
  <c r="DA154" i="1" s="1"/>
  <c r="DB149" i="1"/>
  <c r="CZ131" i="1"/>
  <c r="CZ132" i="1" s="1"/>
  <c r="CZ156" i="1" s="1"/>
  <c r="DA120" i="1"/>
  <c r="DA171" i="1"/>
  <c r="DA172" i="1" s="1"/>
  <c r="CZ173" i="1"/>
  <c r="DB171" i="1" l="1"/>
  <c r="DB172" i="1" s="1"/>
  <c r="DA173" i="1"/>
  <c r="DB120" i="1"/>
  <c r="DA131" i="1"/>
  <c r="DA132" i="1" s="1"/>
  <c r="DA156" i="1" s="1"/>
  <c r="DB153" i="1"/>
  <c r="DB154" i="1" s="1"/>
  <c r="DC149" i="1"/>
  <c r="DD149" i="1" l="1"/>
  <c r="DC153" i="1"/>
  <c r="DC154" i="1" s="1"/>
  <c r="DC120" i="1"/>
  <c r="DB131" i="1"/>
  <c r="DB132" i="1" s="1"/>
  <c r="DB156" i="1" s="1"/>
  <c r="DB173" i="1"/>
  <c r="DC171" i="1"/>
  <c r="DC172" i="1" s="1"/>
  <c r="DC173" i="1" l="1"/>
  <c r="DD171" i="1"/>
  <c r="DD172" i="1" s="1"/>
  <c r="DC131" i="1"/>
  <c r="DC132" i="1" s="1"/>
  <c r="DC156" i="1" s="1"/>
  <c r="DD120" i="1"/>
  <c r="DD153" i="1"/>
  <c r="DD154" i="1" s="1"/>
  <c r="DE149" i="1"/>
  <c r="DF149" i="1" l="1"/>
  <c r="DE153" i="1"/>
  <c r="DE154" i="1" s="1"/>
  <c r="DE120" i="1"/>
  <c r="DD131" i="1"/>
  <c r="DD132" i="1" s="1"/>
  <c r="DD156" i="1" s="1"/>
  <c r="DD173" i="1"/>
  <c r="DE171" i="1"/>
  <c r="DE172" i="1" s="1"/>
  <c r="DF120" i="1" l="1"/>
  <c r="DE131" i="1"/>
  <c r="DE132" i="1" s="1"/>
  <c r="DE156" i="1" s="1"/>
  <c r="DE173" i="1"/>
  <c r="DF171" i="1"/>
  <c r="DF172" i="1" s="1"/>
  <c r="DF153" i="1"/>
  <c r="DF154" i="1" s="1"/>
  <c r="DG149" i="1"/>
  <c r="DG153" i="1" s="1"/>
  <c r="DG154" i="1" s="1"/>
  <c r="DG171" i="1" l="1"/>
  <c r="DG172" i="1" s="1"/>
  <c r="DF173" i="1"/>
  <c r="DG120" i="1"/>
  <c r="DG131" i="1" s="1"/>
  <c r="DG132" i="1" s="1"/>
  <c r="DG156" i="1" s="1"/>
  <c r="DF131" i="1"/>
  <c r="DF132" i="1" s="1"/>
  <c r="DF156" i="1" s="1"/>
  <c r="DG17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tc={CCC7538D-2355-416C-8AFF-CC11EF5D4A45}</author>
  </authors>
  <commentList>
    <comment ref="I19" authorId="0" shapeId="0" xr:uid="{CCC7538D-2355-416C-8AFF-CC11EF5D4A4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closer to $15k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tc={50E27788-15FE-4EC4-9024-B35DEBE0CA1B}</author>
    <author>tc={C5C475C1-3117-4D7D-9520-18979528AADE}</author>
    <author>tc={FB01E4C4-9D80-4C18-98EE-5B6EBC55EED5}</author>
    <author>tc={E3297F0B-31AD-479D-A121-525B48D06CC1}</author>
    <author>tc={26B4DB3F-A17D-E84B-A9C0-A7EA443040D9}</author>
    <author>tc={502DE87D-E9C4-7F40-8FE3-CD4A56D8E94E}</author>
    <author>tc={FF368B87-FB45-46B1-A11F-8FAD2BEDDF94}</author>
    <author>tc={CE704105-41F6-4C56-9350-3448E5DD668D}</author>
    <author>tc={735C9239-FB8A-4B36-9D20-C68BC4D2B976}</author>
    <author>tc={701A54C3-1B46-4893-BC62-B2EFF266C055}</author>
    <author>tc={E9A4DEB7-8F9C-D94C-9291-1B8148076C2C}</author>
    <author>tc={C6FCD979-1374-4A1B-A294-11D803D8AB2C}</author>
    <author>tc={652DF29B-C80F-474D-9452-32A45BAD392F}</author>
    <author>tc={973B5C3F-CC1C-478B-AAEB-95C45A193E9C}</author>
  </authors>
  <commentList>
    <comment ref="AN26" authorId="0" shapeId="0" xr:uid="{50E27788-15FE-4EC4-9024-B35DEBE0CA1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O26" authorId="1" shapeId="0" xr:uid="{C5C475C1-3117-4D7D-9520-18979528AAD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P26" authorId="2" shapeId="0" xr:uid="{FB01E4C4-9D80-4C18-98EE-5B6EBC55EED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Q26" authorId="3" shapeId="0" xr:uid="{E3297F0B-31AD-479D-A121-525B48D06CC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R26" authorId="4" shapeId="0" xr:uid="{26B4DB3F-A17D-E84B-A9C0-A7EA4430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P31" authorId="5" shapeId="0" xr:uid="{502DE87D-E9C4-7F40-8FE3-CD4A56D8E94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some reason this was not being pulled in the Time Last Month report</t>
      </text>
    </comment>
    <comment ref="AO42" authorId="6" shapeId="0" xr:uid="{FF368B87-FB45-46B1-A11F-8FAD2BEDDF94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Recurring Students</t>
      </text>
    </comment>
    <comment ref="AM62" authorId="7" shapeId="0" xr:uid="{CE704105-41F6-4C56-9350-3448E5DD668D}">
      <text>
        <t>[Threaded comment]
Your version of Excel allows you to read this threaded comment; however, any edits to it will get removed if the file is opened in a newer version of Excel. Learn more: https://go.microsoft.com/fwlink/?linkid=870924
Comment:
    $599 intern expense</t>
      </text>
    </comment>
    <comment ref="S86" authorId="8" shapeId="0" xr:uid="{735C9239-FB8A-4B36-9D20-C68BC4D2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Tax Advice JMM Group LLC</t>
      </text>
    </comment>
    <comment ref="T86" authorId="9" shapeId="0" xr:uid="{701A54C3-1B46-4893-BC62-B2EFF266C055}">
      <text>
        <t>[Threaded comment]
Your version of Excel allows you to read this threaded comment; however, any edits to it will get removed if the file is opened in a newer version of Excel. Learn more: https://go.microsoft.com/fwlink/?linkid=870924
Comment:
    Offboarding JMM Group LLC</t>
      </text>
    </comment>
    <comment ref="AS135" authorId="10" shapeId="0" xr:uid="{E9A4DEB7-8F9C-D94C-9291-1B8148076C2C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Cash</t>
      </text>
    </comment>
    <comment ref="AE147" authorId="11" shapeId="0" xr:uid="{C6FCD979-1374-4A1B-A294-11D803D8AB2C}">
      <text>
        <t>[Threaded comment]
Your version of Excel allows you to read this threaded comment; however, any edits to it will get removed if the file is opened in a newer version of Excel. Learn more: https://go.microsoft.com/fwlink/?linkid=870924
Comment:
    $4k Contribution for taxes</t>
      </text>
    </comment>
    <comment ref="AD148" authorId="12" shapeId="0" xr:uid="{652DF29B-C80F-474D-9452-32A45BAD392F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$800 Distribution</t>
      </text>
    </comment>
    <comment ref="AE148" authorId="13" shapeId="0" xr:uid="{973B5C3F-CC1C-478B-AAEB-95C45A193E9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2023 Tax Payment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tc={67D2E087-3C84-4785-B259-0CC55E404C8B}</author>
    <author>tc={D1238F7C-0EDC-4167-877F-EC5127568767}</author>
  </authors>
  <commentList>
    <comment ref="M12" authorId="0" shapeId="0" xr:uid="{67D2E087-3C84-4785-B259-0CC55E404C8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 charges $75 pays her 50
Reply:
    Max about 3 hours per client - Always left (half time hour less)</t>
      </text>
    </comment>
    <comment ref="N13" authorId="1" shapeId="0" xr:uid="{D1238F7C-0EDC-4167-877F-EC512756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Fix for overage on SAT/ACT prep hours</t>
      </text>
    </comment>
  </commentList>
</comments>
</file>

<file path=xl/sharedStrings.xml><?xml version="1.0" encoding="utf-8"?>
<sst xmlns="http://schemas.openxmlformats.org/spreadsheetml/2006/main" count="1234" uniqueCount="389">
  <si>
    <t>Total</t>
  </si>
  <si>
    <t>Income</t>
  </si>
  <si>
    <t xml:space="preserve">   50000 Service Income</t>
  </si>
  <si>
    <t xml:space="preserve">      50100 Tutoring Sessions</t>
  </si>
  <si>
    <t xml:space="preserve">      50200 SAT/ACT Prep</t>
  </si>
  <si>
    <t xml:space="preserve">      50400 College Essay Review</t>
  </si>
  <si>
    <t xml:space="preserve">   Total 50000 Service Income</t>
  </si>
  <si>
    <t>Total Income</t>
  </si>
  <si>
    <t>Gross Profit</t>
  </si>
  <si>
    <t>Expenses</t>
  </si>
  <si>
    <t>Total Expenses</t>
  </si>
  <si>
    <t>Net Operating Income</t>
  </si>
  <si>
    <t>Other Income</t>
  </si>
  <si>
    <t xml:space="preserve">   Interest Income</t>
  </si>
  <si>
    <t>Total Other Income</t>
  </si>
  <si>
    <t>Net Other Income</t>
  </si>
  <si>
    <t>Net Income</t>
  </si>
  <si>
    <t>ASSETS</t>
  </si>
  <si>
    <t xml:space="preserve">   Current Assets</t>
  </si>
  <si>
    <t xml:space="preserve">      Bank Accounts</t>
  </si>
  <si>
    <t xml:space="preserve">         10100 Operating - 5974</t>
  </si>
  <si>
    <t xml:space="preserve">         10200 MM - 6659</t>
  </si>
  <si>
    <t xml:space="preserve">         10300 Savings - 6634</t>
  </si>
  <si>
    <t xml:space="preserve">         10400 Cash In Transit</t>
  </si>
  <si>
    <t xml:space="preserve">      Total Bank Accounts</t>
  </si>
  <si>
    <t xml:space="preserve">      Accounts Receivable</t>
  </si>
  <si>
    <t xml:space="preserve">         20100 Accounts Receivable</t>
  </si>
  <si>
    <t xml:space="preserve">      Total Accounts Receivable</t>
  </si>
  <si>
    <t xml:space="preserve">   Total Current Assets</t>
  </si>
  <si>
    <t>TOTAL ASSETS</t>
  </si>
  <si>
    <t>LIABILITIES AND EQUITY</t>
  </si>
  <si>
    <t xml:space="preserve">   Liabilities</t>
  </si>
  <si>
    <t xml:space="preserve">   Total Liabilities</t>
  </si>
  <si>
    <t xml:space="preserve">   Equity</t>
  </si>
  <si>
    <t xml:space="preserve">      40100 Owner Contributions</t>
  </si>
  <si>
    <t xml:space="preserve">      40200 Owner Distributions</t>
  </si>
  <si>
    <t xml:space="preserve">      40300 Retained Earnings</t>
  </si>
  <si>
    <t xml:space="preserve">      Net Income</t>
  </si>
  <si>
    <t xml:space="preserve">   Total Equity</t>
  </si>
  <si>
    <t>TOTAL LIABILITIES AND EQUITY</t>
  </si>
  <si>
    <t>Cash Flow From Operations</t>
  </si>
  <si>
    <t>Change in AR</t>
  </si>
  <si>
    <t>Change in Other Assets/Liabilities</t>
  </si>
  <si>
    <t>Change in Equity</t>
  </si>
  <si>
    <t>Cash Flow From Financing</t>
  </si>
  <si>
    <t>Net change in Cash Flow for the Period</t>
  </si>
  <si>
    <t>Beginning Balance</t>
  </si>
  <si>
    <t>Ending Balance</t>
  </si>
  <si>
    <t>Check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</si>
  <si>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</si>
  <si>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</si>
  <si>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</si>
  <si>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</si>
  <si>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</si>
  <si>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</si>
  <si>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</si>
  <si>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</si>
  <si>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</si>
  <si>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</si>
  <si>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</si>
  <si>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Service Income</t>
  </si>
  <si>
    <t>Billing Days</t>
  </si>
  <si>
    <t>Hours / Day</t>
  </si>
  <si>
    <t>Total Bill Hours</t>
  </si>
  <si>
    <t>Realized / Effective Bill Rate</t>
  </si>
  <si>
    <t>Utilization %</t>
  </si>
  <si>
    <t># of Students</t>
  </si>
  <si>
    <t>Net New Students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</si>
  <si>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</si>
  <si>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</si>
  <si>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</si>
  <si>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</si>
  <si>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</si>
  <si>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</si>
  <si>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</si>
  <si>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</si>
  <si>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</si>
  <si>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</si>
  <si>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</si>
  <si>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</si>
  <si>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</si>
  <si>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</si>
  <si>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</si>
  <si>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</si>
  <si>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</si>
  <si>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</si>
  <si>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</si>
  <si>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</si>
  <si>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</si>
  <si>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</si>
  <si>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</si>
  <si>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</si>
  <si>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</si>
  <si>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</si>
  <si>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</si>
  <si>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</si>
  <si>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</si>
  <si>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</si>
  <si>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</si>
  <si>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</si>
  <si>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</si>
  <si>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</si>
  <si>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</si>
  <si>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</si>
  <si>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</si>
  <si>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</si>
  <si>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</si>
  <si>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</si>
  <si>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</si>
  <si>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</si>
  <si>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</si>
  <si>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</si>
  <si>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</si>
  <si>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</si>
  <si>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</si>
  <si>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</si>
  <si>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</si>
  <si>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</si>
  <si>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</si>
  <si>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</si>
  <si>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</si>
  <si>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</si>
  <si>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</si>
  <si>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</si>
  <si>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</si>
  <si>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</si>
  <si>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</si>
  <si>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</si>
  <si>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</si>
  <si>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</si>
  <si>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</si>
  <si>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</si>
  <si>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</si>
  <si>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</si>
  <si>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</si>
  <si>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</si>
  <si>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</si>
  <si>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</si>
  <si>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</si>
  <si>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</si>
  <si>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</si>
  <si>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</si>
  <si>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</si>
  <si>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</si>
  <si>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</si>
  <si>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</si>
  <si>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</si>
  <si>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</si>
  <si>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</si>
  <si>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Row Labels</t>
  </si>
  <si>
    <t>Grand Total</t>
  </si>
  <si>
    <t>Sum of Hours</t>
  </si>
  <si>
    <t>Sum of Coin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</si>
  <si>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</si>
  <si>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</si>
  <si>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</si>
  <si>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</si>
  <si>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</si>
  <si>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</si>
  <si>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</si>
  <si>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</si>
  <si>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</si>
  <si>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River Hours</t>
  </si>
  <si>
    <t xml:space="preserve"> </t>
  </si>
  <si>
    <t>AR Days</t>
  </si>
  <si>
    <t>Gross Margin</t>
  </si>
  <si>
    <t>GM %</t>
  </si>
  <si>
    <t>Operating Expenses</t>
  </si>
  <si>
    <t>Net Operating Income (EBITDA)</t>
  </si>
  <si>
    <t>EBITDA %</t>
  </si>
  <si>
    <t>Other Income / (Expense)</t>
  </si>
  <si>
    <t>NI %</t>
  </si>
  <si>
    <t>Operating Cash</t>
  </si>
  <si>
    <t>Cash Inflow (Outflow)</t>
  </si>
  <si>
    <t>Misc.</t>
  </si>
  <si>
    <t>Operating Expense</t>
  </si>
  <si>
    <t>Coverage</t>
  </si>
  <si>
    <t>Properties of logs and exponents; APERT</t>
  </si>
  <si>
    <t>Brayden Wulff</t>
  </si>
  <si>
    <t>Math Analysis</t>
  </si>
  <si>
    <t>QBA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</si>
  <si>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</si>
  <si>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</si>
  <si>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</si>
  <si>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</si>
  <si>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</si>
  <si>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</si>
  <si>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</si>
  <si>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</si>
  <si>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</si>
  <si>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</si>
  <si>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</si>
  <si>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</si>
  <si>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</si>
  <si>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</si>
  <si>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</si>
  <si>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</si>
  <si>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</si>
  <si>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</si>
  <si>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</si>
  <si>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***REMAINING BALANCE***</t>
  </si>
  <si>
    <t xml:space="preserve">   61000 Owner Guarenteed Payments</t>
  </si>
  <si>
    <t>Owner Guarenteed Payments</t>
  </si>
  <si>
    <t>General &amp; Admintrative Expenses</t>
  </si>
  <si>
    <t>Total G&amp;A Expenses</t>
  </si>
  <si>
    <t>Peak</t>
  </si>
  <si>
    <t>Trough</t>
  </si>
  <si>
    <t>Shoulder</t>
  </si>
  <si>
    <t>Average</t>
  </si>
  <si>
    <t xml:space="preserve">      70100 Accounts Payable</t>
  </si>
  <si>
    <t>Asynchronous</t>
  </si>
  <si>
    <t>Honors College Essays</t>
  </si>
  <si>
    <t>Venmo for Tip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</si>
  <si>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</si>
  <si>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</si>
  <si>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</si>
  <si>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</si>
  <si>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</si>
  <si>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</si>
  <si>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</si>
  <si>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YOY Compounded Growth %</t>
  </si>
  <si>
    <t xml:space="preserve">   Other Current Assets</t>
  </si>
  <si>
    <t xml:space="preserve">   Total Other Current Assets</t>
  </si>
  <si>
    <t xml:space="preserve">   70000 Tips/Miscellaneous</t>
  </si>
  <si>
    <t xml:space="preserve">         Undeposited Funds</t>
  </si>
  <si>
    <t>Actual</t>
  </si>
  <si>
    <t>Variance</t>
  </si>
  <si>
    <t>Additions</t>
  </si>
  <si>
    <t>Subtrctions</t>
  </si>
  <si>
    <t>Implied Tenure</t>
  </si>
  <si>
    <t>Average Revenue</t>
  </si>
  <si>
    <t>Lifetime Revenue</t>
  </si>
  <si>
    <t>GM%</t>
  </si>
  <si>
    <t>LTV/CAC</t>
  </si>
  <si>
    <t>Payback</t>
  </si>
  <si>
    <t>T3M CAC</t>
  </si>
  <si>
    <t>T3M LTV</t>
  </si>
  <si>
    <t>T6M Avg Monthly Attrition</t>
  </si>
  <si>
    <t>Hours / Day / Student</t>
  </si>
  <si>
    <t>Forecast</t>
  </si>
  <si>
    <t>Name</t>
  </si>
  <si>
    <t>Position</t>
  </si>
  <si>
    <t>Hourly Rate</t>
  </si>
  <si>
    <t>NOI %</t>
  </si>
  <si>
    <t>Subsititute Tutor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</si>
  <si>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</si>
  <si>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</si>
  <si>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</si>
  <si>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</si>
  <si>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</si>
  <si>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</si>
  <si>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</si>
  <si>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</si>
  <si>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</si>
  <si>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</si>
  <si>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</si>
  <si>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</si>
  <si>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 Overview (Rolling Forecast)</t>
  </si>
  <si>
    <t xml:space="preserve">      50500 Interview Prep</t>
  </si>
  <si>
    <t xml:space="preserve">   Computer &amp; Software</t>
  </si>
  <si>
    <t>Donations/Gifts</t>
  </si>
  <si>
    <t>Fees/Subscriptions</t>
  </si>
  <si>
    <t>Finance &amp; Accounting</t>
  </si>
  <si>
    <t>Bank Fees</t>
  </si>
  <si>
    <t>Meals and Entertainment</t>
  </si>
  <si>
    <t>QBO Fees</t>
  </si>
  <si>
    <t>Professional/Legal Fees</t>
  </si>
  <si>
    <t>Utilities</t>
  </si>
  <si>
    <t>60000 G&amp;A Expenses</t>
  </si>
  <si>
    <t xml:space="preserve">   30200 Events/Sponsorships</t>
  </si>
  <si>
    <t>30000 Sales &amp; Marketing Expenses</t>
  </si>
  <si>
    <t>Total Sales &amp; Marketing Expenses</t>
  </si>
  <si>
    <t>Total Operating Expenses</t>
  </si>
  <si>
    <t>Sales &amp; Marketing Expenses</t>
  </si>
  <si>
    <t>Budget</t>
  </si>
  <si>
    <t>Events</t>
  </si>
  <si>
    <t>Variance (Budget)</t>
  </si>
  <si>
    <t>Variance (Forecast)</t>
  </si>
  <si>
    <t>NOI%</t>
  </si>
  <si>
    <t>Cash Distributions</t>
  </si>
  <si>
    <t>Cash Contributions</t>
  </si>
  <si>
    <t>Total Tutoring Hours</t>
  </si>
  <si>
    <t>Total SAT/ACT Prep Hours</t>
  </si>
  <si>
    <t>Total Dance Hours</t>
  </si>
  <si>
    <t xml:space="preserve">         10500 Scholarship Fund</t>
  </si>
  <si>
    <t>Tutoring Bill Rate</t>
  </si>
  <si>
    <t>SAT/ACT Bill Rate</t>
  </si>
  <si>
    <t>Dance Bill Rate</t>
  </si>
  <si>
    <t>Taxes/Licenses</t>
  </si>
  <si>
    <t xml:space="preserve">      50300 Resume Review</t>
  </si>
  <si>
    <t>Total Resume Review</t>
  </si>
  <si>
    <t>Avg. # of Students</t>
  </si>
  <si>
    <t>EOY # of Students</t>
  </si>
  <si>
    <t>QBO Fees as a % of Revenue</t>
  </si>
  <si>
    <t>Tips as a % of Revenue</t>
  </si>
  <si>
    <t>Tips</t>
  </si>
  <si>
    <t>Resume Review Bill Rate</t>
  </si>
  <si>
    <t>College Services Bill Rate</t>
  </si>
  <si>
    <t>Total College Service Hours</t>
  </si>
  <si>
    <t>CAC</t>
  </si>
  <si>
    <t>Accrued Tax Burden</t>
  </si>
  <si>
    <t>Owner Cash Distributions</t>
  </si>
  <si>
    <t xml:space="preserve">Madeline </t>
  </si>
  <si>
    <t>Intern</t>
  </si>
  <si>
    <t>Nvaid</t>
  </si>
  <si>
    <t>Charles</t>
  </si>
  <si>
    <t>Total Contractors Expense</t>
  </si>
  <si>
    <t>Avg. Hours</t>
  </si>
  <si>
    <t>2024 AOP Income</t>
  </si>
  <si>
    <t>2024 AOP Net Income</t>
  </si>
  <si>
    <t>2024 AOP Avg. Students</t>
  </si>
  <si>
    <t>Q1</t>
  </si>
  <si>
    <t>Q2</t>
  </si>
  <si>
    <t>Q3</t>
  </si>
  <si>
    <t>Q4</t>
  </si>
  <si>
    <t>Cheri?</t>
  </si>
  <si>
    <t>Rising Freshmen</t>
  </si>
  <si>
    <t xml:space="preserve">   Total 50000 Subcontractors</t>
  </si>
  <si>
    <t xml:space="preserve">      51000 Subcontractors - Interns</t>
  </si>
  <si>
    <t xml:space="preserve">      51000 Subcontractors - Tutors</t>
  </si>
  <si>
    <t xml:space="preserve">   50000 Subcontractors</t>
  </si>
  <si>
    <t>Total Interns Expense</t>
  </si>
  <si>
    <t>Total Tutors Expense</t>
  </si>
  <si>
    <t>GP %</t>
  </si>
  <si>
    <t>Subcontractors</t>
  </si>
  <si>
    <t>Subcontractor Expenses</t>
  </si>
  <si>
    <t>Gross Proft</t>
  </si>
  <si>
    <t># of Sessions</t>
  </si>
  <si>
    <t>Travel</t>
  </si>
  <si>
    <t>KPIs</t>
  </si>
  <si>
    <t xml:space="preserve">      60100 Travel</t>
  </si>
  <si>
    <t xml:space="preserve">      60200 Computer &amp; Software Expenses</t>
  </si>
  <si>
    <t xml:space="preserve">      60210 Website Services</t>
  </si>
  <si>
    <t xml:space="preserve">      60300 Donations/Gifts</t>
  </si>
  <si>
    <t xml:space="preserve">      60400 Fees/Subscriptions</t>
  </si>
  <si>
    <t xml:space="preserve">      60500 Finance &amp; Accounting</t>
  </si>
  <si>
    <t xml:space="preserve">      60600 Bank Fees</t>
  </si>
  <si>
    <t xml:space="preserve">      60700 Meals and Entertainment</t>
  </si>
  <si>
    <t xml:space="preserve">      60800 QB Fees</t>
  </si>
  <si>
    <t xml:space="preserve">      60900 Professional/Legal Fees</t>
  </si>
  <si>
    <t xml:space="preserve">      61100 Utilities</t>
  </si>
  <si>
    <t xml:space="preserve">      61200 Taxes/Licenses</t>
  </si>
  <si>
    <t>Other Expenses</t>
  </si>
  <si>
    <t xml:space="preserve">   73000 Home Office Deduction</t>
  </si>
  <si>
    <t>Total Other Expenses</t>
  </si>
  <si>
    <t>Total Net Other Income (Expense)</t>
  </si>
  <si>
    <t>Total Revenue</t>
  </si>
  <si>
    <t>Owner Draws</t>
  </si>
  <si>
    <t>Tyler</t>
  </si>
  <si>
    <t>Subsititute Tutor - RESUME REVIEW</t>
  </si>
  <si>
    <t>Subsititute Tutor - SAT/ACT PREP</t>
  </si>
  <si>
    <t>Hours Threshold</t>
  </si>
  <si>
    <t>2025 Annual Operating Plan</t>
  </si>
  <si>
    <t xml:space="preserve">         Prepaid Expenses</t>
  </si>
  <si>
    <t xml:space="preserve">         30100 Cash in Transit</t>
  </si>
  <si>
    <t>2025 Overview (Annual Operating Plan)</t>
  </si>
  <si>
    <t>60000 General &amp; Administrative Expenses</t>
  </si>
  <si>
    <t xml:space="preserve">   Owner Salary</t>
  </si>
  <si>
    <t xml:space="preserve">     Owner Payroll Taxes</t>
  </si>
  <si>
    <t xml:space="preserve">     Owner Benefits</t>
  </si>
  <si>
    <t>Total Owner Payroll Burden</t>
  </si>
  <si>
    <t>Payroll Tax as a % of Salary</t>
  </si>
  <si>
    <t>Benefits as a % of Salary</t>
  </si>
  <si>
    <t>Lauren Est</t>
  </si>
  <si>
    <t>Owner</t>
  </si>
  <si>
    <t>Total Owner Wages</t>
  </si>
  <si>
    <t xml:space="preserve">     Owner Reimbursements</t>
  </si>
  <si>
    <t xml:space="preserve">     Total Accounts Payable</t>
  </si>
  <si>
    <t xml:space="preserve">         Other Current Liabilities</t>
  </si>
  <si>
    <t xml:space="preserve">            90000 Payroll Liablities</t>
  </si>
  <si>
    <t xml:space="preserve">               90100 Payroll Wages Payable</t>
  </si>
  <si>
    <t xml:space="preserve">               90120 Payroll Taxes Payable</t>
  </si>
  <si>
    <t xml:space="preserve">               90140 Reimbursements Payable</t>
  </si>
  <si>
    <t xml:space="preserve">            Total 90000 Payroll Liablities</t>
  </si>
  <si>
    <t xml:space="preserve">         Total Other Current Liabilities</t>
  </si>
  <si>
    <t>2025 Overview (Rolling Forecast)</t>
  </si>
  <si>
    <t xml:space="preserve">         30200 Contractor Receivable</t>
  </si>
  <si>
    <t>Owner Payroll Burden</t>
  </si>
  <si>
    <t>Q1 2025</t>
  </si>
  <si>
    <t>Q2 2025</t>
  </si>
  <si>
    <t>Q3 2025</t>
  </si>
  <si>
    <t>Q4 2025</t>
  </si>
  <si>
    <t xml:space="preserve">         40220 Owners State Taxes</t>
  </si>
  <si>
    <t># of Recurring Students</t>
  </si>
  <si>
    <t xml:space="preserve">         40210 Owners Federal Taxes</t>
  </si>
  <si>
    <t>Owner Cash Distributions/Taxes</t>
  </si>
  <si>
    <t xml:space="preserve">            90900 Accrued Expenses</t>
  </si>
  <si>
    <t>ChanChal</t>
  </si>
  <si>
    <t>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</si>
</sst>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&quot;$&quot;* #,##0.00\ _€"/>
    <numFmt numFmtId="166" formatCode="m/d/yyyy;@"/>
    <numFmt numFmtId="167" formatCode="_(* #,##0_);_(* \(#,##0\);_(* &quot;-&quot;??_);_(@_)"/>
    <numFmt numFmtId="168" formatCode="_(#,##0.0%_);\(#,##0.0%\);_(&quot;–&quot;_)_%;_(@_)_%"/>
    <numFmt numFmtId="169" formatCode="_(* #,##0.0_);_(* \(#,##0.0\);_(* &quot;-&quot;??_);_(@_)"/>
    <numFmt numFmtId="170" formatCode="[$-409]mmmm;@"/>
    <numFmt numFmtId="171" formatCode="[$-409]mmmm\-yy;@"/>
    <numFmt numFmtId="172" formatCode="_(&quot;$&quot;* #,##0_);_(&quot;$&quot;* \(#,##0\);_(&quot;$&quot;* &quot;-&quot;??_);_(@_)"/>
    <numFmt numFmtId="173" formatCode="_([$$]#,##0_)_%;\([$$]#,##0\)_%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[$-409]mmmm\ yyyy;@"/>
    <numFmt numFmtId="179" formatCode="0\ &quot;hours&quot;"/>
  </numFmts>
  <fonts count="6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Times New Roman"/>
      <family val="1"/>
    </font>
    <font>
      <sz val="10"/>
      <color indexed="8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2"/>
      <color indexed="8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9"/>
      <name val="Arial"/>
      <family val="2"/>
    </font>
    <font>
      <b/>
      <sz val="8"/>
      <name val="Arial"/>
      <family val="2"/>
    </font>
    <font>
      <sz val="8"/>
      <color rgb="FF0000FF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dotted">
        <color auto="1"/>
      </right>
      <top style="medium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7" fillId="0" borderId="0"/>
    <xf numFmtId="0" fontId="5" fillId="0" borderId="0"/>
    <xf numFmtId="0" fontId="4" fillId="0" borderId="0"/>
    <xf numFmtId="0" fontId="3" fillId="0" borderId="0"/>
  </cellStyleXfs>
  <cellXfs count="768">
    <xf numFmtId="0" fontId="0" fillId="0" borderId="0" xfId="0"/>
    <xf numFmtId="0" fontId="6" fillId="0" borderId="0" xfId="0" applyFont="1" applyAlignment="1">
      <alignment horizontal="left" wrapText="1"/>
    </xf>
    <xf numFmtId="164" fontId="7" fillId="0" borderId="0" xfId="0" applyNumberFormat="1" applyFont="1" applyAlignment="1">
      <alignment wrapText="1"/>
    </xf>
    <xf numFmtId="0" fontId="0" fillId="0" borderId="2" xfId="0" applyBorder="1"/>
    <xf numFmtId="0" fontId="6" fillId="0" borderId="2" xfId="0" applyFont="1" applyBorder="1" applyAlignment="1">
      <alignment horizontal="left" wrapText="1"/>
    </xf>
    <xf numFmtId="0" fontId="0" fillId="0" borderId="3" xfId="0" applyBorder="1"/>
    <xf numFmtId="0" fontId="6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4" fillId="0" borderId="0" xfId="0" applyFont="1" applyAlignment="1">
      <alignment horizontal="left" wrapText="1"/>
    </xf>
    <xf numFmtId="166" fontId="10" fillId="2" borderId="0" xfId="0" applyNumberFormat="1" applyFont="1" applyFill="1" applyAlignment="1">
      <alignment horizontal="centerContinuous"/>
    </xf>
    <xf numFmtId="0" fontId="10" fillId="2" borderId="0" xfId="0" applyFont="1" applyFill="1" applyAlignment="1">
      <alignment horizontal="centerContinuous"/>
    </xf>
    <xf numFmtId="166" fontId="0" fillId="0" borderId="0" xfId="0" applyNumberFormat="1" applyAlignment="1">
      <alignment horizontal="left"/>
    </xf>
    <xf numFmtId="167" fontId="20" fillId="0" borderId="0" xfId="1" applyNumberFormat="1" applyFont="1" applyFill="1" applyBorder="1"/>
    <xf numFmtId="167" fontId="19" fillId="2" borderId="0" xfId="1" applyNumberFormat="1" applyFont="1" applyFill="1" applyBorder="1" applyAlignment="1"/>
    <xf numFmtId="167" fontId="19" fillId="2" borderId="8" xfId="1" applyNumberFormat="1" applyFont="1" applyFill="1" applyBorder="1" applyAlignment="1"/>
    <xf numFmtId="167" fontId="22" fillId="0" borderId="0" xfId="1" applyNumberFormat="1" applyFont="1" applyFill="1" applyBorder="1"/>
    <xf numFmtId="167" fontId="22" fillId="2" borderId="0" xfId="1" applyNumberFormat="1" applyFont="1" applyFill="1" applyBorder="1"/>
    <xf numFmtId="167" fontId="22" fillId="2" borderId="8" xfId="1" applyNumberFormat="1" applyFont="1" applyFill="1" applyBorder="1"/>
    <xf numFmtId="43" fontId="19" fillId="0" borderId="0" xfId="1" applyFont="1" applyFill="1" applyBorder="1"/>
    <xf numFmtId="43" fontId="22" fillId="2" borderId="0" xfId="1" applyFont="1" applyFill="1" applyBorder="1"/>
    <xf numFmtId="43" fontId="22" fillId="2" borderId="8" xfId="1" applyFont="1" applyFill="1" applyBorder="1"/>
    <xf numFmtId="167" fontId="19" fillId="2" borderId="0" xfId="1" applyNumberFormat="1" applyFont="1" applyFill="1" applyBorder="1"/>
    <xf numFmtId="167" fontId="19" fillId="2" borderId="8" xfId="1" applyNumberFormat="1" applyFont="1" applyFill="1" applyBorder="1"/>
    <xf numFmtId="44" fontId="19" fillId="0" borderId="0" xfId="2" applyFont="1" applyFill="1" applyBorder="1"/>
    <xf numFmtId="44" fontId="19" fillId="2" borderId="0" xfId="2" applyFont="1" applyFill="1" applyBorder="1"/>
    <xf numFmtId="44" fontId="19" fillId="2" borderId="8" xfId="2" applyFont="1" applyFill="1" applyBorder="1"/>
    <xf numFmtId="0" fontId="0" fillId="4" borderId="0" xfId="0" applyFill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9" fillId="4" borderId="0" xfId="0" applyFont="1" applyFill="1"/>
    <xf numFmtId="14" fontId="9" fillId="4" borderId="0" xfId="0" applyNumberFormat="1" applyFont="1" applyFill="1" applyAlignment="1">
      <alignment horizontal="center"/>
    </xf>
    <xf numFmtId="43" fontId="18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43" fontId="23" fillId="2" borderId="0" xfId="0" applyNumberFormat="1" applyFont="1" applyFill="1" applyAlignment="1">
      <alignment horizontal="center" vertical="center" wrapText="1"/>
    </xf>
    <xf numFmtId="0" fontId="5" fillId="0" borderId="0" xfId="5"/>
    <xf numFmtId="0" fontId="10" fillId="0" borderId="0" xfId="5" applyFont="1"/>
    <xf numFmtId="0" fontId="5" fillId="2" borderId="0" xfId="5" applyFill="1"/>
    <xf numFmtId="16" fontId="5" fillId="2" borderId="0" xfId="5" applyNumberFormat="1" applyFill="1"/>
    <xf numFmtId="0" fontId="5" fillId="5" borderId="0" xfId="5" applyFill="1"/>
    <xf numFmtId="16" fontId="5" fillId="0" borderId="0" xfId="5" applyNumberFormat="1"/>
    <xf numFmtId="0" fontId="5" fillId="6" borderId="0" xfId="5" applyFill="1"/>
    <xf numFmtId="16" fontId="5" fillId="6" borderId="0" xfId="5" applyNumberFormat="1" applyFill="1"/>
    <xf numFmtId="0" fontId="5" fillId="7" borderId="0" xfId="5" applyFill="1"/>
    <xf numFmtId="14" fontId="5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7" fontId="21" fillId="3" borderId="0" xfId="1" applyNumberFormat="1" applyFont="1" applyFill="1" applyBorder="1"/>
    <xf numFmtId="167" fontId="5" fillId="0" borderId="0" xfId="1" applyNumberFormat="1" applyFont="1" applyFill="1" applyBorder="1"/>
    <xf numFmtId="165" fontId="6" fillId="0" borderId="0" xfId="0" applyNumberFormat="1" applyFont="1" applyAlignment="1">
      <alignment horizontal="right" wrapText="1"/>
    </xf>
    <xf numFmtId="0" fontId="9" fillId="4" borderId="8" xfId="0" applyFont="1" applyFill="1" applyBorder="1" applyAlignment="1">
      <alignment horizontal="center"/>
    </xf>
    <xf numFmtId="14" fontId="9" fillId="4" borderId="8" xfId="0" applyNumberFormat="1" applyFont="1" applyFill="1" applyBorder="1" applyAlignment="1">
      <alignment horizontal="center"/>
    </xf>
    <xf numFmtId="44" fontId="12" fillId="0" borderId="3" xfId="0" applyNumberFormat="1" applyFont="1" applyBorder="1"/>
    <xf numFmtId="44" fontId="12" fillId="0" borderId="2" xfId="0" applyNumberFormat="1" applyFont="1" applyBorder="1"/>
    <xf numFmtId="44" fontId="12" fillId="0" borderId="1" xfId="0" applyNumberFormat="1" applyFont="1" applyBorder="1"/>
    <xf numFmtId="44" fontId="12" fillId="0" borderId="0" xfId="0" applyNumberFormat="1" applyFont="1"/>
    <xf numFmtId="0" fontId="28" fillId="0" borderId="0" xfId="0" applyFont="1" applyAlignment="1">
      <alignment horizontal="right" wrapText="1"/>
    </xf>
    <xf numFmtId="2" fontId="0" fillId="0" borderId="2" xfId="3" applyNumberFormat="1" applyFont="1" applyBorder="1"/>
    <xf numFmtId="169" fontId="16" fillId="3" borderId="3" xfId="1" applyNumberFormat="1" applyFont="1" applyFill="1" applyBorder="1"/>
    <xf numFmtId="0" fontId="6" fillId="6" borderId="2" xfId="0" applyFont="1" applyFill="1" applyBorder="1" applyAlignment="1">
      <alignment horizontal="left" wrapText="1"/>
    </xf>
    <xf numFmtId="0" fontId="28" fillId="6" borderId="2" xfId="0" applyFont="1" applyFill="1" applyBorder="1" applyAlignment="1">
      <alignment horizontal="right" wrapText="1"/>
    </xf>
    <xf numFmtId="2" fontId="6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30" fillId="0" borderId="2" xfId="0" applyNumberFormat="1" applyFont="1" applyBorder="1"/>
    <xf numFmtId="0" fontId="6" fillId="4" borderId="0" xfId="0" applyFont="1" applyFill="1" applyAlignment="1">
      <alignment horizontal="left" wrapText="1"/>
    </xf>
    <xf numFmtId="44" fontId="12" fillId="4" borderId="0" xfId="0" applyNumberFormat="1" applyFont="1" applyFill="1"/>
    <xf numFmtId="0" fontId="32" fillId="4" borderId="0" xfId="0" applyFont="1" applyFill="1" applyAlignment="1">
      <alignment horizontal="right" vertical="center"/>
    </xf>
    <xf numFmtId="170" fontId="33" fillId="4" borderId="0" xfId="0" applyNumberFormat="1" applyFont="1" applyFill="1" applyAlignment="1">
      <alignment horizontal="center" vertical="center"/>
    </xf>
    <xf numFmtId="0" fontId="34" fillId="4" borderId="0" xfId="0" applyFont="1" applyFill="1" applyAlignment="1">
      <alignment vertical="center"/>
    </xf>
    <xf numFmtId="171" fontId="33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72" fontId="18" fillId="2" borderId="2" xfId="2" applyNumberFormat="1" applyFont="1" applyFill="1" applyBorder="1" applyAlignment="1">
      <alignment horizontal="right"/>
    </xf>
    <xf numFmtId="172" fontId="0" fillId="0" borderId="0" xfId="2" applyNumberFormat="1" applyFont="1" applyBorder="1" applyAlignment="1">
      <alignment horizontal="right"/>
    </xf>
    <xf numFmtId="173" fontId="0" fillId="0" borderId="0" xfId="0" applyNumberFormat="1"/>
    <xf numFmtId="172" fontId="34" fillId="0" borderId="0" xfId="2" applyNumberFormat="1" applyFont="1"/>
    <xf numFmtId="0" fontId="12" fillId="2" borderId="2" xfId="0" applyFont="1" applyFill="1" applyBorder="1" applyAlignment="1">
      <alignment horizontal="right"/>
    </xf>
    <xf numFmtId="172" fontId="12" fillId="2" borderId="2" xfId="2" applyNumberFormat="1" applyFont="1" applyFill="1" applyBorder="1" applyAlignment="1"/>
    <xf numFmtId="172" fontId="0" fillId="0" borderId="0" xfId="2" applyNumberFormat="1" applyFont="1" applyAlignment="1"/>
    <xf numFmtId="0" fontId="36" fillId="0" borderId="0" xfId="0" applyFont="1" applyAlignment="1">
      <alignment horizontal="right"/>
    </xf>
    <xf numFmtId="168" fontId="36" fillId="0" borderId="0" xfId="0" applyNumberFormat="1" applyFont="1"/>
    <xf numFmtId="0" fontId="9" fillId="4" borderId="4" xfId="0" applyFont="1" applyFill="1" applyBorder="1" applyAlignment="1">
      <alignment horizontal="right"/>
    </xf>
    <xf numFmtId="44" fontId="9" fillId="4" borderId="4" xfId="2" applyFont="1" applyFill="1" applyBorder="1" applyAlignment="1">
      <alignment horizontal="right"/>
    </xf>
    <xf numFmtId="0" fontId="9" fillId="4" borderId="9" xfId="0" applyFont="1" applyFill="1" applyBorder="1" applyAlignment="1">
      <alignment horizontal="right"/>
    </xf>
    <xf numFmtId="44" fontId="9" fillId="4" borderId="9" xfId="0" applyNumberFormat="1" applyFont="1" applyFill="1" applyBorder="1" applyAlignment="1">
      <alignment horizontal="right"/>
    </xf>
    <xf numFmtId="172" fontId="33" fillId="10" borderId="2" xfId="2" applyNumberFormat="1" applyFont="1" applyFill="1" applyBorder="1" applyAlignment="1">
      <alignment horizontal="right"/>
    </xf>
    <xf numFmtId="172" fontId="33" fillId="10" borderId="2" xfId="2" applyNumberFormat="1" applyFont="1" applyFill="1" applyBorder="1"/>
    <xf numFmtId="0" fontId="35" fillId="10" borderId="0" xfId="0" applyFont="1" applyFill="1" applyAlignment="1">
      <alignment horizontal="right"/>
    </xf>
    <xf numFmtId="168" fontId="35" fillId="10" borderId="0" xfId="0" applyNumberFormat="1" applyFont="1" applyFill="1" applyAlignment="1">
      <alignment horizontal="right"/>
    </xf>
    <xf numFmtId="14" fontId="11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167" fontId="0" fillId="0" borderId="0" xfId="1" applyNumberFormat="1" applyFont="1" applyBorder="1"/>
    <xf numFmtId="172" fontId="18" fillId="2" borderId="2" xfId="2" applyNumberFormat="1" applyFont="1" applyFill="1" applyBorder="1"/>
    <xf numFmtId="172" fontId="12" fillId="2" borderId="2" xfId="2" applyNumberFormat="1" applyFont="1" applyFill="1" applyBorder="1"/>
    <xf numFmtId="0" fontId="34" fillId="0" borderId="7" xfId="0" applyFont="1" applyBorder="1"/>
    <xf numFmtId="0" fontId="34" fillId="0" borderId="8" xfId="0" applyFont="1" applyBorder="1"/>
    <xf numFmtId="0" fontId="34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8" fillId="2" borderId="0" xfId="0" applyNumberFormat="1" applyFont="1" applyFill="1" applyAlignment="1">
      <alignment horizontal="center" vertical="center"/>
    </xf>
    <xf numFmtId="169" fontId="20" fillId="3" borderId="0" xfId="1" applyNumberFormat="1" applyFont="1" applyFill="1" applyBorder="1" applyAlignment="1">
      <alignment horizontal="center" vertical="center"/>
    </xf>
    <xf numFmtId="43" fontId="0" fillId="0" borderId="0" xfId="1" applyFont="1"/>
    <xf numFmtId="43" fontId="6" fillId="0" borderId="0" xfId="1" applyFont="1" applyAlignment="1">
      <alignment horizontal="left" wrapText="1"/>
    </xf>
    <xf numFmtId="43" fontId="0" fillId="0" borderId="0" xfId="1" applyFont="1" applyBorder="1"/>
    <xf numFmtId="0" fontId="0" fillId="0" borderId="12" xfId="0" applyBorder="1"/>
    <xf numFmtId="0" fontId="4" fillId="0" borderId="0" xfId="6"/>
    <xf numFmtId="0" fontId="10" fillId="0" borderId="0" xfId="6" applyFont="1"/>
    <xf numFmtId="16" fontId="4" fillId="5" borderId="0" xfId="6" applyNumberFormat="1" applyFill="1"/>
    <xf numFmtId="0" fontId="4" fillId="5" borderId="0" xfId="6" applyFill="1"/>
    <xf numFmtId="0" fontId="4" fillId="11" borderId="0" xfId="6" applyFill="1"/>
    <xf numFmtId="16" fontId="4" fillId="11" borderId="0" xfId="6" applyNumberFormat="1" applyFill="1"/>
    <xf numFmtId="0" fontId="4" fillId="12" borderId="0" xfId="6" applyFill="1"/>
    <xf numFmtId="16" fontId="4" fillId="12" borderId="0" xfId="6" applyNumberFormat="1" applyFill="1"/>
    <xf numFmtId="16" fontId="4" fillId="0" borderId="0" xfId="6" applyNumberFormat="1"/>
    <xf numFmtId="0" fontId="27" fillId="0" borderId="0" xfId="6" applyFont="1"/>
    <xf numFmtId="0" fontId="4" fillId="8" borderId="0" xfId="6" applyFill="1"/>
    <xf numFmtId="0" fontId="4" fillId="9" borderId="0" xfId="6" applyFill="1"/>
    <xf numFmtId="43" fontId="0" fillId="0" borderId="0" xfId="1" applyFont="1" applyAlignment="1">
      <alignment horizontal="right" vertical="center"/>
    </xf>
    <xf numFmtId="9" fontId="38" fillId="0" borderId="0" xfId="3" applyFont="1" applyBorder="1"/>
    <xf numFmtId="174" fontId="0" fillId="0" borderId="0" xfId="3" applyNumberFormat="1" applyFont="1"/>
    <xf numFmtId="43" fontId="0" fillId="0" borderId="0" xfId="1" applyFon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3" fillId="0" borderId="0" xfId="7"/>
    <xf numFmtId="0" fontId="10" fillId="0" borderId="0" xfId="7" applyFont="1"/>
    <xf numFmtId="0" fontId="3" fillId="2" borderId="0" xfId="7" applyFill="1"/>
    <xf numFmtId="0" fontId="10" fillId="2" borderId="0" xfId="7" applyFont="1" applyFill="1"/>
    <xf numFmtId="16" fontId="3" fillId="2" borderId="0" xfId="7" applyNumberFormat="1" applyFill="1"/>
    <xf numFmtId="169" fontId="16" fillId="3" borderId="14" xfId="1" applyNumberFormat="1" applyFont="1" applyFill="1" applyBorder="1"/>
    <xf numFmtId="0" fontId="24" fillId="2" borderId="15" xfId="0" applyFont="1" applyFill="1" applyBorder="1"/>
    <xf numFmtId="43" fontId="18" fillId="2" borderId="2" xfId="0" applyNumberFormat="1" applyFont="1" applyFill="1" applyBorder="1" applyAlignment="1">
      <alignment vertical="center"/>
    </xf>
    <xf numFmtId="167" fontId="20" fillId="0" borderId="2" xfId="1" applyNumberFormat="1" applyFont="1" applyFill="1" applyBorder="1"/>
    <xf numFmtId="167" fontId="21" fillId="3" borderId="2" xfId="1" applyNumberFormat="1" applyFont="1" applyFill="1" applyBorder="1"/>
    <xf numFmtId="167" fontId="19" fillId="2" borderId="2" xfId="1" applyNumberFormat="1" applyFont="1" applyFill="1" applyBorder="1" applyAlignment="1"/>
    <xf numFmtId="167" fontId="19" fillId="2" borderId="16" xfId="1" applyNumberFormat="1" applyFont="1" applyFill="1" applyBorder="1" applyAlignment="1"/>
    <xf numFmtId="170" fontId="33" fillId="4" borderId="12" xfId="0" applyNumberFormat="1" applyFont="1" applyFill="1" applyBorder="1" applyAlignment="1">
      <alignment horizontal="center" vertical="center"/>
    </xf>
    <xf numFmtId="14" fontId="11" fillId="0" borderId="12" xfId="0" applyNumberFormat="1" applyFont="1" applyBorder="1"/>
    <xf numFmtId="167" fontId="0" fillId="0" borderId="12" xfId="0" applyNumberFormat="1" applyBorder="1" applyAlignment="1">
      <alignment horizontal="right" vertical="center"/>
    </xf>
    <xf numFmtId="172" fontId="18" fillId="2" borderId="13" xfId="2" applyNumberFormat="1" applyFont="1" applyFill="1" applyBorder="1" applyAlignment="1">
      <alignment horizontal="right"/>
    </xf>
    <xf numFmtId="173" fontId="0" fillId="0" borderId="12" xfId="0" applyNumberFormat="1" applyBorder="1"/>
    <xf numFmtId="172" fontId="33" fillId="10" borderId="13" xfId="2" applyNumberFormat="1" applyFont="1" applyFill="1" applyBorder="1"/>
    <xf numFmtId="168" fontId="35" fillId="10" borderId="12" xfId="0" applyNumberFormat="1" applyFont="1" applyFill="1" applyBorder="1" applyAlignment="1">
      <alignment horizontal="right"/>
    </xf>
    <xf numFmtId="172" fontId="12" fillId="2" borderId="13" xfId="2" applyNumberFormat="1" applyFont="1" applyFill="1" applyBorder="1" applyAlignment="1"/>
    <xf numFmtId="168" fontId="36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9" fillId="4" borderId="17" xfId="2" applyFont="1" applyFill="1" applyBorder="1" applyAlignment="1">
      <alignment horizontal="right"/>
    </xf>
    <xf numFmtId="44" fontId="9" fillId="4" borderId="18" xfId="0" applyNumberFormat="1" applyFont="1" applyFill="1" applyBorder="1" applyAlignment="1">
      <alignment horizontal="right"/>
    </xf>
    <xf numFmtId="43" fontId="7" fillId="0" borderId="0" xfId="1" applyFont="1" applyBorder="1" applyAlignment="1">
      <alignment horizontal="right" wrapText="1"/>
    </xf>
    <xf numFmtId="44" fontId="9" fillId="4" borderId="5" xfId="2" applyFont="1" applyFill="1" applyBorder="1" applyAlignment="1">
      <alignment horizontal="right"/>
    </xf>
    <xf numFmtId="44" fontId="9" fillId="4" borderId="10" xfId="0" applyNumberFormat="1" applyFont="1" applyFill="1" applyBorder="1" applyAlignment="1">
      <alignment horizontal="right"/>
    </xf>
    <xf numFmtId="14" fontId="9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11" fillId="4" borderId="0" xfId="0" applyFont="1" applyFill="1" applyAlignment="1">
      <alignment horizontal="center"/>
    </xf>
    <xf numFmtId="43" fontId="12" fillId="0" borderId="0" xfId="1" applyFont="1" applyBorder="1" applyAlignment="1">
      <alignment horizontal="right" vertical="center"/>
    </xf>
    <xf numFmtId="0" fontId="0" fillId="2" borderId="2" xfId="0" applyFill="1" applyBorder="1"/>
    <xf numFmtId="0" fontId="0" fillId="2" borderId="15" xfId="0" applyFill="1" applyBorder="1"/>
    <xf numFmtId="0" fontId="0" fillId="0" borderId="26" xfId="0" applyBorder="1"/>
    <xf numFmtId="174" fontId="19" fillId="0" borderId="0" xfId="3" applyNumberFormat="1" applyFont="1" applyFill="1" applyBorder="1"/>
    <xf numFmtId="10" fontId="19" fillId="0" borderId="0" xfId="3" applyNumberFormat="1" applyFont="1" applyFill="1" applyBorder="1"/>
    <xf numFmtId="169" fontId="16" fillId="3" borderId="2" xfId="1" applyNumberFormat="1" applyFont="1" applyFill="1" applyBorder="1"/>
    <xf numFmtId="169" fontId="16" fillId="3" borderId="16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9" fillId="0" borderId="0" xfId="2" applyNumberFormat="1" applyFont="1" applyFill="1" applyBorder="1"/>
    <xf numFmtId="1" fontId="19" fillId="2" borderId="0" xfId="2" applyNumberFormat="1" applyFont="1" applyFill="1" applyBorder="1"/>
    <xf numFmtId="1" fontId="19" fillId="2" borderId="8" xfId="2" applyNumberFormat="1" applyFont="1" applyFill="1" applyBorder="1"/>
    <xf numFmtId="174" fontId="19" fillId="2" borderId="0" xfId="3" applyNumberFormat="1" applyFont="1" applyFill="1" applyBorder="1"/>
    <xf numFmtId="174" fontId="19" fillId="2" borderId="8" xfId="3" applyNumberFormat="1" applyFont="1" applyFill="1" applyBorder="1"/>
    <xf numFmtId="176" fontId="19" fillId="0" borderId="0" xfId="3" applyNumberFormat="1" applyFont="1" applyFill="1" applyBorder="1"/>
    <xf numFmtId="176" fontId="19" fillId="0" borderId="0" xfId="2" applyNumberFormat="1" applyFont="1" applyFill="1" applyBorder="1"/>
    <xf numFmtId="176" fontId="19" fillId="2" borderId="0" xfId="2" applyNumberFormat="1" applyFont="1" applyFill="1" applyBorder="1"/>
    <xf numFmtId="176" fontId="19" fillId="2" borderId="8" xfId="2" applyNumberFormat="1" applyFont="1" applyFill="1" applyBorder="1"/>
    <xf numFmtId="177" fontId="19" fillId="2" borderId="0" xfId="2" applyNumberFormat="1" applyFont="1" applyFill="1" applyBorder="1"/>
    <xf numFmtId="177" fontId="19" fillId="2" borderId="8" xfId="2" applyNumberFormat="1" applyFont="1" applyFill="1" applyBorder="1"/>
    <xf numFmtId="0" fontId="0" fillId="0" borderId="19" xfId="0" applyBorder="1"/>
    <xf numFmtId="43" fontId="0" fillId="0" borderId="19" xfId="1" applyFont="1" applyBorder="1"/>
    <xf numFmtId="170" fontId="33" fillId="4" borderId="28" xfId="0" applyNumberFormat="1" applyFont="1" applyFill="1" applyBorder="1" applyAlignment="1">
      <alignment horizontal="center" vertical="center"/>
    </xf>
    <xf numFmtId="14" fontId="11" fillId="0" borderId="28" xfId="0" applyNumberFormat="1" applyFont="1" applyBorder="1"/>
    <xf numFmtId="167" fontId="0" fillId="0" borderId="28" xfId="0" applyNumberFormat="1" applyBorder="1" applyAlignment="1">
      <alignment horizontal="right" vertical="center"/>
    </xf>
    <xf numFmtId="172" fontId="18" fillId="2" borderId="29" xfId="2" applyNumberFormat="1" applyFont="1" applyFill="1" applyBorder="1" applyAlignment="1">
      <alignment horizontal="right"/>
    </xf>
    <xf numFmtId="173" fontId="0" fillId="0" borderId="28" xfId="0" applyNumberFormat="1" applyBorder="1"/>
    <xf numFmtId="172" fontId="33" fillId="10" borderId="29" xfId="2" applyNumberFormat="1" applyFont="1" applyFill="1" applyBorder="1"/>
    <xf numFmtId="168" fontId="35" fillId="10" borderId="28" xfId="0" applyNumberFormat="1" applyFont="1" applyFill="1" applyBorder="1" applyAlignment="1">
      <alignment horizontal="right"/>
    </xf>
    <xf numFmtId="0" fontId="0" fillId="0" borderId="28" xfId="0" applyBorder="1"/>
    <xf numFmtId="172" fontId="12" fillId="2" borderId="29" xfId="2" applyNumberFormat="1" applyFont="1" applyFill="1" applyBorder="1" applyAlignment="1"/>
    <xf numFmtId="168" fontId="36" fillId="0" borderId="28" xfId="0" applyNumberFormat="1" applyFont="1" applyBorder="1"/>
    <xf numFmtId="43" fontId="0" fillId="0" borderId="28" xfId="1" applyFont="1" applyBorder="1" applyAlignment="1">
      <alignment horizontal="right" vertical="center"/>
    </xf>
    <xf numFmtId="44" fontId="9" fillId="4" borderId="31" xfId="2" applyFont="1" applyFill="1" applyBorder="1" applyAlignment="1">
      <alignment horizontal="right"/>
    </xf>
    <xf numFmtId="44" fontId="9" fillId="4" borderId="30" xfId="0" applyNumberFormat="1" applyFont="1" applyFill="1" applyBorder="1" applyAlignment="1">
      <alignment horizontal="right"/>
    </xf>
    <xf numFmtId="0" fontId="31" fillId="3" borderId="0" xfId="0" applyFont="1" applyFill="1"/>
    <xf numFmtId="2" fontId="0" fillId="0" borderId="0" xfId="3" applyNumberFormat="1" applyFont="1" applyBorder="1"/>
    <xf numFmtId="167" fontId="12" fillId="0" borderId="28" xfId="0" applyNumberFormat="1" applyFont="1" applyBorder="1" applyAlignment="1">
      <alignment horizontal="right" vertical="center"/>
    </xf>
    <xf numFmtId="173" fontId="12" fillId="0" borderId="28" xfId="0" applyNumberFormat="1" applyFont="1" applyBorder="1"/>
    <xf numFmtId="0" fontId="12" fillId="0" borderId="28" xfId="0" applyFont="1" applyBorder="1"/>
    <xf numFmtId="168" fontId="13" fillId="0" borderId="28" xfId="0" applyNumberFormat="1" applyFont="1" applyBorder="1"/>
    <xf numFmtId="43" fontId="12" fillId="0" borderId="28" xfId="1" applyFont="1" applyBorder="1" applyAlignment="1">
      <alignment horizontal="right" vertical="center"/>
    </xf>
    <xf numFmtId="0" fontId="6" fillId="0" borderId="5" xfId="0" applyFont="1" applyBorder="1" applyAlignment="1">
      <alignment wrapText="1"/>
    </xf>
    <xf numFmtId="0" fontId="11" fillId="0" borderId="0" xfId="0" applyFont="1"/>
    <xf numFmtId="167" fontId="12" fillId="7" borderId="28" xfId="0" applyNumberFormat="1" applyFont="1" applyFill="1" applyBorder="1" applyAlignment="1">
      <alignment horizontal="right" vertical="center"/>
    </xf>
    <xf numFmtId="172" fontId="18" fillId="7" borderId="29" xfId="2" applyNumberFormat="1" applyFont="1" applyFill="1" applyBorder="1" applyAlignment="1">
      <alignment horizontal="right"/>
    </xf>
    <xf numFmtId="173" fontId="12" fillId="7" borderId="28" xfId="0" applyNumberFormat="1" applyFont="1" applyFill="1" applyBorder="1"/>
    <xf numFmtId="172" fontId="40" fillId="7" borderId="29" xfId="2" applyNumberFormat="1" applyFont="1" applyFill="1" applyBorder="1"/>
    <xf numFmtId="168" fontId="41" fillId="7" borderId="28" xfId="0" applyNumberFormat="1" applyFont="1" applyFill="1" applyBorder="1" applyAlignment="1">
      <alignment horizontal="right"/>
    </xf>
    <xf numFmtId="0" fontId="18" fillId="7" borderId="28" xfId="0" applyFont="1" applyFill="1" applyBorder="1"/>
    <xf numFmtId="167" fontId="18" fillId="7" borderId="28" xfId="0" applyNumberFormat="1" applyFont="1" applyFill="1" applyBorder="1" applyAlignment="1">
      <alignment horizontal="right" vertical="center"/>
    </xf>
    <xf numFmtId="172" fontId="18" fillId="7" borderId="29" xfId="2" applyNumberFormat="1" applyFont="1" applyFill="1" applyBorder="1" applyAlignment="1"/>
    <xf numFmtId="168" fontId="41" fillId="7" borderId="28" xfId="0" applyNumberFormat="1" applyFont="1" applyFill="1" applyBorder="1"/>
    <xf numFmtId="43" fontId="18" fillId="7" borderId="28" xfId="1" applyFont="1" applyFill="1" applyBorder="1" applyAlignment="1">
      <alignment horizontal="right" vertical="center"/>
    </xf>
    <xf numFmtId="168" fontId="16" fillId="7" borderId="28" xfId="0" applyNumberFormat="1" applyFont="1" applyFill="1" applyBorder="1" applyAlignment="1">
      <alignment horizontal="right"/>
    </xf>
    <xf numFmtId="0" fontId="22" fillId="0" borderId="28" xfId="0" applyFont="1" applyBorder="1"/>
    <xf numFmtId="44" fontId="9" fillId="4" borderId="32" xfId="2" applyFont="1" applyFill="1" applyBorder="1" applyAlignment="1">
      <alignment horizontal="right"/>
    </xf>
    <xf numFmtId="44" fontId="31" fillId="3" borderId="0" xfId="0" applyNumberFormat="1" applyFont="1" applyFill="1"/>
    <xf numFmtId="167" fontId="18" fillId="2" borderId="0" xfId="1" applyNumberFormat="1" applyFont="1" applyFill="1" applyBorder="1" applyAlignment="1">
      <alignment horizontal="right"/>
    </xf>
    <xf numFmtId="172" fontId="0" fillId="0" borderId="0" xfId="0" applyNumberFormat="1"/>
    <xf numFmtId="1" fontId="0" fillId="2" borderId="34" xfId="0" applyNumberFormat="1" applyFill="1" applyBorder="1"/>
    <xf numFmtId="1" fontId="0" fillId="2" borderId="33" xfId="0" applyNumberFormat="1" applyFill="1" applyBorder="1"/>
    <xf numFmtId="2" fontId="0" fillId="2" borderId="33" xfId="0" applyNumberFormat="1" applyFill="1" applyBorder="1"/>
    <xf numFmtId="0" fontId="0" fillId="2" borderId="33" xfId="0" applyFill="1" applyBorder="1"/>
    <xf numFmtId="44" fontId="0" fillId="2" borderId="33" xfId="2" applyFont="1" applyFill="1" applyBorder="1" applyAlignment="1"/>
    <xf numFmtId="10" fontId="0" fillId="2" borderId="35" xfId="3" applyNumberFormat="1" applyFont="1" applyFill="1" applyBorder="1" applyAlignment="1"/>
    <xf numFmtId="44" fontId="0" fillId="0" borderId="33" xfId="2" applyFont="1" applyBorder="1" applyAlignment="1"/>
    <xf numFmtId="44" fontId="0" fillId="0" borderId="0" xfId="2" applyFont="1" applyBorder="1" applyAlignment="1"/>
    <xf numFmtId="44" fontId="0" fillId="0" borderId="37" xfId="0" applyNumberFormat="1" applyBorder="1"/>
    <xf numFmtId="44" fontId="0" fillId="0" borderId="33" xfId="0" applyNumberFormat="1" applyBorder="1"/>
    <xf numFmtId="44" fontId="0" fillId="0" borderId="38" xfId="0" applyNumberFormat="1" applyBorder="1"/>
    <xf numFmtId="0" fontId="32" fillId="4" borderId="39" xfId="0" applyFont="1" applyFill="1" applyBorder="1" applyAlignment="1">
      <alignment horizontal="right" vertical="center"/>
    </xf>
    <xf numFmtId="170" fontId="33" fillId="4" borderId="2" xfId="0" applyNumberFormat="1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vertical="center"/>
    </xf>
    <xf numFmtId="171" fontId="33" fillId="4" borderId="16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right"/>
    </xf>
    <xf numFmtId="0" fontId="0" fillId="0" borderId="40" xfId="0" applyBorder="1" applyAlignment="1">
      <alignment horizontal="right" vertical="center"/>
    </xf>
    <xf numFmtId="167" fontId="0" fillId="0" borderId="19" xfId="0" applyNumberFormat="1" applyBorder="1" applyAlignment="1">
      <alignment horizontal="right" vertical="center"/>
    </xf>
    <xf numFmtId="172" fontId="18" fillId="2" borderId="39" xfId="2" applyNumberFormat="1" applyFont="1" applyFill="1" applyBorder="1" applyAlignment="1">
      <alignment horizontal="right"/>
    </xf>
    <xf numFmtId="172" fontId="18" fillId="2" borderId="16" xfId="2" applyNumberFormat="1" applyFont="1" applyFill="1" applyBorder="1" applyAlignment="1">
      <alignment horizontal="right"/>
    </xf>
    <xf numFmtId="172" fontId="18" fillId="2" borderId="40" xfId="2" applyNumberFormat="1" applyFont="1" applyFill="1" applyBorder="1" applyAlignment="1">
      <alignment horizontal="right"/>
    </xf>
    <xf numFmtId="173" fontId="0" fillId="0" borderId="19" xfId="0" applyNumberFormat="1" applyBorder="1"/>
    <xf numFmtId="172" fontId="33" fillId="10" borderId="39" xfId="2" applyNumberFormat="1" applyFont="1" applyFill="1" applyBorder="1" applyAlignment="1">
      <alignment horizontal="right"/>
    </xf>
    <xf numFmtId="172" fontId="34" fillId="0" borderId="0" xfId="2" applyNumberFormat="1" applyFont="1" applyBorder="1"/>
    <xf numFmtId="172" fontId="33" fillId="10" borderId="16" xfId="2" applyNumberFormat="1" applyFont="1" applyFill="1" applyBorder="1"/>
    <xf numFmtId="0" fontId="35" fillId="10" borderId="40" xfId="0" applyFont="1" applyFill="1" applyBorder="1" applyAlignment="1">
      <alignment horizontal="right"/>
    </xf>
    <xf numFmtId="168" fontId="35" fillId="10" borderId="19" xfId="0" applyNumberFormat="1" applyFont="1" applyFill="1" applyBorder="1" applyAlignment="1">
      <alignment horizontal="right"/>
    </xf>
    <xf numFmtId="0" fontId="12" fillId="2" borderId="39" xfId="0" applyFont="1" applyFill="1" applyBorder="1" applyAlignment="1">
      <alignment horizontal="right"/>
    </xf>
    <xf numFmtId="172" fontId="0" fillId="0" borderId="0" xfId="2" applyNumberFormat="1" applyFont="1" applyBorder="1" applyAlignment="1"/>
    <xf numFmtId="172" fontId="12" fillId="2" borderId="16" xfId="2" applyNumberFormat="1" applyFont="1" applyFill="1" applyBorder="1" applyAlignment="1"/>
    <xf numFmtId="0" fontId="36" fillId="0" borderId="40" xfId="0" applyFont="1" applyBorder="1" applyAlignment="1">
      <alignment horizontal="right"/>
    </xf>
    <xf numFmtId="168" fontId="36" fillId="0" borderId="19" xfId="0" applyNumberFormat="1" applyFont="1" applyBorder="1"/>
    <xf numFmtId="0" fontId="9" fillId="4" borderId="41" xfId="0" applyFont="1" applyFill="1" applyBorder="1" applyAlignment="1">
      <alignment horizontal="right"/>
    </xf>
    <xf numFmtId="0" fontId="9" fillId="4" borderId="42" xfId="0" applyFont="1" applyFill="1" applyBorder="1" applyAlignment="1">
      <alignment horizontal="right"/>
    </xf>
    <xf numFmtId="44" fontId="9" fillId="4" borderId="1" xfId="0" applyNumberFormat="1" applyFont="1" applyFill="1" applyBorder="1" applyAlignment="1">
      <alignment horizontal="right"/>
    </xf>
    <xf numFmtId="44" fontId="9" fillId="4" borderId="43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44" xfId="0" applyBorder="1"/>
    <xf numFmtId="0" fontId="43" fillId="4" borderId="20" xfId="0" applyFont="1" applyFill="1" applyBorder="1" applyAlignment="1">
      <alignment horizontal="center"/>
    </xf>
    <xf numFmtId="0" fontId="44" fillId="0" borderId="0" xfId="0" applyFont="1"/>
    <xf numFmtId="0" fontId="47" fillId="2" borderId="21" xfId="0" applyFont="1" applyFill="1" applyBorder="1" applyAlignment="1">
      <alignment vertical="center"/>
    </xf>
    <xf numFmtId="0" fontId="50" fillId="2" borderId="23" xfId="0" applyFont="1" applyFill="1" applyBorder="1"/>
    <xf numFmtId="0" fontId="46" fillId="0" borderId="0" xfId="0" applyFont="1" applyAlignment="1">
      <alignment horizontal="center" wrapText="1"/>
    </xf>
    <xf numFmtId="172" fontId="18" fillId="2" borderId="0" xfId="2" applyNumberFormat="1" applyFont="1" applyFill="1" applyBorder="1" applyAlignment="1">
      <alignment horizontal="right"/>
    </xf>
    <xf numFmtId="0" fontId="43" fillId="4" borderId="45" xfId="0" applyFont="1" applyFill="1" applyBorder="1" applyAlignment="1">
      <alignment horizontal="center"/>
    </xf>
    <xf numFmtId="0" fontId="45" fillId="4" borderId="21" xfId="0" applyFont="1" applyFill="1" applyBorder="1" applyAlignment="1">
      <alignment vertical="center" wrapText="1"/>
    </xf>
    <xf numFmtId="0" fontId="43" fillId="4" borderId="46" xfId="0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14" fontId="43" fillId="4" borderId="12" xfId="0" applyNumberFormat="1" applyFont="1" applyFill="1" applyBorder="1" applyAlignment="1">
      <alignment horizontal="center"/>
    </xf>
    <xf numFmtId="44" fontId="0" fillId="0" borderId="34" xfId="0" applyNumberFormat="1" applyBorder="1"/>
    <xf numFmtId="0" fontId="0" fillId="2" borderId="3" xfId="0" applyFill="1" applyBorder="1"/>
    <xf numFmtId="44" fontId="0" fillId="2" borderId="37" xfId="0" applyNumberFormat="1" applyFill="1" applyBorder="1"/>
    <xf numFmtId="174" fontId="0" fillId="2" borderId="34" xfId="3" applyNumberFormat="1" applyFont="1" applyFill="1" applyBorder="1"/>
    <xf numFmtId="170" fontId="33" fillId="4" borderId="29" xfId="0" applyNumberFormat="1" applyFont="1" applyFill="1" applyBorder="1" applyAlignment="1">
      <alignment horizontal="center" vertical="center"/>
    </xf>
    <xf numFmtId="44" fontId="9" fillId="4" borderId="62" xfId="0" applyNumberFormat="1" applyFont="1" applyFill="1" applyBorder="1" applyAlignment="1">
      <alignment horizontal="right"/>
    </xf>
    <xf numFmtId="172" fontId="35" fillId="10" borderId="0" xfId="2" applyNumberFormat="1" applyFont="1" applyFill="1" applyBorder="1" applyAlignment="1">
      <alignment horizontal="right"/>
    </xf>
    <xf numFmtId="172" fontId="35" fillId="10" borderId="19" xfId="2" applyNumberFormat="1" applyFont="1" applyFill="1" applyBorder="1" applyAlignment="1">
      <alignment horizontal="right"/>
    </xf>
    <xf numFmtId="167" fontId="12" fillId="0" borderId="0" xfId="0" applyNumberFormat="1" applyFont="1" applyAlignment="1">
      <alignment horizontal="right" vertical="center"/>
    </xf>
    <xf numFmtId="173" fontId="12" fillId="0" borderId="0" xfId="0" applyNumberFormat="1" applyFont="1"/>
    <xf numFmtId="0" fontId="12" fillId="0" borderId="0" xfId="0" applyFont="1"/>
    <xf numFmtId="168" fontId="13" fillId="0" borderId="0" xfId="0" applyNumberFormat="1" applyFont="1"/>
    <xf numFmtId="44" fontId="9" fillId="4" borderId="63" xfId="0" applyNumberFormat="1" applyFont="1" applyFill="1" applyBorder="1" applyAlignment="1">
      <alignment horizontal="right"/>
    </xf>
    <xf numFmtId="14" fontId="43" fillId="4" borderId="20" xfId="0" applyNumberFormat="1" applyFont="1" applyFill="1" applyBorder="1" applyAlignment="1">
      <alignment horizontal="center"/>
    </xf>
    <xf numFmtId="14" fontId="43" fillId="4" borderId="65" xfId="0" applyNumberFormat="1" applyFont="1" applyFill="1" applyBorder="1" applyAlignment="1">
      <alignment horizontal="center"/>
    </xf>
    <xf numFmtId="14" fontId="43" fillId="4" borderId="64" xfId="0" applyNumberFormat="1" applyFont="1" applyFill="1" applyBorder="1" applyAlignment="1">
      <alignment horizontal="center"/>
    </xf>
    <xf numFmtId="43" fontId="20" fillId="3" borderId="0" xfId="1" applyFont="1" applyFill="1" applyBorder="1"/>
    <xf numFmtId="1" fontId="0" fillId="2" borderId="12" xfId="0" applyNumberFormat="1" applyFill="1" applyBorder="1"/>
    <xf numFmtId="2" fontId="0" fillId="2" borderId="12" xfId="0" applyNumberFormat="1" applyFill="1" applyBorder="1"/>
    <xf numFmtId="0" fontId="0" fillId="2" borderId="12" xfId="0" applyFill="1" applyBorder="1"/>
    <xf numFmtId="44" fontId="0" fillId="2" borderId="12" xfId="2" applyFont="1" applyFill="1" applyBorder="1" applyAlignment="1"/>
    <xf numFmtId="10" fontId="0" fillId="2" borderId="66" xfId="3" applyNumberFormat="1" applyFont="1" applyFill="1" applyBorder="1" applyAlignment="1"/>
    <xf numFmtId="44" fontId="0" fillId="0" borderId="12" xfId="2" applyFont="1" applyBorder="1" applyAlignment="1"/>
    <xf numFmtId="44" fontId="0" fillId="0" borderId="68" xfId="0" applyNumberFormat="1" applyBorder="1"/>
    <xf numFmtId="44" fontId="0" fillId="0" borderId="12" xfId="0" applyNumberFormat="1" applyBorder="1"/>
    <xf numFmtId="44" fontId="0" fillId="0" borderId="13" xfId="0" applyNumberFormat="1" applyBorder="1"/>
    <xf numFmtId="44" fontId="0" fillId="2" borderId="68" xfId="0" applyNumberFormat="1" applyFill="1" applyBorder="1"/>
    <xf numFmtId="0" fontId="45" fillId="4" borderId="0" xfId="0" applyFont="1" applyFill="1" applyAlignment="1">
      <alignment vertical="center" wrapText="1"/>
    </xf>
    <xf numFmtId="0" fontId="11" fillId="4" borderId="0" xfId="0" applyFont="1" applyFill="1"/>
    <xf numFmtId="0" fontId="0" fillId="2" borderId="0" xfId="0" applyFill="1"/>
    <xf numFmtId="0" fontId="6" fillId="0" borderId="0" xfId="0" applyFont="1" applyAlignment="1">
      <alignment wrapText="1"/>
    </xf>
    <xf numFmtId="0" fontId="0" fillId="4" borderId="5" xfId="0" applyFill="1" applyBorder="1"/>
    <xf numFmtId="0" fontId="9" fillId="4" borderId="5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9" fillId="4" borderId="76" xfId="0" applyFont="1" applyFill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14" fontId="9" fillId="4" borderId="19" xfId="0" applyNumberFormat="1" applyFont="1" applyFill="1" applyBorder="1" applyAlignment="1">
      <alignment horizontal="center"/>
    </xf>
    <xf numFmtId="44" fontId="12" fillId="0" borderId="16" xfId="0" applyNumberFormat="1" applyFont="1" applyBorder="1"/>
    <xf numFmtId="44" fontId="12" fillId="0" borderId="19" xfId="0" applyNumberFormat="1" applyFont="1" applyBorder="1"/>
    <xf numFmtId="44" fontId="12" fillId="0" borderId="14" xfId="0" applyNumberFormat="1" applyFont="1" applyBorder="1"/>
    <xf numFmtId="44" fontId="12" fillId="4" borderId="19" xfId="0" applyNumberFormat="1" applyFont="1" applyFill="1" applyBorder="1"/>
    <xf numFmtId="2" fontId="6" fillId="6" borderId="16" xfId="0" applyNumberFormat="1" applyFont="1" applyFill="1" applyBorder="1" applyAlignment="1">
      <alignment horizontal="right" wrapText="1"/>
    </xf>
    <xf numFmtId="0" fontId="0" fillId="4" borderId="19" xfId="0" applyFill="1" applyBorder="1"/>
    <xf numFmtId="44" fontId="0" fillId="0" borderId="16" xfId="0" applyNumberFormat="1" applyBorder="1"/>
    <xf numFmtId="44" fontId="0" fillId="0" borderId="19" xfId="0" applyNumberFormat="1" applyBorder="1"/>
    <xf numFmtId="44" fontId="0" fillId="0" borderId="44" xfId="0" applyNumberFormat="1" applyBorder="1"/>
    <xf numFmtId="170" fontId="33" fillId="4" borderId="16" xfId="0" applyNumberFormat="1" applyFont="1" applyFill="1" applyBorder="1" applyAlignment="1">
      <alignment horizontal="center" vertical="center"/>
    </xf>
    <xf numFmtId="44" fontId="9" fillId="4" borderId="76" xfId="2" applyFont="1" applyFill="1" applyBorder="1" applyAlignment="1">
      <alignment horizontal="right"/>
    </xf>
    <xf numFmtId="44" fontId="9" fillId="4" borderId="44" xfId="0" applyNumberFormat="1" applyFont="1" applyFill="1" applyBorder="1" applyAlignment="1">
      <alignment horizontal="right"/>
    </xf>
    <xf numFmtId="169" fontId="21" fillId="3" borderId="0" xfId="1" applyNumberFormat="1" applyFont="1" applyFill="1" applyBorder="1"/>
    <xf numFmtId="174" fontId="0" fillId="2" borderId="13" xfId="3" applyNumberFormat="1" applyFont="1" applyFill="1" applyBorder="1"/>
    <xf numFmtId="43" fontId="22" fillId="2" borderId="46" xfId="1" applyFont="1" applyFill="1" applyBorder="1" applyAlignment="1">
      <alignment horizontal="center"/>
    </xf>
    <xf numFmtId="170" fontId="33" fillId="4" borderId="39" xfId="0" applyNumberFormat="1" applyFont="1" applyFill="1" applyBorder="1" applyAlignment="1">
      <alignment horizontal="center" vertical="center"/>
    </xf>
    <xf numFmtId="167" fontId="18" fillId="2" borderId="19" xfId="1" applyNumberFormat="1" applyFont="1" applyFill="1" applyBorder="1" applyAlignment="1">
      <alignment horizontal="right"/>
    </xf>
    <xf numFmtId="1" fontId="31" fillId="3" borderId="0" xfId="0" applyNumberFormat="1" applyFont="1" applyFill="1"/>
    <xf numFmtId="44" fontId="30" fillId="0" borderId="16" xfId="0" applyNumberFormat="1" applyFont="1" applyBorder="1"/>
    <xf numFmtId="167" fontId="19" fillId="2" borderId="19" xfId="1" applyNumberFormat="1" applyFont="1" applyFill="1" applyBorder="1" applyAlignment="1"/>
    <xf numFmtId="167" fontId="22" fillId="2" borderId="19" xfId="1" applyNumberFormat="1" applyFont="1" applyFill="1" applyBorder="1"/>
    <xf numFmtId="43" fontId="22" fillId="2" borderId="19" xfId="1" applyFont="1" applyFill="1" applyBorder="1"/>
    <xf numFmtId="167" fontId="19" fillId="2" borderId="19" xfId="1" applyNumberFormat="1" applyFont="1" applyFill="1" applyBorder="1"/>
    <xf numFmtId="44" fontId="19" fillId="2" borderId="19" xfId="2" applyFont="1" applyFill="1" applyBorder="1"/>
    <xf numFmtId="174" fontId="19" fillId="2" borderId="19" xfId="3" applyNumberFormat="1" applyFont="1" applyFill="1" applyBorder="1"/>
    <xf numFmtId="1" fontId="19" fillId="2" borderId="19" xfId="2" applyNumberFormat="1" applyFont="1" applyFill="1" applyBorder="1"/>
    <xf numFmtId="176" fontId="19" fillId="2" borderId="19" xfId="2" applyNumberFormat="1" applyFont="1" applyFill="1" applyBorder="1"/>
    <xf numFmtId="177" fontId="19" fillId="2" borderId="19" xfId="2" applyNumberFormat="1" applyFont="1" applyFill="1" applyBorder="1"/>
    <xf numFmtId="172" fontId="18" fillId="0" borderId="19" xfId="2" applyNumberFormat="1" applyFont="1" applyFill="1" applyBorder="1" applyAlignment="1">
      <alignment horizontal="right"/>
    </xf>
    <xf numFmtId="167" fontId="18" fillId="2" borderId="0" xfId="1" applyNumberFormat="1" applyFont="1" applyFill="1" applyBorder="1"/>
    <xf numFmtId="0" fontId="32" fillId="4" borderId="4" xfId="0" applyFont="1" applyFill="1" applyBorder="1" applyAlignment="1">
      <alignment horizontal="right" vertical="center"/>
    </xf>
    <xf numFmtId="0" fontId="33" fillId="4" borderId="5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6" fillId="0" borderId="7" xfId="0" applyFont="1" applyBorder="1" applyAlignment="1">
      <alignment horizontal="left"/>
    </xf>
    <xf numFmtId="0" fontId="33" fillId="0" borderId="0" xfId="0" applyFont="1" applyAlignment="1">
      <alignment horizontal="center"/>
    </xf>
    <xf numFmtId="0" fontId="33" fillId="0" borderId="8" xfId="0" applyFont="1" applyBorder="1" applyAlignment="1">
      <alignment horizontal="center"/>
    </xf>
    <xf numFmtId="0" fontId="0" fillId="0" borderId="7" xfId="0" applyBorder="1" applyAlignment="1">
      <alignment horizontal="right" vertical="center"/>
    </xf>
    <xf numFmtId="167" fontId="0" fillId="0" borderId="8" xfId="1" applyNumberFormat="1" applyFont="1" applyBorder="1"/>
    <xf numFmtId="172" fontId="18" fillId="2" borderId="79" xfId="2" applyNumberFormat="1" applyFont="1" applyFill="1" applyBorder="1" applyAlignment="1">
      <alignment horizontal="right"/>
    </xf>
    <xf numFmtId="172" fontId="18" fillId="2" borderId="80" xfId="2" applyNumberFormat="1" applyFont="1" applyFill="1" applyBorder="1"/>
    <xf numFmtId="172" fontId="18" fillId="2" borderId="7" xfId="2" applyNumberFormat="1" applyFont="1" applyFill="1" applyBorder="1" applyAlignment="1">
      <alignment horizontal="right"/>
    </xf>
    <xf numFmtId="167" fontId="18" fillId="2" borderId="8" xfId="1" applyNumberFormat="1" applyFont="1" applyFill="1" applyBorder="1"/>
    <xf numFmtId="0" fontId="37" fillId="0" borderId="7" xfId="0" applyFont="1" applyBorder="1" applyAlignment="1">
      <alignment horizontal="right" vertical="top"/>
    </xf>
    <xf numFmtId="9" fontId="38" fillId="0" borderId="8" xfId="3" applyFont="1" applyBorder="1"/>
    <xf numFmtId="0" fontId="0" fillId="0" borderId="7" xfId="0" applyBorder="1" applyAlignment="1">
      <alignment horizontal="right"/>
    </xf>
    <xf numFmtId="172" fontId="33" fillId="10" borderId="79" xfId="2" applyNumberFormat="1" applyFont="1" applyFill="1" applyBorder="1" applyAlignment="1">
      <alignment horizontal="right"/>
    </xf>
    <xf numFmtId="172" fontId="33" fillId="10" borderId="80" xfId="2" applyNumberFormat="1" applyFont="1" applyFill="1" applyBorder="1"/>
    <xf numFmtId="0" fontId="35" fillId="10" borderId="7" xfId="0" applyFont="1" applyFill="1" applyBorder="1" applyAlignment="1">
      <alignment horizontal="right"/>
    </xf>
    <xf numFmtId="168" fontId="35" fillId="10" borderId="8" xfId="0" applyNumberFormat="1" applyFont="1" applyFill="1" applyBorder="1" applyAlignment="1">
      <alignment horizontal="right"/>
    </xf>
    <xf numFmtId="173" fontId="0" fillId="0" borderId="8" xfId="0" applyNumberFormat="1" applyBorder="1"/>
    <xf numFmtId="172" fontId="12" fillId="2" borderId="79" xfId="2" applyNumberFormat="1" applyFont="1" applyFill="1" applyBorder="1" applyAlignment="1">
      <alignment horizontal="right"/>
    </xf>
    <xf numFmtId="172" fontId="12" fillId="2" borderId="80" xfId="2" applyNumberFormat="1" applyFont="1" applyFill="1" applyBorder="1"/>
    <xf numFmtId="0" fontId="36" fillId="0" borderId="7" xfId="0" applyFont="1" applyBorder="1" applyAlignment="1">
      <alignment horizontal="right"/>
    </xf>
    <xf numFmtId="168" fontId="36" fillId="0" borderId="8" xfId="0" applyNumberFormat="1" applyFont="1" applyBorder="1"/>
    <xf numFmtId="0" fontId="35" fillId="10" borderId="9" xfId="0" applyFont="1" applyFill="1" applyBorder="1" applyAlignment="1">
      <alignment horizontal="right"/>
    </xf>
    <xf numFmtId="168" fontId="35" fillId="10" borderId="10" xfId="0" applyNumberFormat="1" applyFont="1" applyFill="1" applyBorder="1" applyAlignment="1">
      <alignment horizontal="right"/>
    </xf>
    <xf numFmtId="168" fontId="35" fillId="10" borderId="11" xfId="0" applyNumberFormat="1" applyFont="1" applyFill="1" applyBorder="1" applyAlignment="1">
      <alignment horizontal="right"/>
    </xf>
    <xf numFmtId="43" fontId="29" fillId="3" borderId="0" xfId="1" applyFont="1" applyFill="1" applyAlignment="1">
      <alignment horizontal="right" wrapText="1"/>
    </xf>
    <xf numFmtId="0" fontId="0" fillId="7" borderId="3" xfId="0" applyFill="1" applyBorder="1"/>
    <xf numFmtId="0" fontId="6" fillId="7" borderId="3" xfId="0" applyFont="1" applyFill="1" applyBorder="1" applyAlignment="1">
      <alignment horizontal="left" wrapText="1"/>
    </xf>
    <xf numFmtId="44" fontId="12" fillId="7" borderId="3" xfId="0" applyNumberFormat="1" applyFont="1" applyFill="1" applyBorder="1"/>
    <xf numFmtId="10" fontId="12" fillId="7" borderId="3" xfId="3" applyNumberFormat="1" applyFont="1" applyFill="1" applyBorder="1"/>
    <xf numFmtId="10" fontId="12" fillId="7" borderId="14" xfId="3" applyNumberFormat="1" applyFont="1" applyFill="1" applyBorder="1"/>
    <xf numFmtId="44" fontId="54" fillId="0" borderId="0" xfId="2" applyFont="1" applyFill="1" applyBorder="1"/>
    <xf numFmtId="174" fontId="54" fillId="0" borderId="0" xfId="3" applyNumberFormat="1" applyFont="1" applyFill="1" applyBorder="1"/>
    <xf numFmtId="174" fontId="30" fillId="0" borderId="0" xfId="3" applyNumberFormat="1" applyFont="1" applyFill="1" applyBorder="1"/>
    <xf numFmtId="174" fontId="30" fillId="2" borderId="0" xfId="3" applyNumberFormat="1" applyFont="1" applyFill="1" applyBorder="1"/>
    <xf numFmtId="174" fontId="30" fillId="2" borderId="19" xfId="3" applyNumberFormat="1" applyFont="1" applyFill="1" applyBorder="1"/>
    <xf numFmtId="174" fontId="30" fillId="2" borderId="8" xfId="3" applyNumberFormat="1" applyFont="1" applyFill="1" applyBorder="1"/>
    <xf numFmtId="168" fontId="19" fillId="0" borderId="0" xfId="2" applyNumberFormat="1" applyFont="1" applyFill="1" applyBorder="1"/>
    <xf numFmtId="0" fontId="9" fillId="0" borderId="0" xfId="0" applyFont="1" applyAlignment="1">
      <alignment horizontal="right"/>
    </xf>
    <xf numFmtId="44" fontId="0" fillId="0" borderId="0" xfId="2" applyFont="1"/>
    <xf numFmtId="167" fontId="0" fillId="0" borderId="0" xfId="1" applyNumberFormat="1" applyFont="1"/>
    <xf numFmtId="0" fontId="24" fillId="2" borderId="2" xfId="0" applyFont="1" applyFill="1" applyBorder="1"/>
    <xf numFmtId="0" fontId="25" fillId="2" borderId="2" xfId="0" applyFont="1" applyFill="1" applyBorder="1" applyAlignment="1">
      <alignment horizontal="left"/>
    </xf>
    <xf numFmtId="0" fontId="26" fillId="2" borderId="2" xfId="0" applyFont="1" applyFill="1" applyBorder="1"/>
    <xf numFmtId="168" fontId="25" fillId="2" borderId="2" xfId="0" applyNumberFormat="1" applyFont="1" applyFill="1" applyBorder="1"/>
    <xf numFmtId="168" fontId="25" fillId="2" borderId="16" xfId="0" applyNumberFormat="1" applyFont="1" applyFill="1" applyBorder="1"/>
    <xf numFmtId="168" fontId="25" fillId="2" borderId="80" xfId="0" applyNumberFormat="1" applyFont="1" applyFill="1" applyBorder="1"/>
    <xf numFmtId="0" fontId="24" fillId="2" borderId="3" xfId="0" applyFont="1" applyFill="1" applyBorder="1"/>
    <xf numFmtId="0" fontId="25" fillId="2" borderId="3" xfId="0" applyFont="1" applyFill="1" applyBorder="1" applyAlignment="1">
      <alignment horizontal="left"/>
    </xf>
    <xf numFmtId="0" fontId="26" fillId="2" borderId="3" xfId="0" applyFont="1" applyFill="1" applyBorder="1"/>
    <xf numFmtId="168" fontId="25" fillId="2" borderId="3" xfId="0" applyNumberFormat="1" applyFont="1" applyFill="1" applyBorder="1"/>
    <xf numFmtId="44" fontId="56" fillId="2" borderId="3" xfId="2" applyFont="1" applyFill="1" applyBorder="1"/>
    <xf numFmtId="168" fontId="25" fillId="2" borderId="14" xfId="0" applyNumberFormat="1" applyFont="1" applyFill="1" applyBorder="1"/>
    <xf numFmtId="44" fontId="56" fillId="2" borderId="14" xfId="2" applyFont="1" applyFill="1" applyBorder="1"/>
    <xf numFmtId="167" fontId="18" fillId="7" borderId="28" xfId="1" applyNumberFormat="1" applyFont="1" applyFill="1" applyBorder="1" applyAlignment="1">
      <alignment horizontal="right"/>
    </xf>
    <xf numFmtId="44" fontId="22" fillId="0" borderId="50" xfId="0" applyNumberFormat="1" applyFont="1" applyBorder="1" applyAlignment="1">
      <alignment horizontal="center"/>
    </xf>
    <xf numFmtId="44" fontId="22" fillId="0" borderId="46" xfId="0" applyNumberFormat="1" applyFont="1" applyBorder="1" applyAlignment="1">
      <alignment horizontal="center"/>
    </xf>
    <xf numFmtId="174" fontId="22" fillId="2" borderId="47" xfId="0" applyNumberFormat="1" applyFont="1" applyFill="1" applyBorder="1" applyAlignment="1">
      <alignment horizontal="center"/>
    </xf>
    <xf numFmtId="44" fontId="22" fillId="0" borderId="51" xfId="0" applyNumberFormat="1" applyFont="1" applyBorder="1" applyAlignment="1">
      <alignment horizontal="center"/>
    </xf>
    <xf numFmtId="170" fontId="33" fillId="4" borderId="82" xfId="0" applyNumberFormat="1" applyFont="1" applyFill="1" applyBorder="1" applyAlignment="1">
      <alignment horizontal="center" vertical="center"/>
    </xf>
    <xf numFmtId="14" fontId="11" fillId="0" borderId="83" xfId="0" applyNumberFormat="1" applyFont="1" applyBorder="1"/>
    <xf numFmtId="167" fontId="12" fillId="7" borderId="83" xfId="0" applyNumberFormat="1" applyFont="1" applyFill="1" applyBorder="1" applyAlignment="1">
      <alignment horizontal="right" vertical="center"/>
    </xf>
    <xf numFmtId="172" fontId="18" fillId="7" borderId="82" xfId="2" applyNumberFormat="1" applyFont="1" applyFill="1" applyBorder="1" applyAlignment="1">
      <alignment horizontal="right"/>
    </xf>
    <xf numFmtId="173" fontId="12" fillId="7" borderId="83" xfId="0" applyNumberFormat="1" applyFont="1" applyFill="1" applyBorder="1"/>
    <xf numFmtId="172" fontId="40" fillId="7" borderId="82" xfId="2" applyNumberFormat="1" applyFont="1" applyFill="1" applyBorder="1"/>
    <xf numFmtId="0" fontId="18" fillId="7" borderId="83" xfId="0" applyFont="1" applyFill="1" applyBorder="1"/>
    <xf numFmtId="167" fontId="18" fillId="7" borderId="83" xfId="0" applyNumberFormat="1" applyFont="1" applyFill="1" applyBorder="1" applyAlignment="1">
      <alignment horizontal="right" vertical="center"/>
    </xf>
    <xf numFmtId="172" fontId="18" fillId="7" borderId="82" xfId="2" applyNumberFormat="1" applyFont="1" applyFill="1" applyBorder="1" applyAlignment="1"/>
    <xf numFmtId="168" fontId="41" fillId="7" borderId="83" xfId="0" applyNumberFormat="1" applyFont="1" applyFill="1" applyBorder="1"/>
    <xf numFmtId="43" fontId="18" fillId="7" borderId="83" xfId="1" applyFont="1" applyFill="1" applyBorder="1" applyAlignment="1">
      <alignment horizontal="right" vertical="center"/>
    </xf>
    <xf numFmtId="168" fontId="16" fillId="7" borderId="83" xfId="0" applyNumberFormat="1" applyFont="1" applyFill="1" applyBorder="1" applyAlignment="1">
      <alignment horizontal="right"/>
    </xf>
    <xf numFmtId="0" fontId="0" fillId="0" borderId="83" xfId="0" applyBorder="1"/>
    <xf numFmtId="44" fontId="30" fillId="4" borderId="84" xfId="2" applyFont="1" applyFill="1" applyBorder="1" applyAlignment="1">
      <alignment horizontal="right"/>
    </xf>
    <xf numFmtId="168" fontId="25" fillId="2" borderId="81" xfId="0" applyNumberFormat="1" applyFont="1" applyFill="1" applyBorder="1"/>
    <xf numFmtId="43" fontId="0" fillId="0" borderId="12" xfId="1" applyFont="1" applyBorder="1"/>
    <xf numFmtId="43" fontId="0" fillId="0" borderId="33" xfId="1" applyFont="1" applyBorder="1"/>
    <xf numFmtId="43" fontId="6" fillId="0" borderId="67" xfId="1" applyFont="1" applyBorder="1" applyAlignment="1">
      <alignment wrapText="1"/>
    </xf>
    <xf numFmtId="43" fontId="6" fillId="0" borderId="36" xfId="1" applyFont="1" applyBorder="1" applyAlignment="1">
      <alignment wrapText="1"/>
    </xf>
    <xf numFmtId="43" fontId="0" fillId="0" borderId="12" xfId="1" applyFont="1" applyBorder="1" applyAlignment="1"/>
    <xf numFmtId="43" fontId="0" fillId="0" borderId="33" xfId="1" applyFont="1" applyBorder="1" applyAlignment="1"/>
    <xf numFmtId="0" fontId="0" fillId="2" borderId="13" xfId="0" applyFill="1" applyBorder="1"/>
    <xf numFmtId="44" fontId="0" fillId="0" borderId="69" xfId="2" applyFont="1" applyBorder="1" applyAlignment="1"/>
    <xf numFmtId="43" fontId="48" fillId="2" borderId="16" xfId="0" applyNumberFormat="1" applyFont="1" applyFill="1" applyBorder="1" applyAlignment="1">
      <alignment horizontal="right"/>
    </xf>
    <xf numFmtId="0" fontId="49" fillId="2" borderId="19" xfId="0" applyFont="1" applyFill="1" applyBorder="1" applyAlignment="1">
      <alignment horizontal="right"/>
    </xf>
    <xf numFmtId="43" fontId="48" fillId="2" borderId="19" xfId="0" applyNumberFormat="1" applyFont="1" applyFill="1" applyBorder="1" applyAlignment="1">
      <alignment horizontal="right"/>
    </xf>
    <xf numFmtId="0" fontId="48" fillId="2" borderId="19" xfId="0" applyFont="1" applyFill="1" applyBorder="1" applyAlignment="1">
      <alignment horizontal="right"/>
    </xf>
    <xf numFmtId="0" fontId="51" fillId="2" borderId="77" xfId="0" applyFont="1" applyFill="1" applyBorder="1" applyAlignment="1">
      <alignment horizontal="right"/>
    </xf>
    <xf numFmtId="174" fontId="0" fillId="2" borderId="68" xfId="3" applyNumberFormat="1" applyFont="1" applyFill="1" applyBorder="1"/>
    <xf numFmtId="174" fontId="0" fillId="2" borderId="37" xfId="3" applyNumberFormat="1" applyFont="1" applyFill="1" applyBorder="1"/>
    <xf numFmtId="174" fontId="22" fillId="2" borderId="50" xfId="0" applyNumberFormat="1" applyFont="1" applyFill="1" applyBorder="1" applyAlignment="1">
      <alignment horizontal="center"/>
    </xf>
    <xf numFmtId="43" fontId="42" fillId="0" borderId="0" xfId="1" applyFont="1" applyFill="1"/>
    <xf numFmtId="43" fontId="42" fillId="0" borderId="19" xfId="1" applyFont="1" applyFill="1" applyBorder="1"/>
    <xf numFmtId="43" fontId="59" fillId="0" borderId="0" xfId="1" applyFont="1" applyFill="1" applyAlignment="1">
      <alignment horizontal="right" wrapText="1"/>
    </xf>
    <xf numFmtId="0" fontId="0" fillId="0" borderId="40" xfId="0" applyBorder="1"/>
    <xf numFmtId="0" fontId="0" fillId="0" borderId="70" xfId="0" applyBorder="1"/>
    <xf numFmtId="172" fontId="31" fillId="6" borderId="40" xfId="2" applyNumberFormat="1" applyFont="1" applyFill="1" applyBorder="1"/>
    <xf numFmtId="172" fontId="0" fillId="0" borderId="0" xfId="2" applyNumberFormat="1" applyFont="1" applyBorder="1"/>
    <xf numFmtId="172" fontId="0" fillId="0" borderId="70" xfId="2" applyNumberFormat="1" applyFont="1" applyBorder="1"/>
    <xf numFmtId="172" fontId="0" fillId="0" borderId="40" xfId="2" applyNumberFormat="1" applyFont="1" applyBorder="1"/>
    <xf numFmtId="172" fontId="0" fillId="0" borderId="87" xfId="2" applyNumberFormat="1" applyFont="1" applyBorder="1"/>
    <xf numFmtId="172" fontId="0" fillId="0" borderId="26" xfId="2" applyNumberFormat="1" applyFont="1" applyBorder="1"/>
    <xf numFmtId="172" fontId="0" fillId="0" borderId="75" xfId="2" applyNumberFormat="1" applyFont="1" applyBorder="1"/>
    <xf numFmtId="0" fontId="0" fillId="0" borderId="88" xfId="0" applyBorder="1"/>
    <xf numFmtId="0" fontId="0" fillId="0" borderId="20" xfId="0" applyBorder="1"/>
    <xf numFmtId="14" fontId="0" fillId="0" borderId="89" xfId="0" applyNumberFormat="1" applyBorder="1"/>
    <xf numFmtId="0" fontId="0" fillId="0" borderId="21" xfId="0" applyBorder="1"/>
    <xf numFmtId="0" fontId="0" fillId="0" borderId="61" xfId="0" applyBorder="1"/>
    <xf numFmtId="0" fontId="0" fillId="0" borderId="26" xfId="0" applyBorder="1" applyAlignment="1">
      <alignment horizontal="right"/>
    </xf>
    <xf numFmtId="14" fontId="0" fillId="0" borderId="20" xfId="0" applyNumberFormat="1" applyBorder="1"/>
    <xf numFmtId="14" fontId="0" fillId="0" borderId="78" xfId="0" applyNumberFormat="1" applyBorder="1"/>
    <xf numFmtId="172" fontId="18" fillId="2" borderId="42" xfId="2" applyNumberFormat="1" applyFont="1" applyFill="1" applyBorder="1" applyAlignment="1">
      <alignment horizontal="right"/>
    </xf>
    <xf numFmtId="167" fontId="18" fillId="2" borderId="1" xfId="1" applyNumberFormat="1" applyFont="1" applyFill="1" applyBorder="1" applyAlignment="1">
      <alignment horizontal="right"/>
    </xf>
    <xf numFmtId="167" fontId="18" fillId="2" borderId="44" xfId="1" applyNumberFormat="1" applyFont="1" applyFill="1" applyBorder="1" applyAlignment="1">
      <alignment horizontal="right"/>
    </xf>
    <xf numFmtId="172" fontId="18" fillId="2" borderId="90" xfId="2" applyNumberFormat="1" applyFont="1" applyFill="1" applyBorder="1" applyAlignment="1">
      <alignment horizontal="right"/>
    </xf>
    <xf numFmtId="0" fontId="35" fillId="10" borderId="42" xfId="0" applyFont="1" applyFill="1" applyBorder="1" applyAlignment="1">
      <alignment horizontal="right"/>
    </xf>
    <xf numFmtId="168" fontId="35" fillId="10" borderId="1" xfId="0" applyNumberFormat="1" applyFont="1" applyFill="1" applyBorder="1" applyAlignment="1">
      <alignment horizontal="right"/>
    </xf>
    <xf numFmtId="168" fontId="35" fillId="10" borderId="44" xfId="0" applyNumberFormat="1" applyFont="1" applyFill="1" applyBorder="1" applyAlignment="1">
      <alignment horizontal="right"/>
    </xf>
    <xf numFmtId="172" fontId="33" fillId="10" borderId="91" xfId="2" applyNumberFormat="1" applyFont="1" applyFill="1" applyBorder="1"/>
    <xf numFmtId="168" fontId="35" fillId="10" borderId="92" xfId="0" applyNumberFormat="1" applyFont="1" applyFill="1" applyBorder="1" applyAlignment="1">
      <alignment horizontal="right"/>
    </xf>
    <xf numFmtId="0" fontId="12" fillId="2" borderId="93" xfId="0" applyFont="1" applyFill="1" applyBorder="1" applyAlignment="1">
      <alignment horizontal="right"/>
    </xf>
    <xf numFmtId="172" fontId="12" fillId="2" borderId="3" xfId="2" applyNumberFormat="1" applyFont="1" applyFill="1" applyBorder="1" applyAlignment="1"/>
    <xf numFmtId="172" fontId="12" fillId="2" borderId="14" xfId="2" applyNumberFormat="1" applyFont="1" applyFill="1" applyBorder="1" applyAlignment="1"/>
    <xf numFmtId="172" fontId="12" fillId="2" borderId="90" xfId="2" applyNumberFormat="1" applyFont="1" applyFill="1" applyBorder="1" applyAlignment="1"/>
    <xf numFmtId="172" fontId="39" fillId="10" borderId="1" xfId="2" applyNumberFormat="1" applyFont="1" applyFill="1" applyBorder="1" applyAlignment="1">
      <alignment horizontal="right"/>
    </xf>
    <xf numFmtId="172" fontId="39" fillId="10" borderId="44" xfId="2" applyNumberFormat="1" applyFont="1" applyFill="1" applyBorder="1" applyAlignment="1">
      <alignment horizontal="right"/>
    </xf>
    <xf numFmtId="168" fontId="35" fillId="10" borderId="94" xfId="0" applyNumberFormat="1" applyFont="1" applyFill="1" applyBorder="1" applyAlignment="1">
      <alignment horizontal="right"/>
    </xf>
    <xf numFmtId="172" fontId="35" fillId="10" borderId="94" xfId="2" applyNumberFormat="1" applyFont="1" applyFill="1" applyBorder="1" applyAlignment="1">
      <alignment horizontal="right"/>
    </xf>
    <xf numFmtId="172" fontId="58" fillId="10" borderId="92" xfId="2" applyNumberFormat="1" applyFont="1" applyFill="1" applyBorder="1" applyAlignment="1">
      <alignment horizontal="right"/>
    </xf>
    <xf numFmtId="43" fontId="22" fillId="2" borderId="47" xfId="1" applyFont="1" applyFill="1" applyBorder="1" applyAlignment="1">
      <alignment horizontal="center"/>
    </xf>
    <xf numFmtId="44" fontId="22" fillId="2" borderId="46" xfId="0" applyNumberFormat="1" applyFont="1" applyFill="1" applyBorder="1" applyAlignment="1">
      <alignment horizontal="center"/>
    </xf>
    <xf numFmtId="10" fontId="22" fillId="2" borderId="48" xfId="3" applyNumberFormat="1" applyFont="1" applyFill="1" applyBorder="1" applyAlignment="1">
      <alignment horizontal="center"/>
    </xf>
    <xf numFmtId="44" fontId="60" fillId="0" borderId="49" xfId="0" applyNumberFormat="1" applyFont="1" applyBorder="1" applyAlignment="1">
      <alignment horizontal="center" wrapText="1"/>
    </xf>
    <xf numFmtId="44" fontId="22" fillId="0" borderId="47" xfId="0" applyNumberFormat="1" applyFont="1" applyBorder="1" applyAlignment="1">
      <alignment horizontal="center"/>
    </xf>
    <xf numFmtId="44" fontId="22" fillId="0" borderId="0" xfId="2" applyFont="1" applyFill="1" applyBorder="1"/>
    <xf numFmtId="172" fontId="31" fillId="6" borderId="0" xfId="2" applyNumberFormat="1" applyFont="1" applyFill="1" applyBorder="1"/>
    <xf numFmtId="44" fontId="2" fillId="0" borderId="0" xfId="2" applyFont="1" applyFill="1" applyBorder="1"/>
    <xf numFmtId="167" fontId="22" fillId="2" borderId="12" xfId="1" applyNumberFormat="1" applyFont="1" applyFill="1" applyBorder="1" applyAlignment="1">
      <alignment horizontal="center"/>
    </xf>
    <xf numFmtId="167" fontId="18" fillId="7" borderId="85" xfId="1" applyNumberFormat="1" applyFont="1" applyFill="1" applyBorder="1" applyAlignment="1">
      <alignment horizontal="right"/>
    </xf>
    <xf numFmtId="167" fontId="18" fillId="2" borderId="62" xfId="1" applyNumberFormat="1" applyFont="1" applyFill="1" applyBorder="1" applyAlignment="1">
      <alignment horizontal="right"/>
    </xf>
    <xf numFmtId="168" fontId="39" fillId="10" borderId="1" xfId="0" applyNumberFormat="1" applyFont="1" applyFill="1" applyBorder="1" applyAlignment="1">
      <alignment horizontal="right"/>
    </xf>
    <xf numFmtId="168" fontId="41" fillId="7" borderId="85" xfId="0" applyNumberFormat="1" applyFont="1" applyFill="1" applyBorder="1" applyAlignment="1">
      <alignment horizontal="right"/>
    </xf>
    <xf numFmtId="168" fontId="39" fillId="10" borderId="62" xfId="0" applyNumberFormat="1" applyFont="1" applyFill="1" applyBorder="1" applyAlignment="1">
      <alignment horizontal="right"/>
    </xf>
    <xf numFmtId="0" fontId="0" fillId="4" borderId="4" xfId="0" applyFill="1" applyBorder="1"/>
    <xf numFmtId="0" fontId="0" fillId="4" borderId="7" xfId="0" applyFill="1" applyBorder="1"/>
    <xf numFmtId="0" fontId="9" fillId="4" borderId="7" xfId="0" applyFont="1" applyFill="1" applyBorder="1"/>
    <xf numFmtId="0" fontId="6" fillId="0" borderId="7" xfId="0" applyFont="1" applyBorder="1" applyAlignment="1">
      <alignment horizontal="left" wrapText="1"/>
    </xf>
    <xf numFmtId="0" fontId="6" fillId="0" borderId="79" xfId="0" applyFont="1" applyBorder="1" applyAlignment="1">
      <alignment horizontal="left" wrapText="1"/>
    </xf>
    <xf numFmtId="43" fontId="6" fillId="0" borderId="7" xfId="1" applyFont="1" applyBorder="1" applyAlignment="1">
      <alignment horizontal="left" wrapText="1"/>
    </xf>
    <xf numFmtId="0" fontId="6" fillId="0" borderId="97" xfId="0" applyFont="1" applyBorder="1" applyAlignment="1">
      <alignment horizontal="left" wrapText="1"/>
    </xf>
    <xf numFmtId="43" fontId="19" fillId="2" borderId="95" xfId="0" applyNumberFormat="1" applyFont="1" applyFill="1" applyBorder="1" applyAlignment="1">
      <alignment horizontal="right"/>
    </xf>
    <xf numFmtId="0" fontId="15" fillId="2" borderId="97" xfId="0" applyFont="1" applyFill="1" applyBorder="1" applyAlignment="1">
      <alignment horizontal="right"/>
    </xf>
    <xf numFmtId="43" fontId="19" fillId="2" borderId="97" xfId="0" applyNumberFormat="1" applyFont="1" applyFill="1" applyBorder="1" applyAlignment="1">
      <alignment horizontal="right"/>
    </xf>
    <xf numFmtId="0" fontId="19" fillId="2" borderId="97" xfId="0" applyFont="1" applyFill="1" applyBorder="1" applyAlignment="1">
      <alignment horizontal="right"/>
    </xf>
    <xf numFmtId="0" fontId="6" fillId="0" borderId="95" xfId="0" applyFont="1" applyBorder="1" applyAlignment="1">
      <alignment horizontal="right" wrapText="1"/>
    </xf>
    <xf numFmtId="0" fontId="6" fillId="7" borderId="96" xfId="0" applyFont="1" applyFill="1" applyBorder="1" applyAlignment="1">
      <alignment horizontal="right" wrapText="1"/>
    </xf>
    <xf numFmtId="9" fontId="0" fillId="0" borderId="0" xfId="3" applyFont="1"/>
    <xf numFmtId="9" fontId="19" fillId="0" borderId="0" xfId="3" applyFont="1" applyFill="1" applyBorder="1"/>
    <xf numFmtId="170" fontId="32" fillId="4" borderId="2" xfId="0" applyNumberFormat="1" applyFont="1" applyFill="1" applyBorder="1" applyAlignment="1">
      <alignment horizontal="center" vertical="center"/>
    </xf>
    <xf numFmtId="172" fontId="22" fillId="2" borderId="2" xfId="2" applyNumberFormat="1" applyFont="1" applyFill="1" applyBorder="1" applyAlignment="1">
      <alignment horizontal="right"/>
    </xf>
    <xf numFmtId="167" fontId="22" fillId="2" borderId="0" xfId="1" applyNumberFormat="1" applyFont="1" applyFill="1" applyBorder="1" applyAlignment="1">
      <alignment horizontal="right"/>
    </xf>
    <xf numFmtId="167" fontId="22" fillId="2" borderId="1" xfId="1" applyNumberFormat="1" applyFont="1" applyFill="1" applyBorder="1" applyAlignment="1">
      <alignment horizontal="right"/>
    </xf>
    <xf numFmtId="172" fontId="32" fillId="10" borderId="2" xfId="2" applyNumberFormat="1" applyFont="1" applyFill="1" applyBorder="1"/>
    <xf numFmtId="172" fontId="8" fillId="2" borderId="3" xfId="2" applyNumberFormat="1" applyFont="1" applyFill="1" applyBorder="1" applyAlignment="1"/>
    <xf numFmtId="43" fontId="8" fillId="0" borderId="0" xfId="1" applyFont="1" applyBorder="1" applyAlignment="1">
      <alignment horizontal="right" vertical="center"/>
    </xf>
    <xf numFmtId="44" fontId="11" fillId="4" borderId="5" xfId="2" applyFont="1" applyFill="1" applyBorder="1" applyAlignment="1">
      <alignment horizontal="right"/>
    </xf>
    <xf numFmtId="44" fontId="11" fillId="4" borderId="1" xfId="0" applyNumberFormat="1" applyFont="1" applyFill="1" applyBorder="1" applyAlignment="1">
      <alignment horizontal="right"/>
    </xf>
    <xf numFmtId="44" fontId="9" fillId="4" borderId="98" xfId="2" applyFont="1" applyFill="1" applyBorder="1" applyAlignment="1">
      <alignment horizontal="right"/>
    </xf>
    <xf numFmtId="44" fontId="9" fillId="4" borderId="99" xfId="0" applyNumberFormat="1" applyFont="1" applyFill="1" applyBorder="1" applyAlignment="1">
      <alignment horizontal="right"/>
    </xf>
    <xf numFmtId="44" fontId="9" fillId="4" borderId="85" xfId="0" applyNumberFormat="1" applyFont="1" applyFill="1" applyBorder="1" applyAlignment="1">
      <alignment horizontal="right"/>
    </xf>
    <xf numFmtId="44" fontId="22" fillId="2" borderId="50" xfId="0" applyNumberFormat="1" applyFont="1" applyFill="1" applyBorder="1" applyAlignment="1">
      <alignment horizontal="center"/>
    </xf>
    <xf numFmtId="44" fontId="6" fillId="6" borderId="2" xfId="2" applyFont="1" applyFill="1" applyBorder="1" applyAlignment="1">
      <alignment horizontal="right" wrapText="1"/>
    </xf>
    <xf numFmtId="44" fontId="6" fillId="6" borderId="16" xfId="2" applyFont="1" applyFill="1" applyBorder="1" applyAlignment="1">
      <alignment horizontal="right" wrapText="1"/>
    </xf>
    <xf numFmtId="9" fontId="0" fillId="0" borderId="0" xfId="3" applyFont="1" applyBorder="1"/>
    <xf numFmtId="179" fontId="0" fillId="0" borderId="0" xfId="0" applyNumberFormat="1"/>
    <xf numFmtId="169" fontId="19" fillId="2" borderId="0" xfId="1" applyNumberFormat="1" applyFont="1" applyFill="1" applyBorder="1"/>
    <xf numFmtId="0" fontId="11" fillId="4" borderId="8" xfId="0" applyFont="1" applyFill="1" applyBorder="1" applyAlignment="1">
      <alignment horizontal="center"/>
    </xf>
    <xf numFmtId="43" fontId="0" fillId="0" borderId="8" xfId="1" applyFont="1" applyBorder="1"/>
    <xf numFmtId="44" fontId="12" fillId="0" borderId="80" xfId="0" applyNumberFormat="1" applyFont="1" applyBorder="1"/>
    <xf numFmtId="10" fontId="12" fillId="7" borderId="81" xfId="3" applyNumberFormat="1" applyFont="1" applyFill="1" applyBorder="1"/>
    <xf numFmtId="44" fontId="12" fillId="0" borderId="8" xfId="0" applyNumberFormat="1" applyFont="1" applyBorder="1"/>
    <xf numFmtId="167" fontId="21" fillId="3" borderId="80" xfId="1" applyNumberFormat="1" applyFont="1" applyFill="1" applyBorder="1"/>
    <xf numFmtId="167" fontId="5" fillId="0" borderId="8" xfId="1" applyNumberFormat="1" applyFont="1" applyFill="1" applyBorder="1"/>
    <xf numFmtId="167" fontId="21" fillId="3" borderId="8" xfId="1" applyNumberFormat="1" applyFont="1" applyFill="1" applyBorder="1"/>
    <xf numFmtId="167" fontId="20" fillId="0" borderId="8" xfId="1" applyNumberFormat="1" applyFont="1" applyFill="1" applyBorder="1"/>
    <xf numFmtId="167" fontId="22" fillId="0" borderId="8" xfId="1" applyNumberFormat="1" applyFont="1" applyFill="1" applyBorder="1"/>
    <xf numFmtId="43" fontId="19" fillId="0" borderId="8" xfId="1" applyFont="1" applyFill="1" applyBorder="1"/>
    <xf numFmtId="169" fontId="22" fillId="2" borderId="8" xfId="1" applyNumberFormat="1" applyFont="1" applyFill="1" applyBorder="1"/>
    <xf numFmtId="169" fontId="21" fillId="3" borderId="8" xfId="1" applyNumberFormat="1" applyFont="1" applyFill="1" applyBorder="1"/>
    <xf numFmtId="44" fontId="19" fillId="0" borderId="8" xfId="2" applyFont="1" applyFill="1" applyBorder="1"/>
    <xf numFmtId="44" fontId="22" fillId="0" borderId="8" xfId="2" applyFont="1" applyFill="1" applyBorder="1"/>
    <xf numFmtId="44" fontId="2" fillId="0" borderId="8" xfId="2" applyFont="1" applyFill="1" applyBorder="1"/>
    <xf numFmtId="9" fontId="19" fillId="0" borderId="8" xfId="3" applyFont="1" applyFill="1" applyBorder="1"/>
    <xf numFmtId="174" fontId="19" fillId="0" borderId="8" xfId="3" applyNumberFormat="1" applyFont="1" applyFill="1" applyBorder="1"/>
    <xf numFmtId="1" fontId="19" fillId="0" borderId="8" xfId="2" applyNumberFormat="1" applyFont="1" applyFill="1" applyBorder="1"/>
    <xf numFmtId="174" fontId="30" fillId="0" borderId="8" xfId="3" applyNumberFormat="1" applyFont="1" applyFill="1" applyBorder="1"/>
    <xf numFmtId="176" fontId="19" fillId="0" borderId="8" xfId="2" applyNumberFormat="1" applyFont="1" applyFill="1" applyBorder="1"/>
    <xf numFmtId="43" fontId="42" fillId="0" borderId="0" xfId="1" applyFont="1" applyBorder="1"/>
    <xf numFmtId="43" fontId="42" fillId="0" borderId="19" xfId="1" applyFont="1" applyBorder="1"/>
    <xf numFmtId="43" fontId="22" fillId="0" borderId="0" xfId="1" applyFont="1" applyBorder="1"/>
    <xf numFmtId="43" fontId="22" fillId="0" borderId="19" xfId="1" applyFont="1" applyBorder="1"/>
    <xf numFmtId="0" fontId="6" fillId="7" borderId="0" xfId="0" applyFont="1" applyFill="1" applyAlignment="1">
      <alignment horizontal="left" wrapText="1"/>
    </xf>
    <xf numFmtId="174" fontId="12" fillId="7" borderId="0" xfId="3" applyNumberFormat="1" applyFont="1" applyFill="1" applyBorder="1"/>
    <xf numFmtId="174" fontId="12" fillId="7" borderId="19" xfId="3" applyNumberFormat="1" applyFont="1" applyFill="1" applyBorder="1"/>
    <xf numFmtId="174" fontId="21" fillId="3" borderId="0" xfId="3" applyNumberFormat="1" applyFont="1" applyFill="1" applyBorder="1"/>
    <xf numFmtId="170" fontId="33" fillId="4" borderId="13" xfId="0" applyNumberFormat="1" applyFont="1" applyFill="1" applyBorder="1" applyAlignment="1">
      <alignment horizontal="center" vertical="center"/>
    </xf>
    <xf numFmtId="167" fontId="18" fillId="2" borderId="12" xfId="1" applyNumberFormat="1" applyFont="1" applyFill="1" applyBorder="1" applyAlignment="1">
      <alignment horizontal="right"/>
    </xf>
    <xf numFmtId="167" fontId="18" fillId="2" borderId="100" xfId="1" applyNumberFormat="1" applyFont="1" applyFill="1" applyBorder="1" applyAlignment="1">
      <alignment horizontal="right"/>
    </xf>
    <xf numFmtId="168" fontId="35" fillId="10" borderId="100" xfId="0" applyNumberFormat="1" applyFont="1" applyFill="1" applyBorder="1" applyAlignment="1">
      <alignment horizontal="right"/>
    </xf>
    <xf numFmtId="172" fontId="12" fillId="2" borderId="68" xfId="2" applyNumberFormat="1" applyFont="1" applyFill="1" applyBorder="1" applyAlignment="1"/>
    <xf numFmtId="172" fontId="35" fillId="10" borderId="12" xfId="2" applyNumberFormat="1" applyFont="1" applyFill="1" applyBorder="1" applyAlignment="1">
      <alignment horizontal="right"/>
    </xf>
    <xf numFmtId="172" fontId="39" fillId="10" borderId="100" xfId="2" applyNumberFormat="1" applyFont="1" applyFill="1" applyBorder="1" applyAlignment="1">
      <alignment horizontal="right"/>
    </xf>
    <xf numFmtId="0" fontId="63" fillId="11" borderId="36" xfId="0" applyFont="1" applyFill="1" applyBorder="1" applyAlignment="1">
      <alignment horizontal="center" vertical="center"/>
    </xf>
    <xf numFmtId="0" fontId="63" fillId="11" borderId="33" xfId="0" applyFont="1" applyFill="1" applyBorder="1" applyAlignment="1">
      <alignment horizontal="center"/>
    </xf>
    <xf numFmtId="167" fontId="1" fillId="11" borderId="33" xfId="1" applyNumberFormat="1" applyFont="1" applyFill="1" applyBorder="1"/>
    <xf numFmtId="172" fontId="10" fillId="11" borderId="34" xfId="2" applyNumberFormat="1" applyFont="1" applyFill="1" applyBorder="1"/>
    <xf numFmtId="167" fontId="10" fillId="11" borderId="33" xfId="1" applyNumberFormat="1" applyFont="1" applyFill="1" applyBorder="1"/>
    <xf numFmtId="9" fontId="64" fillId="11" borderId="33" xfId="3" applyFont="1" applyFill="1" applyBorder="1"/>
    <xf numFmtId="0" fontId="1" fillId="11" borderId="33" xfId="0" applyFont="1" applyFill="1" applyBorder="1"/>
    <xf numFmtId="172" fontId="63" fillId="11" borderId="34" xfId="2" applyNumberFormat="1" applyFont="1" applyFill="1" applyBorder="1"/>
    <xf numFmtId="168" fontId="65" fillId="11" borderId="33" xfId="0" applyNumberFormat="1" applyFont="1" applyFill="1" applyBorder="1" applyAlignment="1">
      <alignment horizontal="right"/>
    </xf>
    <xf numFmtId="173" fontId="1" fillId="11" borderId="33" xfId="0" applyNumberFormat="1" applyFont="1" applyFill="1" applyBorder="1"/>
    <xf numFmtId="168" fontId="65" fillId="11" borderId="33" xfId="0" applyNumberFormat="1" applyFont="1" applyFill="1" applyBorder="1"/>
    <xf numFmtId="168" fontId="65" fillId="11" borderId="101" xfId="0" applyNumberFormat="1" applyFont="1" applyFill="1" applyBorder="1" applyAlignment="1">
      <alignment horizontal="right"/>
    </xf>
    <xf numFmtId="0" fontId="9" fillId="4" borderId="6" xfId="0" applyFont="1" applyFill="1" applyBorder="1" applyAlignment="1">
      <alignment horizontal="center"/>
    </xf>
    <xf numFmtId="169" fontId="19" fillId="2" borderId="8" xfId="1" applyNumberFormat="1" applyFont="1" applyFill="1" applyBorder="1"/>
    <xf numFmtId="172" fontId="66" fillId="10" borderId="92" xfId="2" applyNumberFormat="1" applyFont="1" applyFill="1" applyBorder="1" applyAlignment="1">
      <alignment horizontal="right"/>
    </xf>
    <xf numFmtId="169" fontId="22" fillId="2" borderId="0" xfId="1" applyNumberFormat="1" applyFont="1" applyFill="1" applyBorder="1"/>
    <xf numFmtId="174" fontId="12" fillId="7" borderId="8" xfId="3" applyNumberFormat="1" applyFont="1" applyFill="1" applyBorder="1"/>
    <xf numFmtId="44" fontId="56" fillId="2" borderId="81" xfId="2" applyFont="1" applyFill="1" applyBorder="1"/>
    <xf numFmtId="44" fontId="12" fillId="0" borderId="81" xfId="0" applyNumberFormat="1" applyFont="1" applyBorder="1"/>
    <xf numFmtId="44" fontId="12" fillId="4" borderId="8" xfId="0" applyNumberFormat="1" applyFont="1" applyFill="1" applyBorder="1"/>
    <xf numFmtId="2" fontId="6" fillId="6" borderId="80" xfId="0" applyNumberFormat="1" applyFont="1" applyFill="1" applyBorder="1" applyAlignment="1">
      <alignment horizontal="right" wrapText="1"/>
    </xf>
    <xf numFmtId="165" fontId="6" fillId="0" borderId="8" xfId="0" applyNumberFormat="1" applyFont="1" applyBorder="1" applyAlignment="1">
      <alignment horizontal="right" wrapText="1"/>
    </xf>
    <xf numFmtId="164" fontId="7" fillId="0" borderId="8" xfId="0" applyNumberFormat="1" applyFont="1" applyBorder="1" applyAlignment="1">
      <alignment wrapText="1"/>
    </xf>
    <xf numFmtId="44" fontId="6" fillId="6" borderId="80" xfId="2" applyFont="1" applyFill="1" applyBorder="1" applyAlignment="1">
      <alignment horizontal="right" wrapText="1"/>
    </xf>
    <xf numFmtId="0" fontId="0" fillId="4" borderId="8" xfId="0" applyFill="1" applyBorder="1"/>
    <xf numFmtId="44" fontId="0" fillId="0" borderId="80" xfId="0" applyNumberFormat="1" applyBorder="1"/>
    <xf numFmtId="44" fontId="0" fillId="0" borderId="8" xfId="0" applyNumberFormat="1" applyBorder="1"/>
    <xf numFmtId="44" fontId="0" fillId="0" borderId="102" xfId="0" applyNumberFormat="1" applyBorder="1"/>
    <xf numFmtId="0" fontId="0" fillId="0" borderId="80" xfId="0" applyBorder="1"/>
    <xf numFmtId="44" fontId="18" fillId="0" borderId="2" xfId="0" applyNumberFormat="1" applyFont="1" applyBorder="1"/>
    <xf numFmtId="44" fontId="9" fillId="4" borderId="67" xfId="2" applyFont="1" applyFill="1" applyBorder="1" applyAlignment="1">
      <alignment horizontal="right"/>
    </xf>
    <xf numFmtId="44" fontId="9" fillId="4" borderId="100" xfId="0" applyNumberFormat="1" applyFont="1" applyFill="1" applyBorder="1" applyAlignment="1">
      <alignment horizontal="right"/>
    </xf>
    <xf numFmtId="169" fontId="21" fillId="12" borderId="0" xfId="1" applyNumberFormat="1" applyFont="1" applyFill="1" applyBorder="1"/>
    <xf numFmtId="44" fontId="18" fillId="0" borderId="16" xfId="0" applyNumberFormat="1" applyFont="1" applyBorder="1"/>
    <xf numFmtId="167" fontId="21" fillId="3" borderId="16" xfId="1" applyNumberFormat="1" applyFont="1" applyFill="1" applyBorder="1"/>
    <xf numFmtId="167" fontId="21" fillId="3" borderId="19" xfId="1" applyNumberFormat="1" applyFont="1" applyFill="1" applyBorder="1"/>
    <xf numFmtId="167" fontId="5" fillId="0" borderId="19" xfId="1" applyNumberFormat="1" applyFont="1" applyFill="1" applyBorder="1"/>
    <xf numFmtId="167" fontId="20" fillId="0" borderId="19" xfId="1" applyNumberFormat="1" applyFont="1" applyFill="1" applyBorder="1"/>
    <xf numFmtId="167" fontId="22" fillId="0" borderId="19" xfId="1" applyNumberFormat="1" applyFont="1" applyFill="1" applyBorder="1"/>
    <xf numFmtId="43" fontId="19" fillId="0" borderId="19" xfId="1" applyFont="1" applyFill="1" applyBorder="1"/>
    <xf numFmtId="169" fontId="22" fillId="2" borderId="19" xfId="1" applyNumberFormat="1" applyFont="1" applyFill="1" applyBorder="1"/>
    <xf numFmtId="169" fontId="21" fillId="3" borderId="19" xfId="1" applyNumberFormat="1" applyFont="1" applyFill="1" applyBorder="1"/>
    <xf numFmtId="44" fontId="19" fillId="0" borderId="19" xfId="2" applyFont="1" applyFill="1" applyBorder="1"/>
    <xf numFmtId="44" fontId="22" fillId="0" borderId="19" xfId="2" applyFont="1" applyFill="1" applyBorder="1"/>
    <xf numFmtId="44" fontId="2" fillId="0" borderId="19" xfId="2" applyFont="1" applyFill="1" applyBorder="1"/>
    <xf numFmtId="9" fontId="19" fillId="0" borderId="19" xfId="3" applyFont="1" applyFill="1" applyBorder="1"/>
    <xf numFmtId="174" fontId="19" fillId="0" borderId="19" xfId="3" applyNumberFormat="1" applyFont="1" applyFill="1" applyBorder="1"/>
    <xf numFmtId="174" fontId="30" fillId="0" borderId="19" xfId="3" applyNumberFormat="1" applyFont="1" applyFill="1" applyBorder="1"/>
    <xf numFmtId="176" fontId="19" fillId="0" borderId="19" xfId="2" applyNumberFormat="1" applyFont="1" applyFill="1" applyBorder="1"/>
    <xf numFmtId="164" fontId="7" fillId="0" borderId="19" xfId="0" applyNumberFormat="1" applyFont="1" applyBorder="1" applyAlignment="1">
      <alignment wrapText="1"/>
    </xf>
    <xf numFmtId="165" fontId="6" fillId="0" borderId="19" xfId="0" applyNumberFormat="1" applyFont="1" applyBorder="1" applyAlignment="1">
      <alignment horizontal="right" wrapText="1"/>
    </xf>
    <xf numFmtId="14" fontId="67" fillId="0" borderId="0" xfId="0" applyNumberFormat="1" applyFont="1"/>
    <xf numFmtId="44" fontId="67" fillId="0" borderId="0" xfId="2" applyFont="1" applyBorder="1"/>
    <xf numFmtId="44" fontId="67" fillId="0" borderId="55" xfId="2" applyFont="1" applyBorder="1"/>
    <xf numFmtId="43" fontId="67" fillId="0" borderId="0" xfId="1" applyFont="1" applyBorder="1"/>
    <xf numFmtId="43" fontId="67" fillId="0" borderId="12" xfId="1" applyFont="1" applyBorder="1"/>
    <xf numFmtId="43" fontId="67" fillId="0" borderId="33" xfId="1" applyFont="1" applyBorder="1"/>
    <xf numFmtId="1" fontId="67" fillId="2" borderId="2" xfId="0" applyNumberFormat="1" applyFont="1" applyFill="1" applyBorder="1"/>
    <xf numFmtId="1" fontId="67" fillId="2" borderId="56" xfId="0" applyNumberFormat="1" applyFont="1" applyFill="1" applyBorder="1"/>
    <xf numFmtId="0" fontId="67" fillId="2" borderId="2" xfId="0" applyFont="1" applyFill="1" applyBorder="1"/>
    <xf numFmtId="0" fontId="67" fillId="2" borderId="13" xfId="0" applyFont="1" applyFill="1" applyBorder="1"/>
    <xf numFmtId="0" fontId="67" fillId="2" borderId="34" xfId="0" applyFont="1" applyFill="1" applyBorder="1"/>
    <xf numFmtId="1" fontId="67" fillId="2" borderId="0" xfId="0" applyNumberFormat="1" applyFont="1" applyFill="1"/>
    <xf numFmtId="1" fontId="67" fillId="2" borderId="55" xfId="0" applyNumberFormat="1" applyFont="1" applyFill="1" applyBorder="1"/>
    <xf numFmtId="43" fontId="67" fillId="2" borderId="0" xfId="1" applyFont="1" applyFill="1" applyBorder="1" applyAlignment="1">
      <alignment horizontal="center"/>
    </xf>
    <xf numFmtId="167" fontId="67" fillId="2" borderId="12" xfId="1" applyNumberFormat="1" applyFont="1" applyFill="1" applyBorder="1" applyAlignment="1">
      <alignment horizontal="center"/>
    </xf>
    <xf numFmtId="167" fontId="67" fillId="2" borderId="33" xfId="1" applyNumberFormat="1" applyFont="1" applyFill="1" applyBorder="1" applyAlignment="1">
      <alignment horizontal="center"/>
    </xf>
    <xf numFmtId="167" fontId="67" fillId="2" borderId="0" xfId="1" applyNumberFormat="1" applyFont="1" applyFill="1" applyBorder="1" applyAlignment="1">
      <alignment horizontal="center"/>
    </xf>
    <xf numFmtId="2" fontId="67" fillId="2" borderId="0" xfId="0" applyNumberFormat="1" applyFont="1" applyFill="1"/>
    <xf numFmtId="1" fontId="67" fillId="2" borderId="12" xfId="0" applyNumberFormat="1" applyFont="1" applyFill="1" applyBorder="1"/>
    <xf numFmtId="1" fontId="67" fillId="2" borderId="33" xfId="0" applyNumberFormat="1" applyFont="1" applyFill="1" applyBorder="1"/>
    <xf numFmtId="2" fontId="67" fillId="2" borderId="55" xfId="0" applyNumberFormat="1" applyFont="1" applyFill="1" applyBorder="1"/>
    <xf numFmtId="2" fontId="67" fillId="2" borderId="12" xfId="0" applyNumberFormat="1" applyFont="1" applyFill="1" applyBorder="1"/>
    <xf numFmtId="2" fontId="67" fillId="2" borderId="33" xfId="0" applyNumberFormat="1" applyFont="1" applyFill="1" applyBorder="1"/>
    <xf numFmtId="0" fontId="67" fillId="2" borderId="0" xfId="0" applyFont="1" applyFill="1"/>
    <xf numFmtId="0" fontId="67" fillId="2" borderId="55" xfId="0" applyFont="1" applyFill="1" applyBorder="1"/>
    <xf numFmtId="44" fontId="67" fillId="2" borderId="0" xfId="2" applyFont="1" applyFill="1" applyBorder="1"/>
    <xf numFmtId="44" fontId="67" fillId="2" borderId="55" xfId="2" applyFont="1" applyFill="1" applyBorder="1" applyAlignment="1"/>
    <xf numFmtId="44" fontId="67" fillId="2" borderId="0" xfId="2" applyFont="1" applyFill="1" applyBorder="1" applyAlignment="1"/>
    <xf numFmtId="44" fontId="67" fillId="2" borderId="12" xfId="2" applyFont="1" applyFill="1" applyBorder="1" applyAlignment="1"/>
    <xf numFmtId="44" fontId="67" fillId="2" borderId="33" xfId="2" applyFont="1" applyFill="1" applyBorder="1" applyAlignment="1"/>
    <xf numFmtId="0" fontId="67" fillId="2" borderId="12" xfId="0" applyFont="1" applyFill="1" applyBorder="1"/>
    <xf numFmtId="0" fontId="67" fillId="2" borderId="33" xfId="0" applyFont="1" applyFill="1" applyBorder="1"/>
    <xf numFmtId="10" fontId="67" fillId="2" borderId="15" xfId="3" applyNumberFormat="1" applyFont="1" applyFill="1" applyBorder="1"/>
    <xf numFmtId="10" fontId="67" fillId="2" borderId="57" xfId="3" applyNumberFormat="1" applyFont="1" applyFill="1" applyBorder="1" applyAlignment="1"/>
    <xf numFmtId="10" fontId="67" fillId="2" borderId="15" xfId="3" applyNumberFormat="1" applyFont="1" applyFill="1" applyBorder="1" applyAlignment="1"/>
    <xf numFmtId="10" fontId="67" fillId="2" borderId="66" xfId="3" applyNumberFormat="1" applyFont="1" applyFill="1" applyBorder="1" applyAlignment="1"/>
    <xf numFmtId="10" fontId="67" fillId="2" borderId="35" xfId="3" applyNumberFormat="1" applyFont="1" applyFill="1" applyBorder="1" applyAlignment="1"/>
    <xf numFmtId="0" fontId="68" fillId="0" borderId="5" xfId="0" applyFont="1" applyBorder="1" applyAlignment="1">
      <alignment wrapText="1"/>
    </xf>
    <xf numFmtId="0" fontId="68" fillId="0" borderId="58" xfId="0" applyFont="1" applyBorder="1" applyAlignment="1">
      <alignment wrapText="1"/>
    </xf>
    <xf numFmtId="43" fontId="68" fillId="0" borderId="5" xfId="1" applyFont="1" applyBorder="1" applyAlignment="1">
      <alignment wrapText="1"/>
    </xf>
    <xf numFmtId="43" fontId="68" fillId="0" borderId="67" xfId="1" applyFont="1" applyBorder="1" applyAlignment="1">
      <alignment wrapText="1"/>
    </xf>
    <xf numFmtId="43" fontId="68" fillId="0" borderId="36" xfId="1" applyFont="1" applyBorder="1" applyAlignment="1">
      <alignment wrapText="1"/>
    </xf>
    <xf numFmtId="44" fontId="67" fillId="0" borderId="55" xfId="2" applyFont="1" applyBorder="1" applyAlignment="1"/>
    <xf numFmtId="44" fontId="67" fillId="0" borderId="0" xfId="2" applyFont="1" applyBorder="1" applyAlignment="1"/>
    <xf numFmtId="43" fontId="67" fillId="0" borderId="0" xfId="1" applyFont="1" applyBorder="1" applyAlignment="1"/>
    <xf numFmtId="43" fontId="67" fillId="0" borderId="12" xfId="1" applyFont="1" applyBorder="1" applyAlignment="1"/>
    <xf numFmtId="43" fontId="67" fillId="0" borderId="33" xfId="1" applyFont="1" applyBorder="1" applyAlignment="1"/>
    <xf numFmtId="44" fontId="67" fillId="0" borderId="3" xfId="0" applyNumberFormat="1" applyFont="1" applyBorder="1"/>
    <xf numFmtId="44" fontId="67" fillId="0" borderId="59" xfId="0" applyNumberFormat="1" applyFont="1" applyBorder="1"/>
    <xf numFmtId="44" fontId="67" fillId="0" borderId="68" xfId="0" applyNumberFormat="1" applyFont="1" applyBorder="1"/>
    <xf numFmtId="44" fontId="67" fillId="0" borderId="37" xfId="0" applyNumberFormat="1" applyFont="1" applyBorder="1"/>
    <xf numFmtId="44" fontId="67" fillId="2" borderId="3" xfId="0" applyNumberFormat="1" applyFont="1" applyFill="1" applyBorder="1"/>
    <xf numFmtId="44" fontId="67" fillId="2" borderId="59" xfId="0" applyNumberFormat="1" applyFont="1" applyFill="1" applyBorder="1"/>
    <xf numFmtId="174" fontId="67" fillId="2" borderId="3" xfId="3" applyNumberFormat="1" applyFont="1" applyFill="1" applyBorder="1"/>
    <xf numFmtId="174" fontId="67" fillId="2" borderId="68" xfId="3" applyNumberFormat="1" applyFont="1" applyFill="1" applyBorder="1"/>
    <xf numFmtId="174" fontId="67" fillId="2" borderId="37" xfId="3" applyNumberFormat="1" applyFont="1" applyFill="1" applyBorder="1"/>
    <xf numFmtId="0" fontId="68" fillId="0" borderId="0" xfId="0" applyFont="1" applyAlignment="1">
      <alignment wrapText="1"/>
    </xf>
    <xf numFmtId="44" fontId="67" fillId="0" borderId="0" xfId="0" applyNumberFormat="1" applyFont="1"/>
    <xf numFmtId="44" fontId="67" fillId="0" borderId="55" xfId="0" applyNumberFormat="1" applyFont="1" applyBorder="1"/>
    <xf numFmtId="44" fontId="67" fillId="0" borderId="12" xfId="0" applyNumberFormat="1" applyFont="1" applyBorder="1"/>
    <xf numFmtId="44" fontId="67" fillId="0" borderId="33" xfId="0" applyNumberFormat="1" applyFont="1" applyBorder="1"/>
    <xf numFmtId="44" fontId="67" fillId="2" borderId="2" xfId="0" applyNumberFormat="1" applyFont="1" applyFill="1" applyBorder="1"/>
    <xf numFmtId="44" fontId="67" fillId="2" borderId="56" xfId="0" applyNumberFormat="1" applyFont="1" applyFill="1" applyBorder="1"/>
    <xf numFmtId="174" fontId="67" fillId="2" borderId="2" xfId="3" applyNumberFormat="1" applyFont="1" applyFill="1" applyBorder="1"/>
    <xf numFmtId="174" fontId="67" fillId="2" borderId="13" xfId="3" applyNumberFormat="1" applyFont="1" applyFill="1" applyBorder="1"/>
    <xf numFmtId="174" fontId="67" fillId="2" borderId="34" xfId="3" applyNumberFormat="1" applyFont="1" applyFill="1" applyBorder="1"/>
    <xf numFmtId="44" fontId="67" fillId="0" borderId="12" xfId="2" applyFont="1" applyBorder="1" applyAlignment="1"/>
    <xf numFmtId="44" fontId="67" fillId="0" borderId="33" xfId="2" applyFont="1" applyBorder="1" applyAlignment="1"/>
    <xf numFmtId="44" fontId="67" fillId="0" borderId="2" xfId="0" applyNumberFormat="1" applyFont="1" applyBorder="1"/>
    <xf numFmtId="44" fontId="67" fillId="0" borderId="56" xfId="0" applyNumberFormat="1" applyFont="1" applyBorder="1"/>
    <xf numFmtId="44" fontId="67" fillId="0" borderId="13" xfId="0" applyNumberFormat="1" applyFont="1" applyBorder="1"/>
    <xf numFmtId="44" fontId="67" fillId="0" borderId="34" xfId="0" applyNumberFormat="1" applyFont="1" applyBorder="1"/>
    <xf numFmtId="44" fontId="67" fillId="2" borderId="68" xfId="0" applyNumberFormat="1" applyFont="1" applyFill="1" applyBorder="1"/>
    <xf numFmtId="44" fontId="67" fillId="2" borderId="37" xfId="0" applyNumberFormat="1" applyFont="1" applyFill="1" applyBorder="1"/>
    <xf numFmtId="44" fontId="67" fillId="0" borderId="26" xfId="0" applyNumberFormat="1" applyFont="1" applyBorder="1"/>
    <xf numFmtId="44" fontId="67" fillId="0" borderId="60" xfId="0" applyNumberFormat="1" applyFont="1" applyBorder="1"/>
    <xf numFmtId="44" fontId="67" fillId="0" borderId="26" xfId="2" applyFont="1" applyBorder="1" applyAlignment="1"/>
    <xf numFmtId="44" fontId="67" fillId="0" borderId="69" xfId="2" applyFont="1" applyBorder="1" applyAlignment="1"/>
    <xf numFmtId="44" fontId="67" fillId="0" borderId="38" xfId="2" applyFont="1" applyBorder="1" applyAlignment="1"/>
    <xf numFmtId="174" fontId="67" fillId="2" borderId="59" xfId="3" applyNumberFormat="1" applyFont="1" applyFill="1" applyBorder="1"/>
    <xf numFmtId="43" fontId="68" fillId="0" borderId="0" xfId="1" applyFont="1" applyAlignment="1">
      <alignment wrapText="1"/>
    </xf>
    <xf numFmtId="174" fontId="67" fillId="2" borderId="56" xfId="3" applyNumberFormat="1" applyFont="1" applyFill="1" applyBorder="1"/>
    <xf numFmtId="43" fontId="67" fillId="0" borderId="70" xfId="1" applyFont="1" applyBorder="1"/>
    <xf numFmtId="1" fontId="67" fillId="2" borderId="13" xfId="0" applyNumberFormat="1" applyFont="1" applyFill="1" applyBorder="1"/>
    <xf numFmtId="1" fontId="67" fillId="2" borderId="34" xfId="0" applyNumberFormat="1" applyFont="1" applyFill="1" applyBorder="1"/>
    <xf numFmtId="1" fontId="67" fillId="2" borderId="71" xfId="0" applyNumberFormat="1" applyFont="1" applyFill="1" applyBorder="1"/>
    <xf numFmtId="167" fontId="67" fillId="2" borderId="70" xfId="1" applyNumberFormat="1" applyFont="1" applyFill="1" applyBorder="1" applyAlignment="1">
      <alignment horizontal="center"/>
    </xf>
    <xf numFmtId="43" fontId="67" fillId="2" borderId="33" xfId="1" applyFont="1" applyFill="1" applyBorder="1" applyAlignment="1">
      <alignment horizontal="center"/>
    </xf>
    <xf numFmtId="1" fontId="67" fillId="2" borderId="70" xfId="0" applyNumberFormat="1" applyFont="1" applyFill="1" applyBorder="1"/>
    <xf numFmtId="2" fontId="67" fillId="2" borderId="70" xfId="0" applyNumberFormat="1" applyFont="1" applyFill="1" applyBorder="1"/>
    <xf numFmtId="0" fontId="67" fillId="2" borderId="70" xfId="0" applyFont="1" applyFill="1" applyBorder="1"/>
    <xf numFmtId="44" fontId="67" fillId="2" borderId="70" xfId="2" applyFont="1" applyFill="1" applyBorder="1" applyAlignment="1"/>
    <xf numFmtId="10" fontId="67" fillId="2" borderId="72" xfId="3" applyNumberFormat="1" applyFont="1" applyFill="1" applyBorder="1" applyAlignment="1"/>
    <xf numFmtId="43" fontId="68" fillId="0" borderId="73" xfId="1" applyFont="1" applyBorder="1" applyAlignment="1">
      <alignment wrapText="1"/>
    </xf>
    <xf numFmtId="43" fontId="67" fillId="0" borderId="70" xfId="1" applyFont="1" applyBorder="1" applyAlignment="1"/>
    <xf numFmtId="44" fontId="67" fillId="0" borderId="74" xfId="0" applyNumberFormat="1" applyFont="1" applyBorder="1"/>
    <xf numFmtId="174" fontId="67" fillId="2" borderId="74" xfId="3" applyNumberFormat="1" applyFont="1" applyFill="1" applyBorder="1"/>
    <xf numFmtId="43" fontId="68" fillId="0" borderId="12" xfId="1" applyFont="1" applyBorder="1" applyAlignment="1">
      <alignment wrapText="1"/>
    </xf>
    <xf numFmtId="43" fontId="68" fillId="0" borderId="33" xfId="1" applyFont="1" applyBorder="1" applyAlignment="1">
      <alignment wrapText="1"/>
    </xf>
    <xf numFmtId="43" fontId="68" fillId="0" borderId="70" xfId="1" applyFont="1" applyBorder="1" applyAlignment="1">
      <alignment wrapText="1"/>
    </xf>
    <xf numFmtId="44" fontId="67" fillId="0" borderId="70" xfId="0" applyNumberFormat="1" applyFont="1" applyBorder="1"/>
    <xf numFmtId="174" fontId="67" fillId="2" borderId="71" xfId="3" applyNumberFormat="1" applyFont="1" applyFill="1" applyBorder="1"/>
    <xf numFmtId="44" fontId="67" fillId="0" borderId="70" xfId="2" applyFont="1" applyBorder="1" applyAlignment="1"/>
    <xf numFmtId="44" fontId="67" fillId="0" borderId="71" xfId="0" applyNumberFormat="1" applyFont="1" applyBorder="1"/>
    <xf numFmtId="44" fontId="67" fillId="2" borderId="74" xfId="0" applyNumberFormat="1" applyFont="1" applyFill="1" applyBorder="1"/>
    <xf numFmtId="44" fontId="67" fillId="0" borderId="69" xfId="0" applyNumberFormat="1" applyFont="1" applyBorder="1"/>
    <xf numFmtId="44" fontId="67" fillId="0" borderId="38" xfId="0" applyNumberFormat="1" applyFont="1" applyBorder="1"/>
    <xf numFmtId="44" fontId="67" fillId="0" borderId="75" xfId="0" applyNumberFormat="1" applyFont="1" applyBorder="1"/>
    <xf numFmtId="43" fontId="0" fillId="0" borderId="0" xfId="1" applyFont="1" applyFill="1" applyBorder="1"/>
    <xf numFmtId="43" fontId="0" fillId="0" borderId="19" xfId="1" applyFont="1" applyFill="1" applyBorder="1"/>
    <xf numFmtId="172" fontId="31" fillId="6" borderId="70" xfId="2" applyNumberFormat="1" applyFont="1" applyFill="1" applyBorder="1"/>
    <xf numFmtId="172" fontId="31" fillId="12" borderId="70" xfId="2" applyNumberFormat="1" applyFont="1" applyFill="1" applyBorder="1"/>
    <xf numFmtId="10" fontId="55" fillId="3" borderId="3" xfId="3" applyNumberFormat="1" applyFont="1" applyFill="1" applyBorder="1"/>
    <xf numFmtId="169" fontId="21" fillId="3" borderId="2" xfId="1" applyNumberFormat="1" applyFont="1" applyFill="1" applyBorder="1"/>
    <xf numFmtId="43" fontId="21" fillId="3" borderId="0" xfId="1" applyFont="1" applyFill="1" applyBorder="1"/>
    <xf numFmtId="168" fontId="25" fillId="2" borderId="103" xfId="0" applyNumberFormat="1" applyFont="1" applyFill="1" applyBorder="1"/>
    <xf numFmtId="43" fontId="42" fillId="0" borderId="0" xfId="1" applyFont="1" applyFill="1" applyBorder="1"/>
    <xf numFmtId="164" fontId="59" fillId="3" borderId="0" xfId="0" applyNumberFormat="1" applyFont="1" applyFill="1" applyAlignment="1">
      <alignment horizontal="right" wrapText="1"/>
    </xf>
    <xf numFmtId="164" fontId="62" fillId="3" borderId="0" xfId="0" applyNumberFormat="1" applyFont="1" applyFill="1" applyAlignment="1">
      <alignment horizontal="right" wrapText="1"/>
    </xf>
    <xf numFmtId="174" fontId="53" fillId="3" borderId="3" xfId="3" applyNumberFormat="1" applyFont="1" applyFill="1" applyBorder="1"/>
    <xf numFmtId="44" fontId="57" fillId="2" borderId="3" xfId="2" applyFont="1" applyFill="1" applyBorder="1"/>
    <xf numFmtId="43" fontId="0" fillId="12" borderId="0" xfId="1" applyFont="1" applyFill="1" applyBorder="1"/>
    <xf numFmtId="44" fontId="61" fillId="3" borderId="2" xfId="2" applyFont="1" applyFill="1" applyBorder="1"/>
    <xf numFmtId="1" fontId="19" fillId="12" borderId="19" xfId="2" applyNumberFormat="1" applyFont="1" applyFill="1" applyBorder="1"/>
    <xf numFmtId="44" fontId="19" fillId="12" borderId="19" xfId="2" applyFont="1" applyFill="1" applyBorder="1"/>
    <xf numFmtId="177" fontId="19" fillId="0" borderId="0" xfId="2" applyNumberFormat="1" applyFont="1" applyFill="1" applyBorder="1"/>
    <xf numFmtId="177" fontId="19" fillId="0" borderId="8" xfId="2" applyNumberFormat="1" applyFont="1" applyFill="1" applyBorder="1"/>
    <xf numFmtId="177" fontId="19" fillId="0" borderId="19" xfId="2" applyNumberFormat="1" applyFont="1" applyFill="1" applyBorder="1"/>
    <xf numFmtId="0" fontId="25" fillId="2" borderId="104" xfId="0" applyFont="1" applyFill="1" applyBorder="1" applyAlignment="1">
      <alignment horizontal="left"/>
    </xf>
    <xf numFmtId="0" fontId="26" fillId="2" borderId="103" xfId="0" applyFont="1" applyFill="1" applyBorder="1"/>
    <xf numFmtId="168" fontId="25" fillId="2" borderId="105" xfId="0" applyNumberFormat="1" applyFont="1" applyFill="1" applyBorder="1"/>
    <xf numFmtId="168" fontId="25" fillId="2" borderId="106" xfId="0" applyNumberFormat="1" applyFont="1" applyFill="1" applyBorder="1"/>
    <xf numFmtId="14" fontId="9" fillId="4" borderId="0" xfId="0" applyNumberFormat="1" applyFont="1" applyFill="1"/>
    <xf numFmtId="44" fontId="30" fillId="0" borderId="80" xfId="0" applyNumberFormat="1" applyFont="1" applyBorder="1"/>
    <xf numFmtId="167" fontId="19" fillId="2" borderId="80" xfId="1" applyNumberFormat="1" applyFont="1" applyFill="1" applyBorder="1" applyAlignment="1"/>
    <xf numFmtId="169" fontId="16" fillId="3" borderId="81" xfId="1" applyNumberFormat="1" applyFont="1" applyFill="1" applyBorder="1"/>
    <xf numFmtId="169" fontId="16" fillId="3" borderId="80" xfId="1" applyNumberFormat="1" applyFont="1" applyFill="1" applyBorder="1"/>
    <xf numFmtId="44" fontId="0" fillId="0" borderId="70" xfId="0" applyNumberFormat="1" applyBorder="1"/>
    <xf numFmtId="0" fontId="52" fillId="0" borderId="0" xfId="0" applyFont="1" applyAlignment="1">
      <alignment horizontal="center"/>
    </xf>
    <xf numFmtId="0" fontId="46" fillId="0" borderId="22" xfId="0" applyFont="1" applyBorder="1" applyAlignment="1">
      <alignment horizontal="center" wrapText="1"/>
    </xf>
    <xf numFmtId="0" fontId="46" fillId="0" borderId="16" xfId="0" applyFont="1" applyBorder="1" applyAlignment="1">
      <alignment horizontal="center" wrapText="1"/>
    </xf>
    <xf numFmtId="0" fontId="46" fillId="2" borderId="25" xfId="0" applyFont="1" applyFill="1" applyBorder="1" applyAlignment="1">
      <alignment horizontal="right" wrapText="1"/>
    </xf>
    <xf numFmtId="0" fontId="46" fillId="2" borderId="14" xfId="0" applyFont="1" applyFill="1" applyBorder="1" applyAlignment="1">
      <alignment horizontal="right" wrapText="1"/>
    </xf>
    <xf numFmtId="0" fontId="46" fillId="0" borderId="61" xfId="0" applyFont="1" applyBorder="1" applyAlignment="1">
      <alignment horizontal="center" wrapText="1"/>
    </xf>
    <xf numFmtId="0" fontId="46" fillId="0" borderId="86" xfId="0" applyFont="1" applyBorder="1" applyAlignment="1">
      <alignment horizontal="center" wrapText="1"/>
    </xf>
    <xf numFmtId="0" fontId="46" fillId="0" borderId="21" xfId="0" applyFont="1" applyBorder="1" applyAlignment="1">
      <alignment horizontal="center" wrapText="1"/>
    </xf>
    <xf numFmtId="0" fontId="46" fillId="0" borderId="19" xfId="0" applyFont="1" applyBorder="1" applyAlignment="1">
      <alignment horizontal="center" wrapText="1"/>
    </xf>
    <xf numFmtId="0" fontId="46" fillId="0" borderId="25" xfId="0" applyFont="1" applyBorder="1" applyAlignment="1">
      <alignment horizontal="center" wrapText="1"/>
    </xf>
    <xf numFmtId="0" fontId="46" fillId="0" borderId="14" xfId="0" applyFont="1" applyBorder="1" applyAlignment="1">
      <alignment horizontal="center" wrapText="1"/>
    </xf>
    <xf numFmtId="0" fontId="46" fillId="2" borderId="22" xfId="0" applyFont="1" applyFill="1" applyBorder="1" applyAlignment="1">
      <alignment horizontal="right" wrapText="1"/>
    </xf>
    <xf numFmtId="0" fontId="46" fillId="2" borderId="16" xfId="0" applyFont="1" applyFill="1" applyBorder="1" applyAlignment="1">
      <alignment horizontal="right" wrapText="1"/>
    </xf>
    <xf numFmtId="0" fontId="46" fillId="0" borderId="27" xfId="0" applyFont="1" applyBorder="1" applyAlignment="1">
      <alignment horizontal="center" wrapText="1"/>
    </xf>
    <xf numFmtId="0" fontId="46" fillId="0" borderId="44" xfId="0" applyFont="1" applyBorder="1" applyAlignment="1">
      <alignment horizontal="center" wrapText="1"/>
    </xf>
    <xf numFmtId="178" fontId="33" fillId="4" borderId="52" xfId="0" applyNumberFormat="1" applyFont="1" applyFill="1" applyBorder="1" applyAlignment="1">
      <alignment horizontal="center"/>
    </xf>
    <xf numFmtId="178" fontId="33" fillId="4" borderId="53" xfId="0" applyNumberFormat="1" applyFont="1" applyFill="1" applyBorder="1" applyAlignment="1">
      <alignment horizontal="center"/>
    </xf>
    <xf numFmtId="178" fontId="33" fillId="4" borderId="54" xfId="0" applyNumberFormat="1" applyFont="1" applyFill="1" applyBorder="1" applyAlignment="1">
      <alignment horizontal="center"/>
    </xf>
    <xf numFmtId="0" fontId="46" fillId="0" borderId="27" xfId="0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 wrapText="1"/>
    </xf>
    <xf numFmtId="43" fontId="47" fillId="2" borderId="22" xfId="0" applyNumberFormat="1" applyFont="1" applyFill="1" applyBorder="1" applyAlignment="1">
      <alignment horizontal="right" vertical="center" textRotation="90"/>
    </xf>
    <xf numFmtId="43" fontId="47" fillId="2" borderId="21" xfId="0" applyNumberFormat="1" applyFont="1" applyFill="1" applyBorder="1" applyAlignment="1">
      <alignment horizontal="right" vertical="center" textRotation="90"/>
    </xf>
    <xf numFmtId="0" fontId="46" fillId="0" borderId="24" xfId="0" applyFont="1" applyBorder="1" applyAlignment="1">
      <alignment horizontal="center" wrapText="1"/>
    </xf>
    <xf numFmtId="0" fontId="46" fillId="0" borderId="76" xfId="0" applyFont="1" applyBorder="1" applyAlignment="1">
      <alignment horizontal="center" wrapText="1"/>
    </xf>
  </cellXfs>
  <cellStyles count="8">
    <cellStyle name="Comma" xfId="1" builtinId="3"/>
    <cellStyle name="Currency" xfId="2" builtinId="4"/>
    <cellStyle name="Normal" xfId="0" builtinId="0"/>
    <cellStyle name="Normal 2" xfId="4" xr:uid="{A5ED2F32-1B1B-4422-89AC-06B905178AB4}"/>
    <cellStyle name="Normal 3" xfId="5" xr:uid="{EEF0F66D-CCB6-4A89-A2B1-11A2C0430C60}"/>
    <cellStyle name="Normal 4" xfId="6" xr:uid="{5015E43E-9714-4930-A17C-691DE01CF2AC}"/>
    <cellStyle name="Normal 5" xfId="7" xr:uid="{B2BE4F6B-0336-47F0-90E9-D8419412B55F}"/>
    <cellStyle name="Percent" xfId="3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Cash</a:t>
            </a:r>
            <a:r>
              <a:rPr lang="en-US" b="0" baseline="0"/>
              <a:t> Position - Student Count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86593560621682E-2"/>
          <c:y val="7.8882915510537846E-2"/>
          <c:w val="0.89119345895470237"/>
          <c:h val="0.68670443737093045"/>
        </c:manualLayout>
      </c:layout>
      <c:areaChart>
        <c:grouping val="standard"/>
        <c:varyColors val="0"/>
        <c:ser>
          <c:idx val="5"/>
          <c:order val="1"/>
          <c:tx>
            <c:v>Expenses</c:v>
          </c:tx>
          <c:spPr>
            <a:solidFill>
              <a:schemeClr val="accent3">
                <a:shade val="86000"/>
              </a:schemeClr>
            </a:solidFill>
          </c:spPr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('Monthly Detail'!$K$95:$N$95,'Monthly Detail'!$T$95:$AM$95)</c:f>
            </c:numRef>
          </c:val>
          <c:extLst>
            <c:ext xmlns:c16="http://schemas.microsoft.com/office/drawing/2014/chart" uri="{C3380CC4-5D6E-409C-BE32-E72D297353CC}">
              <c16:uniqueId val="{00000009-B93C-4B32-A5CD-C473B209565A}"/>
            </c:ext>
          </c:extLst>
        </c:ser>
        <c:ser>
          <c:idx val="1"/>
          <c:order val="3"/>
          <c:tx>
            <c:v>Cash Balance</c:v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Detail'!$AH$172:$AY$172</c:f>
              <c:numCache>
                <c:formatCode>_("$"* #,##0.00_);_("$"* \(#,##0.00\);_("$"* "-"??_);_(@_)</c:formatCode>
                <c:ptCount val="9"/>
                <c:pt idx="0">
                  <c:v>1331.5300000000013</c:v>
                </c:pt>
                <c:pt idx="1">
                  <c:v>557.08000000001061</c:v>
                </c:pt>
                <c:pt idx="2">
                  <c:v>1059.5000000000034</c:v>
                </c:pt>
                <c:pt idx="3">
                  <c:v>3158.8300000000054</c:v>
                </c:pt>
                <c:pt idx="4">
                  <c:v>3999.4700000000043</c:v>
                </c:pt>
                <c:pt idx="5">
                  <c:v>6133.2000000000007</c:v>
                </c:pt>
                <c:pt idx="6">
                  <c:v>10262.870000000006</c:v>
                </c:pt>
                <c:pt idx="7">
                  <c:v>25765.631450567402</c:v>
                </c:pt>
                <c:pt idx="8">
                  <c:v>26701.563767289608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45648"/>
        <c:axId val="2026246064"/>
      </c:areaChart>
      <c:barChart>
        <c:barDir val="col"/>
        <c:grouping val="stacked"/>
        <c:varyColors val="0"/>
        <c:ser>
          <c:idx val="4"/>
          <c:order val="0"/>
          <c:tx>
            <c:v>Total Income</c:v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B93C-4B32-A5CD-C473B2095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B93C-4B32-A5CD-C473B20956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B93C-4B32-A5CD-C473B209565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B93C-4B32-A5CD-C473B209565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B93C-4B32-A5CD-C473B209565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93C-4B32-A5CD-C473B20956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D989-4236-9F53-E4F43D2199A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39E9-4893-BB40-24E831E39D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370D-439E-AB50-6937D155F8F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2-370D-439E-AB50-6937D155F8F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370D-439E-AB50-6937D155F8F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E040-4FEC-B115-3582A862DDB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7-3CB3-4BAE-982A-47CAFE468B2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C-9CF3-4D9D-AC6C-F238D5D67FB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1-2876-47AF-A9E2-0EC9799151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8-D076-4D4D-924C-A9152617A372}"/>
              </c:ext>
            </c:extLst>
          </c:dPt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Detail'!$AH$14:$AY$14</c:f>
              <c:numCache>
                <c:formatCode>_("$"* #,##0.00_);_("$"* \(#,##0.00\);_("$"* "-"??_);_(@_)</c:formatCode>
                <c:ptCount val="9"/>
                <c:pt idx="0">
                  <c:v>3756.25</c:v>
                </c:pt>
                <c:pt idx="1">
                  <c:v>6044.5</c:v>
                </c:pt>
                <c:pt idx="2">
                  <c:v>6916</c:v>
                </c:pt>
                <c:pt idx="3">
                  <c:v>14930</c:v>
                </c:pt>
                <c:pt idx="4">
                  <c:v>20457</c:v>
                </c:pt>
                <c:pt idx="5">
                  <c:v>28307.5</c:v>
                </c:pt>
                <c:pt idx="6">
                  <c:v>39363.130000000005</c:v>
                </c:pt>
                <c:pt idx="7">
                  <c:v>12782.236961036549</c:v>
                </c:pt>
                <c:pt idx="8">
                  <c:v>18043.721267314566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barChart>
        <c:barDir val="col"/>
        <c:grouping val="stacked"/>
        <c:varyColors val="0"/>
        <c:ser>
          <c:idx val="7"/>
          <c:order val="2"/>
          <c:tx>
            <c:v>EBITDA</c:v>
          </c:tx>
          <c:spPr>
            <a:solidFill>
              <a:schemeClr val="bg2"/>
            </a:solidFill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B93C-4B32-A5CD-C473B20956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B93C-4B32-A5CD-C473B20956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B93C-4B32-A5CD-C473B209565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B93C-4B32-A5CD-C473B209565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B93C-4B32-A5CD-C473B209565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B93C-4B32-A5CD-C473B209565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D989-4236-9F53-E4F43D2199A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39E9-4893-BB40-24E831E39D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370D-439E-AB50-6937D155F8F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370D-439E-AB50-6937D155F8F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370D-439E-AB50-6937D155F8F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1-E040-4FEC-B115-3582A862DDB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3CB3-4BAE-982A-47CAFE468B2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D-9CF3-4D9D-AC6C-F238D5D67FB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0-2876-47AF-A9E2-0EC9799151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A-D076-4D4D-924C-A9152617A372}"/>
              </c:ext>
            </c:extLst>
          </c:dPt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Detail'!$AH$97:$AY$97</c:f>
              <c:numCache>
                <c:formatCode>_("$"* #,##0.00_);_("$"* \(#,##0.00\);_("$"* "-"??_);_(@_)</c:formatCode>
                <c:ptCount val="9"/>
                <c:pt idx="0">
                  <c:v>-24.739999999999782</c:v>
                </c:pt>
                <c:pt idx="1">
                  <c:v>2096.14</c:v>
                </c:pt>
                <c:pt idx="2">
                  <c:v>2763.62</c:v>
                </c:pt>
                <c:pt idx="3">
                  <c:v>3837.1100000000006</c:v>
                </c:pt>
                <c:pt idx="4">
                  <c:v>2124.9599999999991</c:v>
                </c:pt>
                <c:pt idx="5">
                  <c:v>10712.559999999998</c:v>
                </c:pt>
                <c:pt idx="6">
                  <c:v>14161.900000000005</c:v>
                </c:pt>
                <c:pt idx="7">
                  <c:v>-1894.1973181109042</c:v>
                </c:pt>
                <c:pt idx="8">
                  <c:v>2600.3611342145614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lineChart>
        <c:grouping val="standard"/>
        <c:varyColors val="0"/>
        <c:ser>
          <c:idx val="0"/>
          <c:order val="4"/>
          <c:tx>
            <c:strRef>
              <c:f>'Monthly Detail'!$C$17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B93C-4B32-A5CD-C473B209565A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93C-4B32-A5CD-C473B209565A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B93C-4B32-A5CD-C473B209565A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B93C-4B32-A5CD-C473B209565A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B93C-4B32-A5CD-C473B209565A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D989-4236-9F53-E4F43D2199A9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39E9-4893-BB40-24E831E39D19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370D-439E-AB50-6937D155F8FB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370D-439E-AB50-6937D155F8FB}"/>
              </c:ext>
            </c:extLst>
          </c:dPt>
          <c:dPt>
            <c:idx val="10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36-370D-439E-AB50-6937D155F8FB}"/>
              </c:ext>
            </c:extLst>
          </c:dPt>
          <c:dPt>
            <c:idx val="1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E040-4FEC-B115-3582A862DDBB}"/>
              </c:ext>
            </c:extLst>
          </c:dPt>
          <c:dPt>
            <c:idx val="1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48-3CB3-4BAE-982A-47CAFE468B2C}"/>
              </c:ext>
            </c:extLst>
          </c:dPt>
          <c:dPt>
            <c:idx val="1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E582-463D-AF83-519163D87F9E}"/>
              </c:ext>
            </c:extLst>
          </c:dPt>
          <c:dPt>
            <c:idx val="1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52-2876-47AF-A9E2-0EC979915108}"/>
              </c:ext>
            </c:extLst>
          </c:dPt>
          <c:dPt>
            <c:idx val="1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59-D076-4D4D-924C-A9152617A372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Detail'!$AH$4:$AY$4</c:f>
              <c:numCache>
                <c:formatCode>m/d/yyyy</c:formatCode>
                <c:ptCount val="9"/>
                <c:pt idx="0">
                  <c:v>45777</c:v>
                </c:pt>
                <c:pt idx="1">
                  <c:v>45808</c:v>
                </c:pt>
                <c:pt idx="2">
                  <c:v>45838</c:v>
                </c:pt>
                <c:pt idx="3">
                  <c:v>45869</c:v>
                </c:pt>
                <c:pt idx="4">
                  <c:v>45900</c:v>
                </c:pt>
                <c:pt idx="5">
                  <c:v>45930</c:v>
                </c:pt>
                <c:pt idx="6">
                  <c:v>45961</c:v>
                </c:pt>
                <c:pt idx="7">
                  <c:v>45991</c:v>
                </c:pt>
                <c:pt idx="8">
                  <c:v>46022</c:v>
                </c:pt>
              </c:numCache>
            </c:numRef>
          </c:cat>
          <c:val>
            <c:numRef>
              <c:f>'Monthly Detail'!$AH$17:$AY$17</c:f>
              <c:numCache>
                <c:formatCode>_(* #,##0_);_(* \(#,##0\);_(* "-"??_);_(@_)</c:formatCode>
                <c:ptCount val="9"/>
                <c:pt idx="0">
                  <c:v>23</c:v>
                </c:pt>
                <c:pt idx="1">
                  <c:v>20</c:v>
                </c:pt>
                <c:pt idx="2">
                  <c:v>25</c:v>
                </c:pt>
                <c:pt idx="3">
                  <c:v>35</c:v>
                </c:pt>
                <c:pt idx="4">
                  <c:v>48</c:v>
                </c:pt>
                <c:pt idx="5">
                  <c:v>57</c:v>
                </c:pt>
                <c:pt idx="6">
                  <c:v>67</c:v>
                </c:pt>
                <c:pt idx="7">
                  <c:v>62</c:v>
                </c:pt>
                <c:pt idx="8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3C-4B32-A5CD-C473B209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516912"/>
        <c:axId val="900006399"/>
      </c:lineChart>
      <c:dateAx>
        <c:axId val="2026245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6064"/>
        <c:crosses val="autoZero"/>
        <c:auto val="1"/>
        <c:lblOffset val="100"/>
        <c:baseTimeUnit val="months"/>
        <c:majorUnit val="3"/>
      </c:dateAx>
      <c:valAx>
        <c:axId val="2026246064"/>
        <c:scaling>
          <c:orientation val="minMax"/>
        </c:scaling>
        <c:delete val="0"/>
        <c:axPos val="l"/>
        <c:numFmt formatCode="&quot;$&quot;* #,##0_€;[Red]\(&quot;$&quot;* #,##0_€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5648"/>
        <c:crosses val="autoZero"/>
        <c:crossBetween val="between"/>
      </c:valAx>
      <c:valAx>
        <c:axId val="90000639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154516912"/>
        <c:crosses val="max"/>
        <c:crossBetween val="between"/>
      </c:valAx>
      <c:dateAx>
        <c:axId val="11545169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0006399"/>
        <c:crosses val="autoZero"/>
        <c:auto val="1"/>
        <c:lblOffset val="100"/>
        <c:baseTimeUnit val="months"/>
      </c:date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'2025 AOP'!$B$36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AOP'!$C$36:$N$36</c:f>
              <c:numCache>
                <c:formatCode>_("$"* #,##0.00_);_("$"* \(#,##0.00\);_("$"* "-"??_);_(@_)</c:formatCode>
                <c:ptCount val="12"/>
                <c:pt idx="0">
                  <c:v>5910.4919725383306</c:v>
                </c:pt>
                <c:pt idx="1">
                  <c:v>11084.272361042324</c:v>
                </c:pt>
                <c:pt idx="2">
                  <c:v>13626.640747999701</c:v>
                </c:pt>
                <c:pt idx="3">
                  <c:v>16286.344773842786</c:v>
                </c:pt>
                <c:pt idx="4">
                  <c:v>18578.005705878626</c:v>
                </c:pt>
                <c:pt idx="5">
                  <c:v>19238.673723690408</c:v>
                </c:pt>
                <c:pt idx="6">
                  <c:v>21452.661713757698</c:v>
                </c:pt>
                <c:pt idx="7">
                  <c:v>26002.178211082912</c:v>
                </c:pt>
                <c:pt idx="8">
                  <c:v>32304.328083873392</c:v>
                </c:pt>
                <c:pt idx="9">
                  <c:v>39688.855915124463</c:v>
                </c:pt>
                <c:pt idx="10">
                  <c:v>44161.646649811548</c:v>
                </c:pt>
                <c:pt idx="11">
                  <c:v>45353.466864734175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1-40B1-A5BB-E481DB43CA5E}"/>
            </c:ext>
          </c:extLst>
        </c:ser>
        <c:ser>
          <c:idx val="4"/>
          <c:order val="1"/>
          <c:tx>
            <c:strRef>
              <c:f>'2025 AOP'!$B$37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'2025 AOP'!$C$37:$N$37</c:f>
              <c:numCache>
                <c:formatCode>_("$"* #,##0.00_);_("$"* \(#,##0.00\);_("$"* "-"??_);_(@_)</c:formatCode>
                <c:ptCount val="12"/>
                <c:pt idx="0">
                  <c:v>1691.5452984802259</c:v>
                </c:pt>
                <c:pt idx="1">
                  <c:v>5173.7803885039939</c:v>
                </c:pt>
                <c:pt idx="2">
                  <c:v>2542.3683869573779</c:v>
                </c:pt>
                <c:pt idx="3">
                  <c:v>2659.7040258430852</c:v>
                </c:pt>
                <c:pt idx="4">
                  <c:v>2291.6609320358393</c:v>
                </c:pt>
                <c:pt idx="5">
                  <c:v>660.6680178117831</c:v>
                </c:pt>
                <c:pt idx="6">
                  <c:v>2213.9879900672904</c:v>
                </c:pt>
                <c:pt idx="7">
                  <c:v>4549.516497325214</c:v>
                </c:pt>
                <c:pt idx="8">
                  <c:v>6302.1498727904818</c:v>
                </c:pt>
                <c:pt idx="9">
                  <c:v>7384.5278312510727</c:v>
                </c:pt>
                <c:pt idx="10">
                  <c:v>4472.7907346870816</c:v>
                </c:pt>
                <c:pt idx="11">
                  <c:v>1191.8202149226308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1-40B1-A5BB-E481DB43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'2025 AOP'!$B$12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6B1-40B1-A5BB-E481DB43CA5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6B1-40B1-A5BB-E481DB43CA5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6B1-40B1-A5BB-E481DB43CA5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6B1-40B1-A5BB-E481DB43CA5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6B1-40B1-A5BB-E481DB43CA5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06B1-40B1-A5BB-E481DB43CA5E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B1-40B1-A5BB-E481DB43CA5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06B1-40B1-A5BB-E481DB43CA5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06B1-40B1-A5BB-E481DB43CA5E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06B1-40B1-A5BB-E481DB43CA5E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06B1-40B1-A5BB-E481DB43CA5E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AOP'!$C$12:$N$12</c:f>
              <c:numCache>
                <c:formatCode>_(* #,##0_);_(* \(#,##0\);_(* "-"??_);_(@_)</c:formatCode>
                <c:ptCount val="12"/>
                <c:pt idx="0">
                  <c:v>7677.1321022727261</c:v>
                </c:pt>
                <c:pt idx="1">
                  <c:v>12691.952380952382</c:v>
                </c:pt>
                <c:pt idx="2">
                  <c:v>7473.9</c:v>
                </c:pt>
                <c:pt idx="3">
                  <c:v>9831.9705882352919</c:v>
                </c:pt>
                <c:pt idx="4">
                  <c:v>10732.472826086954</c:v>
                </c:pt>
                <c:pt idx="5">
                  <c:v>5809.4312499999978</c:v>
                </c:pt>
                <c:pt idx="6">
                  <c:v>10858.899999999998</c:v>
                </c:pt>
                <c:pt idx="7">
                  <c:v>15862.284688995209</c:v>
                </c:pt>
                <c:pt idx="8">
                  <c:v>12122.448979591834</c:v>
                </c:pt>
                <c:pt idx="9">
                  <c:v>15626.953124999996</c:v>
                </c:pt>
                <c:pt idx="10">
                  <c:v>8797.3169856459317</c:v>
                </c:pt>
                <c:pt idx="11">
                  <c:v>6287.4785318559543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6B1-40B1-A5BB-E481DB43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'2025 AOP'!$B$15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A-06B1-40B1-A5BB-E481DB43CA5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C-06B1-40B1-A5BB-E481DB43CA5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E-06B1-40B1-A5BB-E481DB43CA5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0-06B1-40B1-A5BB-E481DB43CA5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2-06B1-40B1-A5BB-E481DB43CA5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4-06B1-40B1-A5BB-E481DB43CA5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6-06B1-40B1-A5BB-E481DB43CA5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8-06B1-40B1-A5BB-E481DB43CA5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2A-06B1-40B1-A5BB-E481DB43CA5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C-06B1-40B1-A5BB-E481DB43CA5E}"/>
              </c:ext>
            </c:extLst>
          </c:dPt>
          <c:val>
            <c:numRef>
              <c:f>'2025 AOP'!$C$15:$N$15</c:f>
              <c:numCache>
                <c:formatCode>_(* #,##0_);_(* \(#,##0\);_(* "-"??_);_(@_)</c:formatCode>
                <c:ptCount val="12"/>
                <c:pt idx="0">
                  <c:v>34.799999999999997</c:v>
                </c:pt>
                <c:pt idx="1">
                  <c:v>35.799999999999997</c:v>
                </c:pt>
                <c:pt idx="2">
                  <c:v>33.599999999999994</c:v>
                </c:pt>
                <c:pt idx="3">
                  <c:v>32.399999999999991</c:v>
                </c:pt>
                <c:pt idx="4">
                  <c:v>33.399999999999991</c:v>
                </c:pt>
                <c:pt idx="5">
                  <c:v>29.199999999999989</c:v>
                </c:pt>
                <c:pt idx="6">
                  <c:v>31.199999999999989</c:v>
                </c:pt>
                <c:pt idx="7">
                  <c:v>37.199999999999989</c:v>
                </c:pt>
                <c:pt idx="8">
                  <c:v>43.199999999999989</c:v>
                </c:pt>
                <c:pt idx="9">
                  <c:v>44.999999999999986</c:v>
                </c:pt>
                <c:pt idx="10">
                  <c:v>43.599999999999987</c:v>
                </c:pt>
                <c:pt idx="11">
                  <c:v>42.199999999999989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6B1-40B1-A5BB-E481DB43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'2023 Overview'!$B$29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11"/>
              <c:layout>
                <c:manualLayout>
                  <c:x val="2.1380336403600147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B2-4A63-A64D-58B388678D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'2023 Overview'!$C$29:$N$29</c:f>
              <c:numCache>
                <c:formatCode>_("$"* #,##0.00_);_("$"* \(#,##0.00\);_("$"* "-"??_);_(@_)</c:formatCode>
                <c:ptCount val="12"/>
                <c:pt idx="0">
                  <c:v>169.96000000000117</c:v>
                </c:pt>
                <c:pt idx="1">
                  <c:v>212.95000000000118</c:v>
                </c:pt>
                <c:pt idx="2">
                  <c:v>127.39000000000124</c:v>
                </c:pt>
                <c:pt idx="3">
                  <c:v>395.42000000000144</c:v>
                </c:pt>
                <c:pt idx="4">
                  <c:v>300.21000000000186</c:v>
                </c:pt>
                <c:pt idx="5">
                  <c:v>433.57000000000198</c:v>
                </c:pt>
                <c:pt idx="6">
                  <c:v>566.72999999999774</c:v>
                </c:pt>
                <c:pt idx="7">
                  <c:v>503.449999999998</c:v>
                </c:pt>
                <c:pt idx="8">
                  <c:v>741.17999999999756</c:v>
                </c:pt>
                <c:pt idx="9">
                  <c:v>653.29999999999927</c:v>
                </c:pt>
                <c:pt idx="10">
                  <c:v>727.48999999999887</c:v>
                </c:pt>
                <c:pt idx="11">
                  <c:v>997.01999999999884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'2023 Overview'!$B$30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'2023 Overview'!$C$30:$N$30</c:f>
              <c:numCache>
                <c:formatCode>_("$"* #,##0.00_);_("$"* \(#,##0.00\);_("$"* "-"??_);_(@_)</c:formatCode>
                <c:ptCount val="12"/>
                <c:pt idx="0">
                  <c:v>225.86000000000104</c:v>
                </c:pt>
                <c:pt idx="1">
                  <c:v>42.990000000000009</c:v>
                </c:pt>
                <c:pt idx="2">
                  <c:v>-85.559999999999945</c:v>
                </c:pt>
                <c:pt idx="3">
                  <c:v>268.0300000000002</c:v>
                </c:pt>
                <c:pt idx="4">
                  <c:v>-95.209999999999582</c:v>
                </c:pt>
                <c:pt idx="5">
                  <c:v>133.36000000000013</c:v>
                </c:pt>
                <c:pt idx="6">
                  <c:v>133.15999999999576</c:v>
                </c:pt>
                <c:pt idx="7">
                  <c:v>-63.279999999999745</c:v>
                </c:pt>
                <c:pt idx="8">
                  <c:v>237.72999999999956</c:v>
                </c:pt>
                <c:pt idx="9">
                  <c:v>-87.87999999999829</c:v>
                </c:pt>
                <c:pt idx="10">
                  <c:v>74.1899999999996</c:v>
                </c:pt>
                <c:pt idx="11">
                  <c:v>269.52999999999997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8-43BA-843B-9620D8EB0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'2025 Overview (Rolling)'!$B$36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(Rolling)'!$C$36:$N$36</c:f>
              <c:numCache>
                <c:formatCode>_("$"* #,##0.00_);_("$"* \(#,##0.00\);_("$"* "-"??_);_(@_)</c:formatCode>
                <c:ptCount val="12"/>
                <c:pt idx="0">
                  <c:v>3823.5900000000011</c:v>
                </c:pt>
                <c:pt idx="1">
                  <c:v>494.25000000000091</c:v>
                </c:pt>
                <c:pt idx="2">
                  <c:v>985.19000000000108</c:v>
                </c:pt>
                <c:pt idx="3">
                  <c:v>1331.5300000000013</c:v>
                </c:pt>
                <c:pt idx="4">
                  <c:v>557.08000000001061</c:v>
                </c:pt>
                <c:pt idx="5">
                  <c:v>1059.5000000000034</c:v>
                </c:pt>
                <c:pt idx="6">
                  <c:v>3158.8300000000054</c:v>
                </c:pt>
                <c:pt idx="7">
                  <c:v>3999.4700000000043</c:v>
                </c:pt>
                <c:pt idx="8">
                  <c:v>6133.2000000000007</c:v>
                </c:pt>
                <c:pt idx="9">
                  <c:v>10262.870000000006</c:v>
                </c:pt>
                <c:pt idx="10">
                  <c:v>25765.631450567402</c:v>
                </c:pt>
                <c:pt idx="11">
                  <c:v>26701.563767289608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5-44EE-9DD7-2240D07068FA}"/>
            </c:ext>
          </c:extLst>
        </c:ser>
        <c:ser>
          <c:idx val="4"/>
          <c:order val="1"/>
          <c:tx>
            <c:strRef>
              <c:f>'2025 Overview (Rolling)'!$B$37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'2025 Overview (Rolling)'!$C$37:$N$37</c:f>
              <c:numCache>
                <c:formatCode>_("$"* #,##0.00_);_("$"* \(#,##0.00\);_("$"* "-"??_);_(@_)</c:formatCode>
                <c:ptCount val="12"/>
                <c:pt idx="0">
                  <c:v>3530.76</c:v>
                </c:pt>
                <c:pt idx="1">
                  <c:v>-3329.34</c:v>
                </c:pt>
                <c:pt idx="2">
                  <c:v>490.94000000000017</c:v>
                </c:pt>
                <c:pt idx="3">
                  <c:v>346.34000000000026</c:v>
                </c:pt>
                <c:pt idx="4">
                  <c:v>-774.44999999999072</c:v>
                </c:pt>
                <c:pt idx="5">
                  <c:v>502.4199999999928</c:v>
                </c:pt>
                <c:pt idx="6">
                  <c:v>2099.3300000000017</c:v>
                </c:pt>
                <c:pt idx="7">
                  <c:v>840.63999999999896</c:v>
                </c:pt>
                <c:pt idx="8">
                  <c:v>2133.7299999999959</c:v>
                </c:pt>
                <c:pt idx="9">
                  <c:v>4129.6700000000055</c:v>
                </c:pt>
                <c:pt idx="10">
                  <c:v>15502.761450567394</c:v>
                </c:pt>
                <c:pt idx="11">
                  <c:v>935.93231672220645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5-44EE-9DD7-2240D0706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'2025 Overview (Rolling)'!$B$12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A5-44EE-9DD7-2240D07068F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A5-44EE-9DD7-2240D07068F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A5-44EE-9DD7-2240D07068F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A5-44EE-9DD7-2240D07068F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A5-44EE-9DD7-2240D07068F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A5-44EE-9DD7-2240D07068F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A5-44EE-9DD7-2240D07068F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A5-44EE-9DD7-2240D07068F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1A5-44EE-9DD7-2240D07068F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1A5-44EE-9DD7-2240D07068FA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31A5-44EE-9DD7-2240D07068FA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(Rolling)'!$C$12:$N$12</c:f>
              <c:numCache>
                <c:formatCode>_(* #,##0_);_(* \(#,##0\);_(* "-"??_);_(@_)</c:formatCode>
                <c:ptCount val="12"/>
                <c:pt idx="0">
                  <c:v>6477.5</c:v>
                </c:pt>
                <c:pt idx="1">
                  <c:v>8052.5</c:v>
                </c:pt>
                <c:pt idx="2">
                  <c:v>7630</c:v>
                </c:pt>
                <c:pt idx="3">
                  <c:v>3756.25</c:v>
                </c:pt>
                <c:pt idx="4">
                  <c:v>6032.5</c:v>
                </c:pt>
                <c:pt idx="5">
                  <c:v>6822.5</c:v>
                </c:pt>
                <c:pt idx="6">
                  <c:v>14855</c:v>
                </c:pt>
                <c:pt idx="7">
                  <c:v>20412.5</c:v>
                </c:pt>
                <c:pt idx="8">
                  <c:v>28257.5</c:v>
                </c:pt>
                <c:pt idx="9">
                  <c:v>39333.760000000002</c:v>
                </c:pt>
                <c:pt idx="10">
                  <c:v>12728.271531100479</c:v>
                </c:pt>
                <c:pt idx="11">
                  <c:v>17967.542334096113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A5-44EE-9DD7-2240D0706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'2025 Overview (Rolling)'!$B$15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31A5-44EE-9DD7-2240D07068FA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31A5-44EE-9DD7-2240D07068FA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31A5-44EE-9DD7-2240D07068FA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31A5-44EE-9DD7-2240D07068FA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31A5-44EE-9DD7-2240D07068FA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31A5-44EE-9DD7-2240D07068FA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31A5-44EE-9DD7-2240D07068FA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31A5-44EE-9DD7-2240D07068FA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31A5-44EE-9DD7-2240D07068F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C-31A5-44EE-9DD7-2240D07068FA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'2025 Overview (Rolling)'!$C$15:$N$15</c:f>
              <c:numCache>
                <c:formatCode>_(* #,##0_);_(* \(#,##0\);_(* "-"??_);_(@_)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48</c:v>
                </c:pt>
                <c:pt idx="8">
                  <c:v>57</c:v>
                </c:pt>
                <c:pt idx="9">
                  <c:v>67</c:v>
                </c:pt>
                <c:pt idx="10">
                  <c:v>62</c:v>
                </c:pt>
                <c:pt idx="11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1A5-44EE-9DD7-2240D0706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'2025 Overview (Budget)'!$B$32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(Budget)'!$C$32:$N$32</c:f>
              <c:numCache>
                <c:formatCode>_("$"* #,##0.00_);_("$"* \(#,##0.00\);_("$"* "-"??_);_(@_)</c:formatCode>
                <c:ptCount val="12"/>
                <c:pt idx="0">
                  <c:v>3823.5900000000011</c:v>
                </c:pt>
                <c:pt idx="1">
                  <c:v>494.25000000000091</c:v>
                </c:pt>
                <c:pt idx="2">
                  <c:v>985.19000000000108</c:v>
                </c:pt>
                <c:pt idx="3">
                  <c:v>1331.5300000000013</c:v>
                </c:pt>
                <c:pt idx="4">
                  <c:v>557.08000000001061</c:v>
                </c:pt>
                <c:pt idx="5">
                  <c:v>1059.5000000000034</c:v>
                </c:pt>
                <c:pt idx="6">
                  <c:v>3158.8300000000054</c:v>
                </c:pt>
                <c:pt idx="7">
                  <c:v>3999.4700000000043</c:v>
                </c:pt>
                <c:pt idx="8">
                  <c:v>6133.2000000000007</c:v>
                </c:pt>
                <c:pt idx="9">
                  <c:v>10262.870000000006</c:v>
                </c:pt>
                <c:pt idx="10">
                  <c:v>36536.590043550263</c:v>
                </c:pt>
                <c:pt idx="11">
                  <c:v>38730.025353412595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038-4434-9D99-9254E94B4A43}"/>
            </c:ext>
          </c:extLst>
        </c:ser>
        <c:ser>
          <c:idx val="5"/>
          <c:order val="1"/>
          <c:tx>
            <c:strRef>
              <c:f>'2025 Overview (Budget)'!$B$33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  <a:effectLst/>
          </c:spPr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(Budget)'!$C$33:$N$33</c:f>
              <c:numCache>
                <c:formatCode>_("$"* #,##0.00_);_("$"* \(#,##0.00\);_("$"* "-"??_);_(@_)</c:formatCode>
                <c:ptCount val="12"/>
                <c:pt idx="0">
                  <c:v>3530.76</c:v>
                </c:pt>
                <c:pt idx="1">
                  <c:v>-3329.34</c:v>
                </c:pt>
                <c:pt idx="2">
                  <c:v>490.94000000000017</c:v>
                </c:pt>
                <c:pt idx="3">
                  <c:v>346.34000000000026</c:v>
                </c:pt>
                <c:pt idx="4">
                  <c:v>-774.44999999999072</c:v>
                </c:pt>
                <c:pt idx="5">
                  <c:v>502.4199999999928</c:v>
                </c:pt>
                <c:pt idx="6">
                  <c:v>2099.3300000000017</c:v>
                </c:pt>
                <c:pt idx="7">
                  <c:v>840.63999999999896</c:v>
                </c:pt>
                <c:pt idx="8">
                  <c:v>2133.7299999999959</c:v>
                </c:pt>
                <c:pt idx="9">
                  <c:v>4129.6700000000055</c:v>
                </c:pt>
                <c:pt idx="10">
                  <c:v>1814.0563377699918</c:v>
                </c:pt>
                <c:pt idx="11">
                  <c:v>2193.4353098623324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6"/>
          <c:order val="2"/>
          <c:tx>
            <c:strRef>
              <c:f>'2025 Overview (Budget)'!$B$12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03D-48C3-AD49-5236454D66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3D-48C3-AD49-5236454D66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3D-48C3-AD49-5236454D66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3D-48C3-AD49-5236454D66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3D-48C3-AD49-5236454D660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3D-48C3-AD49-5236454D660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2FA-44C2-9797-2C7C41224D4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5DD-409D-B3D5-325F3F3417A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CAE-4D75-8298-6A5DD8CC75B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ACAE-4D75-8298-6A5DD8CC75B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ACAE-4D75-8298-6A5DD8CC75BB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(Budget)'!$C$12:$N$12</c:f>
              <c:numCache>
                <c:formatCode>_(* #,##0_);_(* \(#,##0\);_(* "-"??_);_(@_)</c:formatCode>
                <c:ptCount val="12"/>
                <c:pt idx="0">
                  <c:v>6477.5</c:v>
                </c:pt>
                <c:pt idx="1">
                  <c:v>8052.5</c:v>
                </c:pt>
                <c:pt idx="2">
                  <c:v>7630</c:v>
                </c:pt>
                <c:pt idx="3">
                  <c:v>3756.25</c:v>
                </c:pt>
                <c:pt idx="4">
                  <c:v>6032.5</c:v>
                </c:pt>
                <c:pt idx="5">
                  <c:v>6822.5</c:v>
                </c:pt>
                <c:pt idx="6">
                  <c:v>14855</c:v>
                </c:pt>
                <c:pt idx="7">
                  <c:v>20412.5</c:v>
                </c:pt>
                <c:pt idx="8">
                  <c:v>28257.5</c:v>
                </c:pt>
                <c:pt idx="9">
                  <c:v>39333.760000000002</c:v>
                </c:pt>
                <c:pt idx="10">
                  <c:v>8797.3169856459317</c:v>
                </c:pt>
                <c:pt idx="11">
                  <c:v>6287.4785318559543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7"/>
          <c:order val="3"/>
          <c:tx>
            <c:strRef>
              <c:f>'2025 Overview (Budget)'!$B$15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03D-48C3-AD49-5236454D6603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03D-48C3-AD49-5236454D6603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03D-48C3-AD49-5236454D6603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03D-48C3-AD49-5236454D6603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03D-48C3-AD49-5236454D6603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72FA-44C2-9797-2C7C41224D45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5DD-409D-B3D5-325F3F3417A3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ACAE-4D75-8298-6A5DD8CC75BB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ACAE-4D75-8298-6A5DD8CC75B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0-ACAE-4D75-8298-6A5DD8CC75BB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'2025 Overview (Budget)'!$C$15:$N$15</c:f>
              <c:numCache>
                <c:formatCode>_(* #,##0_);_(* \(#,##0\);_(* "-"??_);_(@_)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48</c:v>
                </c:pt>
                <c:pt idx="8">
                  <c:v>57</c:v>
                </c:pt>
                <c:pt idx="9">
                  <c:v>67</c:v>
                </c:pt>
                <c:pt idx="10">
                  <c:v>43.599999999999987</c:v>
                </c:pt>
                <c:pt idx="11">
                  <c:v>42.199999999999989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38-4434-9D99-9254E94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784431"/>
        <c:axId val="1073801231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073801231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073784431"/>
        <c:crosses val="max"/>
        <c:crossBetween val="between"/>
      </c:valAx>
      <c:catAx>
        <c:axId val="1073784431"/>
        <c:scaling>
          <c:orientation val="minMax"/>
        </c:scaling>
        <c:delete val="1"/>
        <c:axPos val="b"/>
        <c:majorTickMark val="out"/>
        <c:minorTickMark val="none"/>
        <c:tickLblPos val="nextTo"/>
        <c:crossAx val="1073801231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'2024 Overview (Rolling)'!$B$36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</c:spPr>
          <c:cat>
            <c:strRef>
              <c:f>'2023 Overview'!$C$10:$N$10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 (Rolling)'!$C$36:$N$36</c:f>
              <c:numCache>
                <c:formatCode>_("$"* #,##0.00_);_("$"* \(#,##0.00\);_("$"* "-"??_);_(@_)</c:formatCode>
                <c:ptCount val="12"/>
                <c:pt idx="0">
                  <c:v>1291.7799999999991</c:v>
                </c:pt>
                <c:pt idx="1">
                  <c:v>551.31999999999903</c:v>
                </c:pt>
                <c:pt idx="2">
                  <c:v>177.78999999999928</c:v>
                </c:pt>
                <c:pt idx="3">
                  <c:v>1342.9899999999991</c:v>
                </c:pt>
                <c:pt idx="4">
                  <c:v>1278.089999999999</c:v>
                </c:pt>
                <c:pt idx="5">
                  <c:v>1615.6999999999991</c:v>
                </c:pt>
                <c:pt idx="6">
                  <c:v>3158.9800000000023</c:v>
                </c:pt>
                <c:pt idx="7">
                  <c:v>3192.6000000000031</c:v>
                </c:pt>
                <c:pt idx="8">
                  <c:v>4237.5200000000032</c:v>
                </c:pt>
                <c:pt idx="9">
                  <c:v>5429.6700000000046</c:v>
                </c:pt>
                <c:pt idx="10">
                  <c:v>3714.4000000000042</c:v>
                </c:pt>
                <c:pt idx="11">
                  <c:v>292.83000000000084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20-409A-AE4F-420159AD250F}"/>
            </c:ext>
          </c:extLst>
        </c:ser>
        <c:ser>
          <c:idx val="4"/>
          <c:order val="1"/>
          <c:tx>
            <c:strRef>
              <c:f>'2024 Overview (Rolling)'!$B$37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solidFill>
              <a:schemeClr val="bg2"/>
            </a:solidFill>
            <a:ln>
              <a:solidFill>
                <a:srgbClr val="FF0000"/>
              </a:solidFill>
            </a:ln>
          </c:spPr>
          <c:val>
            <c:numRef>
              <c:f>'2024 Overview (Rolling)'!$C$37:$N$37</c:f>
              <c:numCache>
                <c:formatCode>_("$"* #,##0.00_);_("$"* \(#,##0.00\);_("$"* "-"??_);_(@_)</c:formatCode>
                <c:ptCount val="12"/>
                <c:pt idx="0">
                  <c:v>294.76000000000022</c:v>
                </c:pt>
                <c:pt idx="1">
                  <c:v>-740.46</c:v>
                </c:pt>
                <c:pt idx="2">
                  <c:v>-373.52999999999975</c:v>
                </c:pt>
                <c:pt idx="3">
                  <c:v>1165.1999999999998</c:v>
                </c:pt>
                <c:pt idx="4">
                  <c:v>-64.900000000000091</c:v>
                </c:pt>
                <c:pt idx="5">
                  <c:v>337.61000000000013</c:v>
                </c:pt>
                <c:pt idx="6">
                  <c:v>1543.2800000000034</c:v>
                </c:pt>
                <c:pt idx="7">
                  <c:v>33.6200000000008</c:v>
                </c:pt>
                <c:pt idx="8">
                  <c:v>1044.92</c:v>
                </c:pt>
                <c:pt idx="9">
                  <c:v>1192.1500000000015</c:v>
                </c:pt>
                <c:pt idx="10">
                  <c:v>-1715.2700000000004</c:v>
                </c:pt>
                <c:pt idx="11">
                  <c:v>-3421.5700000000033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stacked"/>
        <c:varyColors val="0"/>
        <c:ser>
          <c:idx val="3"/>
          <c:order val="2"/>
          <c:tx>
            <c:strRef>
              <c:f>'2024 Overview (Rolling)'!$B$12</c:f>
              <c:strCache>
                <c:ptCount val="1"/>
                <c:pt idx="0">
                  <c:v>Service Income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EF2-4EDC-A90F-CA117A97E45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EF2-4EDC-A90F-CA117A97E45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EF2-4EDC-A90F-CA117A97E45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EF2-4EDC-A90F-CA117A97E45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EF2-4EDC-A90F-CA117A97E45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EF2-4EDC-A90F-CA117A97E4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E22-4A9B-A1B6-EC6275AC10DB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5F01-4AEE-97BE-37FE30AD05E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B75B-457E-B943-A27AA4A2206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B75B-457E-B943-A27AA4A2206F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B75B-457E-B943-A27AA4A2206F}"/>
              </c:ext>
            </c:extLst>
          </c:dPt>
          <c:cat>
            <c:strRef>
              <c:f>'2025 Overview (Budget)'!$C$10:$N$10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'2024 Overview (Rolling)'!$C$12:$N$12</c:f>
              <c:numCache>
                <c:formatCode>_(* #,##0_);_(* \(#,##0\);_(* "-"??_);_(@_)</c:formatCode>
                <c:ptCount val="12"/>
                <c:pt idx="0">
                  <c:v>2885</c:v>
                </c:pt>
                <c:pt idx="1">
                  <c:v>4357.5</c:v>
                </c:pt>
                <c:pt idx="2">
                  <c:v>3467.5</c:v>
                </c:pt>
                <c:pt idx="3">
                  <c:v>4000</c:v>
                </c:pt>
                <c:pt idx="4">
                  <c:v>5370</c:v>
                </c:pt>
                <c:pt idx="5">
                  <c:v>4296.26</c:v>
                </c:pt>
                <c:pt idx="6">
                  <c:v>9031.27</c:v>
                </c:pt>
                <c:pt idx="7">
                  <c:v>14073.76</c:v>
                </c:pt>
                <c:pt idx="8">
                  <c:v>9897.5</c:v>
                </c:pt>
                <c:pt idx="9">
                  <c:v>17386.25</c:v>
                </c:pt>
                <c:pt idx="10">
                  <c:v>9563.75</c:v>
                </c:pt>
                <c:pt idx="11">
                  <c:v>5160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418911"/>
        <c:axId val="1908237535"/>
      </c:barChart>
      <c:lineChart>
        <c:grouping val="standard"/>
        <c:varyColors val="0"/>
        <c:ser>
          <c:idx val="0"/>
          <c:order val="3"/>
          <c:tx>
            <c:strRef>
              <c:f>'2024 Overview (Rolling)'!$B$15</c:f>
              <c:strCache>
                <c:ptCount val="1"/>
                <c:pt idx="0">
                  <c:v> # of Students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6-6EF2-4EDC-A90F-CA117A97E45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7-6EF2-4EDC-A90F-CA117A97E45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8-6EF2-4EDC-A90F-CA117A97E45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6EF2-4EDC-A90F-CA117A97E45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A-6EF2-4EDC-A90F-CA117A97E45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7-3E22-4A9B-A1B6-EC6275AC10D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1A-5F01-4AEE-97BE-37FE30AD05E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E-B75B-457E-B943-A27AA4A2206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F-B75B-457E-B943-A27AA4A2206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0-B75B-457E-B943-A27AA4A2206F}"/>
              </c:ext>
            </c:extLst>
          </c:dPt>
          <c:val>
            <c:numRef>
              <c:f>'2024 Overview (Rolling)'!$C$15:$N$15</c:f>
              <c:numCache>
                <c:formatCode>_(* #,##0_);_(* \(#,##0\);_(* "-"??_);_(@_)</c:formatCode>
                <c:ptCount val="12"/>
                <c:pt idx="0">
                  <c:v>16</c:v>
                </c:pt>
                <c:pt idx="1">
                  <c:v>15</c:v>
                </c:pt>
                <c:pt idx="2">
                  <c:v>20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38</c:v>
                </c:pt>
                <c:pt idx="8">
                  <c:v>42</c:v>
                </c:pt>
                <c:pt idx="9">
                  <c:v>48</c:v>
                </c:pt>
                <c:pt idx="10">
                  <c:v>44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20-409A-AE4F-420159AD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874879"/>
        <c:axId val="1637885439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637885439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637874879"/>
        <c:crosses val="max"/>
        <c:crossBetween val="between"/>
      </c:valAx>
      <c:catAx>
        <c:axId val="16378748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37885439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 AOP'!$B$31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dLbl>
              <c:idx val="3"/>
              <c:layout>
                <c:manualLayout>
                  <c:x val="4.2760672807200294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2F-44A8-899B-C46B10C35ACC}"/>
                </c:ext>
              </c:extLst>
            </c:dLbl>
            <c:dLbl>
              <c:idx val="11"/>
              <c:layout>
                <c:manualLayout>
                  <c:x val="2.1380336403600147E-3"/>
                  <c:y val="-6.7186924472242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2F-44A8-899B-C46B10C35A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'2024 AOP'!$C$31:$N$31</c:f>
              <c:numCache>
                <c:formatCode>_("$"* #,##0.00_);_("$"* \(#,##0.00\);_("$"* "-"??_);_(@_)</c:formatCode>
                <c:ptCount val="12"/>
                <c:pt idx="0">
                  <c:v>583.93523734582391</c:v>
                </c:pt>
                <c:pt idx="1">
                  <c:v>3316.6412282455376</c:v>
                </c:pt>
                <c:pt idx="2">
                  <c:v>5497.8005183445657</c:v>
                </c:pt>
                <c:pt idx="3">
                  <c:v>8902.7836486269971</c:v>
                </c:pt>
                <c:pt idx="4">
                  <c:v>15222.718101502005</c:v>
                </c:pt>
                <c:pt idx="5">
                  <c:v>20447.590030793574</c:v>
                </c:pt>
                <c:pt idx="6">
                  <c:v>26375.12213383965</c:v>
                </c:pt>
                <c:pt idx="7">
                  <c:v>28510.127406483367</c:v>
                </c:pt>
                <c:pt idx="8">
                  <c:v>33013.079542775929</c:v>
                </c:pt>
                <c:pt idx="9">
                  <c:v>34722.533705780268</c:v>
                </c:pt>
                <c:pt idx="10">
                  <c:v>36536.590043550263</c:v>
                </c:pt>
                <c:pt idx="11">
                  <c:v>38730.025353412595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F-44A8-899B-C46B10C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'2024 AOP'!$B$32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'2024 AOP'!$C$32:$N$32</c:f>
              <c:numCache>
                <c:formatCode>_("$"* #,##0.00_);_("$"* \(#,##0.00\);_("$"* "-"??_);_(@_)</c:formatCode>
                <c:ptCount val="12"/>
                <c:pt idx="0">
                  <c:v>-413.08476265417585</c:v>
                </c:pt>
                <c:pt idx="1">
                  <c:v>2732.7059908997135</c:v>
                </c:pt>
                <c:pt idx="2">
                  <c:v>2181.1592900990277</c:v>
                </c:pt>
                <c:pt idx="3">
                  <c:v>3404.9831302824314</c:v>
                </c:pt>
                <c:pt idx="4">
                  <c:v>6319.934452875008</c:v>
                </c:pt>
                <c:pt idx="5">
                  <c:v>5224.8719292915684</c:v>
                </c:pt>
                <c:pt idx="6">
                  <c:v>5927.5321030460782</c:v>
                </c:pt>
                <c:pt idx="7">
                  <c:v>2135.005272643717</c:v>
                </c:pt>
                <c:pt idx="8">
                  <c:v>4502.9521362925589</c:v>
                </c:pt>
                <c:pt idx="9">
                  <c:v>1709.4541630043368</c:v>
                </c:pt>
                <c:pt idx="10">
                  <c:v>1814.0563377699918</c:v>
                </c:pt>
                <c:pt idx="11">
                  <c:v>2193.4353098623324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F-44A8-899B-C46B10C35A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> AOP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AOP Total Income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Overview'!$C$38,'Quarterly Overview'!$D$38,'Quarterly Overview'!$F$38,'Quarterly Overview'!$H$38)</c:f>
              <c:numCache>
                <c:formatCode>_("$"* #,##0.00_);_("$"* \(#,##0.00\);_("$"* "-"??_);_(@_)</c:formatCode>
                <c:ptCount val="4"/>
                <c:pt idx="0">
                  <c:v>27893.465793950309</c:v>
                </c:pt>
                <c:pt idx="1">
                  <c:v>26421.692374480412</c:v>
                </c:pt>
                <c:pt idx="2">
                  <c:v>38914.059938518738</c:v>
                </c:pt>
                <c:pt idx="3">
                  <c:v>30767.431226639746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7-43B8-B02D-AEF0D403B2BE}"/>
            </c:ext>
          </c:extLst>
        </c:ser>
        <c:ser>
          <c:idx val="2"/>
          <c:order val="2"/>
          <c:tx>
            <c:v>Rolling Forecast Total Income</c:v>
          </c:tx>
          <c:spPr>
            <a:solidFill>
              <a:schemeClr val="bg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A7-43B8-B02D-AEF0D403B2B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A7-43B8-B02D-AEF0D403B2B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5A7-43B8-B02D-AEF0D403B2BE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5A7-43B8-B02D-AEF0D403B2BE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5A7-43B8-B02D-AEF0D403B2BE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5A7-43B8-B02D-AEF0D403B2BE}"/>
              </c:ext>
            </c:extLst>
          </c:dPt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Overview'!$C$14,'Quarterly Overview'!$D$14,'Quarterly Overview'!$F$14,'Quarterly Overview'!$H$14)</c:f>
              <c:numCache>
                <c:formatCode>_("$"* #,##0_);_("$"* \(#,##0\);_("$"* "-"??_);_(@_)</c:formatCode>
                <c:ptCount val="4"/>
                <c:pt idx="0">
                  <c:v>22379.99</c:v>
                </c:pt>
                <c:pt idx="1">
                  <c:v>16716.75</c:v>
                </c:pt>
                <c:pt idx="2">
                  <c:v>63694.5</c:v>
                </c:pt>
                <c:pt idx="3">
                  <c:v>70189.088228351116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A7-43B8-B02D-AEF0D403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1"/>
          <c:order val="1"/>
          <c:tx>
            <c:v>2025 AOP # of Students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72843450479233E-2"/>
                  <c:y val="-2.8368794326241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7A-45C1-8DE9-40590AEA04CE}"/>
                </c:ext>
              </c:extLst>
            </c:dLbl>
            <c:dLbl>
              <c:idx val="1"/>
              <c:layout>
                <c:manualLayout>
                  <c:x val="-3.6208732694355698E-2"/>
                  <c:y val="-3.5460992907801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7A-45C1-8DE9-40590AEA04CE}"/>
                </c:ext>
              </c:extLst>
            </c:dLbl>
            <c:dLbl>
              <c:idx val="2"/>
              <c:layout>
                <c:manualLayout>
                  <c:x val="7.7410978911675024E-3"/>
                  <c:y val="5.3766082172266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7A-45C1-8DE9-40590AEA04CE}"/>
                </c:ext>
              </c:extLst>
            </c:dLbl>
            <c:dLbl>
              <c:idx val="3"/>
              <c:layout>
                <c:manualLayout>
                  <c:x val="-1.3207663201769904E-2"/>
                  <c:y val="2.3437552896314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F86-445C-A3B1-4C07024CD1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Overview'!$C$40,'Quarterly Overview'!$D$40,'Quarterly Overview'!$F$40,'Quarterly Overview'!$H$40)</c:f>
              <c:numCache>
                <c:formatCode>_(* #,##0_);_(* \(#,##0\);_(* "-"??_);_(@_)</c:formatCode>
                <c:ptCount val="4"/>
                <c:pt idx="0">
                  <c:v>34.733333333333327</c:v>
                </c:pt>
                <c:pt idx="1">
                  <c:v>31.666666666666657</c:v>
                </c:pt>
                <c:pt idx="2">
                  <c:v>37.199999999999989</c:v>
                </c:pt>
                <c:pt idx="3">
                  <c:v>43.599999999999987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A7-43B8-B02D-AEF0D403B2BE}"/>
            </c:ext>
          </c:extLst>
        </c:ser>
        <c:ser>
          <c:idx val="3"/>
          <c:order val="3"/>
          <c:tx>
            <c:v>Rolling Forecast # of Students</c:v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A7-43B8-B02D-AEF0D403B2BE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A7-43B8-B02D-AEF0D403B2BE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5A7-43B8-B02D-AEF0D403B2B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5A7-43B8-B02D-AEF0D403B2B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75A7-43B8-B02D-AEF0D403B2BE}"/>
              </c:ext>
            </c:extLst>
          </c:dPt>
          <c:dLbls>
            <c:dLbl>
              <c:idx val="0"/>
              <c:layout>
                <c:manualLayout>
                  <c:x val="-1.2428482410921657E-2"/>
                  <c:y val="2.0198929679244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7A-45C1-8DE9-40590AEA04CE}"/>
                </c:ext>
              </c:extLst>
            </c:dLbl>
            <c:dLbl>
              <c:idx val="1"/>
              <c:layout>
                <c:manualLayout>
                  <c:x val="-1.2528731488681638E-2"/>
                  <c:y val="-6.305893581484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A7-43B8-B02D-AEF0D403B2BE}"/>
                </c:ext>
              </c:extLst>
            </c:dLbl>
            <c:dLbl>
              <c:idx val="2"/>
              <c:layout>
                <c:manualLayout>
                  <c:x val="-6.4926075555821361E-2"/>
                  <c:y val="-2.77434652316334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5A7-43B8-B02D-AEF0D403B2BE}"/>
                </c:ext>
              </c:extLst>
            </c:dLbl>
            <c:dLbl>
              <c:idx val="3"/>
              <c:layout>
                <c:manualLayout>
                  <c:x val="-1.7387575910282799E-2"/>
                  <c:y val="-5.46774221941763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5A7-43B8-B02D-AEF0D403B2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('Quarterly Overview'!$C$37,'Quarterly Overview'!$D$37,'Quarterly Overview'!$F$37,'Quarterly Overview'!$H$37)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Overview'!$C$15,'Quarterly Overview'!$D$15,'Quarterly Overview'!$F$15,'Quarterly Overview'!$H$15)</c:f>
              <c:numCache>
                <c:formatCode>_(* #,##0_);_(* \(#,##0\);_(* "-"??_);_(@_)</c:formatCode>
                <c:ptCount val="4"/>
                <c:pt idx="0">
                  <c:v>25.333333333333332</c:v>
                </c:pt>
                <c:pt idx="1">
                  <c:v>22.666666666666668</c:v>
                </c:pt>
                <c:pt idx="2">
                  <c:v>46.666666666666664</c:v>
                </c:pt>
                <c:pt idx="3">
                  <c:v>62.199999999999996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5A7-43B8-B02D-AEF0D403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> AOP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AOP Total Income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AOP'!$C$14:$N$14</c:f>
              <c:numCache>
                <c:formatCode>_("$"* #,##0_);_("$"* \(#,##0\);_("$"* "-"??_);_(@_)</c:formatCode>
                <c:ptCount val="12"/>
                <c:pt idx="0">
                  <c:v>7691.051288679153</c:v>
                </c:pt>
                <c:pt idx="1">
                  <c:v>12714.963793117566</c:v>
                </c:pt>
                <c:pt idx="2">
                  <c:v>7487.4507121535908</c:v>
                </c:pt>
                <c:pt idx="3">
                  <c:v>9849.7966500428829</c:v>
                </c:pt>
                <c:pt idx="4">
                  <c:v>10751.931562484624</c:v>
                </c:pt>
                <c:pt idx="5">
                  <c:v>5819.9641619529039</c:v>
                </c:pt>
                <c:pt idx="6">
                  <c:v>10878.587957853946</c:v>
                </c:pt>
                <c:pt idx="7">
                  <c:v>15891.044139070656</c:v>
                </c:pt>
                <c:pt idx="8">
                  <c:v>12144.427841594141</c:v>
                </c:pt>
                <c:pt idx="9">
                  <c:v>15655.285902215979</c:v>
                </c:pt>
                <c:pt idx="10">
                  <c:v>8813.267146899947</c:v>
                </c:pt>
                <c:pt idx="11">
                  <c:v>6298.8781775238203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1-4CA9-910E-D9EAA0CC8270}"/>
            </c:ext>
          </c:extLst>
        </c:ser>
        <c:ser>
          <c:idx val="2"/>
          <c:order val="2"/>
          <c:tx>
            <c:v>Rolling Forecast Total Income</c:v>
          </c:tx>
          <c:spPr>
            <a:solidFill>
              <a:schemeClr val="bg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81-4CA9-910E-D9EAA0CC82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81-4CA9-910E-D9EAA0CC82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381-4CA9-910E-D9EAA0CC82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81-4CA9-910E-D9EAA0CC827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381-4CA9-910E-D9EAA0CC827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81-4CA9-910E-D9EAA0CC827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81-4CA9-910E-D9EAA0CC827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381-4CA9-910E-D9EAA0CC827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9A51-4103-B0B7-29E1E58627B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A51-4103-B0B7-29E1E58627BD}"/>
              </c:ext>
            </c:extLst>
          </c:dPt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 (Rolling)'!$C$14:$N$14</c:f>
              <c:numCache>
                <c:formatCode>_("$"* #,##0_);_("$"* \(#,##0\);_("$"* "-"??_);_(@_)</c:formatCode>
                <c:ptCount val="12"/>
                <c:pt idx="0">
                  <c:v>6585.5</c:v>
                </c:pt>
                <c:pt idx="1">
                  <c:v>8112.12</c:v>
                </c:pt>
                <c:pt idx="2">
                  <c:v>7682.37</c:v>
                </c:pt>
                <c:pt idx="3">
                  <c:v>3756.25</c:v>
                </c:pt>
                <c:pt idx="4">
                  <c:v>6044.5</c:v>
                </c:pt>
                <c:pt idx="5">
                  <c:v>6916</c:v>
                </c:pt>
                <c:pt idx="6">
                  <c:v>14930</c:v>
                </c:pt>
                <c:pt idx="7">
                  <c:v>20457</c:v>
                </c:pt>
                <c:pt idx="8">
                  <c:v>28307.5</c:v>
                </c:pt>
                <c:pt idx="9">
                  <c:v>39363.130000000005</c:v>
                </c:pt>
                <c:pt idx="10">
                  <c:v>12782.236961036549</c:v>
                </c:pt>
                <c:pt idx="11">
                  <c:v>18043.721267314566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381-4CA9-910E-D9EAA0CC8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1"/>
          <c:order val="1"/>
          <c:tx>
            <c:v>2025 AOP # of Students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4.8997483775063287E-4"/>
                  <c:y val="3.4440639354949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697-4CBB-9838-FAE20A437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AOP'!$C$15:$N$15</c:f>
              <c:numCache>
                <c:formatCode>_(* #,##0_);_(* \(#,##0\);_(* "-"??_);_(@_)</c:formatCode>
                <c:ptCount val="12"/>
                <c:pt idx="0">
                  <c:v>34.799999999999997</c:v>
                </c:pt>
                <c:pt idx="1">
                  <c:v>35.799999999999997</c:v>
                </c:pt>
                <c:pt idx="2">
                  <c:v>33.599999999999994</c:v>
                </c:pt>
                <c:pt idx="3">
                  <c:v>32.399999999999991</c:v>
                </c:pt>
                <c:pt idx="4">
                  <c:v>33.399999999999991</c:v>
                </c:pt>
                <c:pt idx="5">
                  <c:v>29.199999999999989</c:v>
                </c:pt>
                <c:pt idx="6">
                  <c:v>31.199999999999989</c:v>
                </c:pt>
                <c:pt idx="7">
                  <c:v>37.199999999999989</c:v>
                </c:pt>
                <c:pt idx="8">
                  <c:v>43.199999999999989</c:v>
                </c:pt>
                <c:pt idx="9">
                  <c:v>44.999999999999986</c:v>
                </c:pt>
                <c:pt idx="10">
                  <c:v>43.599999999999987</c:v>
                </c:pt>
                <c:pt idx="11">
                  <c:v>42.199999999999989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81-4CA9-910E-D9EAA0CC8270}"/>
            </c:ext>
          </c:extLst>
        </c:ser>
        <c:ser>
          <c:idx val="3"/>
          <c:order val="3"/>
          <c:tx>
            <c:v>Rolling Forecast # of Students</c:v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381-4CA9-910E-D9EAA0CC827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381-4CA9-910E-D9EAA0CC827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7381-4CA9-910E-D9EAA0CC8270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7381-4CA9-910E-D9EAA0CC827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7381-4CA9-910E-D9EAA0CC8270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7381-4CA9-910E-D9EAA0CC8270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7381-4CA9-910E-D9EAA0CC827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9A51-4103-B0B7-29E1E58627BD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9A51-4103-B0B7-29E1E58627BD}"/>
              </c:ext>
            </c:extLst>
          </c:dPt>
          <c:dLbls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309876741627206E-2"/>
                      <c:h val="3.01070741199177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7381-4CA9-910E-D9EAA0CC8270}"/>
                </c:ext>
              </c:extLst>
            </c:dLbl>
            <c:dLbl>
              <c:idx val="5"/>
              <c:layout>
                <c:manualLayout>
                  <c:x val="-2.0470280224644276E-2"/>
                  <c:y val="-5.68328833003198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6818375971058125E-2"/>
                      <c:h val="3.22598799378500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C-7381-4CA9-910E-D9EAA0CC8270}"/>
                </c:ext>
              </c:extLst>
            </c:dLbl>
            <c:dLbl>
              <c:idx val="6"/>
              <c:layout>
                <c:manualLayout>
                  <c:x val="-4.3703033444914406E-2"/>
                  <c:y val="-4.92445190475120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381-4CA9-910E-D9EAA0CC8270}"/>
                </c:ext>
              </c:extLst>
            </c:dLbl>
            <c:dLbl>
              <c:idx val="7"/>
              <c:layout>
                <c:manualLayout>
                  <c:x val="-3.9073062879861134E-2"/>
                  <c:y val="-2.5981017848950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381-4CA9-910E-D9EAA0CC82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 (Rolling)'!$C$15:$N$15</c:f>
              <c:numCache>
                <c:formatCode>_(* #,##0_);_(* \(#,##0\);_(* "-"??_);_(@_)</c:formatCode>
                <c:ptCount val="12"/>
                <c:pt idx="0">
                  <c:v>24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48</c:v>
                </c:pt>
                <c:pt idx="8">
                  <c:v>57</c:v>
                </c:pt>
                <c:pt idx="9">
                  <c:v>67</c:v>
                </c:pt>
                <c:pt idx="10">
                  <c:v>62</c:v>
                </c:pt>
                <c:pt idx="11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381-4CA9-910E-D9EAA0CC8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192406</xdr:colOff>
      <xdr:row>9</xdr:row>
      <xdr:rowOff>114300</xdr:rowOff>
    </xdr:from>
    <xdr:to>
      <xdr:col>26</xdr:col>
      <xdr:colOff>310515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96BC6-3F52-4783-97CC-3D635E81F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185824</xdr:colOff>
      <xdr:row>2</xdr:row>
      <xdr:rowOff>166775</xdr:rowOff>
    </xdr:from>
    <xdr:to>
      <xdr:col>2</xdr:col>
      <xdr:colOff>615835</xdr:colOff>
      <xdr:row>8</xdr:row>
      <xdr:rowOff>71661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E8F563-0E8F-41C6-B006-5DDBEC23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733" y="547775"/>
          <a:ext cx="1049540" cy="1001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848847</xdr:colOff>
      <xdr:row>0</xdr:row>
      <xdr:rowOff>45721</xdr:rowOff>
    </xdr:from>
    <xdr:to>
      <xdr:col>8</xdr:col>
      <xdr:colOff>192616</xdr:colOff>
      <xdr:row>6</xdr:row>
      <xdr:rowOff>111227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4FCAF-F756-4C79-8159-226FDAEE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687" y="45721"/>
          <a:ext cx="1248769" cy="116278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0F3CD7-64C2-4471-BA61-5EA6B3BB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7</xdr:col>
      <xdr:colOff>190500</xdr:colOff>
      <xdr:row>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AE5CA-9AD6-43C2-BB21-0A9E75E6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6" y="76201"/>
          <a:ext cx="1552574" cy="1552574"/>
        </a:xfrm>
        <a:prstGeom prst="rect">
          <a:avLst/>
        </a:prstGeom>
      </xdr:spPr>
    </xdr:pic>
    <xdr:clientData/>
  </xdr:twoCellAnchor>
  <xdr:twoCellAnchor>
    <xdr:from>
      <xdr:col>0</xdr:col>
      <xdr:colOff>594360</xdr:colOff>
      <xdr:row>30</xdr:row>
      <xdr:rowOff>64770</xdr:rowOff>
    </xdr:from>
    <xdr:to>
      <xdr:col>14</xdr:col>
      <xdr:colOff>15240</xdr:colOff>
      <xdr:row>47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2A01E-0B04-4EF9-CEB7-4AFF06298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848847</xdr:colOff>
      <xdr:row>0</xdr:row>
      <xdr:rowOff>45721</xdr:rowOff>
    </xdr:from>
    <xdr:to>
      <xdr:col>8</xdr:col>
      <xdr:colOff>192616</xdr:colOff>
      <xdr:row>6</xdr:row>
      <xdr:rowOff>111227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4D06D-3D86-458C-98AD-DC8C33A1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2522" y="45721"/>
          <a:ext cx="1201144" cy="120850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130FDA-FE35-4F81-B0E3-408DCC97C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837545</xdr:colOff>
      <xdr:row>0</xdr:row>
      <xdr:rowOff>0</xdr:rowOff>
    </xdr:from>
    <xdr:to>
      <xdr:col>8</xdr:col>
      <xdr:colOff>82384</xdr:colOff>
      <xdr:row>6</xdr:row>
      <xdr:rowOff>147729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1386A-6343-41EF-B545-42E1F7B03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5709" y="0"/>
          <a:ext cx="1318478" cy="1271991"/>
        </a:xfrm>
        <a:prstGeom prst="rect">
          <a:avLst/>
        </a:prstGeom>
      </xdr:spPr>
    </xdr:pic>
    <xdr:clientData/>
  </xdr:twoCellAnchor>
  <xdr:twoCellAnchor>
    <xdr:from>
      <xdr:col>0</xdr:col>
      <xdr:colOff>603884</xdr:colOff>
      <xdr:row>33</xdr:row>
      <xdr:rowOff>81915</xdr:rowOff>
    </xdr:from>
    <xdr:to>
      <xdr:col>16</xdr:col>
      <xdr:colOff>9525</xdr:colOff>
      <xdr:row>50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0A7A23-4236-4D55-94DE-E86D62B1E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862454</xdr:colOff>
      <xdr:row>0</xdr:row>
      <xdr:rowOff>18507</xdr:rowOff>
    </xdr:from>
    <xdr:to>
      <xdr:col>8</xdr:col>
      <xdr:colOff>138187</xdr:colOff>
      <xdr:row>6</xdr:row>
      <xdr:rowOff>84013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DC5F8-3088-4F80-9EA8-6B20A97D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7490" y="18507"/>
          <a:ext cx="1194340" cy="1208506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37</xdr:row>
      <xdr:rowOff>177950</xdr:rowOff>
    </xdr:from>
    <xdr:to>
      <xdr:col>16</xdr:col>
      <xdr:colOff>8565</xdr:colOff>
      <xdr:row>57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026F9-39AC-4358-ABF9-DF86A8EA2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6</xdr:col>
      <xdr:colOff>803089</xdr:colOff>
      <xdr:row>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0B40-B191-4B32-9170-AACCCB7A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736" y="76201"/>
          <a:ext cx="1594484" cy="1491614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180976</xdr:colOff>
      <xdr:row>0</xdr:row>
      <xdr:rowOff>76201</xdr:rowOff>
    </xdr:from>
    <xdr:to>
      <xdr:col>6</xdr:col>
      <xdr:colOff>803089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46A424-79DE-4C68-8EDF-B6CE634E1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736" y="76201"/>
          <a:ext cx="1594484" cy="1491614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32</xdr:row>
      <xdr:rowOff>144780</xdr:rowOff>
    </xdr:from>
    <xdr:to>
      <xdr:col>14</xdr:col>
      <xdr:colOff>69075</xdr:colOff>
      <xdr:row>49</xdr:row>
      <xdr:rowOff>60218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D4C0E-BF01-41EE-A154-B191349EC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112396</xdr:colOff>
      <xdr:row>0</xdr:row>
      <xdr:rowOff>15241</xdr:rowOff>
    </xdr:from>
    <xdr:to>
      <xdr:col>6</xdr:col>
      <xdr:colOff>470302</xdr:colOff>
      <xdr:row>8</xdr:row>
      <xdr:rowOff>41910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6A3A1-30D5-4DA7-9D5E-8B659971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316" y="15241"/>
          <a:ext cx="1621154" cy="1489709"/>
        </a:xfrm>
        <a:prstGeom prst="rect">
          <a:avLst/>
        </a:prstGeom>
      </xdr:spPr>
    </xdr:pic>
    <xdr:clientData/>
  </xdr:twoCellAnchor>
  <xdr:twoCellAnchor>
    <xdr:from>
      <xdr:col>11</xdr:col>
      <xdr:colOff>483220</xdr:colOff>
      <xdr:row>8</xdr:row>
      <xdr:rowOff>148684</xdr:rowOff>
    </xdr:from>
    <xdr:to>
      <xdr:col>21</xdr:col>
      <xdr:colOff>364738</xdr:colOff>
      <xdr:row>33</xdr:row>
      <xdr:rowOff>10455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310E380F-EFE8-4922-99EC-A9D4BC8BB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11C83-253A-2B45-EF80-D8361530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398584</xdr:colOff>
      <xdr:row>4</xdr:row>
      <xdr:rowOff>121865</xdr:rowOff>
    </xdr:from>
    <xdr:to>
      <xdr:col>64</xdr:col>
      <xdr:colOff>63342</xdr:colOff>
      <xdr:row>12</xdr:row>
      <xdr:rowOff>117669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DECFE-BFED-4143-B650-A0987E74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8969" y="895588"/>
          <a:ext cx="1737544" cy="15508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18317</xdr:colOff>
      <xdr:row>50</xdr:row>
      <xdr:rowOff>109308</xdr:rowOff>
    </xdr:from>
    <xdr:to>
      <xdr:col>68</xdr:col>
      <xdr:colOff>1325217</xdr:colOff>
      <xdr:row>82</xdr:row>
      <xdr:rowOff>182217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32B1E9F-C6C4-4039-BFC8-2F8A53A98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rdan lee" id="{1EAB70DF-57F2-4E03-B78C-7A4DE89F3DCA}" userId="03a4090e471ff419" providerId="Windows Live"/>
  <person displayName="Muneeb Syed" id="{09EAC893-A2FC-5248-A491-4EB85939DA42}" userId="3d1b2efebf15df71" providerId="Windows Live"/>
  <person displayName="Jordan Lee" id="{4FFE1BBA-B9CA-49FB-A731-68784AB003DB}" userId="S::jordan.lee.17@cnu.edu::c7004041-c18d-46a2-813c-11a6bccfe04f" providerId="AD"/>
</personList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jordan lee" refreshedDate="44895.928566087961" createdVersion="8" refreshedVersion="8" minRefreshableVersion="3" recordCount="6" xr:uid="{613EE8A1-CDF4-4843-88FB-66816C45A52A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154EBD7C-0101-4D63-9E70-E31B3C7C51A8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88D9A00C-977F-4705-83A8-FAB91CE502E6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C87EF8AD-2BBE-4D3F-BE88-FC5B28F3A3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2-09-18T00:00:00"/>
    <n v="1"/>
    <n v="50"/>
    <n v="50"/>
    <s v="Yes"/>
    <s v="Yes"/>
    <s v="AOS Math/Science"/>
    <s v="No"/>
    <n v="50"/>
  </r>
  <r>
    <x v="1"/>
    <d v="2022-09-18T00:00:00"/>
    <n v="2"/>
    <n v="50"/>
    <n v="100"/>
    <s v="Yes"/>
    <s v="Yes"/>
    <s v="College Essay"/>
    <s v="No"/>
    <n v="100"/>
  </r>
  <r>
    <x v="2"/>
    <d v="2022-09-18T00:00:00"/>
    <n v="1.5"/>
    <n v="50"/>
    <n v="75"/>
    <s v="Yes"/>
    <s v="Yes"/>
    <s v="College Supplemental Essays"/>
    <n v="25"/>
    <n v="100"/>
  </r>
  <r>
    <x v="3"/>
    <d v="2022-09-18T00:00:00"/>
    <n v="1.5"/>
    <n v="50"/>
    <n v="75"/>
    <s v="Yes"/>
    <s v="Yes"/>
    <s v="Business Calc"/>
    <s v="No"/>
    <n v="75"/>
  </r>
  <r>
    <x v="4"/>
    <d v="2022-09-18T00:00:00"/>
    <n v="1.5"/>
    <n v="50"/>
    <n v="75"/>
    <s v="Yes"/>
    <s v="Yes"/>
    <s v="College Essay"/>
    <s v="No"/>
    <n v="75"/>
  </r>
  <r>
    <x v="5"/>
    <d v="2022-09-19T00:00:00"/>
    <n v="2"/>
    <n v="50"/>
    <n v="100"/>
    <s v="Yes"/>
    <s v="Yes"/>
    <s v="Math Practice for Quiz"/>
    <s v="No"/>
    <n v="100"/>
  </r>
  <r>
    <x v="3"/>
    <d v="2022-09-19T00:00:00"/>
    <n v="1"/>
    <n v="50"/>
    <n v="50"/>
    <s v="Yes"/>
    <s v="Yes"/>
    <s v="Business Calc"/>
    <s v="No"/>
    <n v="50"/>
  </r>
  <r>
    <x v="1"/>
    <d v="2022-09-22T00:00:00"/>
    <n v="1"/>
    <n v="50"/>
    <n v="50"/>
    <s v="Yes"/>
    <s v="Yes"/>
    <s v="ACT Math, NHS Essay"/>
    <s v="No"/>
    <n v="50"/>
  </r>
  <r>
    <x v="6"/>
    <d v="2022-09-23T00:00:00"/>
    <n v="0.5"/>
    <n v="50"/>
    <n v="25"/>
    <s v="No"/>
    <s v="Yes (accounted for in October w Caroline)"/>
    <s v="PR/Project Planning"/>
    <m/>
    <m/>
  </r>
  <r>
    <x v="1"/>
    <d v="2022-09-23T00:00:00"/>
    <n v="1"/>
    <n v="50"/>
    <n v="50"/>
    <s v="Yes"/>
    <s v="Yes"/>
    <s v="NHS Essay"/>
    <s v="No"/>
    <n v="50"/>
  </r>
  <r>
    <x v="7"/>
    <d v="2022-09-25T00:00:00"/>
    <n v="1"/>
    <n v="50"/>
    <n v="50"/>
    <s v="Yes"/>
    <s v="Yes"/>
    <s v="Algebra Review/SAT Math"/>
    <s v="No"/>
    <n v="50"/>
  </r>
  <r>
    <x v="1"/>
    <d v="2022-09-25T00:00:00"/>
    <n v="2"/>
    <n v="100"/>
    <n v="100"/>
    <s v="Yes"/>
    <s v="Yes"/>
    <s v="Supplemental Essays"/>
    <s v="No"/>
    <n v="100"/>
  </r>
  <r>
    <x v="8"/>
    <d v="2022-09-25T00:00:00"/>
    <n v="2"/>
    <n v="100"/>
    <n v="100"/>
    <s v="Yes"/>
    <s v="Yes"/>
    <s v="Supplemental Essays"/>
    <s v="No"/>
    <n v="100"/>
  </r>
  <r>
    <x v="7"/>
    <d v="2022-09-26T00:00:00"/>
    <n v="1"/>
    <n v="50"/>
    <n v="50"/>
    <s v="Yes"/>
    <s v="Yes"/>
    <s v="Algebra Review/SAT Math"/>
    <s v="No"/>
    <n v="50"/>
  </r>
  <r>
    <x v="1"/>
    <d v="2022-09-28T00:00:00"/>
    <n v="1.5"/>
    <n v="50"/>
    <n v="75"/>
    <s v="Yes"/>
    <s v="Yes"/>
    <s v="Supplemental Essays"/>
    <s v="No"/>
    <n v="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d v="2022-11-03T00:00:00"/>
    <n v="1"/>
    <n v="50"/>
    <n v="50"/>
    <s v="Yes"/>
    <s v="Yes"/>
    <s v="Properties of logs and exponents; APERT"/>
    <s v="No"/>
    <s v="Yes"/>
    <n v="50"/>
  </r>
  <r>
    <x v="1"/>
    <d v="2022-11-13T00:00:00"/>
    <n v="1"/>
    <n v="60"/>
    <n v="60"/>
    <s v="Yes"/>
    <s v="Yes"/>
    <s v="Math Analysis"/>
    <s v="No"/>
    <s v="QBA"/>
    <n v="60"/>
  </r>
  <r>
    <x v="1"/>
    <d v="2022-11-15T00:00:00"/>
    <n v="1.5"/>
    <n v="60"/>
    <n v="90"/>
    <s v="Yes"/>
    <s v="Yes"/>
    <s v="Math Analysis"/>
    <s v="No"/>
    <s v="QBA"/>
    <n v="90"/>
  </r>
  <r>
    <x v="2"/>
    <d v="2022-11-07T00:00:00"/>
    <n v="1"/>
    <n v="60"/>
    <n v="60"/>
    <s v="Yes"/>
    <s v="Yes"/>
    <s v="Algebra 1 - Absolute Value Functions"/>
    <s v="No"/>
    <s v="QBA"/>
    <n v="60"/>
  </r>
  <r>
    <x v="2"/>
    <d v="2022-11-27T00:00:00"/>
    <n v="1.5"/>
    <n v="60"/>
    <n v="90"/>
    <s v="Yes"/>
    <s v="Yes"/>
    <s v="Algebra 1 - Graphing, Domain, and Range"/>
    <s v="No"/>
    <s v="QBA"/>
    <n v="90"/>
  </r>
  <r>
    <x v="3"/>
    <d v="2022-11-13T00:00:00"/>
    <n v="1"/>
    <n v="60"/>
    <n v="60"/>
    <s v="Yes"/>
    <s v="Yes"/>
    <s v="Algebra 2 Trig"/>
    <s v="No"/>
    <s v="QBA"/>
    <n v="60"/>
  </r>
  <r>
    <x v="3"/>
    <d v="2022-11-19T00:00:00"/>
    <n v="1.5"/>
    <n v="60"/>
    <n v="90"/>
    <s v="Yes"/>
    <s v="Yes"/>
    <s v="Algebra 2 Trig"/>
    <s v="No"/>
    <s v="QBA"/>
    <n v="90"/>
  </r>
  <r>
    <x v="4"/>
    <d v="2022-11-10T00:00:00"/>
    <n v="1.5"/>
    <n v="50"/>
    <n v="75"/>
    <s v="Yes"/>
    <s v="Yes"/>
    <s v="Precalc - rational functions, domain/range, holes, asymptotes, graphing, factoring"/>
    <s v="No"/>
    <s v="QBA"/>
    <n v="75"/>
  </r>
  <r>
    <x v="5"/>
    <d v="2022-11-21T00:00:00"/>
    <n v="1"/>
    <n v="50"/>
    <n v="50"/>
    <s v="Yes"/>
    <s v="Yes"/>
    <s v="Business Calc (College)"/>
    <s v="No"/>
    <s v="QBA"/>
    <n v="50"/>
  </r>
  <r>
    <x v="6"/>
    <d v="2022-11-12T00:00:00"/>
    <n v="0.5"/>
    <n v="60"/>
    <n v="30"/>
    <s v="Yes"/>
    <s v="Yes"/>
    <s v="Dance"/>
    <s v="No"/>
    <s v="QBA"/>
    <n v="30"/>
  </r>
  <r>
    <x v="7"/>
    <d v="2022-11-06T00:00:00"/>
    <n v="2"/>
    <n v="50"/>
    <n v="100"/>
    <s v="Yes"/>
    <s v="Yes"/>
    <s v="SAT Math (Calculator Section)"/>
    <s v="No"/>
    <s v="QBA"/>
    <n v="100"/>
  </r>
  <r>
    <x v="7"/>
    <d v="2022-11-08T00:00:00"/>
    <n v="1"/>
    <n v="50"/>
    <n v="50"/>
    <s v="Yes"/>
    <s v="Yes"/>
    <s v="Trig Proofs"/>
    <s v="No"/>
    <s v="QBA"/>
    <n v="50"/>
  </r>
  <r>
    <x v="7"/>
    <d v="2022-11-19T00:00:00"/>
    <n v="1.5"/>
    <n v="50"/>
    <n v="75"/>
    <s v="Yes"/>
    <s v="Yes"/>
    <s v="SAT English"/>
    <s v="No"/>
    <s v="QBA"/>
    <n v="75"/>
  </r>
  <r>
    <x v="7"/>
    <d v="2022-11-26T00:00:00"/>
    <n v="1.5"/>
    <n v="50"/>
    <n v="75"/>
    <s v="Yes"/>
    <s v="Yes"/>
    <s v="SAT Grammar"/>
    <s v="No"/>
    <s v="QBA"/>
    <n v="75"/>
  </r>
  <r>
    <x v="7"/>
    <d v="2022-11-27T00:00:00"/>
    <n v="1.5"/>
    <n v="50"/>
    <n v="75"/>
    <s v="Yes"/>
    <s v="Yes"/>
    <s v="SAT Reading Comprehension"/>
    <s v="No"/>
    <s v="QBA"/>
    <n v="75"/>
  </r>
  <r>
    <x v="8"/>
    <d v="2022-11-03T00:00:00"/>
    <n v="1.25"/>
    <n v="50"/>
    <n v="62.5"/>
    <s v="Yes"/>
    <s v="Yes"/>
    <s v="Difference Quotient, pre-calc"/>
    <s v="No"/>
    <s v="Yes"/>
    <n v="62.5"/>
  </r>
  <r>
    <x v="8"/>
    <d v="2022-11-08T00:00:00"/>
    <n v="1"/>
    <n v="50"/>
    <n v="50"/>
    <s v="Yes"/>
    <s v="Yes"/>
    <s v="AOS Integrated Math and Science"/>
    <s v="No"/>
    <s v="QBA"/>
    <n v="50"/>
  </r>
  <r>
    <x v="8"/>
    <d v="2022-11-10T00:00:00"/>
    <n v="1.25"/>
    <n v="50"/>
    <n v="62.5"/>
    <s v="Yes"/>
    <s v="Yes"/>
    <s v="Physics - Position and Veloicty"/>
    <s v="No"/>
    <s v="QBA"/>
    <n v="62.5"/>
  </r>
  <r>
    <x v="8"/>
    <d v="2022-11-21T00:00:00"/>
    <n v="1.5"/>
    <n v="50"/>
    <n v="75"/>
    <s v="Yes"/>
    <s v="Yes"/>
    <s v="AOS Integrated Math and Science"/>
    <s v="No"/>
    <s v="QBA"/>
    <n v="75"/>
  </r>
  <r>
    <x v="8"/>
    <d v="2022-11-26T00:00:00"/>
    <n v="1"/>
    <n v="50"/>
    <n v="50"/>
    <s v="Yes"/>
    <s v="Yes"/>
    <s v="AOS Integrated Math and Science"/>
    <s v="No"/>
    <s v="QBA"/>
    <n v="50"/>
  </r>
  <r>
    <x v="8"/>
    <d v="2022-11-27T00:00:00"/>
    <n v="2"/>
    <n v="50"/>
    <n v="100"/>
    <s v="Yes"/>
    <s v="Yes"/>
    <s v="AOS Integrated Math and Science"/>
    <s v="No"/>
    <s v="QBA"/>
    <n v="100"/>
  </r>
  <r>
    <x v="8"/>
    <d v="2022-11-28T00:00:00"/>
    <n v="1"/>
    <n v="50"/>
    <n v="50"/>
    <s v="Yes"/>
    <s v="Yes"/>
    <s v="AOS Integrated Math and Science"/>
    <s v="No"/>
    <s v="QBA"/>
    <n v="50"/>
  </r>
  <r>
    <x v="9"/>
    <d v="2022-11-30T00:00:00"/>
    <n v="2"/>
    <n v="50"/>
    <n v="100"/>
    <s v="Yes"/>
    <s v="Yes"/>
    <s v="Chemistry"/>
    <s v="No"/>
    <s v="QBA"/>
    <n v="100"/>
  </r>
  <r>
    <x v="10"/>
    <d v="2022-11-21T00:00:00"/>
    <n v="1"/>
    <n v="60"/>
    <n v="60"/>
    <s v="Yes"/>
    <s v="Yes"/>
    <s v="Physics - Angles, Motion"/>
    <m/>
    <s v="QBA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9E4AA-C066-42A7-97F8-2643FFBDC7E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E357D-8EA8-4F97-A879-3A48C0495C5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6D204-EEC9-4877-9298-15233B036C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72157-608F-4E6E-8684-6F940185518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9" dT="2025-01-06T04:12:11.20" personId="{4FFE1BBA-B9CA-49FB-A731-68784AB003DB}" id="{CCC7538D-2355-416C-8AFF-CC11EF5D4A45}">
    <text>Should be closer to $15k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N26" dT="2025-05-09T03:17:32.55" personId="{4FFE1BBA-B9CA-49FB-A731-68784AB003DB}" id="{50E27788-15FE-4EC4-9024-B35DEBE0CA1B}">
    <text>Formula!</text>
  </threadedComment>
  <threadedComment ref="AO26" dT="2025-05-09T03:17:32.55" personId="{4FFE1BBA-B9CA-49FB-A731-68784AB003DB}" id="{C5C475C1-3117-4D7D-9520-18979528AADE}">
    <text>Formula!</text>
  </threadedComment>
  <threadedComment ref="AP26" dT="2025-05-09T03:17:32.55" personId="{4FFE1BBA-B9CA-49FB-A731-68784AB003DB}" id="{FB01E4C4-9D80-4C18-98EE-5B6EBC55EED5}">
    <text>Formula!</text>
  </threadedComment>
  <threadedComment ref="AQ26" dT="2025-05-09T03:17:32.55" personId="{4FFE1BBA-B9CA-49FB-A731-68784AB003DB}" id="{E3297F0B-31AD-479D-A121-525B48D06CC1}">
    <text>Formula!</text>
  </threadedComment>
  <threadedComment ref="AR26" dT="2025-05-09T03:17:32.55" personId="{4FFE1BBA-B9CA-49FB-A731-68784AB003DB}" id="{26B4DB3F-A17D-E84B-A9C0-A7EA443040D9}">
    <text>Formula!</text>
  </threadedComment>
  <threadedComment ref="AP31" dT="2025-04-08T02:28:47.43" personId="{09EAC893-A2FC-5248-A491-4EB85939DA42}" id="{502DE87D-E9C4-7F40-8FE3-CD4A56D8E94E}">
    <text>For some reason this was not being pulled in the Time Last Month report</text>
  </threadedComment>
  <threadedComment ref="AO42" dT="2025-05-09T03:29:09.55" personId="{4FFE1BBA-B9CA-49FB-A731-68784AB003DB}" id="{FF368B87-FB45-46B1-A11F-8FAD2BEDDF94}">
    <text>Adjusted for Recurring Students</text>
  </threadedComment>
  <threadedComment ref="AM62" dT="2025-01-06T03:53:30.10" personId="{4FFE1BBA-B9CA-49FB-A731-68784AB003DB}" id="{CE704105-41F6-4C56-9350-3448E5DD668D}">
    <text>$599 intern expense</text>
  </threadedComment>
  <threadedComment ref="S86" dT="2022-12-01T04:02:35.34" personId="{1EAB70DF-57F2-4E03-B78C-7A4DE89F3DCA}" id="{735C9239-FB8A-4B36-9D20-C68BC4D2B976}">
    <text>Tax Advice JMM Group LLC</text>
  </threadedComment>
  <threadedComment ref="T86" dT="2022-12-01T04:02:35.34" personId="{1EAB70DF-57F2-4E03-B78C-7A4DE89F3DCA}" id="{701A54C3-1B46-4893-BC62-B2EFF266C055}">
    <text>Offboarding JMM Group LLC</text>
  </threadedComment>
  <threadedComment ref="AS135" dT="2025-05-09T03:37:39.42" personId="{4FFE1BBA-B9CA-49FB-A731-68784AB003DB}" id="{E9A4DEB7-8F9C-D94C-9291-1B8148076C2C}">
    <text>Adjusted for Cash</text>
  </threadedComment>
  <threadedComment ref="AE147" dT="2024-02-20T00:31:08.36" personId="{1EAB70DF-57F2-4E03-B78C-7A4DE89F3DCA}" id="{C6FCD979-1374-4A1B-A294-11D803D8AB2C}">
    <text>$4k Contribution for taxes</text>
  </threadedComment>
  <threadedComment ref="AD148" dT="2024-02-03T19:01:21.33" personId="{1EAB70DF-57F2-4E03-B78C-7A4DE89F3DCA}" id="{652DF29B-C80F-474D-9452-32A45BAD392F}">
    <text>Maximum $800 Distribution</text>
  </threadedComment>
  <threadedComment ref="AE148" dT="2024-01-11T04:17:29.88" personId="{1EAB70DF-57F2-4E03-B78C-7A4DE89F3DCA}" id="{973B5C3F-CC1C-478B-AAEB-95C45A193E9C}">
    <text>Estimated 2023 Tax Payment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2" dT="2024-11-06T20:23:10.19" personId="{1EAB70DF-57F2-4E03-B78C-7A4DE89F3DCA}" id="{67D2E087-3C84-4785-B259-0CC55E404C8B}">
    <text>Est charges $75 pays her 50</text>
  </threadedComment>
  <threadedComment ref="M12" dT="2025-01-06T04:14:09.72" personId="{4FFE1BBA-B9CA-49FB-A731-68784AB003DB}" id="{87643607-1FAC-408E-BCCF-540920D64205}" parentId="{67D2E087-3C84-4785-B259-0CC55E404C8B}">
    <text>Max about 3 hours per client - Always left (half time hour less)</text>
  </threadedComment>
  <threadedComment ref="N13" dT="2025-01-06T03:41:50.33" personId="{4FFE1BBA-B9CA-49FB-A731-68784AB003DB}" id="{D1238F7C-0EDC-4167-877F-EC5127568767}">
    <text>Fix for overage on SAT/ACT prep hours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1BF3-DA73-4F62-AD90-BD106EE48A29}">
  <dimension ref="A1"/>
  <sheetViews>
    <sheetView showGridLines="0" workbookViewId="0">
      <selection activeCell="B2" sqref="B2"/>
    </sheetView>
  </sheetViews>
  <sheetFormatPr defaultColWidth="8.7109375"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BB1D-97D4-40DB-A9A2-15B041D53A4D}">
  <sheetPr>
    <tabColor theme="1"/>
    <pageSetUpPr fitToPage="1"/>
  </sheetPr>
  <dimension ref="B2:AA36"/>
  <sheetViews>
    <sheetView showGridLines="0" topLeftCell="A2" zoomScale="70" zoomScaleNormal="100" workbookViewId="0">
      <selection activeCell="A3" sqref="A3:AB37"/>
    </sheetView>
  </sheetViews>
  <sheetFormatPr defaultColWidth="8.7109375" defaultRowHeight="15" outlineLevelCol="1" x14ac:dyDescent="0.25"/>
  <cols>
    <col min="3" max="3" width="34" bestFit="1" customWidth="1"/>
    <col min="4" max="4" width="9.42578125" hidden="1" customWidth="1" outlineLevel="1"/>
    <col min="5" max="5" width="10" bestFit="1" customWidth="1" collapsed="1"/>
    <col min="6" max="6" width="10" hidden="1" customWidth="1" outlineLevel="1"/>
    <col min="7" max="7" width="11.28515625" bestFit="1" customWidth="1" collapsed="1"/>
    <col min="8" max="8" width="11.28515625" customWidth="1"/>
    <col min="9" max="10" width="11.28515625" bestFit="1" customWidth="1"/>
    <col min="11" max="11" width="11.42578125" customWidth="1"/>
    <col min="12" max="12" width="11.28515625" hidden="1" customWidth="1" outlineLevel="1"/>
    <col min="13" max="13" width="11.42578125" hidden="1" customWidth="1" outlineLevel="1"/>
    <col min="14" max="14" width="11.7109375" hidden="1" customWidth="1" outlineLevel="1"/>
    <col min="15" max="15" width="8.7109375" collapsed="1"/>
  </cols>
  <sheetData>
    <row r="2" spans="2:27" ht="15.75" thickBot="1" x14ac:dyDescent="0.3"/>
    <row r="3" spans="2:27" x14ac:dyDescent="0.25">
      <c r="B3" s="92"/>
      <c r="C3" s="93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5"/>
      <c r="P3" s="92"/>
      <c r="Q3" s="94"/>
      <c r="R3" s="94"/>
      <c r="S3" s="94"/>
      <c r="T3" s="94"/>
      <c r="U3" s="94"/>
      <c r="V3" s="94"/>
      <c r="W3" s="94"/>
      <c r="X3" s="94"/>
      <c r="Y3" s="94"/>
      <c r="Z3" s="94"/>
      <c r="AA3" s="95"/>
    </row>
    <row r="4" spans="2:27" x14ac:dyDescent="0.25">
      <c r="B4" s="96"/>
      <c r="C4" s="7"/>
      <c r="O4" s="97"/>
      <c r="P4" s="96"/>
      <c r="AA4" s="97"/>
    </row>
    <row r="5" spans="2:27" x14ac:dyDescent="0.25">
      <c r="B5" s="96"/>
      <c r="C5" s="7"/>
      <c r="O5" s="97"/>
      <c r="P5" s="96"/>
      <c r="AA5" s="97"/>
    </row>
    <row r="6" spans="2:27" x14ac:dyDescent="0.25">
      <c r="B6" s="96"/>
      <c r="C6" s="7"/>
      <c r="O6" s="97"/>
      <c r="P6" s="96"/>
      <c r="AA6" s="97"/>
    </row>
    <row r="7" spans="2:27" x14ac:dyDescent="0.25">
      <c r="B7" s="96"/>
      <c r="C7" s="7"/>
      <c r="O7" s="97"/>
      <c r="P7" s="96"/>
      <c r="AA7" s="97"/>
    </row>
    <row r="8" spans="2:27" x14ac:dyDescent="0.25">
      <c r="B8" s="96"/>
      <c r="C8" s="7"/>
      <c r="O8" s="97"/>
      <c r="P8" s="96"/>
      <c r="AA8" s="97"/>
    </row>
    <row r="9" spans="2:27" x14ac:dyDescent="0.25">
      <c r="B9" s="96"/>
      <c r="C9" s="7"/>
      <c r="O9" s="97"/>
      <c r="P9" s="96"/>
      <c r="AA9" s="97"/>
    </row>
    <row r="10" spans="2:27" ht="15.75" thickBot="1" x14ac:dyDescent="0.3">
      <c r="B10" s="96"/>
      <c r="C10" s="7"/>
      <c r="O10" s="97"/>
      <c r="P10" s="96"/>
      <c r="AA10" s="97"/>
    </row>
    <row r="11" spans="2:27" ht="15.75" x14ac:dyDescent="0.25">
      <c r="B11" s="98"/>
      <c r="C11" s="342"/>
      <c r="D11" s="343">
        <v>2022</v>
      </c>
      <c r="E11" s="343">
        <f>+D11+1</f>
        <v>2023</v>
      </c>
      <c r="F11" s="555" t="s">
        <v>226</v>
      </c>
      <c r="G11" s="343">
        <f>+E11+1</f>
        <v>2024</v>
      </c>
      <c r="H11" s="555" t="s">
        <v>226</v>
      </c>
      <c r="I11" s="343">
        <f>+G11+1</f>
        <v>2025</v>
      </c>
      <c r="J11" s="343">
        <f t="shared" ref="J11:N11" si="0">+I11+1</f>
        <v>2026</v>
      </c>
      <c r="K11" s="344">
        <f t="shared" si="0"/>
        <v>2027</v>
      </c>
      <c r="L11" s="343">
        <f t="shared" si="0"/>
        <v>2028</v>
      </c>
      <c r="M11" s="343">
        <f t="shared" si="0"/>
        <v>2029</v>
      </c>
      <c r="N11" s="344">
        <f t="shared" si="0"/>
        <v>2030</v>
      </c>
      <c r="O11" s="99"/>
      <c r="P11" s="98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99"/>
    </row>
    <row r="12" spans="2:27" ht="6.4" customHeight="1" x14ac:dyDescent="0.25">
      <c r="B12" s="96"/>
      <c r="C12" s="345"/>
      <c r="D12" s="346"/>
      <c r="E12" s="346"/>
      <c r="F12" s="556"/>
      <c r="G12" s="346"/>
      <c r="H12" s="556"/>
      <c r="I12" s="346"/>
      <c r="J12" s="346"/>
      <c r="K12" s="347"/>
      <c r="L12" s="346"/>
      <c r="M12" s="346"/>
      <c r="N12" s="347"/>
      <c r="O12" s="97"/>
      <c r="P12" s="96"/>
      <c r="AA12" s="97"/>
    </row>
    <row r="13" spans="2:27" x14ac:dyDescent="0.25">
      <c r="B13" s="96"/>
      <c r="C13" s="348" t="s">
        <v>60</v>
      </c>
      <c r="D13" s="101">
        <f>SUMIF('Monthly Detail'!$1:$1,'Annual Summary'!D$11, 'Monthly Detail'!12:12)</f>
        <v>9212.5</v>
      </c>
      <c r="E13" s="101">
        <f>SUMIF('Monthly Detail'!$1:$1,'Annual Summary'!E$11, 'Monthly Detail'!12:12)</f>
        <v>43837.41</v>
      </c>
      <c r="F13" s="557">
        <f>+E13-D13</f>
        <v>34624.910000000003</v>
      </c>
      <c r="G13" s="101">
        <f>SUMIF('Monthly Detail'!$1:$1,'Annual Summary'!G$11, 'Monthly Detail'!12:12)</f>
        <v>89488.790000000008</v>
      </c>
      <c r="H13" s="557">
        <f>+G13-E13</f>
        <v>45651.380000000005</v>
      </c>
      <c r="I13" s="101">
        <f>SUMIF('Monthly Detail'!$1:$1,'Annual Summary'!I$11, 'Monthly Detail'!12:12)</f>
        <v>172325.82386519661</v>
      </c>
      <c r="J13" s="101">
        <f>SUMIF('Monthly Detail'!$1:$1,'Annual Summary'!J$11, 'Monthly Detail'!12:12)</f>
        <v>245759.63728503202</v>
      </c>
      <c r="K13" s="349">
        <f>SUMIF('Monthly Detail'!$1:$1,'Annual Summary'!K$11, 'Monthly Detail'!12:12)</f>
        <v>329658.57180291292</v>
      </c>
      <c r="L13" s="101">
        <f>SUMIF('Monthly Detail'!$1:$1,'Annual Summary'!L$11, 'Monthly Detail'!12:12)</f>
        <v>460399.18737557111</v>
      </c>
      <c r="M13" s="101">
        <f>SUMIF('Monthly Detail'!$1:$1,'Annual Summary'!M$11, 'Monthly Detail'!12:12)</f>
        <v>652731.00482726097</v>
      </c>
      <c r="N13" s="349">
        <f>SUMIF('Monthly Detail'!$1:$1,'Annual Summary'!N$11, 'Monthly Detail'!12:12)</f>
        <v>921050.81301127048</v>
      </c>
      <c r="O13" s="97"/>
      <c r="P13" s="96"/>
      <c r="AA13" s="97"/>
    </row>
    <row r="14" spans="2:27" x14ac:dyDescent="0.25">
      <c r="B14" s="96"/>
      <c r="C14" s="348" t="s">
        <v>295</v>
      </c>
      <c r="D14" s="101">
        <f>SUMIF('Monthly Detail'!$1:$1,'Annual Summary'!D$11, 'Monthly Detail'!13:13)</f>
        <v>125</v>
      </c>
      <c r="E14" s="101">
        <f>SUMIF('Monthly Detail'!$1:$1,'Annual Summary'!E$11, 'Monthly Detail'!13:13)</f>
        <v>608.09</v>
      </c>
      <c r="F14" s="557">
        <f t="shared" ref="F14:F33" si="1">+E14-D14</f>
        <v>483.09000000000003</v>
      </c>
      <c r="G14" s="101">
        <f>SUMIF('Monthly Detail'!$1:$1,'Annual Summary'!G$11, 'Monthly Detail'!13:13)</f>
        <v>339.45</v>
      </c>
      <c r="H14" s="557">
        <f t="shared" ref="H14:H16" si="2">+G14-E14</f>
        <v>-268.64000000000004</v>
      </c>
      <c r="I14" s="101">
        <f>SUMIF('Monthly Detail'!$1:$1,'Annual Summary'!I$11, 'Monthly Detail'!13:13)</f>
        <v>654.50436315452043</v>
      </c>
      <c r="J14" s="101">
        <f>SUMIF('Monthly Detail'!$1:$1,'Annual Summary'!J$11, 'Monthly Detail'!13:13)</f>
        <v>1041.9737239744823</v>
      </c>
      <c r="K14" s="349">
        <f>SUMIF('Monthly Detail'!$1:$1,'Annual Summary'!K$11, 'Monthly Detail'!13:13)</f>
        <v>1397.6891140313828</v>
      </c>
      <c r="L14" s="101">
        <f>SUMIF('Monthly Detail'!$1:$1,'Annual Summary'!L$11, 'Monthly Detail'!13:13)</f>
        <v>1952.0042472562961</v>
      </c>
      <c r="M14" s="101">
        <f>SUMIF('Monthly Detail'!$1:$1,'Annual Summary'!M$11, 'Monthly Detail'!13:13)</f>
        <v>2767.4542629010052</v>
      </c>
      <c r="N14" s="349">
        <f>SUMIF('Monthly Detail'!$1:$1,'Annual Summary'!N$11, 'Monthly Detail'!13:13)</f>
        <v>3905.0787843164235</v>
      </c>
      <c r="O14" s="97"/>
      <c r="P14" s="96"/>
      <c r="AA14" s="97"/>
    </row>
    <row r="15" spans="2:27" ht="18.75" customHeight="1" x14ac:dyDescent="0.25">
      <c r="B15" s="96"/>
      <c r="C15" s="350" t="s">
        <v>7</v>
      </c>
      <c r="D15" s="102">
        <f t="shared" ref="D15:N15" si="3">SUM(D13:D14)</f>
        <v>9337.5</v>
      </c>
      <c r="E15" s="102">
        <f t="shared" si="3"/>
        <v>44445.5</v>
      </c>
      <c r="F15" s="558">
        <f t="shared" si="1"/>
        <v>35108</v>
      </c>
      <c r="G15" s="102">
        <f t="shared" si="3"/>
        <v>89828.24</v>
      </c>
      <c r="H15" s="558">
        <f t="shared" si="2"/>
        <v>45382.740000000005</v>
      </c>
      <c r="I15" s="102">
        <f t="shared" si="3"/>
        <v>172980.32822835114</v>
      </c>
      <c r="J15" s="102">
        <f t="shared" si="3"/>
        <v>246801.6110090065</v>
      </c>
      <c r="K15" s="351">
        <f t="shared" si="3"/>
        <v>331056.2609169443</v>
      </c>
      <c r="L15" s="102">
        <f t="shared" si="3"/>
        <v>462351.19162282743</v>
      </c>
      <c r="M15" s="102">
        <f t="shared" si="3"/>
        <v>655498.45909016195</v>
      </c>
      <c r="N15" s="351">
        <f t="shared" si="3"/>
        <v>924955.89179558691</v>
      </c>
      <c r="O15" s="97"/>
      <c r="P15" s="96"/>
      <c r="AA15" s="97"/>
    </row>
    <row r="16" spans="2:27" ht="18.75" customHeight="1" x14ac:dyDescent="0.25">
      <c r="B16" s="96"/>
      <c r="C16" s="352" t="s">
        <v>292</v>
      </c>
      <c r="D16" s="341">
        <f>+SUMIFS('Monthly Detail'!17:17,'Monthly Detail'!4:4,DATE(D11,12,31))</f>
        <v>7</v>
      </c>
      <c r="E16" s="341">
        <f>+SUMIFS('Monthly Detail'!17:17,'Monthly Detail'!4:4,DATE(E11,12,31))</f>
        <v>19</v>
      </c>
      <c r="F16" s="559">
        <f t="shared" si="1"/>
        <v>12</v>
      </c>
      <c r="G16" s="341">
        <f>+SUMIFS('Monthly Detail'!17:17,'Monthly Detail'!4:4,DATE(G11,12,31))</f>
        <v>23</v>
      </c>
      <c r="H16" s="559">
        <f t="shared" si="2"/>
        <v>4</v>
      </c>
      <c r="I16" s="341">
        <f>+SUMIFS('Monthly Detail'!17:17,'Monthly Detail'!4:4,DATE(I11,12,31))</f>
        <v>57.6</v>
      </c>
      <c r="J16" s="341">
        <f>+SUMIFS('Monthly Detail'!17:17,'Monthly Detail'!4:4,DATE(J11,12,31))</f>
        <v>63.879999999999974</v>
      </c>
      <c r="K16" s="353">
        <f>+SUMIFS('Monthly Detail'!17:17,'Monthly Detail'!4:4,DATE(K11,12,31))</f>
        <v>89.071999999999946</v>
      </c>
      <c r="L16" s="341">
        <f>+SUMIFS('Monthly Detail'!17:17,'Monthly Detail'!4:4,DATE(L11,12,31))</f>
        <v>124.34079999999992</v>
      </c>
      <c r="M16" s="341">
        <f>+SUMIFS('Monthly Detail'!17:17,'Monthly Detail'!4:4,DATE(M11,12,31))</f>
        <v>177.51711999999969</v>
      </c>
      <c r="N16" s="353">
        <f>+SUMIFS('Monthly Detail'!17:17,'Monthly Detail'!4:4,DATE(N11,12,31))</f>
        <v>248.76396799999941</v>
      </c>
      <c r="O16" s="97"/>
      <c r="P16" s="96"/>
      <c r="AA16" s="97"/>
    </row>
    <row r="17" spans="2:27" ht="10.9" customHeight="1" x14ac:dyDescent="0.25">
      <c r="B17" s="96"/>
      <c r="C17" s="354" t="s">
        <v>220</v>
      </c>
      <c r="D17" s="101"/>
      <c r="E17" s="130">
        <f t="shared" ref="E17:N17" si="4">(E15/D15)-1</f>
        <v>3.759892904953146</v>
      </c>
      <c r="F17" s="560">
        <f t="shared" si="1"/>
        <v>3.759892904953146</v>
      </c>
      <c r="G17" s="130">
        <f>(G15/E15)-1</f>
        <v>1.0210873991742697</v>
      </c>
      <c r="H17" s="560">
        <f>+G17-E17</f>
        <v>-2.7388055057788763</v>
      </c>
      <c r="I17" s="130">
        <f>(I15/G15)-1</f>
        <v>0.9256786977942697</v>
      </c>
      <c r="J17" s="130">
        <f t="shared" si="4"/>
        <v>0.42676114409497456</v>
      </c>
      <c r="K17" s="355">
        <f t="shared" si="4"/>
        <v>0.34138614234922104</v>
      </c>
      <c r="L17" s="130">
        <f t="shared" si="4"/>
        <v>0.3965940119731568</v>
      </c>
      <c r="M17" s="130">
        <f t="shared" si="4"/>
        <v>0.41775012364388675</v>
      </c>
      <c r="N17" s="355">
        <f t="shared" si="4"/>
        <v>0.41107256465474284</v>
      </c>
      <c r="O17" s="97"/>
      <c r="P17" s="96"/>
      <c r="AA17" s="97"/>
    </row>
    <row r="18" spans="2:27" ht="6" customHeight="1" x14ac:dyDescent="0.25">
      <c r="B18" s="96"/>
      <c r="C18" s="356"/>
      <c r="F18" s="561"/>
      <c r="H18" s="561"/>
      <c r="K18" s="97"/>
      <c r="N18" s="97"/>
      <c r="O18" s="97"/>
      <c r="P18" s="96"/>
      <c r="AA18" s="97"/>
    </row>
    <row r="19" spans="2:27" x14ac:dyDescent="0.25">
      <c r="B19" s="96"/>
      <c r="C19" s="356" t="s">
        <v>325</v>
      </c>
      <c r="D19" s="101">
        <f>SUMIF('Monthly Detail'!$1:$1,'Annual Summary'!D$11, 'Monthly Detail'!$63:$63)</f>
        <v>0</v>
      </c>
      <c r="E19" s="101">
        <f>SUMIF('Monthly Detail'!$1:$1,'Annual Summary'!E$11, 'Monthly Detail'!$63:$63)</f>
        <v>0</v>
      </c>
      <c r="F19" s="557">
        <f t="shared" si="1"/>
        <v>0</v>
      </c>
      <c r="G19" s="101">
        <f>SUMIF('Monthly Detail'!$1:$1,'Annual Summary'!G$11, 'Monthly Detail'!$63:$63)</f>
        <v>4014</v>
      </c>
      <c r="H19" s="557">
        <f t="shared" ref="H19:H21" si="5">+G19-E19</f>
        <v>4014</v>
      </c>
      <c r="I19" s="101">
        <f>SUMIF('Monthly Detail'!$1:$1,'Annual Summary'!I$11, 'Monthly Detail'!$63:$63)</f>
        <v>14278.194233409611</v>
      </c>
      <c r="J19" s="101">
        <f>SUMIF('Monthly Detail'!$1:$1,'Annual Summary'!J$11, 'Monthly Detail'!$63:$63)</f>
        <v>35654.85697453731</v>
      </c>
      <c r="K19" s="349">
        <f>SUMIF('Monthly Detail'!$1:$1,'Annual Summary'!K$11, 'Monthly Detail'!$63:$63)</f>
        <v>57005.124766489062</v>
      </c>
      <c r="L19" s="101">
        <f>SUMIF('Monthly Detail'!$1:$1,'Annual Summary'!L$11, 'Monthly Detail'!$63:$63)</f>
        <v>91695.814777172942</v>
      </c>
      <c r="M19" s="101">
        <f>SUMIF('Monthly Detail'!$1:$1,'Annual Summary'!M$11, 'Monthly Detail'!$63:$63)</f>
        <v>141680.30792842066</v>
      </c>
      <c r="N19" s="349">
        <f>SUMIF('Monthly Detail'!$1:$1,'Annual Summary'!N$11, 'Monthly Detail'!$63:$63)</f>
        <v>214895.33880490044</v>
      </c>
      <c r="O19" s="97"/>
      <c r="P19" s="96"/>
      <c r="AA19" s="97"/>
    </row>
    <row r="20" spans="2:27" ht="15.75" x14ac:dyDescent="0.25">
      <c r="B20" s="104"/>
      <c r="C20" s="357" t="s">
        <v>165</v>
      </c>
      <c r="D20" s="88">
        <f>D15-D19</f>
        <v>9337.5</v>
      </c>
      <c r="E20" s="88">
        <f t="shared" ref="E20:N20" si="6">E15-E19</f>
        <v>44445.5</v>
      </c>
      <c r="F20" s="562">
        <f t="shared" si="1"/>
        <v>35108</v>
      </c>
      <c r="G20" s="88">
        <f t="shared" si="6"/>
        <v>85814.24</v>
      </c>
      <c r="H20" s="562">
        <f t="shared" si="5"/>
        <v>41368.740000000005</v>
      </c>
      <c r="I20" s="88">
        <f t="shared" si="6"/>
        <v>158702.13399494151</v>
      </c>
      <c r="J20" s="88">
        <f t="shared" si="6"/>
        <v>211146.7540344692</v>
      </c>
      <c r="K20" s="358">
        <f t="shared" si="6"/>
        <v>274051.13615045522</v>
      </c>
      <c r="L20" s="88">
        <f t="shared" si="6"/>
        <v>370655.37684565451</v>
      </c>
      <c r="M20" s="88">
        <f t="shared" si="6"/>
        <v>513818.15116174129</v>
      </c>
      <c r="N20" s="358">
        <f t="shared" si="6"/>
        <v>710060.5529906865</v>
      </c>
      <c r="O20" s="105"/>
      <c r="P20" s="104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5"/>
    </row>
    <row r="21" spans="2:27" x14ac:dyDescent="0.25">
      <c r="B21" s="96"/>
      <c r="C21" s="359" t="s">
        <v>166</v>
      </c>
      <c r="D21" s="90">
        <f>+D20/D15</f>
        <v>1</v>
      </c>
      <c r="E21" s="90">
        <f t="shared" ref="E21:N21" si="7">+E20/E15</f>
        <v>1</v>
      </c>
      <c r="F21" s="563">
        <f t="shared" si="1"/>
        <v>0</v>
      </c>
      <c r="G21" s="90">
        <f t="shared" si="7"/>
        <v>0.95531472062683187</v>
      </c>
      <c r="H21" s="563">
        <f t="shared" si="5"/>
        <v>-4.468527937316813E-2</v>
      </c>
      <c r="I21" s="90">
        <f t="shared" si="7"/>
        <v>0.91745769949886447</v>
      </c>
      <c r="J21" s="90">
        <f t="shared" si="7"/>
        <v>0.85553231671070351</v>
      </c>
      <c r="K21" s="360">
        <f t="shared" si="7"/>
        <v>0.82780834711115592</v>
      </c>
      <c r="L21" s="90">
        <f t="shared" si="7"/>
        <v>0.80167496820906714</v>
      </c>
      <c r="M21" s="90">
        <f t="shared" si="7"/>
        <v>0.78385867126968645</v>
      </c>
      <c r="N21" s="360">
        <f t="shared" si="7"/>
        <v>0.76766963623775497</v>
      </c>
      <c r="O21" s="97"/>
      <c r="P21" s="96"/>
      <c r="AA21" s="97"/>
    </row>
    <row r="22" spans="2:27" ht="6" customHeight="1" x14ac:dyDescent="0.25">
      <c r="B22" s="96"/>
      <c r="C22" s="356"/>
      <c r="F22" s="561"/>
      <c r="H22" s="561"/>
      <c r="K22" s="97"/>
      <c r="N22" s="97"/>
      <c r="O22" s="97"/>
      <c r="P22" s="96"/>
      <c r="AA22" s="97"/>
    </row>
    <row r="23" spans="2:27" x14ac:dyDescent="0.25">
      <c r="B23" s="96"/>
      <c r="C23" s="356" t="s">
        <v>273</v>
      </c>
      <c r="D23" s="101">
        <f>SUMIF('Monthly Detail'!$1:$1,'Annual Summary'!D$11, 'Monthly Detail'!$70:$70)</f>
        <v>0</v>
      </c>
      <c r="E23" s="101">
        <f>SUMIF('Monthly Detail'!$1:$1,'Annual Summary'!E$11, 'Monthly Detail'!$70:$70)</f>
        <v>0</v>
      </c>
      <c r="F23" s="557">
        <f t="shared" si="1"/>
        <v>0</v>
      </c>
      <c r="G23" s="101">
        <f>SUMIF('Monthly Detail'!$1:$1,'Annual Summary'!G$11, 'Monthly Detail'!$70:$70)</f>
        <v>4245</v>
      </c>
      <c r="H23" s="557">
        <f t="shared" ref="H23:H26" si="8">+G23-E23</f>
        <v>4245</v>
      </c>
      <c r="I23" s="101">
        <f>SUMIF('Monthly Detail'!$1:$1,'Annual Summary'!I$11, 'Monthly Detail'!$70:$70)</f>
        <v>0</v>
      </c>
      <c r="J23" s="101">
        <f>SUMIF('Monthly Detail'!$1:$1,'Annual Summary'!J$11, 'Monthly Detail'!$70:$70)</f>
        <v>0</v>
      </c>
      <c r="K23" s="349">
        <f>SUMIF('Monthly Detail'!$1:$1,'Annual Summary'!K$11, 'Monthly Detail'!$70:$70)</f>
        <v>0</v>
      </c>
      <c r="L23" s="101">
        <f>SUMIF('Monthly Detail'!$1:$1,'Annual Summary'!L$11, 'Monthly Detail'!$70:$70)</f>
        <v>0</v>
      </c>
      <c r="M23" s="101">
        <f>SUMIF('Monthly Detail'!$1:$1,'Annual Summary'!M$11, 'Monthly Detail'!$70:$70)</f>
        <v>0</v>
      </c>
      <c r="N23" s="349">
        <f>SUMIF('Monthly Detail'!$1:$1,'Annual Summary'!N$11, 'Monthly Detail'!$70:$70)</f>
        <v>0</v>
      </c>
      <c r="O23" s="97"/>
      <c r="P23" s="96"/>
      <c r="AA23" s="97"/>
    </row>
    <row r="24" spans="2:27" x14ac:dyDescent="0.25">
      <c r="B24" s="96"/>
      <c r="C24" s="356" t="s">
        <v>203</v>
      </c>
      <c r="D24" s="101">
        <f>SUMIF('Monthly Detail'!$1:$1,'Annual Summary'!D$11, 'Monthly Detail'!$93:$93)</f>
        <v>2457.9899999999998</v>
      </c>
      <c r="E24" s="101">
        <f>SUMIF('Monthly Detail'!$1:$1,'Annual Summary'!E$11, 'Monthly Detail'!$93:$93)</f>
        <v>7947.7900000000009</v>
      </c>
      <c r="F24" s="557">
        <f t="shared" si="1"/>
        <v>5489.8000000000011</v>
      </c>
      <c r="G24" s="101">
        <f>SUMIF('Monthly Detail'!$1:$1,'Annual Summary'!G$11, 'Monthly Detail'!$93:$93)</f>
        <v>12495.709999999997</v>
      </c>
      <c r="H24" s="557">
        <f t="shared" si="8"/>
        <v>4547.9199999999964</v>
      </c>
      <c r="I24" s="101">
        <f>SUMIF('Monthly Detail'!$1:$1,'Annual Summary'!I$11, 'Monthly Detail'!$93:$93)</f>
        <v>118763.02017883783</v>
      </c>
      <c r="J24" s="101">
        <f>SUMIF('Monthly Detail'!$1:$1,'Annual Summary'!J$11, 'Monthly Detail'!$93:$93)</f>
        <v>180740.57100879142</v>
      </c>
      <c r="K24" s="349">
        <f>SUMIF('Monthly Detail'!$1:$1,'Annual Summary'!K$11, 'Monthly Detail'!$93:$93)</f>
        <v>184109.15730853027</v>
      </c>
      <c r="L24" s="101">
        <f>SUMIF('Monthly Detail'!$1:$1,'Annual Summary'!L$11, 'Monthly Detail'!$93:$93)</f>
        <v>210365.98349478681</v>
      </c>
      <c r="M24" s="101">
        <f>SUMIF('Monthly Detail'!$1:$1,'Annual Summary'!M$11, 'Monthly Detail'!$93:$93)</f>
        <v>224246.91988493106</v>
      </c>
      <c r="N24" s="349">
        <f>SUMIF('Monthly Detail'!$1:$1,'Annual Summary'!N$11, 'Monthly Detail'!$93:$93)</f>
        <v>233327.72364084364</v>
      </c>
      <c r="O24" s="97"/>
      <c r="P24" s="96"/>
      <c r="AA24" s="97"/>
    </row>
    <row r="25" spans="2:27" hidden="1" x14ac:dyDescent="0.25">
      <c r="B25" s="96"/>
      <c r="C25" s="356" t="s">
        <v>202</v>
      </c>
      <c r="D25" s="76">
        <f>SUMIF('Monthly Detail'!$1:$1,'Annual Summary'!D$11, 'Monthly Detail'!94:94)</f>
        <v>0</v>
      </c>
      <c r="E25" s="76">
        <f>SUMIF('Monthly Detail'!$1:$1,'Annual Summary'!E$11, 'Monthly Detail'!94:94)</f>
        <v>0</v>
      </c>
      <c r="F25" s="564">
        <f t="shared" si="1"/>
        <v>0</v>
      </c>
      <c r="G25" s="76">
        <f>SUMIF('Monthly Detail'!$1:$1,'Annual Summary'!G$11, 'Monthly Detail'!94:94)</f>
        <v>0</v>
      </c>
      <c r="H25" s="564">
        <f t="shared" si="8"/>
        <v>0</v>
      </c>
      <c r="I25" s="76">
        <f>SUMIF('Monthly Detail'!$1:$1,'Annual Summary'!I$11, 'Monthly Detail'!94:94)</f>
        <v>0</v>
      </c>
      <c r="J25" s="76">
        <f>SUMIF('Monthly Detail'!$1:$1,'Annual Summary'!J$11, 'Monthly Detail'!94:94)</f>
        <v>0</v>
      </c>
      <c r="K25" s="361">
        <f>SUMIF('Monthly Detail'!$1:$1,'Annual Summary'!K$11, 'Monthly Detail'!94:94)</f>
        <v>0</v>
      </c>
      <c r="L25" s="76">
        <f>SUMIF('Monthly Detail'!$1:$1,'Annual Summary'!L$11, 'Monthly Detail'!94:94)</f>
        <v>0</v>
      </c>
      <c r="M25" s="76">
        <f>SUMIF('Monthly Detail'!$1:$1,'Annual Summary'!M$11, 'Monthly Detail'!94:94)</f>
        <v>0</v>
      </c>
      <c r="N25" s="361">
        <f>SUMIF('Monthly Detail'!$1:$1,'Annual Summary'!N$11, 'Monthly Detail'!94:94)</f>
        <v>0</v>
      </c>
      <c r="O25" s="97"/>
      <c r="P25" s="96"/>
      <c r="AA25" s="97"/>
    </row>
    <row r="26" spans="2:27" x14ac:dyDescent="0.25">
      <c r="B26" s="96"/>
      <c r="C26" s="362" t="s">
        <v>175</v>
      </c>
      <c r="D26" s="103">
        <f>SUM(D23:D25)</f>
        <v>2457.9899999999998</v>
      </c>
      <c r="E26" s="103">
        <f t="shared" ref="E26:N26" si="9">SUM(E23:E25)</f>
        <v>7947.7900000000009</v>
      </c>
      <c r="F26" s="558">
        <f t="shared" si="1"/>
        <v>5489.8000000000011</v>
      </c>
      <c r="G26" s="103">
        <f t="shared" si="9"/>
        <v>16740.71</v>
      </c>
      <c r="H26" s="558">
        <f t="shared" si="8"/>
        <v>8792.9199999999983</v>
      </c>
      <c r="I26" s="103">
        <f t="shared" si="9"/>
        <v>118763.02017883783</v>
      </c>
      <c r="J26" s="103">
        <f t="shared" si="9"/>
        <v>180740.57100879142</v>
      </c>
      <c r="K26" s="363">
        <f t="shared" si="9"/>
        <v>184109.15730853027</v>
      </c>
      <c r="L26" s="103">
        <f t="shared" si="9"/>
        <v>210365.98349478681</v>
      </c>
      <c r="M26" s="103">
        <f t="shared" si="9"/>
        <v>224246.91988493106</v>
      </c>
      <c r="N26" s="363">
        <f t="shared" si="9"/>
        <v>233327.72364084364</v>
      </c>
      <c r="O26" s="97"/>
      <c r="P26" s="96"/>
      <c r="AA26" s="97"/>
    </row>
    <row r="27" spans="2:27" x14ac:dyDescent="0.25">
      <c r="B27" s="96"/>
      <c r="C27" s="356"/>
      <c r="F27" s="561"/>
      <c r="H27" s="561"/>
      <c r="K27" s="97"/>
      <c r="N27" s="97"/>
      <c r="O27" s="97"/>
      <c r="P27" s="96"/>
      <c r="AA27" s="97"/>
    </row>
    <row r="28" spans="2:27" ht="15.75" x14ac:dyDescent="0.25">
      <c r="B28" s="104"/>
      <c r="C28" s="357" t="s">
        <v>168</v>
      </c>
      <c r="D28" s="88">
        <f t="shared" ref="D28:N28" si="10">D20-D26</f>
        <v>6879.51</v>
      </c>
      <c r="E28" s="88">
        <f t="shared" si="10"/>
        <v>36497.71</v>
      </c>
      <c r="F28" s="562">
        <f t="shared" si="1"/>
        <v>29618.199999999997</v>
      </c>
      <c r="G28" s="88">
        <f>G20-G26</f>
        <v>69073.53</v>
      </c>
      <c r="H28" s="562">
        <f t="shared" ref="H28:H29" si="11">+G28-E28</f>
        <v>32575.82</v>
      </c>
      <c r="I28" s="88">
        <f t="shared" si="10"/>
        <v>39939.11381610368</v>
      </c>
      <c r="J28" s="88">
        <f t="shared" si="10"/>
        <v>30406.183025677776</v>
      </c>
      <c r="K28" s="358">
        <f t="shared" si="10"/>
        <v>89941.978841924953</v>
      </c>
      <c r="L28" s="88">
        <f t="shared" si="10"/>
        <v>160289.3933508677</v>
      </c>
      <c r="M28" s="88">
        <f t="shared" si="10"/>
        <v>289571.23127681023</v>
      </c>
      <c r="N28" s="358">
        <f t="shared" si="10"/>
        <v>476732.82934984285</v>
      </c>
      <c r="O28" s="105"/>
      <c r="P28" s="104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5"/>
    </row>
    <row r="29" spans="2:27" x14ac:dyDescent="0.25">
      <c r="B29" s="96"/>
      <c r="C29" s="359" t="s">
        <v>169</v>
      </c>
      <c r="D29" s="90">
        <f t="shared" ref="D29:N29" si="12">D28/D15</f>
        <v>0.73676144578313252</v>
      </c>
      <c r="E29" s="90">
        <f t="shared" si="12"/>
        <v>0.82117897199941503</v>
      </c>
      <c r="F29" s="563">
        <f t="shared" si="1"/>
        <v>8.4417526216282512E-2</v>
      </c>
      <c r="G29" s="90">
        <f t="shared" si="12"/>
        <v>0.76895116724985368</v>
      </c>
      <c r="H29" s="563">
        <f t="shared" si="11"/>
        <v>-5.2227804749561346E-2</v>
      </c>
      <c r="I29" s="90">
        <f t="shared" si="12"/>
        <v>0.23088818379035622</v>
      </c>
      <c r="J29" s="90">
        <f t="shared" si="12"/>
        <v>0.12320090983753006</v>
      </c>
      <c r="K29" s="360">
        <f t="shared" si="12"/>
        <v>0.27168185429512137</v>
      </c>
      <c r="L29" s="90">
        <f t="shared" si="12"/>
        <v>0.34668320587270618</v>
      </c>
      <c r="M29" s="90">
        <f t="shared" si="12"/>
        <v>0.44175730279936559</v>
      </c>
      <c r="N29" s="360">
        <f t="shared" si="12"/>
        <v>0.51541141969956739</v>
      </c>
      <c r="O29" s="97"/>
      <c r="P29" s="96"/>
      <c r="AA29" s="97"/>
    </row>
    <row r="30" spans="2:27" x14ac:dyDescent="0.25">
      <c r="B30" s="96"/>
      <c r="C30" s="364"/>
      <c r="D30" s="82"/>
      <c r="E30" s="82"/>
      <c r="F30" s="565"/>
      <c r="G30" s="82"/>
      <c r="H30" s="565"/>
      <c r="I30" s="82"/>
      <c r="J30" s="82"/>
      <c r="K30" s="365"/>
      <c r="L30" s="82"/>
      <c r="M30" s="82"/>
      <c r="N30" s="365"/>
      <c r="O30" s="97"/>
      <c r="P30" s="96"/>
      <c r="AA30" s="97"/>
    </row>
    <row r="31" spans="2:27" x14ac:dyDescent="0.25">
      <c r="B31" s="96"/>
      <c r="C31" s="356" t="s">
        <v>170</v>
      </c>
      <c r="D31" s="76">
        <v>0</v>
      </c>
      <c r="E31" s="76">
        <v>0</v>
      </c>
      <c r="F31" s="564">
        <f t="shared" si="1"/>
        <v>0</v>
      </c>
      <c r="G31" s="76">
        <f>SUMIF('Monthly Detail'!$1:$1,'Annual Summary'!G$11, 'Monthly Detail'!107:107)</f>
        <v>-5018.2300000000005</v>
      </c>
      <c r="H31" s="564">
        <f t="shared" ref="H31:H33" si="13">+G31-E31</f>
        <v>-5018.2300000000005</v>
      </c>
      <c r="I31" s="76">
        <f>SUMIF('Monthly Detail'!$1:$1,'Annual Summary'!I$11, 'Monthly Detail'!107:107)</f>
        <v>-9246.2999999999993</v>
      </c>
      <c r="J31" s="76">
        <f>SUMIF('Monthly Detail'!$1:$1,'Annual Summary'!J$11, 'Monthly Detail'!107:107)</f>
        <v>-9600</v>
      </c>
      <c r="K31" s="361">
        <f>SUMIF('Monthly Detail'!$1:$1,'Annual Summary'!K$11, 'Monthly Detail'!107:107)</f>
        <v>-9600</v>
      </c>
      <c r="L31" s="76">
        <f>SUMIF('Monthly Detail'!$1:$1,'Annual Summary'!L$11, 'Monthly Detail'!107:107)</f>
        <v>-9600</v>
      </c>
      <c r="M31" s="76">
        <f>SUMIF('Monthly Detail'!$1:$1,'Annual Summary'!M$11, 'Monthly Detail'!107:107)</f>
        <v>-9600</v>
      </c>
      <c r="N31" s="361">
        <f>SUMIF('Monthly Detail'!$1:$1,'Annual Summary'!N$11, 'Monthly Detail'!107:107)</f>
        <v>-9600</v>
      </c>
      <c r="O31" s="97"/>
      <c r="P31" s="96"/>
      <c r="AA31" s="97"/>
    </row>
    <row r="32" spans="2:27" ht="15.75" x14ac:dyDescent="0.25">
      <c r="B32" s="104"/>
      <c r="C32" s="357" t="s">
        <v>16</v>
      </c>
      <c r="D32" s="88">
        <f>D28+D31</f>
        <v>6879.51</v>
      </c>
      <c r="E32" s="88">
        <f t="shared" ref="E32:N32" si="14">E28+E31</f>
        <v>36497.71</v>
      </c>
      <c r="F32" s="562">
        <f t="shared" si="1"/>
        <v>29618.199999999997</v>
      </c>
      <c r="G32" s="88">
        <f t="shared" si="14"/>
        <v>64055.299999999996</v>
      </c>
      <c r="H32" s="562">
        <f t="shared" si="13"/>
        <v>27557.589999999997</v>
      </c>
      <c r="I32" s="88">
        <f t="shared" si="14"/>
        <v>30692.81381610368</v>
      </c>
      <c r="J32" s="88">
        <f t="shared" si="14"/>
        <v>20806.183025677776</v>
      </c>
      <c r="K32" s="358">
        <f t="shared" si="14"/>
        <v>80341.978841924953</v>
      </c>
      <c r="L32" s="88">
        <f t="shared" si="14"/>
        <v>150689.3933508677</v>
      </c>
      <c r="M32" s="88">
        <f t="shared" si="14"/>
        <v>279971.23127681023</v>
      </c>
      <c r="N32" s="358">
        <f t="shared" si="14"/>
        <v>467132.82934984285</v>
      </c>
      <c r="O32" s="105"/>
      <c r="P32" s="104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5"/>
    </row>
    <row r="33" spans="2:27" ht="15.75" thickBot="1" x14ac:dyDescent="0.3">
      <c r="B33" s="96"/>
      <c r="C33" s="366" t="s">
        <v>171</v>
      </c>
      <c r="D33" s="367">
        <f t="shared" ref="D33:N33" si="15">D32/D15</f>
        <v>0.73676144578313252</v>
      </c>
      <c r="E33" s="367">
        <f t="shared" si="15"/>
        <v>0.82117897199941503</v>
      </c>
      <c r="F33" s="566">
        <f t="shared" si="1"/>
        <v>8.4417526216282512E-2</v>
      </c>
      <c r="G33" s="367">
        <f t="shared" si="15"/>
        <v>0.71308644141307886</v>
      </c>
      <c r="H33" s="566">
        <f t="shared" si="13"/>
        <v>-0.10809253058633617</v>
      </c>
      <c r="I33" s="367">
        <f t="shared" si="15"/>
        <v>0.17743528487000054</v>
      </c>
      <c r="J33" s="367">
        <f t="shared" si="15"/>
        <v>8.430327071454366E-2</v>
      </c>
      <c r="K33" s="368">
        <f t="shared" si="15"/>
        <v>0.24268376202702666</v>
      </c>
      <c r="L33" s="367">
        <f t="shared" si="15"/>
        <v>0.32591976852477911</v>
      </c>
      <c r="M33" s="367">
        <f t="shared" si="15"/>
        <v>0.4271119594474912</v>
      </c>
      <c r="N33" s="368">
        <f t="shared" si="15"/>
        <v>0.50503254640933526</v>
      </c>
      <c r="O33" s="97"/>
      <c r="P33" s="96"/>
      <c r="AA33" s="97"/>
    </row>
    <row r="34" spans="2:27" x14ac:dyDescent="0.25">
      <c r="B34" s="96"/>
      <c r="C34" s="7"/>
      <c r="O34" s="97"/>
      <c r="P34" s="96"/>
      <c r="AA34" s="97"/>
    </row>
    <row r="35" spans="2:27" x14ac:dyDescent="0.25">
      <c r="B35" s="96"/>
      <c r="C35" s="7"/>
      <c r="O35" s="97"/>
      <c r="P35" s="96"/>
      <c r="AA35" s="97"/>
    </row>
    <row r="36" spans="2:27" ht="15.75" thickBot="1" x14ac:dyDescent="0.3">
      <c r="B36" s="107"/>
      <c r="C36" s="108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  <c r="P36" s="107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10"/>
    </row>
  </sheetData>
  <printOptions horizontalCentered="1" verticalCentered="1"/>
  <pageMargins left="0.7" right="0.7" top="0.75" bottom="0.75" header="0.3" footer="0.3"/>
  <pageSetup scale="5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D506-9EA7-42A5-BFE7-874ADE7AF7E2}">
  <sheetPr>
    <tabColor theme="1"/>
    <pageSetUpPr fitToPage="1"/>
  </sheetPr>
  <dimension ref="B1:T38"/>
  <sheetViews>
    <sheetView showGridLines="0" zoomScale="70" zoomScaleNormal="70" workbookViewId="0">
      <selection activeCell="U42" sqref="U42"/>
    </sheetView>
  </sheetViews>
  <sheetFormatPr defaultColWidth="8.7109375" defaultRowHeight="15" x14ac:dyDescent="0.25"/>
  <cols>
    <col min="2" max="2" width="34.7109375" bestFit="1" customWidth="1"/>
    <col min="3" max="3" width="13.7109375" bestFit="1" customWidth="1"/>
    <col min="4" max="5" width="13.42578125" bestFit="1" customWidth="1"/>
    <col min="6" max="7" width="14.140625" bestFit="1" customWidth="1"/>
    <col min="8" max="8" width="13.7109375" bestFit="1" customWidth="1"/>
    <col min="9" max="10" width="14.7109375" bestFit="1" customWidth="1"/>
    <col min="11" max="11" width="15.42578125" bestFit="1" customWidth="1"/>
    <col min="12" max="13" width="14.140625" bestFit="1" customWidth="1"/>
    <col min="14" max="14" width="14.7109375" bestFit="1" customWidth="1"/>
    <col min="15" max="15" width="0.7109375" customWidth="1"/>
    <col min="16" max="16" width="13.42578125" bestFit="1" customWidth="1"/>
  </cols>
  <sheetData>
    <row r="1" spans="2:16" x14ac:dyDescent="0.25">
      <c r="B1" t="s">
        <v>163</v>
      </c>
    </row>
    <row r="8" spans="2:16" ht="15.75" x14ac:dyDescent="0.25">
      <c r="B8" s="744" t="s">
        <v>352</v>
      </c>
      <c r="C8" s="744"/>
      <c r="D8" s="744"/>
      <c r="E8" s="744"/>
      <c r="F8" s="744"/>
      <c r="G8" s="744"/>
      <c r="H8" s="744"/>
      <c r="I8" s="744"/>
      <c r="J8" s="744"/>
      <c r="K8" s="744"/>
      <c r="L8" s="744"/>
      <c r="M8" s="744"/>
      <c r="N8" s="744"/>
      <c r="O8" s="744"/>
      <c r="P8" s="744"/>
    </row>
    <row r="9" spans="2:16" ht="1.9" customHeight="1" x14ac:dyDescent="0.25"/>
    <row r="10" spans="2:16" ht="15.75" x14ac:dyDescent="0.25">
      <c r="B10" s="237"/>
      <c r="C10" s="238" t="s">
        <v>245</v>
      </c>
      <c r="D10" s="238" t="s">
        <v>246</v>
      </c>
      <c r="E10" s="238" t="s">
        <v>247</v>
      </c>
      <c r="F10" s="238" t="s">
        <v>248</v>
      </c>
      <c r="G10" s="238" t="s">
        <v>249</v>
      </c>
      <c r="H10" s="327" t="s">
        <v>250</v>
      </c>
      <c r="I10" s="238" t="s">
        <v>251</v>
      </c>
      <c r="J10" s="238" t="s">
        <v>252</v>
      </c>
      <c r="K10" s="238" t="s">
        <v>253</v>
      </c>
      <c r="L10" s="321" t="s">
        <v>254</v>
      </c>
      <c r="M10" s="238" t="s">
        <v>255</v>
      </c>
      <c r="N10" s="238" t="s">
        <v>256</v>
      </c>
      <c r="O10" s="239"/>
      <c r="P10" s="240" t="s">
        <v>0</v>
      </c>
    </row>
    <row r="11" spans="2:16" x14ac:dyDescent="0.25">
      <c r="B11" s="241"/>
      <c r="C11" s="91">
        <v>45688</v>
      </c>
      <c r="D11" s="91">
        <v>45716</v>
      </c>
      <c r="E11" s="91">
        <v>45747</v>
      </c>
      <c r="F11" s="91">
        <v>45777</v>
      </c>
      <c r="G11" s="91">
        <v>45808</v>
      </c>
      <c r="H11" s="91">
        <v>45838</v>
      </c>
      <c r="I11" s="91">
        <v>45869</v>
      </c>
      <c r="J11" s="91">
        <v>45900</v>
      </c>
      <c r="K11" s="91">
        <v>45930</v>
      </c>
      <c r="L11" s="91">
        <v>45961</v>
      </c>
      <c r="M11" s="91">
        <v>45991</v>
      </c>
      <c r="N11" s="91">
        <v>46022</v>
      </c>
      <c r="O11" s="91">
        <v>46053</v>
      </c>
      <c r="P11" s="186"/>
    </row>
    <row r="12" spans="2:16" x14ac:dyDescent="0.25">
      <c r="B12" s="242" t="s">
        <v>60</v>
      </c>
      <c r="C12" s="73">
        <v>7677.1321022727261</v>
      </c>
      <c r="D12" s="73">
        <v>12691.952380952382</v>
      </c>
      <c r="E12" s="73">
        <v>7473.9</v>
      </c>
      <c r="F12" s="73">
        <v>9831.9705882352919</v>
      </c>
      <c r="G12" s="73">
        <v>10732.472826086954</v>
      </c>
      <c r="H12" s="73">
        <v>5809.4312499999978</v>
      </c>
      <c r="I12" s="73">
        <v>10858.899999999998</v>
      </c>
      <c r="J12" s="73">
        <v>15862.284688995209</v>
      </c>
      <c r="K12" s="73">
        <v>12122.448979591834</v>
      </c>
      <c r="L12" s="73">
        <v>15626.953124999996</v>
      </c>
      <c r="M12" s="73">
        <v>8797.3169856459317</v>
      </c>
      <c r="N12" s="73">
        <v>6287.4785318559543</v>
      </c>
      <c r="O12" s="73"/>
      <c r="P12" s="243">
        <v>123772.24145863627</v>
      </c>
    </row>
    <row r="13" spans="2:16" x14ac:dyDescent="0.25">
      <c r="B13" s="242" t="s">
        <v>295</v>
      </c>
      <c r="C13" s="73">
        <v>13.919186406426437</v>
      </c>
      <c r="D13" s="73">
        <v>23.011412165184108</v>
      </c>
      <c r="E13" s="73">
        <v>13.550712153590986</v>
      </c>
      <c r="F13" s="73">
        <v>17.826061807590293</v>
      </c>
      <c r="G13" s="73">
        <v>19.458736397669423</v>
      </c>
      <c r="H13" s="73">
        <v>10.53291195290628</v>
      </c>
      <c r="I13" s="73">
        <v>19.687957853948962</v>
      </c>
      <c r="J13" s="73">
        <v>28.759450075447571</v>
      </c>
      <c r="K13" s="73">
        <v>21.978862002306926</v>
      </c>
      <c r="L13" s="73">
        <v>28.332777215982833</v>
      </c>
      <c r="M13" s="73">
        <v>15.950161254015272</v>
      </c>
      <c r="N13" s="73">
        <v>11.399645667865892</v>
      </c>
      <c r="O13" s="73"/>
      <c r="P13" s="243">
        <v>224.40787495293497</v>
      </c>
    </row>
    <row r="14" spans="2:16" x14ac:dyDescent="0.25">
      <c r="B14" s="244" t="s">
        <v>7</v>
      </c>
      <c r="C14" s="74">
        <v>7691.051288679153</v>
      </c>
      <c r="D14" s="74">
        <v>12714.963793117566</v>
      </c>
      <c r="E14" s="74">
        <v>7487.4507121535908</v>
      </c>
      <c r="F14" s="74">
        <v>9849.7966500428829</v>
      </c>
      <c r="G14" s="74">
        <v>10751.931562484624</v>
      </c>
      <c r="H14" s="74">
        <v>5819.9641619529039</v>
      </c>
      <c r="I14" s="74">
        <v>10878.587957853946</v>
      </c>
      <c r="J14" s="74">
        <v>15891.044139070656</v>
      </c>
      <c r="K14" s="74">
        <v>12144.427841594141</v>
      </c>
      <c r="L14" s="74">
        <v>15655.285902215979</v>
      </c>
      <c r="M14" s="74">
        <v>8813.267146899947</v>
      </c>
      <c r="N14" s="245">
        <v>6298.8781775238203</v>
      </c>
      <c r="O14" s="75"/>
      <c r="P14" s="457">
        <v>123996.6493335892</v>
      </c>
    </row>
    <row r="15" spans="2:16" x14ac:dyDescent="0.25">
      <c r="B15" s="246" t="s">
        <v>66</v>
      </c>
      <c r="C15" s="224">
        <v>34.799999999999997</v>
      </c>
      <c r="D15" s="224">
        <v>35.799999999999997</v>
      </c>
      <c r="E15" s="224">
        <v>33.599999999999994</v>
      </c>
      <c r="F15" s="224">
        <v>32.399999999999991</v>
      </c>
      <c r="G15" s="224">
        <v>33.399999999999991</v>
      </c>
      <c r="H15" s="224">
        <v>29.199999999999989</v>
      </c>
      <c r="I15" s="224">
        <v>31.199999999999989</v>
      </c>
      <c r="J15" s="224">
        <v>37.199999999999989</v>
      </c>
      <c r="K15" s="224">
        <v>43.199999999999989</v>
      </c>
      <c r="L15" s="224">
        <v>44.999999999999986</v>
      </c>
      <c r="M15" s="224">
        <v>43.599999999999987</v>
      </c>
      <c r="N15" s="328">
        <v>42.199999999999989</v>
      </c>
      <c r="O15" s="75"/>
      <c r="P15" s="247"/>
    </row>
    <row r="16" spans="2:16" x14ac:dyDescent="0.25">
      <c r="B16" s="454" t="s">
        <v>327</v>
      </c>
      <c r="C16" s="455">
        <v>34</v>
      </c>
      <c r="D16" s="455">
        <v>56</v>
      </c>
      <c r="E16" s="455">
        <v>36</v>
      </c>
      <c r="F16" s="455">
        <v>49</v>
      </c>
      <c r="G16" s="455">
        <v>76</v>
      </c>
      <c r="H16" s="455">
        <v>45</v>
      </c>
      <c r="I16" s="455">
        <v>118</v>
      </c>
      <c r="J16" s="455">
        <v>169</v>
      </c>
      <c r="K16" s="455">
        <v>125</v>
      </c>
      <c r="L16" s="455">
        <v>173</v>
      </c>
      <c r="M16" s="455">
        <v>90</v>
      </c>
      <c r="N16" s="456">
        <v>129.33333333333334</v>
      </c>
      <c r="O16" s="75"/>
      <c r="P16" s="247"/>
    </row>
    <row r="17" spans="2:20" ht="7.15" customHeight="1" x14ac:dyDescent="0.25">
      <c r="B17" s="241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247"/>
    </row>
    <row r="18" spans="2:20" x14ac:dyDescent="0.25">
      <c r="B18" s="241" t="s">
        <v>325</v>
      </c>
      <c r="C18" s="76">
        <v>0</v>
      </c>
      <c r="D18" s="76">
        <v>919.60690316394994</v>
      </c>
      <c r="E18" s="76">
        <v>450</v>
      </c>
      <c r="F18" s="76">
        <v>1073.0882352941167</v>
      </c>
      <c r="G18" s="76">
        <v>2850.0434782608686</v>
      </c>
      <c r="H18" s="76">
        <v>1050</v>
      </c>
      <c r="I18" s="76">
        <v>1894.2499999999995</v>
      </c>
      <c r="J18" s="76">
        <v>4130.1794258373184</v>
      </c>
      <c r="K18" s="76">
        <v>1256.4172335600906</v>
      </c>
      <c r="L18" s="76">
        <v>1439.895833333333</v>
      </c>
      <c r="M18" s="76">
        <v>524</v>
      </c>
      <c r="N18" s="76">
        <v>0</v>
      </c>
      <c r="P18" s="243">
        <v>15587.481109449676</v>
      </c>
    </row>
    <row r="19" spans="2:20" ht="15.75" x14ac:dyDescent="0.25">
      <c r="B19" s="248" t="s">
        <v>165</v>
      </c>
      <c r="C19" s="88">
        <v>7691.051288679153</v>
      </c>
      <c r="D19" s="88">
        <v>11795.356889953615</v>
      </c>
      <c r="E19" s="88">
        <v>7037.4507121535908</v>
      </c>
      <c r="F19" s="88">
        <v>8776.7084147487658</v>
      </c>
      <c r="G19" s="88">
        <v>7901.8880842237559</v>
      </c>
      <c r="H19" s="88">
        <v>4769.9641619529039</v>
      </c>
      <c r="I19" s="88">
        <v>8984.3379578539461</v>
      </c>
      <c r="J19" s="88">
        <v>11760.864713233339</v>
      </c>
      <c r="K19" s="88">
        <v>10888.01060803405</v>
      </c>
      <c r="L19" s="88">
        <v>14215.390068882647</v>
      </c>
      <c r="M19" s="88">
        <v>8289.267146899947</v>
      </c>
      <c r="N19" s="250">
        <v>6298.8781775238203</v>
      </c>
      <c r="O19" s="249"/>
      <c r="P19" s="461">
        <v>108409.16822413952</v>
      </c>
    </row>
    <row r="20" spans="2:20" x14ac:dyDescent="0.25">
      <c r="B20" s="458" t="s">
        <v>166</v>
      </c>
      <c r="C20" s="459">
        <v>1</v>
      </c>
      <c r="D20" s="459">
        <v>0.92767522439491956</v>
      </c>
      <c r="E20" s="459">
        <v>0.93989943743208049</v>
      </c>
      <c r="F20" s="459">
        <v>0.8910547828122477</v>
      </c>
      <c r="G20" s="459">
        <v>0.73492730476399515</v>
      </c>
      <c r="H20" s="459">
        <v>0.81958651792665504</v>
      </c>
      <c r="I20" s="459">
        <v>0.8258735410019441</v>
      </c>
      <c r="J20" s="459">
        <v>0.74009389252889834</v>
      </c>
      <c r="K20" s="459">
        <v>0.89654372771215163</v>
      </c>
      <c r="L20" s="459">
        <v>0.90802494171444559</v>
      </c>
      <c r="M20" s="459">
        <v>0.94054418284775176</v>
      </c>
      <c r="N20" s="460">
        <v>1</v>
      </c>
      <c r="O20" s="7"/>
      <c r="P20" s="462">
        <v>0.8742911103386789</v>
      </c>
    </row>
    <row r="21" spans="2:20" ht="6.4" customHeight="1" x14ac:dyDescent="0.25">
      <c r="B21" s="241"/>
      <c r="P21" s="186"/>
    </row>
    <row r="22" spans="2:20" x14ac:dyDescent="0.25">
      <c r="B22" s="241" t="s">
        <v>273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P22" s="243">
        <v>0</v>
      </c>
      <c r="T22" s="1"/>
    </row>
    <row r="23" spans="2:20" x14ac:dyDescent="0.25">
      <c r="B23" s="241" t="s">
        <v>203</v>
      </c>
      <c r="C23" s="73">
        <v>1454.033628724653</v>
      </c>
      <c r="D23" s="73">
        <v>1416.0203333354552</v>
      </c>
      <c r="E23" s="73">
        <v>1647.4689072214228</v>
      </c>
      <c r="F23" s="73">
        <v>1523.6383535028476</v>
      </c>
      <c r="G23" s="73">
        <v>1352.7260140565872</v>
      </c>
      <c r="H23" s="73">
        <v>1193.7039081273476</v>
      </c>
      <c r="I23" s="73">
        <v>1556.8098137019101</v>
      </c>
      <c r="J23" s="73">
        <v>2008.4271305011212</v>
      </c>
      <c r="K23" s="73">
        <v>1397.624463867661</v>
      </c>
      <c r="L23" s="73">
        <v>1973.3255451153877</v>
      </c>
      <c r="M23" s="73">
        <v>1340.2173896031659</v>
      </c>
      <c r="N23" s="73">
        <v>1635.395598862551</v>
      </c>
      <c r="P23" s="243">
        <v>18499.391086620108</v>
      </c>
    </row>
    <row r="24" spans="2:20" x14ac:dyDescent="0.25">
      <c r="B24" s="463" t="s">
        <v>167</v>
      </c>
      <c r="C24" s="464">
        <v>1454.033628724653</v>
      </c>
      <c r="D24" s="464">
        <v>1416.0203333354552</v>
      </c>
      <c r="E24" s="464">
        <v>1647.4689072214228</v>
      </c>
      <c r="F24" s="464">
        <v>1523.6383535028476</v>
      </c>
      <c r="G24" s="464">
        <v>1352.7260140565872</v>
      </c>
      <c r="H24" s="464">
        <v>1193.7039081273476</v>
      </c>
      <c r="I24" s="464">
        <v>1556.8098137019101</v>
      </c>
      <c r="J24" s="464">
        <v>2008.4271305011212</v>
      </c>
      <c r="K24" s="464">
        <v>1397.624463867661</v>
      </c>
      <c r="L24" s="464">
        <v>1973.3255451153877</v>
      </c>
      <c r="M24" s="464">
        <v>1340.2173896031659</v>
      </c>
      <c r="N24" s="465">
        <v>1635.395598862551</v>
      </c>
      <c r="O24" s="254"/>
      <c r="P24" s="466">
        <v>18499.391086620108</v>
      </c>
    </row>
    <row r="25" spans="2:20" ht="4.9000000000000004" customHeight="1" x14ac:dyDescent="0.25">
      <c r="B25" s="241"/>
      <c r="P25" s="186"/>
    </row>
    <row r="26" spans="2:20" ht="15.75" x14ac:dyDescent="0.25">
      <c r="B26" s="248" t="s">
        <v>168</v>
      </c>
      <c r="C26" s="88">
        <v>6237.0176599545002</v>
      </c>
      <c r="D26" s="88">
        <v>10379.33655661816</v>
      </c>
      <c r="E26" s="88">
        <v>5389.9818049321675</v>
      </c>
      <c r="F26" s="88">
        <v>7253.0700612459186</v>
      </c>
      <c r="G26" s="88">
        <v>6549.1620701671691</v>
      </c>
      <c r="H26" s="88">
        <v>3576.260253825556</v>
      </c>
      <c r="I26" s="88">
        <v>7427.5281441520365</v>
      </c>
      <c r="J26" s="88">
        <v>9752.4375827322183</v>
      </c>
      <c r="K26" s="88">
        <v>9490.3861441663885</v>
      </c>
      <c r="L26" s="88">
        <v>12242.06452376726</v>
      </c>
      <c r="M26" s="88">
        <v>6949.0497572967815</v>
      </c>
      <c r="N26" s="250">
        <v>4663.4825786612691</v>
      </c>
      <c r="O26" s="249"/>
      <c r="P26" s="461">
        <v>89909.777137519413</v>
      </c>
    </row>
    <row r="27" spans="2:20" x14ac:dyDescent="0.25">
      <c r="B27" s="458" t="s">
        <v>169</v>
      </c>
      <c r="C27" s="459">
        <v>0.81094474940442562</v>
      </c>
      <c r="D27" s="459">
        <v>0.81630877802706381</v>
      </c>
      <c r="E27" s="459">
        <v>0.71986875268282935</v>
      </c>
      <c r="F27" s="459">
        <v>0.73636749254253298</v>
      </c>
      <c r="G27" s="459">
        <v>0.6091149327083093</v>
      </c>
      <c r="H27" s="459">
        <v>0.61448149066016455</v>
      </c>
      <c r="I27" s="459">
        <v>0.68276583072434782</v>
      </c>
      <c r="J27" s="459">
        <v>0.61370653164031563</v>
      </c>
      <c r="K27" s="459">
        <v>0.78146012870711179</v>
      </c>
      <c r="L27" s="459">
        <v>0.78197642637969433</v>
      </c>
      <c r="M27" s="459">
        <v>0.78847601479334473</v>
      </c>
      <c r="N27" s="460">
        <v>0.74036716495040256</v>
      </c>
      <c r="O27" s="7"/>
      <c r="P27" s="462">
        <v>0.72509844113315036</v>
      </c>
    </row>
    <row r="28" spans="2:20" ht="7.9" customHeight="1" x14ac:dyDescent="0.25">
      <c r="B28" s="256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P28" s="257"/>
    </row>
    <row r="29" spans="2:20" x14ac:dyDescent="0.25">
      <c r="B29" s="241" t="s">
        <v>170</v>
      </c>
      <c r="C29" s="132">
        <v>-800</v>
      </c>
      <c r="D29" s="132">
        <v>-800</v>
      </c>
      <c r="E29" s="132">
        <v>-800</v>
      </c>
      <c r="F29" s="132">
        <v>-800</v>
      </c>
      <c r="G29" s="132">
        <v>-800</v>
      </c>
      <c r="H29" s="132">
        <v>-800</v>
      </c>
      <c r="I29" s="132">
        <v>-800</v>
      </c>
      <c r="J29" s="132">
        <v>-800</v>
      </c>
      <c r="K29" s="132">
        <v>-800</v>
      </c>
      <c r="L29" s="132">
        <v>-800</v>
      </c>
      <c r="M29" s="132">
        <v>-800</v>
      </c>
      <c r="N29" s="132">
        <v>-800</v>
      </c>
      <c r="O29" s="132"/>
      <c r="P29" s="187">
        <v>-9600</v>
      </c>
    </row>
    <row r="30" spans="2:20" ht="15.75" x14ac:dyDescent="0.25">
      <c r="B30" s="248" t="s">
        <v>16</v>
      </c>
      <c r="C30" s="88">
        <v>5437.0176599545002</v>
      </c>
      <c r="D30" s="88">
        <v>9579.3365566181601</v>
      </c>
      <c r="E30" s="88">
        <v>4589.9818049321675</v>
      </c>
      <c r="F30" s="88">
        <v>6453.0700612459186</v>
      </c>
      <c r="G30" s="88">
        <v>5749.1620701671691</v>
      </c>
      <c r="H30" s="88">
        <v>2776.260253825556</v>
      </c>
      <c r="I30" s="88">
        <v>6627.5281441520365</v>
      </c>
      <c r="J30" s="88">
        <v>8952.4375827322183</v>
      </c>
      <c r="K30" s="88">
        <v>8690.3861441663885</v>
      </c>
      <c r="L30" s="88">
        <v>11442.06452376726</v>
      </c>
      <c r="M30" s="88">
        <v>6149.0497572967815</v>
      </c>
      <c r="N30" s="250">
        <v>3863.4825786612691</v>
      </c>
      <c r="O30" s="249"/>
      <c r="P30" s="461">
        <v>80309.777137519413</v>
      </c>
    </row>
    <row r="31" spans="2:20" x14ac:dyDescent="0.25">
      <c r="B31" s="251" t="s">
        <v>171</v>
      </c>
      <c r="C31" s="90">
        <v>0.70692776005245483</v>
      </c>
      <c r="D31" s="90">
        <v>0.7533907852575501</v>
      </c>
      <c r="E31" s="90">
        <v>0.61302330811763917</v>
      </c>
      <c r="F31" s="90">
        <v>0.65514754167212419</v>
      </c>
      <c r="G31" s="90">
        <v>0.53470969720705852</v>
      </c>
      <c r="H31" s="90">
        <v>0.47702359955666374</v>
      </c>
      <c r="I31" s="90">
        <v>0.60922687483233529</v>
      </c>
      <c r="J31" s="90">
        <v>0.56336371004855679</v>
      </c>
      <c r="K31" s="90">
        <v>0.71558629665550744</v>
      </c>
      <c r="L31" s="90">
        <v>0.73087547523789742</v>
      </c>
      <c r="M31" s="90">
        <v>0.69770377486624813</v>
      </c>
      <c r="N31" s="252">
        <v>0.61336042224903919</v>
      </c>
      <c r="O31" s="7"/>
      <c r="P31" s="469">
        <v>0.64767699425055725</v>
      </c>
    </row>
    <row r="32" spans="2:20" x14ac:dyDescent="0.25">
      <c r="B32" s="251" t="s">
        <v>280</v>
      </c>
      <c r="C32" s="281">
        <v>0</v>
      </c>
      <c r="D32" s="281">
        <v>0</v>
      </c>
      <c r="E32" s="281">
        <v>0</v>
      </c>
      <c r="F32" s="281">
        <v>2400</v>
      </c>
      <c r="G32" s="281">
        <v>0</v>
      </c>
      <c r="H32" s="281">
        <v>0</v>
      </c>
      <c r="I32" s="281">
        <v>0</v>
      </c>
      <c r="J32" s="281">
        <v>0</v>
      </c>
      <c r="K32" s="281">
        <v>0</v>
      </c>
      <c r="L32" s="281">
        <v>0</v>
      </c>
      <c r="M32" s="281">
        <v>0</v>
      </c>
      <c r="N32" s="282">
        <v>0</v>
      </c>
      <c r="O32" s="7"/>
      <c r="P32" s="470">
        <v>2400</v>
      </c>
    </row>
    <row r="33" spans="2:16" x14ac:dyDescent="0.25">
      <c r="B33" s="251" t="s">
        <v>301</v>
      </c>
      <c r="C33" s="281">
        <v>-1900</v>
      </c>
      <c r="D33" s="281">
        <v>-3325</v>
      </c>
      <c r="E33" s="281">
        <v>-3220</v>
      </c>
      <c r="F33" s="281">
        <v>-2325</v>
      </c>
      <c r="G33" s="281">
        <v>-4100</v>
      </c>
      <c r="H33" s="281">
        <v>-2750</v>
      </c>
      <c r="I33" s="281">
        <v>-2903.9499999999971</v>
      </c>
      <c r="J33" s="281">
        <v>-9775</v>
      </c>
      <c r="K33" s="281">
        <v>-6767.5</v>
      </c>
      <c r="L33" s="281">
        <v>-12500</v>
      </c>
      <c r="M33" s="281">
        <v>-7780</v>
      </c>
      <c r="N33" s="282">
        <v>-3250</v>
      </c>
      <c r="O33" s="7"/>
      <c r="P33" s="470">
        <v>-60596.45</v>
      </c>
    </row>
    <row r="34" spans="2:16" x14ac:dyDescent="0.25">
      <c r="B34" s="458" t="s">
        <v>300</v>
      </c>
      <c r="C34" s="467">
        <v>1631.10529798635</v>
      </c>
      <c r="D34" s="467">
        <v>4744.906264971798</v>
      </c>
      <c r="E34" s="467">
        <v>6361.9008064514483</v>
      </c>
      <c r="F34" s="467">
        <v>8537.8218248252233</v>
      </c>
      <c r="G34" s="467">
        <v>10502.570445875373</v>
      </c>
      <c r="H34" s="467">
        <v>11575.44852202304</v>
      </c>
      <c r="I34" s="467">
        <v>13803.706965268651</v>
      </c>
      <c r="J34" s="467">
        <v>16729.438240088319</v>
      </c>
      <c r="K34" s="467">
        <v>19576.554083338237</v>
      </c>
      <c r="L34" s="467">
        <v>23249.173440468414</v>
      </c>
      <c r="M34" s="467">
        <v>25333.888367657448</v>
      </c>
      <c r="N34" s="468">
        <v>26732.933141255828</v>
      </c>
      <c r="O34" s="382"/>
      <c r="P34" s="569">
        <v>26732.933141255828</v>
      </c>
    </row>
    <row r="35" spans="2:16" ht="15.75" thickBot="1" x14ac:dyDescent="0.3">
      <c r="B35" s="241"/>
      <c r="H35" s="9"/>
      <c r="M35" s="109"/>
      <c r="P35" s="186"/>
    </row>
    <row r="36" spans="2:16" x14ac:dyDescent="0.25">
      <c r="B36" s="258" t="s">
        <v>172</v>
      </c>
      <c r="C36" s="84">
        <v>5910.4919725383306</v>
      </c>
      <c r="D36" s="160">
        <v>11084.272361042324</v>
      </c>
      <c r="E36" s="160">
        <v>13626.640747999701</v>
      </c>
      <c r="F36" s="160">
        <v>16286.344773842786</v>
      </c>
      <c r="G36" s="160">
        <v>18578.005705878626</v>
      </c>
      <c r="H36" s="160">
        <v>19238.673723690408</v>
      </c>
      <c r="I36" s="160">
        <v>21452.661713757698</v>
      </c>
      <c r="J36" s="160">
        <v>26002.178211082912</v>
      </c>
      <c r="K36" s="160">
        <v>32304.328083873392</v>
      </c>
      <c r="L36" s="510">
        <v>39688.855915124463</v>
      </c>
      <c r="M36" s="160">
        <v>44161.646649811548</v>
      </c>
      <c r="N36" s="84">
        <v>45353.466864734175</v>
      </c>
      <c r="P36" s="186"/>
    </row>
    <row r="37" spans="2:16" x14ac:dyDescent="0.25">
      <c r="B37" s="259" t="s">
        <v>173</v>
      </c>
      <c r="C37" s="261">
        <v>1691.5452984802259</v>
      </c>
      <c r="D37" s="260">
        <v>5173.7803885039939</v>
      </c>
      <c r="E37" s="260">
        <v>2542.3683869573779</v>
      </c>
      <c r="F37" s="260">
        <v>2659.7040258430852</v>
      </c>
      <c r="G37" s="260">
        <v>2291.6609320358393</v>
      </c>
      <c r="H37" s="260">
        <v>660.6680178117831</v>
      </c>
      <c r="I37" s="260">
        <v>2213.9879900672904</v>
      </c>
      <c r="J37" s="260">
        <v>4549.516497325214</v>
      </c>
      <c r="K37" s="260">
        <v>6302.1498727904818</v>
      </c>
      <c r="L37" s="511">
        <v>7384.5278312510727</v>
      </c>
      <c r="M37" s="260">
        <v>4472.7907346870816</v>
      </c>
      <c r="N37" s="261">
        <v>1191.8202149226308</v>
      </c>
      <c r="O37" s="262"/>
      <c r="P37" s="263"/>
    </row>
    <row r="38" spans="2:16" x14ac:dyDescent="0.25">
      <c r="E38" s="9"/>
    </row>
  </sheetData>
  <mergeCells count="1">
    <mergeCell ref="B8:P8"/>
  </mergeCells>
  <pageMargins left="0.25" right="0.25" top="0.75" bottom="0.75" header="0.3" footer="0.3"/>
  <pageSetup scale="56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0495-EE2C-4571-93A0-2DD2C9D07CA8}">
  <sheetPr>
    <tabColor theme="1"/>
    <pageSetUpPr fitToPage="1"/>
  </sheetPr>
  <dimension ref="B10:T31"/>
  <sheetViews>
    <sheetView showGridLines="0" topLeftCell="A4" zoomScale="77" workbookViewId="0">
      <selection activeCell="B1" sqref="B1:P48"/>
    </sheetView>
  </sheetViews>
  <sheetFormatPr defaultColWidth="8.7109375" defaultRowHeight="15" x14ac:dyDescent="0.25"/>
  <cols>
    <col min="2" max="2" width="34" bestFit="1" customWidth="1"/>
    <col min="3" max="10" width="11.42578125" bestFit="1" customWidth="1"/>
    <col min="11" max="11" width="11.7109375" bestFit="1" customWidth="1"/>
    <col min="12" max="14" width="11.42578125" bestFit="1" customWidth="1"/>
    <col min="15" max="15" width="2.7109375" customWidth="1"/>
    <col min="16" max="16" width="9.7109375" bestFit="1" customWidth="1"/>
  </cols>
  <sheetData>
    <row r="10" spans="2:16" ht="15.75" x14ac:dyDescent="0.25">
      <c r="B10" s="68"/>
      <c r="C10" s="69" t="str">
        <f>TEXT('Monthly Detail'!D4,"mmmm")</f>
        <v>January</v>
      </c>
      <c r="D10" s="69" t="str">
        <f>TEXT('Monthly Detail'!E4,"mmmm")</f>
        <v>February</v>
      </c>
      <c r="E10" s="69" t="str">
        <f>TEXT('Monthly Detail'!F4,"mmmm")</f>
        <v>March</v>
      </c>
      <c r="F10" s="69" t="str">
        <f>TEXT('Monthly Detail'!G4,"mmmm")</f>
        <v>April</v>
      </c>
      <c r="G10" s="69" t="str">
        <f>TEXT('Monthly Detail'!H4,"mmmm")</f>
        <v>May</v>
      </c>
      <c r="H10" s="69" t="str">
        <f>TEXT('Monthly Detail'!I4,"mmmm")</f>
        <v>June</v>
      </c>
      <c r="I10" s="69" t="str">
        <f>TEXT('Monthly Detail'!J4,"mmmm")</f>
        <v>July</v>
      </c>
      <c r="J10" s="69" t="str">
        <f>TEXT('Monthly Detail'!K4,"mmmm")</f>
        <v>August</v>
      </c>
      <c r="K10" s="69" t="str">
        <f>TEXT('Monthly Detail'!L4,"mmmm")</f>
        <v>September</v>
      </c>
      <c r="L10" s="69" t="str">
        <f>TEXT('Monthly Detail'!M4,"mmmm")</f>
        <v>October</v>
      </c>
      <c r="M10" s="69" t="str">
        <f>TEXT('Monthly Detail'!N4,"mmmm")</f>
        <v>November</v>
      </c>
      <c r="N10" s="188" t="str">
        <f>TEXT('Monthly Detail'!O4,"mmmm")</f>
        <v>December</v>
      </c>
      <c r="O10" s="70"/>
      <c r="P10" s="71" t="s">
        <v>0</v>
      </c>
    </row>
    <row r="11" spans="2:16" ht="6.4" customHeight="1" x14ac:dyDescent="0.25">
      <c r="B11" s="7"/>
      <c r="C11" s="91">
        <v>44957</v>
      </c>
      <c r="D11" s="91">
        <v>44985</v>
      </c>
      <c r="E11" s="91">
        <v>45016</v>
      </c>
      <c r="F11" s="91">
        <v>45046</v>
      </c>
      <c r="G11" s="91">
        <v>45077</v>
      </c>
      <c r="H11" s="91">
        <v>45107</v>
      </c>
      <c r="I11" s="91">
        <v>45138</v>
      </c>
      <c r="J11" s="91">
        <v>45169</v>
      </c>
      <c r="K11" s="91">
        <v>45199</v>
      </c>
      <c r="L11" s="91">
        <v>45230</v>
      </c>
      <c r="M11" s="91">
        <v>45260</v>
      </c>
      <c r="N11" s="189">
        <v>45291</v>
      </c>
      <c r="O11" s="91">
        <v>45322</v>
      </c>
    </row>
    <row r="12" spans="2:16" x14ac:dyDescent="0.25">
      <c r="B12" s="72" t="s">
        <v>60</v>
      </c>
      <c r="C12" s="73">
        <f>SUMIF('Monthly Detail'!$4:$4, '2023 Overview'!C$11, 'Monthly Detail'!12:12)</f>
        <v>1510</v>
      </c>
      <c r="D12" s="73">
        <f>SUMIF('Monthly Detail'!$4:$4, '2023 Overview'!D$11, 'Monthly Detail'!12:12)</f>
        <v>1225</v>
      </c>
      <c r="E12" s="73">
        <f>SUMIF('Monthly Detail'!$4:$4, '2023 Overview'!E$11, 'Monthly Detail'!12:12)</f>
        <v>1177.5</v>
      </c>
      <c r="F12" s="73">
        <f>SUMIF('Monthly Detail'!$4:$4, '2023 Overview'!F$11, 'Monthly Detail'!12:12)</f>
        <v>1919.91</v>
      </c>
      <c r="G12" s="73">
        <f>SUMIF('Monthly Detail'!$4:$4, '2023 Overview'!G$11, 'Monthly Detail'!12:12)</f>
        <v>2446.25</v>
      </c>
      <c r="H12" s="73">
        <f>SUMIF('Monthly Detail'!$4:$4, '2023 Overview'!H$11, 'Monthly Detail'!12:12)</f>
        <v>2038.75</v>
      </c>
      <c r="I12" s="73">
        <f>SUMIF('Monthly Detail'!$4:$4, '2023 Overview'!I$11, 'Monthly Detail'!12:12)</f>
        <v>2785</v>
      </c>
      <c r="J12" s="73">
        <f>SUMIF('Monthly Detail'!$4:$4, '2023 Overview'!J$11, 'Monthly Detail'!12:12)</f>
        <v>7051.66</v>
      </c>
      <c r="K12" s="73">
        <f>SUMIF('Monthly Detail'!$4:$4, '2023 Overview'!K$11, 'Monthly Detail'!12:12)</f>
        <v>8720.84</v>
      </c>
      <c r="L12" s="73">
        <f>SUMIF('Monthly Detail'!$4:$4, '2023 Overview'!L$11, 'Monthly Detail'!12:12)</f>
        <v>8040</v>
      </c>
      <c r="M12" s="73">
        <f>SUMIF('Monthly Detail'!$4:$4, '2023 Overview'!M$11, 'Monthly Detail'!12:12)</f>
        <v>4827.5</v>
      </c>
      <c r="N12" s="190">
        <f>SUMIF('Monthly Detail'!$4:$4, '2023 Overview'!N$11, 'Monthly Detail'!12:12)</f>
        <v>2095</v>
      </c>
      <c r="O12" s="73"/>
      <c r="P12" s="73">
        <f>SUM(C12:O12)</f>
        <v>43837.41</v>
      </c>
    </row>
    <row r="13" spans="2:16" x14ac:dyDescent="0.25">
      <c r="B13" s="72" t="s">
        <v>174</v>
      </c>
      <c r="C13" s="73">
        <f>SUMIF('Monthly Detail'!$4:$4, '2023 Overview'!C$11, 'Monthly Detail'!13:13)</f>
        <v>35.99</v>
      </c>
      <c r="D13" s="73">
        <f>SUMIF('Monthly Detail'!$4:$4, '2023 Overview'!D$11, 'Monthly Detail'!13:13)</f>
        <v>30.75</v>
      </c>
      <c r="E13" s="73">
        <f>SUMIF('Monthly Detail'!$4:$4, '2023 Overview'!E$11, 'Monthly Detail'!13:13)</f>
        <v>29.25</v>
      </c>
      <c r="F13" s="73">
        <f>SUMIF('Monthly Detail'!$4:$4, '2023 Overview'!F$11, 'Monthly Detail'!13:13)</f>
        <v>37.5</v>
      </c>
      <c r="G13" s="73">
        <f>SUMIF('Monthly Detail'!$4:$4, '2023 Overview'!G$11, 'Monthly Detail'!13:13)</f>
        <v>40.68</v>
      </c>
      <c r="H13" s="73">
        <f>SUMIF('Monthly Detail'!$4:$4, '2023 Overview'!H$11, 'Monthly Detail'!13:13)</f>
        <v>4.68</v>
      </c>
      <c r="I13" s="73">
        <f>SUMIF('Monthly Detail'!$4:$4, '2023 Overview'!I$11, 'Monthly Detail'!13:13)</f>
        <v>50.5</v>
      </c>
      <c r="J13" s="73">
        <f>SUMIF('Monthly Detail'!$4:$4, '2023 Overview'!J$11, 'Monthly Detail'!13:13)</f>
        <v>27</v>
      </c>
      <c r="K13" s="73">
        <f>SUMIF('Monthly Detail'!$4:$4, '2023 Overview'!K$11, 'Monthly Detail'!13:13)</f>
        <v>35.25</v>
      </c>
      <c r="L13" s="73">
        <f>SUMIF('Monthly Detail'!$4:$4, '2023 Overview'!L$11, 'Monthly Detail'!13:13)</f>
        <v>156.37</v>
      </c>
      <c r="M13" s="73">
        <f>SUMIF('Monthly Detail'!$4:$4, '2023 Overview'!M$11, 'Monthly Detail'!13:13)</f>
        <v>110.62</v>
      </c>
      <c r="N13" s="190">
        <f>SUMIF('Monthly Detail'!$4:$4, '2023 Overview'!N$11, 'Monthly Detail'!13:13)</f>
        <v>49.5</v>
      </c>
      <c r="O13" s="73"/>
      <c r="P13" s="73"/>
    </row>
    <row r="14" spans="2:16" x14ac:dyDescent="0.25">
      <c r="B14" s="74" t="s">
        <v>7</v>
      </c>
      <c r="C14" s="74">
        <f>SUM(C12:C13)</f>
        <v>1545.99</v>
      </c>
      <c r="D14" s="74">
        <f t="shared" ref="D14:N14" si="0">SUM(D12:D13)</f>
        <v>1255.75</v>
      </c>
      <c r="E14" s="74">
        <f t="shared" si="0"/>
        <v>1206.75</v>
      </c>
      <c r="F14" s="74">
        <f t="shared" si="0"/>
        <v>1957.41</v>
      </c>
      <c r="G14" s="74">
        <f t="shared" si="0"/>
        <v>2486.9299999999998</v>
      </c>
      <c r="H14" s="74">
        <f t="shared" si="0"/>
        <v>2043.43</v>
      </c>
      <c r="I14" s="74">
        <f t="shared" si="0"/>
        <v>2835.5</v>
      </c>
      <c r="J14" s="74">
        <f t="shared" si="0"/>
        <v>7078.66</v>
      </c>
      <c r="K14" s="74">
        <f t="shared" si="0"/>
        <v>8756.09</v>
      </c>
      <c r="L14" s="74">
        <f t="shared" si="0"/>
        <v>8196.3700000000008</v>
      </c>
      <c r="M14" s="74">
        <f t="shared" si="0"/>
        <v>4938.12</v>
      </c>
      <c r="N14" s="191">
        <f t="shared" si="0"/>
        <v>2144.5</v>
      </c>
      <c r="O14" s="75"/>
      <c r="P14" s="74">
        <f>SUM(P12:P12)</f>
        <v>43837.41</v>
      </c>
    </row>
    <row r="15" spans="2:16" ht="3" customHeight="1" x14ac:dyDescent="0.25">
      <c r="B15" s="7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92"/>
      <c r="P15" s="76"/>
    </row>
    <row r="16" spans="2:16" ht="15.75" x14ac:dyDescent="0.25">
      <c r="B16" s="87" t="s">
        <v>165</v>
      </c>
      <c r="C16" s="88">
        <f>C14</f>
        <v>1545.99</v>
      </c>
      <c r="D16" s="88">
        <f t="shared" ref="D16:N16" si="1">D14</f>
        <v>1255.75</v>
      </c>
      <c r="E16" s="88">
        <f t="shared" si="1"/>
        <v>1206.75</v>
      </c>
      <c r="F16" s="88">
        <f t="shared" si="1"/>
        <v>1957.41</v>
      </c>
      <c r="G16" s="88">
        <f t="shared" si="1"/>
        <v>2486.9299999999998</v>
      </c>
      <c r="H16" s="88">
        <f t="shared" si="1"/>
        <v>2043.43</v>
      </c>
      <c r="I16" s="88">
        <f t="shared" si="1"/>
        <v>2835.5</v>
      </c>
      <c r="J16" s="88">
        <f t="shared" si="1"/>
        <v>7078.66</v>
      </c>
      <c r="K16" s="88">
        <f t="shared" si="1"/>
        <v>8756.09</v>
      </c>
      <c r="L16" s="88">
        <f t="shared" si="1"/>
        <v>8196.3700000000008</v>
      </c>
      <c r="M16" s="88">
        <f t="shared" si="1"/>
        <v>4938.12</v>
      </c>
      <c r="N16" s="193">
        <f t="shared" si="1"/>
        <v>2144.5</v>
      </c>
      <c r="O16" s="77"/>
      <c r="P16" s="88">
        <f>P14</f>
        <v>43837.41</v>
      </c>
    </row>
    <row r="17" spans="2:20" x14ac:dyDescent="0.25">
      <c r="B17" s="89" t="s">
        <v>166</v>
      </c>
      <c r="C17" s="90">
        <f t="shared" ref="C17:N17" si="2">C16/C14</f>
        <v>1</v>
      </c>
      <c r="D17" s="90">
        <f t="shared" si="2"/>
        <v>1</v>
      </c>
      <c r="E17" s="90">
        <f t="shared" si="2"/>
        <v>1</v>
      </c>
      <c r="F17" s="90">
        <f t="shared" si="2"/>
        <v>1</v>
      </c>
      <c r="G17" s="90">
        <f t="shared" si="2"/>
        <v>1</v>
      </c>
      <c r="H17" s="90">
        <f t="shared" si="2"/>
        <v>1</v>
      </c>
      <c r="I17" s="90">
        <f t="shared" si="2"/>
        <v>1</v>
      </c>
      <c r="J17" s="90">
        <f t="shared" si="2"/>
        <v>1</v>
      </c>
      <c r="K17" s="90">
        <f t="shared" si="2"/>
        <v>1</v>
      </c>
      <c r="L17" s="90">
        <f t="shared" si="2"/>
        <v>1</v>
      </c>
      <c r="M17" s="90">
        <f t="shared" si="2"/>
        <v>1</v>
      </c>
      <c r="N17" s="194">
        <f t="shared" si="2"/>
        <v>1</v>
      </c>
      <c r="O17" s="7"/>
      <c r="P17" s="90">
        <f>P16/P14</f>
        <v>1</v>
      </c>
    </row>
    <row r="18" spans="2:20" ht="3" customHeight="1" x14ac:dyDescent="0.25">
      <c r="B18" s="7"/>
      <c r="N18" s="195"/>
    </row>
    <row r="19" spans="2:20" x14ac:dyDescent="0.25">
      <c r="B19" s="7" t="s">
        <v>203</v>
      </c>
      <c r="C19" s="73">
        <f>SUMIF('Monthly Detail'!$4:$4, '2023 Overview'!C$11, 'Monthly Detail'!$93:$93)</f>
        <v>235.13</v>
      </c>
      <c r="D19" s="73">
        <f>SUMIF('Monthly Detail'!$4:$4, '2023 Overview'!D$11, 'Monthly Detail'!$93:$93)</f>
        <v>153.76</v>
      </c>
      <c r="E19" s="73">
        <f>SUMIF('Monthly Detail'!$4:$4, '2023 Overview'!E$11, 'Monthly Detail'!$93:$93)</f>
        <v>105.36</v>
      </c>
      <c r="F19" s="73">
        <f>SUMIF('Monthly Detail'!$4:$4, '2023 Overview'!F$11, 'Monthly Detail'!$93:$93)</f>
        <v>272.83999999999997</v>
      </c>
      <c r="G19" s="73">
        <f>SUMIF('Monthly Detail'!$4:$4, '2023 Overview'!G$11, 'Monthly Detail'!$93:$93)</f>
        <v>551</v>
      </c>
      <c r="H19" s="73">
        <f>SUMIF('Monthly Detail'!$4:$4, '2023 Overview'!H$11, 'Monthly Detail'!$93:$93)</f>
        <v>647.26</v>
      </c>
      <c r="I19" s="73">
        <f>SUMIF('Monthly Detail'!$4:$4, '2023 Overview'!I$11, 'Monthly Detail'!$93:$93)</f>
        <v>432.76</v>
      </c>
      <c r="J19" s="73">
        <f>SUMIF('Monthly Detail'!$4:$4, '2023 Overview'!J$11, 'Monthly Detail'!$93:$93)</f>
        <v>851.95</v>
      </c>
      <c r="K19" s="73">
        <f>SUMIF('Monthly Detail'!$4:$4, '2023 Overview'!K$11, 'Monthly Detail'!$93:$93)</f>
        <v>1646.3600000000001</v>
      </c>
      <c r="L19" s="73">
        <f>SUMIF('Monthly Detail'!$4:$4, '2023 Overview'!L$11, 'Monthly Detail'!$93:$93)</f>
        <v>1347.4700000000003</v>
      </c>
      <c r="M19" s="73">
        <f>SUMIF('Monthly Detail'!$4:$4, '2023 Overview'!M$11, 'Monthly Detail'!$93:$93)</f>
        <v>906.43000000000006</v>
      </c>
      <c r="N19" s="190">
        <f>SUMIF('Monthly Detail'!$4:$4, '2023 Overview'!N$11, 'Monthly Detail'!$93:$93)</f>
        <v>797.47</v>
      </c>
      <c r="P19" s="73">
        <f>SUM(C19:O19)</f>
        <v>7947.7900000000009</v>
      </c>
      <c r="T19" s="1"/>
    </row>
    <row r="20" spans="2:20" x14ac:dyDescent="0.25">
      <c r="B20" s="78" t="s">
        <v>167</v>
      </c>
      <c r="C20" s="79">
        <f t="shared" ref="C20:N20" si="3">SUM(C19:C19)</f>
        <v>235.13</v>
      </c>
      <c r="D20" s="79">
        <f t="shared" si="3"/>
        <v>153.76</v>
      </c>
      <c r="E20" s="79">
        <f t="shared" si="3"/>
        <v>105.36</v>
      </c>
      <c r="F20" s="79">
        <f t="shared" si="3"/>
        <v>272.83999999999997</v>
      </c>
      <c r="G20" s="79">
        <f t="shared" si="3"/>
        <v>551</v>
      </c>
      <c r="H20" s="79">
        <f t="shared" si="3"/>
        <v>647.26</v>
      </c>
      <c r="I20" s="79">
        <f t="shared" si="3"/>
        <v>432.76</v>
      </c>
      <c r="J20" s="79">
        <f t="shared" si="3"/>
        <v>851.95</v>
      </c>
      <c r="K20" s="79">
        <f t="shared" si="3"/>
        <v>1646.3600000000001</v>
      </c>
      <c r="L20" s="79">
        <f t="shared" si="3"/>
        <v>1347.4700000000003</v>
      </c>
      <c r="M20" s="79">
        <f t="shared" si="3"/>
        <v>906.43000000000006</v>
      </c>
      <c r="N20" s="196">
        <f t="shared" si="3"/>
        <v>797.47</v>
      </c>
      <c r="O20" s="80"/>
      <c r="P20" s="79">
        <f>SUM(P19:P19)</f>
        <v>7947.7900000000009</v>
      </c>
    </row>
    <row r="21" spans="2:20" ht="4.1500000000000004" customHeight="1" x14ac:dyDescent="0.25">
      <c r="B21" s="7"/>
      <c r="N21" s="195"/>
    </row>
    <row r="22" spans="2:20" ht="15.75" x14ac:dyDescent="0.25">
      <c r="B22" s="87" t="s">
        <v>168</v>
      </c>
      <c r="C22" s="88">
        <f t="shared" ref="C22:N22" si="4">C16-C20</f>
        <v>1310.8600000000001</v>
      </c>
      <c r="D22" s="88">
        <f t="shared" si="4"/>
        <v>1101.99</v>
      </c>
      <c r="E22" s="88">
        <f t="shared" si="4"/>
        <v>1101.3900000000001</v>
      </c>
      <c r="F22" s="88">
        <f t="shared" si="4"/>
        <v>1684.5700000000002</v>
      </c>
      <c r="G22" s="88">
        <f t="shared" si="4"/>
        <v>1935.9299999999998</v>
      </c>
      <c r="H22" s="88">
        <f t="shared" si="4"/>
        <v>1396.17</v>
      </c>
      <c r="I22" s="88">
        <f t="shared" si="4"/>
        <v>2402.7399999999998</v>
      </c>
      <c r="J22" s="88">
        <f t="shared" si="4"/>
        <v>6226.71</v>
      </c>
      <c r="K22" s="88">
        <f t="shared" si="4"/>
        <v>7109.73</v>
      </c>
      <c r="L22" s="88">
        <f t="shared" si="4"/>
        <v>6848.9000000000005</v>
      </c>
      <c r="M22" s="88">
        <f t="shared" si="4"/>
        <v>4031.6899999999996</v>
      </c>
      <c r="N22" s="193">
        <f t="shared" si="4"/>
        <v>1347.03</v>
      </c>
      <c r="O22" s="77"/>
      <c r="P22" s="88">
        <f>P16-P20</f>
        <v>35889.620000000003</v>
      </c>
    </row>
    <row r="23" spans="2:20" x14ac:dyDescent="0.25">
      <c r="B23" s="89" t="s">
        <v>169</v>
      </c>
      <c r="C23" s="90">
        <f t="shared" ref="C23:N23" si="5">C22/C14</f>
        <v>0.84790975362065735</v>
      </c>
      <c r="D23" s="90">
        <f t="shared" si="5"/>
        <v>0.87755524586900258</v>
      </c>
      <c r="E23" s="90">
        <f t="shared" si="5"/>
        <v>0.91269111249223134</v>
      </c>
      <c r="F23" s="90">
        <f t="shared" si="5"/>
        <v>0.86061172672051334</v>
      </c>
      <c r="G23" s="90">
        <f t="shared" si="5"/>
        <v>0.7784416931719027</v>
      </c>
      <c r="H23" s="90">
        <f t="shared" si="5"/>
        <v>0.68324826394836136</v>
      </c>
      <c r="I23" s="90">
        <f t="shared" si="5"/>
        <v>0.84737788749779575</v>
      </c>
      <c r="J23" s="90">
        <f t="shared" si="5"/>
        <v>0.8796453000991713</v>
      </c>
      <c r="K23" s="90">
        <f t="shared" si="5"/>
        <v>0.81197543652475013</v>
      </c>
      <c r="L23" s="90">
        <f t="shared" si="5"/>
        <v>0.83560161388517107</v>
      </c>
      <c r="M23" s="90">
        <f t="shared" si="5"/>
        <v>0.81644228977829614</v>
      </c>
      <c r="N23" s="194">
        <f t="shared" si="5"/>
        <v>0.62813243180228495</v>
      </c>
      <c r="O23" s="7"/>
      <c r="P23" s="90">
        <f>P22/P14</f>
        <v>0.8186984586908761</v>
      </c>
    </row>
    <row r="24" spans="2:20" ht="4.9000000000000004" customHeight="1" x14ac:dyDescent="0.25">
      <c r="B24" s="81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197"/>
      <c r="P24" s="82"/>
    </row>
    <row r="25" spans="2:20" x14ac:dyDescent="0.25">
      <c r="B25" s="7" t="s">
        <v>170</v>
      </c>
      <c r="C25" s="132">
        <f>SUMIF('Monthly Detail'!$4:$4, '2023 Overview'!C$11, 'Monthly Detail'!102:102)</f>
        <v>0</v>
      </c>
      <c r="D25" s="129">
        <f>SUMIF('Monthly Detail'!$4:$4, '2023 Overview'!D$11, 'Monthly Detail'!102:102)</f>
        <v>0</v>
      </c>
      <c r="E25" s="132">
        <f>SUMIF('Monthly Detail'!$4:$4, '2023 Overview'!E$11, 'Monthly Detail'!102:102)</f>
        <v>0</v>
      </c>
      <c r="F25" s="129">
        <f>SUMIF('Monthly Detail'!$4:$4, '2023 Overview'!F$11, 'Monthly Detail'!102:102)</f>
        <v>0.01</v>
      </c>
      <c r="G25" s="129">
        <f>SUMIF('Monthly Detail'!$4:$4, '2023 Overview'!G$11, 'Monthly Detail'!102:102)</f>
        <v>0.01</v>
      </c>
      <c r="H25" s="132">
        <f>SUMIF('Monthly Detail'!$4:$4, '2023 Overview'!H$11, 'Monthly Detail'!102:102)</f>
        <v>0.01</v>
      </c>
      <c r="I25" s="132">
        <f>SUMIF('Monthly Detail'!$4:$4, '2023 Overview'!I$11, 'Monthly Detail'!102:102)</f>
        <v>0.03</v>
      </c>
      <c r="J25" s="132">
        <f>SUMIF('Monthly Detail'!$4:$4, '2023 Overview'!J$11, 'Monthly Detail'!102:102)</f>
        <v>0.01</v>
      </c>
      <c r="K25" s="132">
        <f>SUMIF('Monthly Detail'!$4:$4, '2023 Overview'!K$11, 'Monthly Detail'!102:102)</f>
        <v>0</v>
      </c>
      <c r="L25" s="132">
        <f>SUMIF('Monthly Detail'!$4:$4, '2023 Overview'!L$11, 'Monthly Detail'!102:102)</f>
        <v>0</v>
      </c>
      <c r="M25" s="132">
        <f>SUMIF('Monthly Detail'!$4:$4, '2023 Overview'!M$11, 'Monthly Detail'!102:102)</f>
        <v>0</v>
      </c>
      <c r="N25" s="198">
        <f>SUMIF('Monthly Detail'!$4:$4, '2023 Overview'!N$11, 'Monthly Detail'!102:102)</f>
        <v>0</v>
      </c>
      <c r="O25" s="129"/>
      <c r="P25" s="113">
        <f>SUM(C25:O25)</f>
        <v>6.9999999999999993E-2</v>
      </c>
    </row>
    <row r="26" spans="2:20" ht="15.75" x14ac:dyDescent="0.25">
      <c r="B26" s="87" t="s">
        <v>16</v>
      </c>
      <c r="C26" s="88">
        <f t="shared" ref="C26:N26" si="6">C22+SUM(C25:C25)</f>
        <v>1310.8600000000001</v>
      </c>
      <c r="D26" s="88">
        <f t="shared" si="6"/>
        <v>1101.99</v>
      </c>
      <c r="E26" s="88">
        <f t="shared" si="6"/>
        <v>1101.3900000000001</v>
      </c>
      <c r="F26" s="88">
        <f t="shared" si="6"/>
        <v>1684.5800000000002</v>
      </c>
      <c r="G26" s="88">
        <f t="shared" si="6"/>
        <v>1935.9399999999998</v>
      </c>
      <c r="H26" s="88">
        <f t="shared" si="6"/>
        <v>1396.18</v>
      </c>
      <c r="I26" s="88">
        <f t="shared" si="6"/>
        <v>2402.77</v>
      </c>
      <c r="J26" s="88">
        <f t="shared" si="6"/>
        <v>6226.72</v>
      </c>
      <c r="K26" s="88">
        <f t="shared" si="6"/>
        <v>7109.73</v>
      </c>
      <c r="L26" s="88">
        <f t="shared" si="6"/>
        <v>6848.9000000000005</v>
      </c>
      <c r="M26" s="88">
        <f t="shared" si="6"/>
        <v>4031.6899999999996</v>
      </c>
      <c r="N26" s="193">
        <f t="shared" si="6"/>
        <v>1347.03</v>
      </c>
      <c r="O26" s="77"/>
      <c r="P26" s="88">
        <f>P22+SUM(P25:P25)</f>
        <v>35889.69</v>
      </c>
    </row>
    <row r="27" spans="2:20" x14ac:dyDescent="0.25">
      <c r="B27" s="89" t="s">
        <v>171</v>
      </c>
      <c r="C27" s="90">
        <f t="shared" ref="C27:N27" si="7">C26/C14</f>
        <v>0.84790975362065735</v>
      </c>
      <c r="D27" s="90">
        <f t="shared" si="7"/>
        <v>0.87755524586900258</v>
      </c>
      <c r="E27" s="90">
        <f t="shared" si="7"/>
        <v>0.91269111249223134</v>
      </c>
      <c r="F27" s="90">
        <f t="shared" si="7"/>
        <v>0.860616835512233</v>
      </c>
      <c r="G27" s="90">
        <f t="shared" si="7"/>
        <v>0.77844571419380515</v>
      </c>
      <c r="H27" s="90">
        <f t="shared" si="7"/>
        <v>0.68325315768095796</v>
      </c>
      <c r="I27" s="90">
        <f t="shared" si="7"/>
        <v>0.84738846764239106</v>
      </c>
      <c r="J27" s="90">
        <f t="shared" si="7"/>
        <v>0.87964671279592466</v>
      </c>
      <c r="K27" s="90">
        <f t="shared" si="7"/>
        <v>0.81197543652475013</v>
      </c>
      <c r="L27" s="90">
        <f t="shared" si="7"/>
        <v>0.83560161388517107</v>
      </c>
      <c r="M27" s="90">
        <f t="shared" si="7"/>
        <v>0.81644228977829614</v>
      </c>
      <c r="N27" s="194">
        <f t="shared" si="7"/>
        <v>0.62813243180228495</v>
      </c>
      <c r="O27" s="7"/>
      <c r="P27" s="90">
        <f>P26/P14</f>
        <v>0.8187000555005417</v>
      </c>
    </row>
    <row r="28" spans="2:20" ht="4.9000000000000004" customHeight="1" thickBot="1" x14ac:dyDescent="0.3">
      <c r="B28" s="7"/>
      <c r="N28" s="195"/>
    </row>
    <row r="29" spans="2:20" x14ac:dyDescent="0.25">
      <c r="B29" s="83" t="s">
        <v>172</v>
      </c>
      <c r="C29" s="84">
        <f>SUMIF('Monthly Detail'!$4:$4, '2023 Overview'!C$11, 'Monthly Detail'!172:172)</f>
        <v>169.96000000000117</v>
      </c>
      <c r="D29" s="160">
        <f>SUMIF('Monthly Detail'!$4:$4, '2023 Overview'!D$11, 'Monthly Detail'!172:172)</f>
        <v>212.95000000000118</v>
      </c>
      <c r="E29" s="84">
        <f>SUMIF('Monthly Detail'!$4:$4, '2023 Overview'!E$11, 'Monthly Detail'!172:172)</f>
        <v>127.39000000000124</v>
      </c>
      <c r="F29" s="160">
        <f>SUMIF('Monthly Detail'!$4:$4, '2023 Overview'!F$11, 'Monthly Detail'!172:172)</f>
        <v>395.42000000000144</v>
      </c>
      <c r="G29" s="84">
        <f>SUMIF('Monthly Detail'!$4:$4, '2023 Overview'!G$11, 'Monthly Detail'!172:172)</f>
        <v>300.21000000000186</v>
      </c>
      <c r="H29" s="84">
        <f>SUMIF('Monthly Detail'!$4:$4, '2023 Overview'!H$11, 'Monthly Detail'!172:172)</f>
        <v>433.57000000000198</v>
      </c>
      <c r="I29" s="160">
        <f>SUMIF('Monthly Detail'!$4:$4, '2023 Overview'!I$11, 'Monthly Detail'!172:172)</f>
        <v>566.72999999999774</v>
      </c>
      <c r="J29" s="160">
        <f>SUMIF('Monthly Detail'!$4:$4, '2023 Overview'!J$11, 'Monthly Detail'!172:172)</f>
        <v>503.449999999998</v>
      </c>
      <c r="K29" s="160">
        <f>SUMIF('Monthly Detail'!$4:$4, '2023 Overview'!K$11, 'Monthly Detail'!172:172)</f>
        <v>741.17999999999756</v>
      </c>
      <c r="L29" s="160">
        <f>SUMIF('Monthly Detail'!$4:$4, '2023 Overview'!L$11, 'Monthly Detail'!172:172)</f>
        <v>653.29999999999927</v>
      </c>
      <c r="M29" s="160">
        <f>SUMIF('Monthly Detail'!$4:$4, '2023 Overview'!M$11, 'Monthly Detail'!172:172)</f>
        <v>727.48999999999887</v>
      </c>
      <c r="N29" s="199">
        <f>SUMIF('Monthly Detail'!$4:$4, '2023 Overview'!N$11, 'Monthly Detail'!172:172)</f>
        <v>997.01999999999884</v>
      </c>
    </row>
    <row r="30" spans="2:20" ht="15.75" thickBot="1" x14ac:dyDescent="0.3">
      <c r="B30" s="85" t="s">
        <v>173</v>
      </c>
      <c r="C30" s="86">
        <f>SUMIF('Monthly Detail'!$4:$4, '2023 Overview'!C$11, 'Monthly Detail'!169:169)</f>
        <v>225.86000000000104</v>
      </c>
      <c r="D30" s="161">
        <f>SUMIF('Monthly Detail'!$4:$4, '2023 Overview'!D$11, 'Monthly Detail'!169:169)</f>
        <v>42.990000000000009</v>
      </c>
      <c r="E30" s="86">
        <f>SUMIF('Monthly Detail'!$4:$4, '2023 Overview'!E$11, 'Monthly Detail'!169:169)</f>
        <v>-85.559999999999945</v>
      </c>
      <c r="F30" s="161">
        <f>SUMIF('Monthly Detail'!$4:$4, '2023 Overview'!F$11, 'Monthly Detail'!169:169)</f>
        <v>268.0300000000002</v>
      </c>
      <c r="G30" s="86">
        <f>SUMIF('Monthly Detail'!$4:$4, '2023 Overview'!G$11, 'Monthly Detail'!169:169)</f>
        <v>-95.209999999999582</v>
      </c>
      <c r="H30" s="86">
        <f>SUMIF('Monthly Detail'!$4:$4, '2023 Overview'!H$11, 'Monthly Detail'!169:169)</f>
        <v>133.36000000000013</v>
      </c>
      <c r="I30" s="161">
        <f>SUMIF('Monthly Detail'!$4:$4, '2023 Overview'!I$11, 'Monthly Detail'!169:169)</f>
        <v>133.15999999999576</v>
      </c>
      <c r="J30" s="161">
        <f>SUMIF('Monthly Detail'!$4:$4, '2023 Overview'!J$11, 'Monthly Detail'!169:169)</f>
        <v>-63.279999999999745</v>
      </c>
      <c r="K30" s="161">
        <f>SUMIF('Monthly Detail'!$4:$4, '2023 Overview'!K$11, 'Monthly Detail'!169:169)</f>
        <v>237.72999999999956</v>
      </c>
      <c r="L30" s="161">
        <f>SUMIF('Monthly Detail'!$4:$4, '2023 Overview'!L$11, 'Monthly Detail'!169:169)</f>
        <v>-87.87999999999829</v>
      </c>
      <c r="M30" s="161">
        <f>SUMIF('Monthly Detail'!$4:$4, '2023 Overview'!M$11, 'Monthly Detail'!169:169)</f>
        <v>74.1899999999996</v>
      </c>
      <c r="N30" s="200">
        <f>SUMIF('Monthly Detail'!$4:$4, '2023 Overview'!N$11, 'Monthly Detail'!169:169)</f>
        <v>269.52999999999997</v>
      </c>
    </row>
    <row r="31" spans="2:20" x14ac:dyDescent="0.25">
      <c r="E31" s="9"/>
    </row>
  </sheetData>
  <pageMargins left="0.25" right="0.25" top="0.75" bottom="0.75" header="0.3" footer="0.3"/>
  <pageSetup scale="69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6E19-D101-46D6-9EC4-525106CD871D}">
  <sheetPr>
    <tabColor theme="1"/>
    <pageSetUpPr fitToPage="1"/>
  </sheetPr>
  <dimension ref="B1:T38"/>
  <sheetViews>
    <sheetView showGridLines="0" topLeftCell="A45" zoomScale="65" zoomScaleNormal="85" workbookViewId="0">
      <selection activeCell="B1" sqref="B1:P58"/>
    </sheetView>
  </sheetViews>
  <sheetFormatPr defaultColWidth="8.7109375" defaultRowHeight="15" x14ac:dyDescent="0.25"/>
  <cols>
    <col min="2" max="2" width="34.7109375" bestFit="1" customWidth="1"/>
    <col min="3" max="3" width="13.7109375" bestFit="1" customWidth="1"/>
    <col min="4" max="5" width="13.42578125" bestFit="1" customWidth="1"/>
    <col min="6" max="7" width="14.140625" bestFit="1" customWidth="1"/>
    <col min="8" max="8" width="13.7109375" bestFit="1" customWidth="1"/>
    <col min="9" max="10" width="14.7109375" bestFit="1" customWidth="1"/>
    <col min="11" max="11" width="15.42578125" bestFit="1" customWidth="1"/>
    <col min="12" max="13" width="14.140625" bestFit="1" customWidth="1"/>
    <col min="14" max="14" width="14.7109375" bestFit="1" customWidth="1"/>
    <col min="15" max="15" width="0.7109375" customWidth="1"/>
    <col min="16" max="16" width="13.42578125" bestFit="1" customWidth="1"/>
  </cols>
  <sheetData>
    <row r="1" spans="2:16" x14ac:dyDescent="0.25">
      <c r="B1" t="s">
        <v>163</v>
      </c>
    </row>
    <row r="8" spans="2:16" ht="15.75" x14ac:dyDescent="0.25">
      <c r="B8" s="744" t="s">
        <v>375</v>
      </c>
      <c r="C8" s="744"/>
      <c r="D8" s="744"/>
      <c r="E8" s="744"/>
      <c r="F8" s="744"/>
      <c r="G8" s="744"/>
      <c r="H8" s="744"/>
      <c r="I8" s="744"/>
      <c r="J8" s="744"/>
      <c r="K8" s="744"/>
      <c r="L8" s="744"/>
      <c r="M8" s="744"/>
      <c r="N8" s="744"/>
      <c r="O8" s="744"/>
      <c r="P8" s="744"/>
    </row>
    <row r="9" spans="2:16" ht="1.9" customHeight="1" x14ac:dyDescent="0.25"/>
    <row r="10" spans="2:16" ht="15.75" x14ac:dyDescent="0.25">
      <c r="B10" s="237"/>
      <c r="C10" s="238" t="str">
        <f>TEXT('Monthly Detail'!D4,"mmmm")</f>
        <v>January</v>
      </c>
      <c r="D10" s="238" t="str">
        <f>TEXT('Monthly Detail'!E4,"mmmm")</f>
        <v>February</v>
      </c>
      <c r="E10" s="238" t="str">
        <f>TEXT('Monthly Detail'!F4,"mmmm")</f>
        <v>March</v>
      </c>
      <c r="F10" s="238" t="str">
        <f>TEXT('Monthly Detail'!G4,"mmmm")</f>
        <v>April</v>
      </c>
      <c r="G10" s="238" t="str">
        <f>TEXT('Monthly Detail'!H4,"mmmm")</f>
        <v>May</v>
      </c>
      <c r="H10" s="238" t="str">
        <f>TEXT('Monthly Detail'!I4,"mmmm")</f>
        <v>June</v>
      </c>
      <c r="I10" s="238" t="str">
        <f>TEXT('Monthly Detail'!J4,"mmmm")</f>
        <v>July</v>
      </c>
      <c r="J10" s="238" t="str">
        <f>TEXT('Monthly Detail'!K4,"mmmm")</f>
        <v>August</v>
      </c>
      <c r="K10" s="238" t="str">
        <f>TEXT('Monthly Detail'!L4,"mmmm")</f>
        <v>September</v>
      </c>
      <c r="L10" s="548" t="str">
        <f>TEXT('Monthly Detail'!M4,"mmmm")</f>
        <v>October</v>
      </c>
      <c r="M10" s="238" t="str">
        <f>TEXT('Monthly Detail'!N4,"mmmm")</f>
        <v>November</v>
      </c>
      <c r="N10" s="238" t="str">
        <f>TEXT('Monthly Detail'!O4,"mmmm")</f>
        <v>December</v>
      </c>
      <c r="O10" s="239"/>
      <c r="P10" s="240" t="s">
        <v>0</v>
      </c>
    </row>
    <row r="11" spans="2:16" x14ac:dyDescent="0.25">
      <c r="B11" s="241"/>
      <c r="C11" s="91">
        <v>45688</v>
      </c>
      <c r="D11" s="91">
        <v>45716</v>
      </c>
      <c r="E11" s="91">
        <v>45747</v>
      </c>
      <c r="F11" s="91">
        <v>45777</v>
      </c>
      <c r="G11" s="91">
        <v>45808</v>
      </c>
      <c r="H11" s="91">
        <v>45838</v>
      </c>
      <c r="I11" s="91">
        <v>45869</v>
      </c>
      <c r="J11" s="91">
        <v>45900</v>
      </c>
      <c r="K11" s="91">
        <v>45930</v>
      </c>
      <c r="L11" s="148">
        <v>45961</v>
      </c>
      <c r="M11" s="91">
        <v>45991</v>
      </c>
      <c r="N11" s="91">
        <v>46022</v>
      </c>
      <c r="O11" s="91">
        <v>45322</v>
      </c>
      <c r="P11" s="186"/>
    </row>
    <row r="12" spans="2:16" x14ac:dyDescent="0.25">
      <c r="B12" s="242" t="s">
        <v>60</v>
      </c>
      <c r="C12" s="73">
        <f>SUMIF('Monthly Detail'!$4:$4, '2025 Overview (Rolling)'!C$11, 'Monthly Detail'!12:12)</f>
        <v>6477.5</v>
      </c>
      <c r="D12" s="73">
        <f>SUMIF('Monthly Detail'!$4:$4, '2025 Overview (Rolling)'!D$11, 'Monthly Detail'!12:12)</f>
        <v>8052.5</v>
      </c>
      <c r="E12" s="73">
        <f>SUMIF('Monthly Detail'!$4:$4, '2025 Overview (Rolling)'!E$11, 'Monthly Detail'!12:12)</f>
        <v>7630</v>
      </c>
      <c r="F12" s="73">
        <f>SUMIF('Monthly Detail'!$4:$4, '2025 Overview (Rolling)'!F$11, 'Monthly Detail'!12:12)</f>
        <v>3756.25</v>
      </c>
      <c r="G12" s="73">
        <f>SUMIF('Monthly Detail'!$4:$4, '2025 Overview (Rolling)'!G$11, 'Monthly Detail'!12:12)</f>
        <v>6032.5</v>
      </c>
      <c r="H12" s="73">
        <f>SUMIF('Monthly Detail'!$4:$4, '2025 Overview (Rolling)'!H$11, 'Monthly Detail'!12:12)</f>
        <v>6822.5</v>
      </c>
      <c r="I12" s="73">
        <f>SUMIF('Monthly Detail'!$4:$4, '2025 Overview (Rolling)'!I$11, 'Monthly Detail'!12:12)</f>
        <v>14855</v>
      </c>
      <c r="J12" s="73">
        <f>SUMIF('Monthly Detail'!$4:$4, '2025 Overview (Rolling)'!J$11, 'Monthly Detail'!12:12)</f>
        <v>20412.5</v>
      </c>
      <c r="K12" s="73">
        <f>SUMIF('Monthly Detail'!$4:$4, '2025 Overview (Rolling)'!K$11, 'Monthly Detail'!12:12)</f>
        <v>28257.5</v>
      </c>
      <c r="L12" s="149">
        <f>SUMIF('Monthly Detail'!$4:$4, '2025 Overview (Rolling)'!L$11, 'Monthly Detail'!12:12)</f>
        <v>39333.760000000002</v>
      </c>
      <c r="M12" s="73">
        <f>SUMIF('Monthly Detail'!$4:$4, '2025 Overview (Rolling)'!M$11, 'Monthly Detail'!12:12)</f>
        <v>12728.271531100479</v>
      </c>
      <c r="N12" s="73">
        <f>SUMIF('Monthly Detail'!$4:$4, '2025 Overview (Rolling)'!N$11, 'Monthly Detail'!12:12)</f>
        <v>17967.542334096113</v>
      </c>
      <c r="O12" s="73"/>
      <c r="P12" s="243">
        <f>SUM(C12:O12)</f>
        <v>172325.82386519661</v>
      </c>
    </row>
    <row r="13" spans="2:16" x14ac:dyDescent="0.25">
      <c r="B13" s="242" t="s">
        <v>295</v>
      </c>
      <c r="C13" s="73">
        <f>SUMIF('Monthly Detail'!$4:$4, '2025 Overview (Rolling)'!C$11, 'Monthly Detail'!13:13)</f>
        <v>108</v>
      </c>
      <c r="D13" s="73">
        <f>SUMIF('Monthly Detail'!$4:$4, '2025 Overview (Rolling)'!D$11, 'Monthly Detail'!13:13)</f>
        <v>59.62</v>
      </c>
      <c r="E13" s="73">
        <f>SUMIF('Monthly Detail'!$4:$4, '2025 Overview (Rolling)'!E$11, 'Monthly Detail'!13:13)</f>
        <v>52.37</v>
      </c>
      <c r="F13" s="73">
        <f>SUMIF('Monthly Detail'!$4:$4, '2025 Overview (Rolling)'!F$11, 'Monthly Detail'!13:13)</f>
        <v>0</v>
      </c>
      <c r="G13" s="73">
        <f>SUMIF('Monthly Detail'!$4:$4, '2025 Overview (Rolling)'!G$11, 'Monthly Detail'!13:13)</f>
        <v>12</v>
      </c>
      <c r="H13" s="73">
        <f>SUMIF('Monthly Detail'!$4:$4, '2025 Overview (Rolling)'!H$11, 'Monthly Detail'!13:13)</f>
        <v>93.5</v>
      </c>
      <c r="I13" s="73">
        <f>SUMIF('Monthly Detail'!$4:$4, '2025 Overview (Rolling)'!I$11, 'Monthly Detail'!13:13)</f>
        <v>75</v>
      </c>
      <c r="J13" s="73">
        <f>SUMIF('Monthly Detail'!$4:$4, '2025 Overview (Rolling)'!J$11, 'Monthly Detail'!13:13)</f>
        <v>44.5</v>
      </c>
      <c r="K13" s="73">
        <f>SUMIF('Monthly Detail'!$4:$4, '2025 Overview (Rolling)'!K$11, 'Monthly Detail'!13:13)</f>
        <v>50</v>
      </c>
      <c r="L13" s="149">
        <f>SUMIF('Monthly Detail'!$4:$4, '2025 Overview (Rolling)'!L$11, 'Monthly Detail'!13:13)</f>
        <v>29.37</v>
      </c>
      <c r="M13" s="73">
        <f>SUMIF('Monthly Detail'!$4:$4, '2025 Overview (Rolling)'!M$11, 'Monthly Detail'!13:13)</f>
        <v>53.965429936069107</v>
      </c>
      <c r="N13" s="73">
        <f>SUMIF('Monthly Detail'!$4:$4, '2025 Overview (Rolling)'!N$11, 'Monthly Detail'!13:13)</f>
        <v>76.178933218451391</v>
      </c>
      <c r="O13" s="73"/>
      <c r="P13" s="243">
        <f>+SUM(C13:N13)</f>
        <v>654.50436315452043</v>
      </c>
    </row>
    <row r="14" spans="2:16" x14ac:dyDescent="0.25">
      <c r="B14" s="244" t="s">
        <v>7</v>
      </c>
      <c r="C14" s="74">
        <f>SUM(C12:C13)</f>
        <v>6585.5</v>
      </c>
      <c r="D14" s="74">
        <f t="shared" ref="D14:N14" si="0">SUM(D12:D13)</f>
        <v>8112.12</v>
      </c>
      <c r="E14" s="74">
        <f t="shared" si="0"/>
        <v>7682.37</v>
      </c>
      <c r="F14" s="74">
        <f t="shared" si="0"/>
        <v>3756.25</v>
      </c>
      <c r="G14" s="74">
        <f t="shared" si="0"/>
        <v>6044.5</v>
      </c>
      <c r="H14" s="74">
        <f t="shared" si="0"/>
        <v>6916</v>
      </c>
      <c r="I14" s="74">
        <f t="shared" si="0"/>
        <v>14930</v>
      </c>
      <c r="J14" s="74">
        <f t="shared" si="0"/>
        <v>20457</v>
      </c>
      <c r="K14" s="74">
        <f t="shared" si="0"/>
        <v>28307.5</v>
      </c>
      <c r="L14" s="150">
        <f t="shared" si="0"/>
        <v>39363.130000000005</v>
      </c>
      <c r="M14" s="74">
        <f t="shared" si="0"/>
        <v>12782.236961036549</v>
      </c>
      <c r="N14" s="245">
        <f t="shared" si="0"/>
        <v>18043.721267314566</v>
      </c>
      <c r="O14" s="75"/>
      <c r="P14" s="457">
        <f>SUM(P12:P13)</f>
        <v>172980.32822835114</v>
      </c>
    </row>
    <row r="15" spans="2:16" x14ac:dyDescent="0.25">
      <c r="B15" s="246" t="s">
        <v>66</v>
      </c>
      <c r="C15" s="224">
        <f>SUMIF('Monthly Detail'!$4:$4, '2025 Overview (Rolling)'!C$11, 'Monthly Detail'!17:17)</f>
        <v>24</v>
      </c>
      <c r="D15" s="224">
        <f>SUMIF('Monthly Detail'!$4:$4, '2025 Overview (Rolling)'!D$11, 'Monthly Detail'!17:17)</f>
        <v>28</v>
      </c>
      <c r="E15" s="224">
        <f>SUMIF('Monthly Detail'!$4:$4, '2025 Overview (Rolling)'!E$11, 'Monthly Detail'!17:17)</f>
        <v>24</v>
      </c>
      <c r="F15" s="224">
        <f>SUMIF('Monthly Detail'!$4:$4, '2025 Overview (Rolling)'!F$11, 'Monthly Detail'!17:17)</f>
        <v>23</v>
      </c>
      <c r="G15" s="224">
        <f>SUMIF('Monthly Detail'!$4:$4, '2025 Overview (Rolling)'!G$11, 'Monthly Detail'!17:17)</f>
        <v>20</v>
      </c>
      <c r="H15" s="224">
        <f>SUMIF('Monthly Detail'!$4:$4, '2025 Overview (Rolling)'!H$11, 'Monthly Detail'!17:17)</f>
        <v>25</v>
      </c>
      <c r="I15" s="224">
        <f>SUMIF('Monthly Detail'!$4:$4, '2025 Overview (Rolling)'!I$11, 'Monthly Detail'!17:17)</f>
        <v>35</v>
      </c>
      <c r="J15" s="224">
        <f>SUMIF('Monthly Detail'!$4:$4, '2025 Overview (Rolling)'!J$11, 'Monthly Detail'!17:17)</f>
        <v>48</v>
      </c>
      <c r="K15" s="224">
        <f>SUMIF('Monthly Detail'!$4:$4, '2025 Overview (Rolling)'!K$11, 'Monthly Detail'!17:17)</f>
        <v>57</v>
      </c>
      <c r="L15" s="549">
        <f>SUMIF('Monthly Detail'!$4:$4, '2025 Overview (Rolling)'!L$11, 'Monthly Detail'!17:17)</f>
        <v>67</v>
      </c>
      <c r="M15" s="224">
        <f>SUMIF('Monthly Detail'!$4:$4, '2025 Overview (Rolling)'!M$11, 'Monthly Detail'!17:17)</f>
        <v>62</v>
      </c>
      <c r="N15" s="328">
        <f>SUMIF('Monthly Detail'!$4:$4, '2025 Overview (Rolling)'!N$11, 'Monthly Detail'!17:17)</f>
        <v>57.6</v>
      </c>
      <c r="O15" s="75"/>
      <c r="P15" s="247"/>
    </row>
    <row r="16" spans="2:16" x14ac:dyDescent="0.25">
      <c r="B16" s="454" t="s">
        <v>327</v>
      </c>
      <c r="C16" s="455">
        <f>SUMIF('Monthly Detail'!$4:$4, '2025 Overview (Rolling)'!C$11, 'Monthly Detail'!22:22)</f>
        <v>56</v>
      </c>
      <c r="D16" s="455">
        <f>SUMIF('Monthly Detail'!$4:$4, '2025 Overview (Rolling)'!D$11, 'Monthly Detail'!22:22)</f>
        <v>66</v>
      </c>
      <c r="E16" s="455">
        <f>SUMIF('Monthly Detail'!$4:$4, '2025 Overview (Rolling)'!E$11, 'Monthly Detail'!22:22)</f>
        <v>73</v>
      </c>
      <c r="F16" s="455">
        <f>SUMIF('Monthly Detail'!$4:$4, '2025 Overview (Rolling)'!F$11, 'Monthly Detail'!22:22)</f>
        <v>37</v>
      </c>
      <c r="G16" s="455">
        <f>SUMIF('Monthly Detail'!$4:$4, '2025 Overview (Rolling)'!G$11, 'Monthly Detail'!22:22)</f>
        <v>62</v>
      </c>
      <c r="H16" s="455">
        <f>SUMIF('Monthly Detail'!$4:$4, '2025 Overview (Rolling)'!H$11, 'Monthly Detail'!22:22)</f>
        <v>51</v>
      </c>
      <c r="I16" s="455">
        <f>SUMIF('Monthly Detail'!$4:$4, '2025 Overview (Rolling)'!I$11, 'Monthly Detail'!22:22)</f>
        <v>120</v>
      </c>
      <c r="J16" s="455">
        <f>SUMIF('Monthly Detail'!$4:$4, '2025 Overview (Rolling)'!J$11, 'Monthly Detail'!22:22)</f>
        <v>163</v>
      </c>
      <c r="K16" s="455">
        <f>SUMIF('Monthly Detail'!$4:$4, '2025 Overview (Rolling)'!K$11, 'Monthly Detail'!22:22)</f>
        <v>240</v>
      </c>
      <c r="L16" s="550">
        <f>SUMIF('Monthly Detail'!$4:$4, '2025 Overview (Rolling)'!L$11, 'Monthly Detail'!22:22)</f>
        <v>275</v>
      </c>
      <c r="M16" s="455">
        <f>SUMIF('Monthly Detail'!$4:$4, '2025 Overview (Rolling)'!M$11, 'Monthly Detail'!22:22)</f>
        <v>226</v>
      </c>
      <c r="N16" s="456">
        <f>SUMIF('Monthly Detail'!$4:$4, '2025 Overview (Rolling)'!N$11, 'Monthly Detail'!22:22)</f>
        <v>247.6229966782314</v>
      </c>
      <c r="O16" s="75"/>
      <c r="P16" s="247"/>
    </row>
    <row r="17" spans="2:20" ht="7.15" customHeight="1" x14ac:dyDescent="0.25">
      <c r="B17" s="241"/>
      <c r="C17" s="76"/>
      <c r="D17" s="76"/>
      <c r="E17" s="76"/>
      <c r="F17" s="76"/>
      <c r="G17" s="76"/>
      <c r="H17" s="76"/>
      <c r="I17" s="76"/>
      <c r="J17" s="76"/>
      <c r="K17" s="76"/>
      <c r="L17" s="151"/>
      <c r="M17" s="76"/>
      <c r="N17" s="76"/>
      <c r="P17" s="247"/>
    </row>
    <row r="18" spans="2:20" x14ac:dyDescent="0.25">
      <c r="B18" s="241" t="s">
        <v>325</v>
      </c>
      <c r="C18" s="76">
        <f>SUMIF('Monthly Detail'!$4:$4, '2025 Overview (Rolling)'!C$11, 'Monthly Detail'!63:63)</f>
        <v>0</v>
      </c>
      <c r="D18" s="76">
        <f>SUMIF('Monthly Detail'!$4:$4, '2025 Overview (Rolling)'!D$11, 'Monthly Detail'!63:63)</f>
        <v>450</v>
      </c>
      <c r="E18" s="76">
        <f>SUMIF('Monthly Detail'!$4:$4, '2025 Overview (Rolling)'!E$11, 'Monthly Detail'!63:63)</f>
        <v>0</v>
      </c>
      <c r="F18" s="76">
        <f>SUMIF('Monthly Detail'!$4:$4, '2025 Overview (Rolling)'!F$11, 'Monthly Detail'!63:63)</f>
        <v>0</v>
      </c>
      <c r="G18" s="76">
        <f>SUMIF('Monthly Detail'!$4:$4, '2025 Overview (Rolling)'!G$11, 'Monthly Detail'!63:63)</f>
        <v>270</v>
      </c>
      <c r="H18" s="76">
        <f>SUMIF('Monthly Detail'!$4:$4, '2025 Overview (Rolling)'!H$11, 'Monthly Detail'!63:63)</f>
        <v>0</v>
      </c>
      <c r="I18" s="76">
        <f>SUMIF('Monthly Detail'!$4:$4, '2025 Overview (Rolling)'!I$11, 'Monthly Detail'!63:63)</f>
        <v>1582.5</v>
      </c>
      <c r="J18" s="76">
        <f>SUMIF('Monthly Detail'!$4:$4, '2025 Overview (Rolling)'!J$11, 'Monthly Detail'!63:63)</f>
        <v>684</v>
      </c>
      <c r="K18" s="76">
        <f>SUMIF('Monthly Detail'!$4:$4, '2025 Overview (Rolling)'!K$11, 'Monthly Detail'!63:63)</f>
        <v>4076.7400000000002</v>
      </c>
      <c r="L18" s="151">
        <f>SUMIF('Monthly Detail'!$4:$4, '2025 Overview (Rolling)'!L$11, 'Monthly Detail'!63:63)</f>
        <v>6255</v>
      </c>
      <c r="M18" s="76">
        <f>SUMIF('Monthly Detail'!$4:$4, '2025 Overview (Rolling)'!M$11, 'Monthly Detail'!63:63)</f>
        <v>0</v>
      </c>
      <c r="N18" s="76">
        <f>SUMIF('Monthly Detail'!$4:$4, '2025 Overview (Rolling)'!N$11, 'Monthly Detail'!63:63)</f>
        <v>959.95423340961133</v>
      </c>
      <c r="P18" s="243">
        <f>SUM(C18:O18)</f>
        <v>14278.194233409611</v>
      </c>
    </row>
    <row r="19" spans="2:20" ht="15.75" x14ac:dyDescent="0.25">
      <c r="B19" s="248" t="s">
        <v>165</v>
      </c>
      <c r="C19" s="88">
        <f t="shared" ref="C19:N19" si="1">C14-C18</f>
        <v>6585.5</v>
      </c>
      <c r="D19" s="88">
        <f t="shared" si="1"/>
        <v>7662.12</v>
      </c>
      <c r="E19" s="88">
        <f t="shared" si="1"/>
        <v>7682.37</v>
      </c>
      <c r="F19" s="88">
        <f t="shared" si="1"/>
        <v>3756.25</v>
      </c>
      <c r="G19" s="88">
        <f t="shared" si="1"/>
        <v>5774.5</v>
      </c>
      <c r="H19" s="88">
        <f t="shared" si="1"/>
        <v>6916</v>
      </c>
      <c r="I19" s="88">
        <f t="shared" si="1"/>
        <v>13347.5</v>
      </c>
      <c r="J19" s="88">
        <f t="shared" si="1"/>
        <v>19773</v>
      </c>
      <c r="K19" s="88">
        <f t="shared" si="1"/>
        <v>24230.76</v>
      </c>
      <c r="L19" s="152">
        <f t="shared" si="1"/>
        <v>33108.130000000005</v>
      </c>
      <c r="M19" s="88">
        <f t="shared" si="1"/>
        <v>12782.236961036549</v>
      </c>
      <c r="N19" s="250">
        <f t="shared" si="1"/>
        <v>17083.767033904955</v>
      </c>
      <c r="O19" s="249"/>
      <c r="P19" s="461">
        <f>P14-P18</f>
        <v>158702.13399494151</v>
      </c>
    </row>
    <row r="20" spans="2:20" x14ac:dyDescent="0.25">
      <c r="B20" s="458" t="s">
        <v>166</v>
      </c>
      <c r="C20" s="459">
        <f t="shared" ref="C20:N20" si="2">C19/C14</f>
        <v>1</v>
      </c>
      <c r="D20" s="459">
        <f t="shared" si="2"/>
        <v>0.94452744781881925</v>
      </c>
      <c r="E20" s="459">
        <f t="shared" si="2"/>
        <v>1</v>
      </c>
      <c r="F20" s="459">
        <f t="shared" si="2"/>
        <v>1</v>
      </c>
      <c r="G20" s="459">
        <f t="shared" si="2"/>
        <v>0.95533129291091079</v>
      </c>
      <c r="H20" s="459">
        <f t="shared" si="2"/>
        <v>1</v>
      </c>
      <c r="I20" s="459">
        <f t="shared" si="2"/>
        <v>0.89400535833891492</v>
      </c>
      <c r="J20" s="459">
        <f t="shared" si="2"/>
        <v>0.96656401231852174</v>
      </c>
      <c r="K20" s="459">
        <f t="shared" si="2"/>
        <v>0.85598374988960513</v>
      </c>
      <c r="L20" s="551">
        <f t="shared" si="2"/>
        <v>0.8410949535771165</v>
      </c>
      <c r="M20" s="459">
        <f t="shared" si="2"/>
        <v>1</v>
      </c>
      <c r="N20" s="460">
        <f t="shared" si="2"/>
        <v>0.9467984336940225</v>
      </c>
      <c r="O20" s="7"/>
      <c r="P20" s="462">
        <f>P19/P14</f>
        <v>0.91745769949886447</v>
      </c>
    </row>
    <row r="21" spans="2:20" ht="6.4" customHeight="1" x14ac:dyDescent="0.25">
      <c r="B21" s="241"/>
      <c r="L21" s="116"/>
      <c r="P21" s="186"/>
    </row>
    <row r="22" spans="2:20" x14ac:dyDescent="0.25">
      <c r="B22" s="241" t="s">
        <v>273</v>
      </c>
      <c r="C22" s="73">
        <f>SUMIF('Monthly Detail'!$4:$4, '2025 Overview (Rolling)'!C$11, 'Monthly Detail'!$70:$70)</f>
        <v>0</v>
      </c>
      <c r="D22" s="73">
        <f>SUMIF('Monthly Detail'!$4:$4, '2025 Overview (Rolling)'!D$11, 'Monthly Detail'!$70:$70)</f>
        <v>0</v>
      </c>
      <c r="E22" s="73">
        <f>SUMIF('Monthly Detail'!$4:$4, '2025 Overview (Rolling)'!E$11, 'Monthly Detail'!$70:$70)</f>
        <v>0</v>
      </c>
      <c r="F22" s="73">
        <f>SUMIF('Monthly Detail'!$4:$4, '2025 Overview (Rolling)'!F$11, 'Monthly Detail'!$70:$70)</f>
        <v>0</v>
      </c>
      <c r="G22" s="73">
        <f>SUMIF('Monthly Detail'!$4:$4, '2025 Overview (Rolling)'!G$11, 'Monthly Detail'!$70:$70)</f>
        <v>0</v>
      </c>
      <c r="H22" s="73">
        <f>SUMIF('Monthly Detail'!$4:$4, '2025 Overview (Rolling)'!H$11, 'Monthly Detail'!$70:$70)</f>
        <v>0</v>
      </c>
      <c r="I22" s="73">
        <f>SUMIF('Monthly Detail'!$4:$4, '2025 Overview (Rolling)'!I$11, 'Monthly Detail'!$70:$70)</f>
        <v>0</v>
      </c>
      <c r="J22" s="73">
        <f>SUMIF('Monthly Detail'!$4:$4, '2025 Overview (Rolling)'!J$11, 'Monthly Detail'!$70:$70)</f>
        <v>0</v>
      </c>
      <c r="K22" s="73">
        <f>SUMIF('Monthly Detail'!$4:$4, '2025 Overview (Rolling)'!K$11, 'Monthly Detail'!$70:$70)</f>
        <v>0</v>
      </c>
      <c r="L22" s="149">
        <f>SUMIF('Monthly Detail'!$4:$4, '2025 Overview (Rolling)'!L$11, 'Monthly Detail'!$70:$70)</f>
        <v>0</v>
      </c>
      <c r="M22" s="73">
        <f>SUMIF('Monthly Detail'!$4:$4, '2025 Overview (Rolling)'!M$11, 'Monthly Detail'!$70:$70)</f>
        <v>0</v>
      </c>
      <c r="N22" s="73">
        <f>SUMIF('Monthly Detail'!$4:$4, '2025 Overview (Rolling)'!N$11, 'Monthly Detail'!$70:$70)</f>
        <v>0</v>
      </c>
      <c r="P22" s="243">
        <f>SUM(C22:O22)</f>
        <v>0</v>
      </c>
      <c r="T22" s="1"/>
    </row>
    <row r="23" spans="2:20" x14ac:dyDescent="0.25">
      <c r="B23" s="241" t="s">
        <v>203</v>
      </c>
      <c r="C23" s="73">
        <f>SUMIF('Monthly Detail'!$4:$4, '2025 Overview (Rolling)'!C$11, 'Monthly Detail'!$93:$93)</f>
        <v>4230.3</v>
      </c>
      <c r="D23" s="73">
        <f>SUMIF('Monthly Detail'!$4:$4, '2025 Overview (Rolling)'!D$11, 'Monthly Detail'!$93:$93)</f>
        <v>6699.2999999999993</v>
      </c>
      <c r="E23" s="73">
        <f>SUMIF('Monthly Detail'!$4:$4, '2025 Overview (Rolling)'!E$11, 'Monthly Detail'!$93:$93)</f>
        <v>7438.99</v>
      </c>
      <c r="F23" s="73">
        <f>SUMIF('Monthly Detail'!$4:$4, '2025 Overview (Rolling)'!F$11, 'Monthly Detail'!$93:$93)</f>
        <v>3780.99</v>
      </c>
      <c r="G23" s="73">
        <f>SUMIF('Monthly Detail'!$4:$4, '2025 Overview (Rolling)'!G$11, 'Monthly Detail'!$93:$93)</f>
        <v>3678.36</v>
      </c>
      <c r="H23" s="73">
        <f>SUMIF('Monthly Detail'!$4:$4, '2025 Overview (Rolling)'!H$11, 'Monthly Detail'!$93:$93)</f>
        <v>4152.38</v>
      </c>
      <c r="I23" s="73">
        <f>SUMIF('Monthly Detail'!$4:$4, '2025 Overview (Rolling)'!I$11, 'Monthly Detail'!$93:$93)</f>
        <v>9510.39</v>
      </c>
      <c r="J23" s="73">
        <f>SUMIF('Monthly Detail'!$4:$4, '2025 Overview (Rolling)'!J$11, 'Monthly Detail'!$93:$93)</f>
        <v>17648.04</v>
      </c>
      <c r="K23" s="73">
        <f>SUMIF('Monthly Detail'!$4:$4, '2025 Overview (Rolling)'!K$11, 'Monthly Detail'!$93:$93)</f>
        <v>13518.2</v>
      </c>
      <c r="L23" s="149">
        <f>SUMIF('Monthly Detail'!$4:$4, '2025 Overview (Rolling)'!L$11, 'Monthly Detail'!$93:$93)</f>
        <v>18946.23</v>
      </c>
      <c r="M23" s="73">
        <f>SUMIF('Monthly Detail'!$4:$4, '2025 Overview (Rolling)'!M$11, 'Monthly Detail'!$93:$93)</f>
        <v>14676.434279147454</v>
      </c>
      <c r="N23" s="73">
        <f>SUMIF('Monthly Detail'!$4:$4, '2025 Overview (Rolling)'!N$11, 'Monthly Detail'!$93:$93)</f>
        <v>14483.405899690393</v>
      </c>
      <c r="P23" s="243">
        <f>SUM(C23:O23)</f>
        <v>118763.02017883783</v>
      </c>
    </row>
    <row r="24" spans="2:20" x14ac:dyDescent="0.25">
      <c r="B24" s="463" t="s">
        <v>167</v>
      </c>
      <c r="C24" s="464">
        <f t="shared" ref="C24" si="3">SUM(C23:C23)</f>
        <v>4230.3</v>
      </c>
      <c r="D24" s="464">
        <f>SUM(D22:D23)</f>
        <v>6699.2999999999993</v>
      </c>
      <c r="E24" s="464">
        <f t="shared" ref="E24:N24" si="4">SUM(E22:E23)</f>
        <v>7438.99</v>
      </c>
      <c r="F24" s="464">
        <f t="shared" si="4"/>
        <v>3780.99</v>
      </c>
      <c r="G24" s="464">
        <f t="shared" si="4"/>
        <v>3678.36</v>
      </c>
      <c r="H24" s="464">
        <f t="shared" si="4"/>
        <v>4152.38</v>
      </c>
      <c r="I24" s="464">
        <f t="shared" si="4"/>
        <v>9510.39</v>
      </c>
      <c r="J24" s="464">
        <f t="shared" si="4"/>
        <v>17648.04</v>
      </c>
      <c r="K24" s="464">
        <f t="shared" si="4"/>
        <v>13518.2</v>
      </c>
      <c r="L24" s="552">
        <f t="shared" si="4"/>
        <v>18946.23</v>
      </c>
      <c r="M24" s="464">
        <f t="shared" si="4"/>
        <v>14676.434279147454</v>
      </c>
      <c r="N24" s="465">
        <f t="shared" si="4"/>
        <v>14483.405899690393</v>
      </c>
      <c r="O24" s="254"/>
      <c r="P24" s="466">
        <f>SUM(P22:P23)</f>
        <v>118763.02017883783</v>
      </c>
    </row>
    <row r="25" spans="2:20" ht="4.9000000000000004" customHeight="1" x14ac:dyDescent="0.25">
      <c r="B25" s="241"/>
      <c r="L25" s="116"/>
      <c r="P25" s="186"/>
    </row>
    <row r="26" spans="2:20" ht="15.75" x14ac:dyDescent="0.25">
      <c r="B26" s="248" t="s">
        <v>168</v>
      </c>
      <c r="C26" s="88">
        <f t="shared" ref="C26:N26" si="5">C19-C24</f>
        <v>2355.1999999999998</v>
      </c>
      <c r="D26" s="88">
        <f>D19-D24</f>
        <v>962.82000000000062</v>
      </c>
      <c r="E26" s="88">
        <f t="shared" si="5"/>
        <v>243.38000000000011</v>
      </c>
      <c r="F26" s="88">
        <f t="shared" si="5"/>
        <v>-24.739999999999782</v>
      </c>
      <c r="G26" s="88">
        <f t="shared" si="5"/>
        <v>2096.14</v>
      </c>
      <c r="H26" s="88">
        <f t="shared" si="5"/>
        <v>2763.62</v>
      </c>
      <c r="I26" s="88">
        <f t="shared" si="5"/>
        <v>3837.1100000000006</v>
      </c>
      <c r="J26" s="88">
        <f t="shared" si="5"/>
        <v>2124.9599999999991</v>
      </c>
      <c r="K26" s="88">
        <f t="shared" si="5"/>
        <v>10712.559999999998</v>
      </c>
      <c r="L26" s="152">
        <f t="shared" si="5"/>
        <v>14161.900000000005</v>
      </c>
      <c r="M26" s="88">
        <f t="shared" si="5"/>
        <v>-1894.1973181109042</v>
      </c>
      <c r="N26" s="250">
        <f t="shared" si="5"/>
        <v>2600.3611342145614</v>
      </c>
      <c r="O26" s="249"/>
      <c r="P26" s="461">
        <f>P19-P24</f>
        <v>39939.11381610368</v>
      </c>
    </row>
    <row r="27" spans="2:20" x14ac:dyDescent="0.25">
      <c r="B27" s="458" t="s">
        <v>169</v>
      </c>
      <c r="C27" s="459">
        <f t="shared" ref="C27:N27" si="6">C26/C14</f>
        <v>0.35763419634044491</v>
      </c>
      <c r="D27" s="459">
        <f t="shared" si="6"/>
        <v>0.11868907264685441</v>
      </c>
      <c r="E27" s="459">
        <f t="shared" si="6"/>
        <v>3.1680327815504866E-2</v>
      </c>
      <c r="F27" s="459">
        <f t="shared" si="6"/>
        <v>-6.5863560732112563E-3</v>
      </c>
      <c r="G27" s="459">
        <f t="shared" si="6"/>
        <v>0.34678468028786497</v>
      </c>
      <c r="H27" s="459">
        <f t="shared" si="6"/>
        <v>0.39959803354540196</v>
      </c>
      <c r="I27" s="459">
        <f t="shared" si="6"/>
        <v>0.25700669792364372</v>
      </c>
      <c r="J27" s="459">
        <f t="shared" si="6"/>
        <v>0.10387446839712564</v>
      </c>
      <c r="K27" s="459">
        <f t="shared" si="6"/>
        <v>0.37843539697959894</v>
      </c>
      <c r="L27" s="551">
        <f t="shared" si="6"/>
        <v>0.35977575970203596</v>
      </c>
      <c r="M27" s="459">
        <f t="shared" si="6"/>
        <v>-0.14818981402745784</v>
      </c>
      <c r="N27" s="460">
        <f t="shared" si="6"/>
        <v>0.14411445930086522</v>
      </c>
      <c r="O27" s="7"/>
      <c r="P27" s="462">
        <f>P26/P14</f>
        <v>0.23088818379035622</v>
      </c>
    </row>
    <row r="28" spans="2:20" ht="7.9" customHeight="1" x14ac:dyDescent="0.25">
      <c r="B28" s="256"/>
      <c r="C28" s="82"/>
      <c r="D28" s="82"/>
      <c r="E28" s="82"/>
      <c r="F28" s="82"/>
      <c r="G28" s="82"/>
      <c r="H28" s="82"/>
      <c r="I28" s="82"/>
      <c r="J28" s="82"/>
      <c r="K28" s="82"/>
      <c r="L28" s="155"/>
      <c r="M28" s="82"/>
      <c r="N28" s="82"/>
      <c r="P28" s="257"/>
    </row>
    <row r="29" spans="2:20" x14ac:dyDescent="0.25">
      <c r="B29" s="241" t="s">
        <v>170</v>
      </c>
      <c r="C29" s="132">
        <f>SUMIF('Monthly Detail'!$4:$4, '2025 Overview (Rolling)'!C$11, 'Monthly Detail'!107:107)</f>
        <v>-821.84</v>
      </c>
      <c r="D29" s="132">
        <f>SUMIF('Monthly Detail'!$4:$4, '2025 Overview (Rolling)'!D$11, 'Monthly Detail'!107:107)</f>
        <v>-775.57</v>
      </c>
      <c r="E29" s="132">
        <f>SUMIF('Monthly Detail'!$4:$4, '2025 Overview (Rolling)'!E$11, 'Monthly Detail'!107:107)</f>
        <v>-757.92</v>
      </c>
      <c r="F29" s="132">
        <f>SUMIF('Monthly Detail'!$4:$4, '2025 Overview (Rolling)'!F$11, 'Monthly Detail'!107:107)</f>
        <v>-757.92</v>
      </c>
      <c r="G29" s="132">
        <f>SUMIF('Monthly Detail'!$4:$4, '2025 Overview (Rolling)'!G$11, 'Monthly Detail'!107:107)</f>
        <v>-692.87</v>
      </c>
      <c r="H29" s="132">
        <f>SUMIF('Monthly Detail'!$4:$4, '2025 Overview (Rolling)'!H$11, 'Monthly Detail'!107:107)</f>
        <v>-769.02</v>
      </c>
      <c r="I29" s="132">
        <f>SUMIF('Monthly Detail'!$4:$4, '2025 Overview (Rolling)'!I$11, 'Monthly Detail'!107:107)</f>
        <v>-775.25</v>
      </c>
      <c r="J29" s="132">
        <f>SUMIF('Monthly Detail'!$4:$4, '2025 Overview (Rolling)'!J$11, 'Monthly Detail'!107:107)</f>
        <v>-727.32</v>
      </c>
      <c r="K29" s="132">
        <f>SUMIF('Monthly Detail'!$4:$4, '2025 Overview (Rolling)'!K$11, 'Monthly Detail'!107:107)</f>
        <v>-726.36</v>
      </c>
      <c r="L29" s="156">
        <f>SUMIF('Monthly Detail'!$4:$4, '2025 Overview (Rolling)'!L$11, 'Monthly Detail'!107:107)</f>
        <v>-842.23</v>
      </c>
      <c r="M29" s="132">
        <f>SUMIF('Monthly Detail'!$4:$4, '2025 Overview (Rolling)'!M$11, 'Monthly Detail'!107:107)</f>
        <v>-800</v>
      </c>
      <c r="N29" s="132">
        <f>SUMIF('Monthly Detail'!$4:$4, '2025 Overview (Rolling)'!N$11, 'Monthly Detail'!107:107)</f>
        <v>-800</v>
      </c>
      <c r="O29" s="132"/>
      <c r="P29" s="187">
        <f>SUM(C29:O29)</f>
        <v>-9246.2999999999993</v>
      </c>
    </row>
    <row r="30" spans="2:20" ht="15.75" x14ac:dyDescent="0.25">
      <c r="B30" s="248" t="s">
        <v>16</v>
      </c>
      <c r="C30" s="88">
        <f t="shared" ref="C30:N30" si="7">C26+SUM(C29:C29)</f>
        <v>1533.3599999999997</v>
      </c>
      <c r="D30" s="88">
        <f t="shared" si="7"/>
        <v>187.25000000000057</v>
      </c>
      <c r="E30" s="88">
        <f t="shared" si="7"/>
        <v>-514.53999999999985</v>
      </c>
      <c r="F30" s="88">
        <f t="shared" si="7"/>
        <v>-782.65999999999974</v>
      </c>
      <c r="G30" s="88">
        <f t="shared" si="7"/>
        <v>1403.27</v>
      </c>
      <c r="H30" s="88">
        <f t="shared" si="7"/>
        <v>1994.6</v>
      </c>
      <c r="I30" s="88">
        <f t="shared" si="7"/>
        <v>3061.8600000000006</v>
      </c>
      <c r="J30" s="88">
        <f t="shared" si="7"/>
        <v>1397.639999999999</v>
      </c>
      <c r="K30" s="88">
        <f t="shared" si="7"/>
        <v>9986.1999999999971</v>
      </c>
      <c r="L30" s="152">
        <f t="shared" si="7"/>
        <v>13319.670000000006</v>
      </c>
      <c r="M30" s="88">
        <f t="shared" si="7"/>
        <v>-2694.1973181109042</v>
      </c>
      <c r="N30" s="250">
        <f t="shared" si="7"/>
        <v>1800.3611342145614</v>
      </c>
      <c r="O30" s="249"/>
      <c r="P30" s="461">
        <f>P26+SUM(P29:P29)</f>
        <v>30692.81381610368</v>
      </c>
    </row>
    <row r="31" spans="2:20" x14ac:dyDescent="0.25">
      <c r="B31" s="251" t="s">
        <v>171</v>
      </c>
      <c r="C31" s="90">
        <f t="shared" ref="C31:N31" si="8">C30/C14</f>
        <v>0.23283881254270741</v>
      </c>
      <c r="D31" s="90">
        <f t="shared" si="8"/>
        <v>2.3082745324280285E-2</v>
      </c>
      <c r="E31" s="90">
        <f t="shared" si="8"/>
        <v>-6.6976727233913472E-2</v>
      </c>
      <c r="F31" s="90">
        <f t="shared" si="8"/>
        <v>-0.20836206322795334</v>
      </c>
      <c r="G31" s="90">
        <f t="shared" si="8"/>
        <v>0.23215650591446768</v>
      </c>
      <c r="H31" s="90">
        <f t="shared" si="8"/>
        <v>0.28840370156159628</v>
      </c>
      <c r="I31" s="90">
        <f t="shared" si="8"/>
        <v>0.20508104487608844</v>
      </c>
      <c r="J31" s="90">
        <f t="shared" si="8"/>
        <v>6.8320868162487114E-2</v>
      </c>
      <c r="K31" s="90">
        <f t="shared" si="8"/>
        <v>0.35277576613971551</v>
      </c>
      <c r="L31" s="153">
        <f t="shared" si="8"/>
        <v>0.33837934127697683</v>
      </c>
      <c r="M31" s="90">
        <f t="shared" si="8"/>
        <v>-0.21077666814685805</v>
      </c>
      <c r="N31" s="252">
        <f t="shared" si="8"/>
        <v>9.9777707022987494E-2</v>
      </c>
      <c r="O31" s="7"/>
      <c r="P31" s="469">
        <f>P30/P14</f>
        <v>0.17743528487000054</v>
      </c>
    </row>
    <row r="32" spans="2:20" x14ac:dyDescent="0.25">
      <c r="B32" s="251" t="s">
        <v>280</v>
      </c>
      <c r="C32" s="281">
        <f>'Monthly Detail'!AN147-'Monthly Detail'!AM147</f>
        <v>0</v>
      </c>
      <c r="D32" s="281">
        <f>'Monthly Detail'!AO147-'Monthly Detail'!AN147</f>
        <v>0</v>
      </c>
      <c r="E32" s="281">
        <f>'Monthly Detail'!AP147-'Monthly Detail'!AO147</f>
        <v>0</v>
      </c>
      <c r="F32" s="281">
        <f>'Monthly Detail'!AQ147-'Monthly Detail'!AP147</f>
        <v>20675</v>
      </c>
      <c r="G32" s="281">
        <f>'Monthly Detail'!AR147-'Monthly Detail'!AQ147</f>
        <v>7721</v>
      </c>
      <c r="H32" s="281">
        <f>'Monthly Detail'!AS147-'Monthly Detail'!AR147</f>
        <v>0</v>
      </c>
      <c r="I32" s="281">
        <f>'Monthly Detail'!AT147-'Monthly Detail'!AS147</f>
        <v>250</v>
      </c>
      <c r="J32" s="281">
        <f>'Monthly Detail'!AU147-'Monthly Detail'!AT147</f>
        <v>0</v>
      </c>
      <c r="K32" s="281">
        <f>'Monthly Detail'!AV147-'Monthly Detail'!AU147</f>
        <v>2000</v>
      </c>
      <c r="L32" s="553">
        <f>'Monthly Detail'!AW147-'Monthly Detail'!AV147</f>
        <v>0</v>
      </c>
      <c r="M32" s="281">
        <f>'Monthly Detail'!AX147-'Monthly Detail'!AW147</f>
        <v>0</v>
      </c>
      <c r="N32" s="282">
        <f>'Monthly Detail'!AY147-'Monthly Detail'!AX147</f>
        <v>0</v>
      </c>
      <c r="O32" s="7"/>
      <c r="P32" s="470">
        <f>+SUM(C32:N32)</f>
        <v>30646</v>
      </c>
    </row>
    <row r="33" spans="2:16" x14ac:dyDescent="0.25">
      <c r="B33" s="251" t="s">
        <v>385</v>
      </c>
      <c r="C33" s="281">
        <f>+SUM('Monthly Detail'!AN148,'Monthly Detail'!AN150:AN151)-SUM('Monthly Detail'!AM148,'Monthly Detail'!AM150:AM151)</f>
        <v>-2150</v>
      </c>
      <c r="D33" s="281">
        <f>+SUM('Monthly Detail'!AO148,'Monthly Detail'!AO150:AO151)-SUM('Monthly Detail'!AN148,'Monthly Detail'!AN150:AN151)</f>
        <v>0</v>
      </c>
      <c r="E33" s="281">
        <f>+SUM('Monthly Detail'!AP148,'Monthly Detail'!AP150:AP151)-SUM('Monthly Detail'!AO148,'Monthly Detail'!AO150:AO151)</f>
        <v>0</v>
      </c>
      <c r="F33" s="281">
        <f>+SUM('Monthly Detail'!AQ148,'Monthly Detail'!AQ150:AQ151)-SUM('Monthly Detail'!AP148,'Monthly Detail'!AP150:AP151)</f>
        <v>-20674</v>
      </c>
      <c r="G33" s="281">
        <f>+SUM('Monthly Detail'!AR148,'Monthly Detail'!AR150:AR151)-SUM('Monthly Detail'!AQ148,'Monthly Detail'!AQ150:AQ151)</f>
        <v>-8467.4899999999907</v>
      </c>
      <c r="H33" s="281">
        <f>+SUM('Monthly Detail'!AS148,'Monthly Detail'!AS150:AS151)-SUM('Monthly Detail'!AR148,'Monthly Detail'!AR150:AR151)</f>
        <v>655.25</v>
      </c>
      <c r="I33" s="281">
        <f>+SUM('Monthly Detail'!AT148,'Monthly Detail'!AT150:AT151)-SUM('Monthly Detail'!AS148,'Monthly Detail'!AS150:AS151)</f>
        <v>-1057.7799999999988</v>
      </c>
      <c r="J33" s="281">
        <f>+SUM('Monthly Detail'!AU148,'Monthly Detail'!AU150:AU151)-SUM('Monthly Detail'!AT148,'Monthly Detail'!AT150:AT151)</f>
        <v>0</v>
      </c>
      <c r="K33" s="281">
        <f>+SUM('Monthly Detail'!AV148,'Monthly Detail'!AV150:AV151)-SUM('Monthly Detail'!AU148,'Monthly Detail'!AU150:AU151)</f>
        <v>-2574.2200000000012</v>
      </c>
      <c r="L33" s="553">
        <f>+SUM('Monthly Detail'!AW148,'Monthly Detail'!AW150:AW151)-SUM('Monthly Detail'!AV148,'Monthly Detail'!AV150:AV151)</f>
        <v>0</v>
      </c>
      <c r="M33" s="281">
        <f>+SUM('Monthly Detail'!AX148,'Monthly Detail'!AX150:AX151)-SUM('Monthly Detail'!AW148,'Monthly Detail'!AW150:AW151)</f>
        <v>0</v>
      </c>
      <c r="N33" s="282">
        <f>+SUM('Monthly Detail'!AY148,'Monthly Detail'!AY150:AY151)-SUM('Monthly Detail'!AX148,'Monthly Detail'!AX150:AX151)</f>
        <v>0</v>
      </c>
      <c r="O33" s="7"/>
      <c r="P33" s="470">
        <f>+SUM(C33:N33)</f>
        <v>-34268.239999999991</v>
      </c>
    </row>
    <row r="34" spans="2:16" x14ac:dyDescent="0.25">
      <c r="B34" s="458" t="s">
        <v>300</v>
      </c>
      <c r="C34" s="467">
        <f>+C30*0.3</f>
        <v>460.00799999999987</v>
      </c>
      <c r="D34" s="467">
        <f>+C34+(D26*0.3)-SUMIF('Monthly Detail'!$4:$4, '2025 Overview (Rolling)'!D$11, 'Monthly Detail'!75:75)</f>
        <v>313.03400000000005</v>
      </c>
      <c r="E34" s="467">
        <f>+D34+(E26*0.3)-SUMIF('Monthly Detail'!$4:$4, '2025 Overview (Rolling)'!E$11, 'Monthly Detail'!75:75)</f>
        <v>-30.251999999999953</v>
      </c>
      <c r="F34" s="467">
        <f>+E34+(F26*0.3)-SUMIF('Monthly Detail'!$4:$4, '2025 Overview (Rolling)'!F$11, 'Monthly Detail'!75:75)</f>
        <v>-225.1039999999999</v>
      </c>
      <c r="G34" s="467">
        <f>+F34+(G26*0.3)-SUMIF('Monthly Detail'!$4:$4, '2025 Overview (Rolling)'!G$11, 'Monthly Detail'!75:75)</f>
        <v>253.79800000000006</v>
      </c>
      <c r="H34" s="467">
        <f>+G34+(H26*0.3)-SUMIF('Monthly Detail'!$4:$4, '2025 Overview (Rolling)'!H$11, 'Monthly Detail'!75:75)</f>
        <v>895.46400000000006</v>
      </c>
      <c r="I34" s="467">
        <f>+H34+(I26*0.3)-SUMIF('Monthly Detail'!$4:$4, '2025 Overview (Rolling)'!I$11, 'Monthly Detail'!75:75)</f>
        <v>1895.8270000000002</v>
      </c>
      <c r="J34" s="467">
        <f>+I34+(J26*0.3)-SUMIF('Monthly Detail'!$4:$4, '2025 Overview (Rolling)'!J$11, 'Monthly Detail'!75:75)</f>
        <v>1699.875</v>
      </c>
      <c r="K34" s="467">
        <f>+J34+(K26*0.3)-SUMIF('Monthly Detail'!$4:$4, '2025 Overview (Rolling)'!K$11, 'Monthly Detail'!75:75)</f>
        <v>4163.9429999999993</v>
      </c>
      <c r="L34" s="554">
        <f>+K34+(L26*0.3)-SUMIF('Monthly Detail'!$4:$4, '2025 Overview (Rolling)'!L$11, 'Monthly Detail'!75:75)</f>
        <v>7314.7430000000004</v>
      </c>
      <c r="M34" s="467">
        <f>+L34+(M26*0.3)-SUMIF('Monthly Detail'!$4:$4, '2025 Overview (Rolling)'!M$11, 'Monthly Detail'!75:75)</f>
        <v>5836.1338045667289</v>
      </c>
      <c r="N34" s="468">
        <f>+M34+(N26*0.3)-SUMIF('Monthly Detail'!$4:$4, '2025 Overview (Rolling)'!N$11, 'Monthly Detail'!75:75)</f>
        <v>5705.8921448310966</v>
      </c>
      <c r="O34" s="382"/>
      <c r="P34" s="471">
        <f>+N34</f>
        <v>5705.8921448310966</v>
      </c>
    </row>
    <row r="35" spans="2:16" ht="15.75" thickBot="1" x14ac:dyDescent="0.3">
      <c r="B35" s="241"/>
      <c r="H35" s="9"/>
      <c r="L35" s="116"/>
      <c r="M35" s="109"/>
      <c r="P35" s="186"/>
    </row>
    <row r="36" spans="2:16" x14ac:dyDescent="0.25">
      <c r="B36" s="258" t="s">
        <v>172</v>
      </c>
      <c r="C36" s="160">
        <f>SUMIF('Monthly Detail'!$4:$4, '2025 Overview (Rolling)'!C$11, 'Monthly Detail'!172:172)</f>
        <v>3823.5900000000011</v>
      </c>
      <c r="D36" s="84">
        <f>SUMIF('Monthly Detail'!$4:$4, '2025 Overview (Rolling)'!D$11, 'Monthly Detail'!172:172)</f>
        <v>494.25000000000091</v>
      </c>
      <c r="E36" s="160">
        <f>SUMIF('Monthly Detail'!$4:$4, '2025 Overview (Rolling)'!E$11, 'Monthly Detail'!172:172)</f>
        <v>985.19000000000108</v>
      </c>
      <c r="F36" s="160">
        <f>SUMIF('Monthly Detail'!$4:$4, '2025 Overview (Rolling)'!F$11, 'Monthly Detail'!172:172)</f>
        <v>1331.5300000000013</v>
      </c>
      <c r="G36" s="160">
        <f>SUMIF('Monthly Detail'!$4:$4, '2025 Overview (Rolling)'!G$11, 'Monthly Detail'!172:172)</f>
        <v>557.08000000001061</v>
      </c>
      <c r="H36" s="160">
        <f>SUMIF('Monthly Detail'!$4:$4, '2025 Overview (Rolling)'!H$11, 'Monthly Detail'!172:172)</f>
        <v>1059.5000000000034</v>
      </c>
      <c r="I36" s="160">
        <f>SUMIF('Monthly Detail'!$4:$4, '2025 Overview (Rolling)'!I$11, 'Monthly Detail'!172:172)</f>
        <v>3158.8300000000054</v>
      </c>
      <c r="J36" s="160">
        <f>SUMIF('Monthly Detail'!$4:$4, '2025 Overview (Rolling)'!J$11, 'Monthly Detail'!172:172)</f>
        <v>3999.4700000000043</v>
      </c>
      <c r="K36" s="160">
        <f>SUMIF('Monthly Detail'!$4:$4, '2025 Overview (Rolling)'!K$11, 'Monthly Detail'!172:172)</f>
        <v>6133.2000000000007</v>
      </c>
      <c r="L36" s="585">
        <f>SUMIF('Monthly Detail'!$4:$4, '2025 Overview (Rolling)'!L$11, 'Monthly Detail'!172:172)</f>
        <v>10262.870000000006</v>
      </c>
      <c r="M36" s="160">
        <f>SUMIF('Monthly Detail'!$4:$4, '2025 Overview (Rolling)'!M$11, 'Monthly Detail'!172:172)</f>
        <v>25765.631450567402</v>
      </c>
      <c r="N36" s="160">
        <f>SUMIF('Monthly Detail'!$4:$4, '2025 Overview (Rolling)'!N$11, 'Monthly Detail'!172:172)</f>
        <v>26701.563767289608</v>
      </c>
      <c r="P36" s="186"/>
    </row>
    <row r="37" spans="2:16" x14ac:dyDescent="0.25">
      <c r="B37" s="259" t="s">
        <v>173</v>
      </c>
      <c r="C37" s="260">
        <f>SUMIF('Monthly Detail'!$4:$4, '2025 Overview (Rolling)'!C$11, 'Monthly Detail'!169:169)</f>
        <v>3530.76</v>
      </c>
      <c r="D37" s="261">
        <f>SUMIF('Monthly Detail'!$4:$4, '2025 Overview (Rolling)'!D$11, 'Monthly Detail'!169:169)</f>
        <v>-3329.34</v>
      </c>
      <c r="E37" s="260">
        <f>SUMIF('Monthly Detail'!$4:$4, '2025 Overview (Rolling)'!E$11, 'Monthly Detail'!169:169)</f>
        <v>490.94000000000017</v>
      </c>
      <c r="F37" s="260">
        <f>SUMIF('Monthly Detail'!$4:$4, '2025 Overview (Rolling)'!F$11, 'Monthly Detail'!169:169)</f>
        <v>346.34000000000026</v>
      </c>
      <c r="G37" s="260">
        <f>SUMIF('Monthly Detail'!$4:$4, '2025 Overview (Rolling)'!G$11, 'Monthly Detail'!169:169)</f>
        <v>-774.44999999999072</v>
      </c>
      <c r="H37" s="260">
        <f>SUMIF('Monthly Detail'!$4:$4, '2025 Overview (Rolling)'!H$11, 'Monthly Detail'!169:169)</f>
        <v>502.4199999999928</v>
      </c>
      <c r="I37" s="260">
        <f>SUMIF('Monthly Detail'!$4:$4, '2025 Overview (Rolling)'!I$11, 'Monthly Detail'!169:169)</f>
        <v>2099.3300000000017</v>
      </c>
      <c r="J37" s="260">
        <f>SUMIF('Monthly Detail'!$4:$4, '2025 Overview (Rolling)'!J$11, 'Monthly Detail'!169:169)</f>
        <v>840.63999999999896</v>
      </c>
      <c r="K37" s="260">
        <f>SUMIF('Monthly Detail'!$4:$4, '2025 Overview (Rolling)'!K$11, 'Monthly Detail'!169:169)</f>
        <v>2133.7299999999959</v>
      </c>
      <c r="L37" s="586">
        <f>SUMIF('Monthly Detail'!$4:$4, '2025 Overview (Rolling)'!L$11, 'Monthly Detail'!169:169)</f>
        <v>4129.6700000000055</v>
      </c>
      <c r="M37" s="260">
        <f>SUMIF('Monthly Detail'!$4:$4, '2025 Overview (Rolling)'!M$11, 'Monthly Detail'!169:169)</f>
        <v>15502.761450567394</v>
      </c>
      <c r="N37" s="260">
        <f>SUMIF('Monthly Detail'!$4:$4, '2025 Overview (Rolling)'!N$11, 'Monthly Detail'!169:169)</f>
        <v>935.93231672220645</v>
      </c>
      <c r="O37" s="262"/>
      <c r="P37" s="263"/>
    </row>
    <row r="38" spans="2:16" x14ac:dyDescent="0.25">
      <c r="E38" s="9"/>
    </row>
  </sheetData>
  <mergeCells count="1">
    <mergeCell ref="B8:P8"/>
  </mergeCells>
  <pageMargins left="0.25" right="0.25" top="0.75" bottom="0.75" header="0.3" footer="0.3"/>
  <pageSetup scale="57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D64-666F-4408-A2A3-D3F056CE9A9A}">
  <sheetPr>
    <tabColor theme="1"/>
    <pageSetUpPr fitToPage="1"/>
  </sheetPr>
  <dimension ref="B8:T34"/>
  <sheetViews>
    <sheetView showGridLines="0" topLeftCell="A7" zoomScale="58" zoomScaleNormal="90" workbookViewId="0">
      <selection activeCell="B1" sqref="B1:P52"/>
    </sheetView>
  </sheetViews>
  <sheetFormatPr defaultColWidth="8.7109375" defaultRowHeight="15" x14ac:dyDescent="0.25"/>
  <cols>
    <col min="2" max="2" width="34" bestFit="1" customWidth="1"/>
    <col min="3" max="3" width="13.7109375" bestFit="1" customWidth="1"/>
    <col min="4" max="4" width="14.7109375" bestFit="1" customWidth="1"/>
    <col min="5" max="5" width="11.7109375" bestFit="1" customWidth="1"/>
    <col min="6" max="6" width="13" bestFit="1" customWidth="1"/>
    <col min="7" max="7" width="14.7109375" bestFit="1" customWidth="1"/>
    <col min="8" max="8" width="15.140625" bestFit="1" customWidth="1"/>
    <col min="9" max="9" width="14.7109375" bestFit="1" customWidth="1"/>
    <col min="10" max="10" width="14.28515625" bestFit="1" customWidth="1"/>
    <col min="11" max="11" width="14.7109375" bestFit="1" customWidth="1"/>
    <col min="12" max="14" width="15.140625" bestFit="1" customWidth="1"/>
    <col min="15" max="15" width="1" customWidth="1"/>
    <col min="16" max="16" width="15.140625" bestFit="1" customWidth="1"/>
  </cols>
  <sheetData>
    <row r="8" spans="2:16" ht="15.75" x14ac:dyDescent="0.25">
      <c r="B8" s="744" t="s">
        <v>355</v>
      </c>
      <c r="C8" s="744"/>
      <c r="D8" s="744"/>
      <c r="E8" s="744"/>
      <c r="F8" s="744"/>
      <c r="G8" s="744"/>
      <c r="H8" s="744"/>
      <c r="I8" s="744"/>
      <c r="J8" s="744"/>
      <c r="K8" s="744"/>
      <c r="L8" s="744"/>
      <c r="M8" s="744"/>
      <c r="N8" s="744"/>
      <c r="O8" s="744"/>
      <c r="P8" s="744"/>
    </row>
    <row r="10" spans="2:16" ht="15.75" x14ac:dyDescent="0.25">
      <c r="B10" s="237"/>
      <c r="C10" s="238" t="str">
        <f>TEXT('Monthly Detail'!D4,"mmmm")</f>
        <v>January</v>
      </c>
      <c r="D10" s="238" t="str">
        <f>TEXT('Monthly Detail'!E4,"mmmm")</f>
        <v>February</v>
      </c>
      <c r="E10" s="238" t="str">
        <f>TEXT('Monthly Detail'!F4,"mmmm")</f>
        <v>March</v>
      </c>
      <c r="F10" s="238" t="str">
        <f>TEXT('Monthly Detail'!G4,"mmmm")</f>
        <v>April</v>
      </c>
      <c r="G10" s="238" t="str">
        <f>TEXT('Monthly Detail'!H4,"mmmm")</f>
        <v>May</v>
      </c>
      <c r="H10" s="238" t="str">
        <f>TEXT('Monthly Detail'!I4,"mmmm")</f>
        <v>June</v>
      </c>
      <c r="I10" s="238" t="str">
        <f>TEXT('Monthly Detail'!J4,"mmmm")</f>
        <v>July</v>
      </c>
      <c r="J10" s="238" t="str">
        <f>TEXT('Monthly Detail'!K4,"mmmm")</f>
        <v>August</v>
      </c>
      <c r="K10" s="238" t="str">
        <f>TEXT('Monthly Detail'!L4,"mmmm")</f>
        <v>September</v>
      </c>
      <c r="L10" s="548" t="str">
        <f>TEXT('Monthly Detail'!M4,"mmmm")</f>
        <v>October</v>
      </c>
      <c r="M10" s="238" t="str">
        <f>TEXT('Monthly Detail'!N4,"mmmm")</f>
        <v>November</v>
      </c>
      <c r="N10" s="238" t="str">
        <f>TEXT('Monthly Detail'!O4,"mmmm")</f>
        <v>December</v>
      </c>
      <c r="O10" s="239"/>
      <c r="P10" s="240" t="s">
        <v>0</v>
      </c>
    </row>
    <row r="11" spans="2:16" x14ac:dyDescent="0.25">
      <c r="B11" s="241"/>
      <c r="C11" s="91">
        <v>45688</v>
      </c>
      <c r="D11" s="91">
        <v>45716</v>
      </c>
      <c r="E11" s="91">
        <v>45747</v>
      </c>
      <c r="F11" s="91">
        <v>45777</v>
      </c>
      <c r="G11" s="91">
        <v>45808</v>
      </c>
      <c r="H11" s="91">
        <v>45838</v>
      </c>
      <c r="I11" s="91">
        <v>45869</v>
      </c>
      <c r="J11" s="91">
        <v>45900</v>
      </c>
      <c r="K11" s="91">
        <v>45930</v>
      </c>
      <c r="L11" s="148">
        <v>45961</v>
      </c>
      <c r="M11" s="91">
        <v>45991</v>
      </c>
      <c r="N11" s="91">
        <v>46022</v>
      </c>
      <c r="O11" s="91">
        <v>45322</v>
      </c>
      <c r="P11" s="186"/>
    </row>
    <row r="12" spans="2:16" x14ac:dyDescent="0.25">
      <c r="B12" s="242" t="s">
        <v>60</v>
      </c>
      <c r="C12" s="73">
        <f>+'2025 Overview (Rolling)'!C12</f>
        <v>6477.5</v>
      </c>
      <c r="D12" s="73">
        <f>+'2025 Overview (Rolling)'!D12</f>
        <v>8052.5</v>
      </c>
      <c r="E12" s="73">
        <f>+'2025 Overview (Rolling)'!E12</f>
        <v>7630</v>
      </c>
      <c r="F12" s="73">
        <f>+'2025 Overview (Rolling)'!F12</f>
        <v>3756.25</v>
      </c>
      <c r="G12" s="73">
        <f>+'2025 Overview (Rolling)'!G12</f>
        <v>6032.5</v>
      </c>
      <c r="H12" s="73">
        <f>+'2025 Overview (Rolling)'!H12</f>
        <v>6822.5</v>
      </c>
      <c r="I12" s="73">
        <f>+'2025 Overview (Rolling)'!I12</f>
        <v>14855</v>
      </c>
      <c r="J12" s="73">
        <f>+'2025 Overview (Rolling)'!J12</f>
        <v>20412.5</v>
      </c>
      <c r="K12" s="73">
        <f>+'2025 Overview (Rolling)'!K12</f>
        <v>28257.5</v>
      </c>
      <c r="L12" s="149">
        <f>+'2025 Overview (Rolling)'!L12</f>
        <v>39333.760000000002</v>
      </c>
      <c r="M12" s="73">
        <f>+'2025 AOP'!M12</f>
        <v>8797.3169856459317</v>
      </c>
      <c r="N12" s="73">
        <f>+'2025 AOP'!N12</f>
        <v>6287.4785318559543</v>
      </c>
      <c r="O12" s="73"/>
      <c r="P12" s="243">
        <f>SUM(C12:O12)</f>
        <v>156714.8055175019</v>
      </c>
    </row>
    <row r="13" spans="2:16" x14ac:dyDescent="0.25">
      <c r="B13" s="242" t="s">
        <v>295</v>
      </c>
      <c r="C13" s="73">
        <f>+'2025 Overview (Rolling)'!C13</f>
        <v>108</v>
      </c>
      <c r="D13" s="73">
        <f>+'2025 Overview (Rolling)'!D13</f>
        <v>59.62</v>
      </c>
      <c r="E13" s="73">
        <f>+'2025 Overview (Rolling)'!E13</f>
        <v>52.37</v>
      </c>
      <c r="F13" s="73">
        <f>+'2025 Overview (Rolling)'!F13</f>
        <v>0</v>
      </c>
      <c r="G13" s="73">
        <f>+'2025 Overview (Rolling)'!G13</f>
        <v>12</v>
      </c>
      <c r="H13" s="73">
        <f>+'2025 Overview (Rolling)'!H13</f>
        <v>93.5</v>
      </c>
      <c r="I13" s="73">
        <f>+'2025 Overview (Rolling)'!I13</f>
        <v>75</v>
      </c>
      <c r="J13" s="73">
        <f>+'2025 Overview (Rolling)'!J13</f>
        <v>44.5</v>
      </c>
      <c r="K13" s="73">
        <f>+'2025 Overview (Rolling)'!K13</f>
        <v>50</v>
      </c>
      <c r="L13" s="149">
        <f>+'2025 Overview (Rolling)'!L13</f>
        <v>29.37</v>
      </c>
      <c r="M13" s="73">
        <f>+'2025 AOP'!M13</f>
        <v>15.950161254015272</v>
      </c>
      <c r="N13" s="73">
        <f>+'2025 AOP'!N13</f>
        <v>11.399645667865892</v>
      </c>
      <c r="O13" s="73"/>
      <c r="P13" s="243">
        <f>+SUM(C13:N13)</f>
        <v>551.70980692188118</v>
      </c>
    </row>
    <row r="14" spans="2:16" x14ac:dyDescent="0.25">
      <c r="B14" s="244" t="s">
        <v>7</v>
      </c>
      <c r="C14" s="74">
        <f>+'2025 Overview (Rolling)'!C14</f>
        <v>6585.5</v>
      </c>
      <c r="D14" s="74">
        <f>+'2025 Overview (Rolling)'!D14</f>
        <v>8112.12</v>
      </c>
      <c r="E14" s="74">
        <f>+'2025 Overview (Rolling)'!E14</f>
        <v>7682.37</v>
      </c>
      <c r="F14" s="74">
        <f>+'2025 Overview (Rolling)'!F14</f>
        <v>3756.25</v>
      </c>
      <c r="G14" s="74">
        <f>+'2025 Overview (Rolling)'!G14</f>
        <v>6044.5</v>
      </c>
      <c r="H14" s="74">
        <f>+'2025 Overview (Rolling)'!H14</f>
        <v>6916</v>
      </c>
      <c r="I14" s="74">
        <f>+'2025 Overview (Rolling)'!I14</f>
        <v>14930</v>
      </c>
      <c r="J14" s="74">
        <f>+'2025 Overview (Rolling)'!J14</f>
        <v>20457</v>
      </c>
      <c r="K14" s="74">
        <f>+'2025 Overview (Rolling)'!K14</f>
        <v>28307.5</v>
      </c>
      <c r="L14" s="150">
        <f>+'2025 Overview (Rolling)'!L14</f>
        <v>39363.130000000005</v>
      </c>
      <c r="M14" s="74">
        <f t="shared" ref="M14" si="0">SUM(M12:M13)</f>
        <v>8813.267146899947</v>
      </c>
      <c r="N14" s="245">
        <f t="shared" ref="N14" si="1">SUM(N12:N13)</f>
        <v>6298.8781775238203</v>
      </c>
      <c r="O14" s="75"/>
      <c r="P14" s="245">
        <f>SUM(P12:P13)</f>
        <v>157266.51532442379</v>
      </c>
    </row>
    <row r="15" spans="2:16" x14ac:dyDescent="0.25">
      <c r="B15" s="454" t="s">
        <v>66</v>
      </c>
      <c r="C15" s="455">
        <f>+'2025 Overview (Rolling)'!C15</f>
        <v>24</v>
      </c>
      <c r="D15" s="455">
        <f>+'2025 Overview (Rolling)'!D15</f>
        <v>28</v>
      </c>
      <c r="E15" s="455">
        <f>+'2025 Overview (Rolling)'!E15</f>
        <v>24</v>
      </c>
      <c r="F15" s="455">
        <f>+'2025 Overview (Rolling)'!F15</f>
        <v>23</v>
      </c>
      <c r="G15" s="455">
        <f>+'2025 Overview (Rolling)'!G15</f>
        <v>20</v>
      </c>
      <c r="H15" s="455">
        <f>+'2025 Overview (Rolling)'!H15</f>
        <v>25</v>
      </c>
      <c r="I15" s="455">
        <f>+'2025 Overview (Rolling)'!I15</f>
        <v>35</v>
      </c>
      <c r="J15" s="455">
        <f>+'2025 Overview (Rolling)'!J15</f>
        <v>48</v>
      </c>
      <c r="K15" s="455">
        <f>+'2025 Overview (Rolling)'!K15</f>
        <v>57</v>
      </c>
      <c r="L15" s="550">
        <f>+'2025 Overview (Rolling)'!L15</f>
        <v>67</v>
      </c>
      <c r="M15" s="455">
        <f>+'2025 AOP'!M15</f>
        <v>43.599999999999987</v>
      </c>
      <c r="N15" s="456">
        <f>+'2025 AOP'!N15</f>
        <v>42.199999999999989</v>
      </c>
      <c r="O15" s="75"/>
      <c r="P15" s="340"/>
    </row>
    <row r="16" spans="2:16" x14ac:dyDescent="0.25">
      <c r="B16" s="241"/>
      <c r="C16" s="76"/>
      <c r="D16" s="76"/>
      <c r="E16" s="76"/>
      <c r="F16" s="76"/>
      <c r="G16" s="76"/>
      <c r="H16" s="76"/>
      <c r="I16" s="76"/>
      <c r="J16" s="76"/>
      <c r="K16" s="76"/>
      <c r="L16" s="151"/>
      <c r="M16" s="76"/>
      <c r="N16" s="76"/>
      <c r="P16" s="247"/>
    </row>
    <row r="17" spans="2:20" x14ac:dyDescent="0.25">
      <c r="B17" s="241" t="s">
        <v>325</v>
      </c>
      <c r="C17" s="76">
        <f>+'2025 Overview (Rolling)'!C18</f>
        <v>0</v>
      </c>
      <c r="D17" s="76">
        <f>+'2025 Overview (Rolling)'!D18</f>
        <v>450</v>
      </c>
      <c r="E17" s="76">
        <f>+'2025 Overview (Rolling)'!E18</f>
        <v>0</v>
      </c>
      <c r="F17" s="76">
        <f>+'2025 Overview (Rolling)'!F18</f>
        <v>0</v>
      </c>
      <c r="G17" s="76">
        <f>+'2025 Overview (Rolling)'!G18</f>
        <v>270</v>
      </c>
      <c r="H17" s="76">
        <f>+'2025 Overview (Rolling)'!H18</f>
        <v>0</v>
      </c>
      <c r="I17" s="76">
        <f>+'2025 Overview (Rolling)'!I18</f>
        <v>1582.5</v>
      </c>
      <c r="J17" s="76">
        <f>+'2025 Overview (Rolling)'!J18</f>
        <v>684</v>
      </c>
      <c r="K17" s="76">
        <f>+'2025 Overview (Rolling)'!K18</f>
        <v>4076.7400000000002</v>
      </c>
      <c r="L17" s="151">
        <f>+'2025 Overview (Rolling)'!L18</f>
        <v>6255</v>
      </c>
      <c r="M17" s="76">
        <f>+'2025 AOP'!M18</f>
        <v>524</v>
      </c>
      <c r="N17" s="76">
        <f>+'2025 AOP'!N18</f>
        <v>0</v>
      </c>
      <c r="P17" s="243">
        <f>SUM(C17:O17)</f>
        <v>13842.24</v>
      </c>
    </row>
    <row r="18" spans="2:20" ht="15.75" x14ac:dyDescent="0.25">
      <c r="B18" s="248" t="s">
        <v>165</v>
      </c>
      <c r="C18" s="88">
        <f>+'2025 Overview (Rolling)'!C19</f>
        <v>6585.5</v>
      </c>
      <c r="D18" s="88">
        <f>+'2025 Overview (Rolling)'!D19</f>
        <v>7662.12</v>
      </c>
      <c r="E18" s="88">
        <f>+'2025 Overview (Rolling)'!E19</f>
        <v>7682.37</v>
      </c>
      <c r="F18" s="88">
        <f>+'2025 Overview (Rolling)'!F19</f>
        <v>3756.25</v>
      </c>
      <c r="G18" s="88">
        <f>+'2025 Overview (Rolling)'!G19</f>
        <v>5774.5</v>
      </c>
      <c r="H18" s="88">
        <f>+'2025 Overview (Rolling)'!H19</f>
        <v>6916</v>
      </c>
      <c r="I18" s="88">
        <f>+'2025 Overview (Rolling)'!I19</f>
        <v>13347.5</v>
      </c>
      <c r="J18" s="88">
        <f>+'2025 Overview (Rolling)'!J19</f>
        <v>19773</v>
      </c>
      <c r="K18" s="88">
        <f>+'2025 Overview (Rolling)'!K19</f>
        <v>24230.76</v>
      </c>
      <c r="L18" s="152">
        <f>+'2025 Overview (Rolling)'!L19</f>
        <v>33108.130000000005</v>
      </c>
      <c r="M18" s="88">
        <f t="shared" ref="M18" si="2">M14-M17</f>
        <v>8289.267146899947</v>
      </c>
      <c r="N18" s="88">
        <f t="shared" ref="N18" si="3">N14-N17</f>
        <v>6298.8781775238203</v>
      </c>
      <c r="O18" s="249"/>
      <c r="P18" s="250">
        <f>P14-P17</f>
        <v>143424.2753244238</v>
      </c>
    </row>
    <row r="19" spans="2:20" x14ac:dyDescent="0.25">
      <c r="B19" s="251" t="s">
        <v>166</v>
      </c>
      <c r="C19" s="90">
        <f>+'2025 Overview (Rolling)'!C20</f>
        <v>1</v>
      </c>
      <c r="D19" s="90">
        <f>+'2025 Overview (Rolling)'!D20</f>
        <v>0.94452744781881925</v>
      </c>
      <c r="E19" s="90">
        <f>+'2025 Overview (Rolling)'!E20</f>
        <v>1</v>
      </c>
      <c r="F19" s="90">
        <f>+'2025 Overview (Rolling)'!F20</f>
        <v>1</v>
      </c>
      <c r="G19" s="90">
        <f>+'2025 Overview (Rolling)'!G20</f>
        <v>0.95533129291091079</v>
      </c>
      <c r="H19" s="90">
        <f>+'2025 Overview (Rolling)'!H20</f>
        <v>1</v>
      </c>
      <c r="I19" s="90">
        <f>+'2025 Overview (Rolling)'!I20</f>
        <v>0.89400535833891492</v>
      </c>
      <c r="J19" s="90">
        <f>+'2025 Overview (Rolling)'!J20</f>
        <v>0.96656401231852174</v>
      </c>
      <c r="K19" s="90">
        <f>+'2025 Overview (Rolling)'!K20</f>
        <v>0.85598374988960513</v>
      </c>
      <c r="L19" s="153">
        <f>+'2025 Overview (Rolling)'!L20</f>
        <v>0.8410949535771165</v>
      </c>
      <c r="M19" s="90">
        <f t="shared" ref="M19" si="4">M18/M14</f>
        <v>0.94054418284775176</v>
      </c>
      <c r="N19" s="90">
        <f t="shared" ref="N19" si="5">N18/N14</f>
        <v>1</v>
      </c>
      <c r="O19" s="7"/>
      <c r="P19" s="252">
        <f>P18/P14</f>
        <v>0.91198228070708531</v>
      </c>
    </row>
    <row r="20" spans="2:20" x14ac:dyDescent="0.25">
      <c r="B20" s="241"/>
      <c r="L20" s="116"/>
      <c r="P20" s="186"/>
    </row>
    <row r="21" spans="2:20" x14ac:dyDescent="0.25">
      <c r="B21" s="241" t="s">
        <v>273</v>
      </c>
      <c r="C21" s="73">
        <f>+'2025 Overview (Rolling)'!C22</f>
        <v>0</v>
      </c>
      <c r="D21" s="73">
        <f>+'2025 Overview (Rolling)'!D22</f>
        <v>0</v>
      </c>
      <c r="E21" s="73">
        <f>+'2025 Overview (Rolling)'!E22</f>
        <v>0</v>
      </c>
      <c r="F21" s="73">
        <f>+'2025 Overview (Rolling)'!F22</f>
        <v>0</v>
      </c>
      <c r="G21" s="73">
        <f>+'2025 Overview (Rolling)'!G22</f>
        <v>0</v>
      </c>
      <c r="H21" s="73">
        <f>+'2025 Overview (Rolling)'!H22</f>
        <v>0</v>
      </c>
      <c r="I21" s="73">
        <f>+'2025 Overview (Rolling)'!I22</f>
        <v>0</v>
      </c>
      <c r="J21" s="73">
        <f>+'2025 Overview (Rolling)'!J22</f>
        <v>0</v>
      </c>
      <c r="K21" s="73">
        <f>+'2025 Overview (Rolling)'!K22</f>
        <v>0</v>
      </c>
      <c r="L21" s="149">
        <f>+'2025 Overview (Rolling)'!L22</f>
        <v>0</v>
      </c>
      <c r="M21" s="73">
        <f>+'2025 AOP'!M22</f>
        <v>0</v>
      </c>
      <c r="N21" s="73">
        <f>+'2025 AOP'!N22</f>
        <v>0</v>
      </c>
      <c r="P21" s="243">
        <f>SUM(C21:O21)</f>
        <v>0</v>
      </c>
      <c r="T21" s="1"/>
    </row>
    <row r="22" spans="2:20" x14ac:dyDescent="0.25">
      <c r="B22" s="241" t="s">
        <v>203</v>
      </c>
      <c r="C22" s="73">
        <f>+'2025 Overview (Rolling)'!C23</f>
        <v>4230.3</v>
      </c>
      <c r="D22" s="73">
        <f>+'2025 Overview (Rolling)'!D23</f>
        <v>6699.2999999999993</v>
      </c>
      <c r="E22" s="73">
        <f>+'2025 Overview (Rolling)'!E23</f>
        <v>7438.99</v>
      </c>
      <c r="F22" s="73">
        <f>+'2025 Overview (Rolling)'!F23</f>
        <v>3780.99</v>
      </c>
      <c r="G22" s="73">
        <f>+'2025 Overview (Rolling)'!G23</f>
        <v>3678.36</v>
      </c>
      <c r="H22" s="73">
        <f>+'2025 Overview (Rolling)'!H23</f>
        <v>4152.38</v>
      </c>
      <c r="I22" s="73">
        <f>+'2025 Overview (Rolling)'!I23</f>
        <v>9510.39</v>
      </c>
      <c r="J22" s="73">
        <f>+'2025 Overview (Rolling)'!J23</f>
        <v>17648.04</v>
      </c>
      <c r="K22" s="73">
        <f>+'2025 Overview (Rolling)'!K23</f>
        <v>13518.2</v>
      </c>
      <c r="L22" s="149">
        <f>+'2025 Overview (Rolling)'!L23</f>
        <v>18946.23</v>
      </c>
      <c r="M22" s="73">
        <f>+'2025 AOP'!M23</f>
        <v>1340.2173896031659</v>
      </c>
      <c r="N22" s="73">
        <f>+'2025 AOP'!N23</f>
        <v>1635.395598862551</v>
      </c>
      <c r="P22" s="243">
        <f>SUM(C22:O22)</f>
        <v>92578.792988465706</v>
      </c>
      <c r="T22" s="1"/>
    </row>
    <row r="23" spans="2:20" x14ac:dyDescent="0.25">
      <c r="B23" s="253" t="s">
        <v>167</v>
      </c>
      <c r="C23" s="79">
        <f>+'2025 Overview (Rolling)'!C24</f>
        <v>4230.3</v>
      </c>
      <c r="D23" s="79">
        <f>+'2025 Overview (Rolling)'!D24</f>
        <v>6699.2999999999993</v>
      </c>
      <c r="E23" s="79">
        <f>+'2025 Overview (Rolling)'!E24</f>
        <v>7438.99</v>
      </c>
      <c r="F23" s="79">
        <f>+'2025 Overview (Rolling)'!F24</f>
        <v>3780.99</v>
      </c>
      <c r="G23" s="79">
        <f>+'2025 Overview (Rolling)'!G24</f>
        <v>3678.36</v>
      </c>
      <c r="H23" s="79">
        <f>+'2025 Overview (Rolling)'!H24</f>
        <v>4152.38</v>
      </c>
      <c r="I23" s="79">
        <f>+'2025 Overview (Rolling)'!I24</f>
        <v>9510.39</v>
      </c>
      <c r="J23" s="79">
        <f>+'2025 Overview (Rolling)'!J24</f>
        <v>17648.04</v>
      </c>
      <c r="K23" s="79">
        <f>+'2025 Overview (Rolling)'!K24</f>
        <v>13518.2</v>
      </c>
      <c r="L23" s="154">
        <f>+'2025 Overview (Rolling)'!L24</f>
        <v>18946.23</v>
      </c>
      <c r="M23" s="79">
        <f t="shared" ref="M23:N23" si="6">SUM(M21:M22)</f>
        <v>1340.2173896031659</v>
      </c>
      <c r="N23" s="79">
        <f t="shared" si="6"/>
        <v>1635.395598862551</v>
      </c>
      <c r="O23" s="254"/>
      <c r="P23" s="255">
        <f>SUM(P21:P22)</f>
        <v>92578.792988465706</v>
      </c>
    </row>
    <row r="24" spans="2:20" x14ac:dyDescent="0.25">
      <c r="B24" s="241"/>
      <c r="L24" s="116"/>
      <c r="P24" s="186"/>
    </row>
    <row r="25" spans="2:20" ht="15.75" x14ac:dyDescent="0.25">
      <c r="B25" s="248" t="s">
        <v>168</v>
      </c>
      <c r="C25" s="88">
        <f>+'2025 Overview (Rolling)'!C26</f>
        <v>2355.1999999999998</v>
      </c>
      <c r="D25" s="88">
        <f>+'2025 Overview (Rolling)'!D26</f>
        <v>962.82000000000062</v>
      </c>
      <c r="E25" s="88">
        <f>+'2025 Overview (Rolling)'!E26</f>
        <v>243.38000000000011</v>
      </c>
      <c r="F25" s="88">
        <f>+'2025 Overview (Rolling)'!F26</f>
        <v>-24.739999999999782</v>
      </c>
      <c r="G25" s="88">
        <f>+'2025 Overview (Rolling)'!G26</f>
        <v>2096.14</v>
      </c>
      <c r="H25" s="88">
        <f>+'2025 Overview (Rolling)'!H26</f>
        <v>2763.62</v>
      </c>
      <c r="I25" s="88">
        <f>+'2025 Overview (Rolling)'!I26</f>
        <v>3837.1100000000006</v>
      </c>
      <c r="J25" s="88">
        <f>+'2025 Overview (Rolling)'!J26</f>
        <v>2124.9599999999991</v>
      </c>
      <c r="K25" s="88">
        <f>+'2025 Overview (Rolling)'!K26</f>
        <v>10712.559999999998</v>
      </c>
      <c r="L25" s="152">
        <f>+'2025 Overview (Rolling)'!L26</f>
        <v>14161.900000000005</v>
      </c>
      <c r="M25" s="88">
        <f t="shared" ref="M25:N25" si="7">M18-M23</f>
        <v>6949.0497572967815</v>
      </c>
      <c r="N25" s="88">
        <f t="shared" si="7"/>
        <v>4663.4825786612691</v>
      </c>
      <c r="O25" s="249"/>
      <c r="P25" s="250">
        <f>P18-P23</f>
        <v>50845.482335958091</v>
      </c>
    </row>
    <row r="26" spans="2:20" x14ac:dyDescent="0.25">
      <c r="B26" s="251" t="s">
        <v>169</v>
      </c>
      <c r="C26" s="90">
        <f>+'2025 Overview (Rolling)'!C27</f>
        <v>0.35763419634044491</v>
      </c>
      <c r="D26" s="90">
        <f>+'2025 Overview (Rolling)'!D27</f>
        <v>0.11868907264685441</v>
      </c>
      <c r="E26" s="90">
        <f>+'2025 Overview (Rolling)'!E27</f>
        <v>3.1680327815504866E-2</v>
      </c>
      <c r="F26" s="90">
        <f>+'2025 Overview (Rolling)'!F27</f>
        <v>-6.5863560732112563E-3</v>
      </c>
      <c r="G26" s="90">
        <f>+'2025 Overview (Rolling)'!G27</f>
        <v>0.34678468028786497</v>
      </c>
      <c r="H26" s="90">
        <f>+'2025 Overview (Rolling)'!H27</f>
        <v>0.39959803354540196</v>
      </c>
      <c r="I26" s="90">
        <f>+'2025 Overview (Rolling)'!I27</f>
        <v>0.25700669792364372</v>
      </c>
      <c r="J26" s="90">
        <f>+'2025 Overview (Rolling)'!J27</f>
        <v>0.10387446839712564</v>
      </c>
      <c r="K26" s="90">
        <f>+'2025 Overview (Rolling)'!K27</f>
        <v>0.37843539697959894</v>
      </c>
      <c r="L26" s="153">
        <f>+'2025 Overview (Rolling)'!L27</f>
        <v>0.35977575970203596</v>
      </c>
      <c r="M26" s="90">
        <f t="shared" ref="M26:N26" si="8">M25/M14</f>
        <v>0.78847601479334473</v>
      </c>
      <c r="N26" s="90">
        <f t="shared" si="8"/>
        <v>0.74036716495040256</v>
      </c>
      <c r="O26" s="7"/>
      <c r="P26" s="252">
        <f>P25/P14</f>
        <v>0.32330774437946547</v>
      </c>
    </row>
    <row r="27" spans="2:20" x14ac:dyDescent="0.25">
      <c r="B27" s="256"/>
      <c r="C27" s="82"/>
      <c r="D27" s="82"/>
      <c r="E27" s="82"/>
      <c r="F27" s="82"/>
      <c r="G27" s="82"/>
      <c r="H27" s="82"/>
      <c r="I27" s="82"/>
      <c r="J27" s="82"/>
      <c r="K27" s="82"/>
      <c r="L27" s="155"/>
      <c r="M27" s="82"/>
      <c r="N27" s="82"/>
      <c r="P27" s="257"/>
    </row>
    <row r="28" spans="2:20" x14ac:dyDescent="0.25">
      <c r="B28" s="241" t="s">
        <v>170</v>
      </c>
      <c r="C28" s="132">
        <f>+'2025 Overview (Rolling)'!C29</f>
        <v>-821.84</v>
      </c>
      <c r="D28" s="132">
        <f>+'2025 Overview (Rolling)'!D29</f>
        <v>-775.57</v>
      </c>
      <c r="E28" s="132">
        <f>+'2025 Overview (Rolling)'!E29</f>
        <v>-757.92</v>
      </c>
      <c r="F28" s="132">
        <f>+'2025 Overview (Rolling)'!F29</f>
        <v>-757.92</v>
      </c>
      <c r="G28" s="132">
        <f>+'2025 Overview (Rolling)'!G29</f>
        <v>-692.87</v>
      </c>
      <c r="H28" s="132">
        <f>+'2025 Overview (Rolling)'!H29</f>
        <v>-769.02</v>
      </c>
      <c r="I28" s="132">
        <f>+'2025 Overview (Rolling)'!I29</f>
        <v>-775.25</v>
      </c>
      <c r="J28" s="132">
        <f>+'2025 Overview (Rolling)'!J29</f>
        <v>-727.32</v>
      </c>
      <c r="K28" s="132">
        <f>+'2025 Overview (Rolling)'!K29</f>
        <v>-726.36</v>
      </c>
      <c r="L28" s="156">
        <f>+'2025 Overview (Rolling)'!L29</f>
        <v>-842.23</v>
      </c>
      <c r="M28" s="132">
        <f>+'2025 AOP'!M29</f>
        <v>-800</v>
      </c>
      <c r="N28" s="132">
        <f>+'2025 AOP'!N29</f>
        <v>-800</v>
      </c>
      <c r="O28" s="132"/>
      <c r="P28" s="187">
        <f>SUM(C28:O28)</f>
        <v>-9246.2999999999993</v>
      </c>
    </row>
    <row r="29" spans="2:20" ht="15.75" x14ac:dyDescent="0.25">
      <c r="B29" s="248" t="s">
        <v>16</v>
      </c>
      <c r="C29" s="88">
        <f>+'2025 Overview (Rolling)'!C30</f>
        <v>1533.3599999999997</v>
      </c>
      <c r="D29" s="88">
        <f>+'2025 Overview (Rolling)'!D30</f>
        <v>187.25000000000057</v>
      </c>
      <c r="E29" s="88">
        <f>+'2025 Overview (Rolling)'!E30</f>
        <v>-514.53999999999985</v>
      </c>
      <c r="F29" s="88">
        <f>+'2025 Overview (Rolling)'!F30</f>
        <v>-782.65999999999974</v>
      </c>
      <c r="G29" s="88">
        <f>+'2025 Overview (Rolling)'!G30</f>
        <v>1403.27</v>
      </c>
      <c r="H29" s="88">
        <f>+'2025 Overview (Rolling)'!H30</f>
        <v>1994.6</v>
      </c>
      <c r="I29" s="88">
        <f>+'2025 Overview (Rolling)'!I30</f>
        <v>3061.8600000000006</v>
      </c>
      <c r="J29" s="88">
        <f>+'2025 Overview (Rolling)'!J30</f>
        <v>1397.639999999999</v>
      </c>
      <c r="K29" s="88">
        <f>+'2025 Overview (Rolling)'!K30</f>
        <v>9986.1999999999971</v>
      </c>
      <c r="L29" s="152">
        <f>+'2025 Overview (Rolling)'!L30</f>
        <v>13319.670000000006</v>
      </c>
      <c r="M29" s="88">
        <f t="shared" ref="M29" si="9">M25+SUM(M28:M28)</f>
        <v>6149.0497572967815</v>
      </c>
      <c r="N29" s="88">
        <f t="shared" ref="N29" si="10">N25+SUM(N28:N28)</f>
        <v>3863.4825786612691</v>
      </c>
      <c r="O29" s="249"/>
      <c r="P29" s="250">
        <f>P25+SUM(P28:P28)</f>
        <v>41599.182335958089</v>
      </c>
    </row>
    <row r="30" spans="2:20" x14ac:dyDescent="0.25">
      <c r="B30" s="251" t="s">
        <v>171</v>
      </c>
      <c r="C30" s="90">
        <f>+'2025 Overview (Rolling)'!C31</f>
        <v>0.23283881254270741</v>
      </c>
      <c r="D30" s="90">
        <f>+'2025 Overview (Rolling)'!D31</f>
        <v>2.3082745324280285E-2</v>
      </c>
      <c r="E30" s="90">
        <f>+'2025 Overview (Rolling)'!E31</f>
        <v>-6.6976727233913472E-2</v>
      </c>
      <c r="F30" s="90">
        <f>+'2025 Overview (Rolling)'!F31</f>
        <v>-0.20836206322795334</v>
      </c>
      <c r="G30" s="90">
        <f>+'2025 Overview (Rolling)'!G31</f>
        <v>0.23215650591446768</v>
      </c>
      <c r="H30" s="90">
        <f>+'2025 Overview (Rolling)'!H31</f>
        <v>0.28840370156159628</v>
      </c>
      <c r="I30" s="90">
        <f>+'2025 Overview (Rolling)'!I31</f>
        <v>0.20508104487608844</v>
      </c>
      <c r="J30" s="90">
        <f>+'2025 Overview (Rolling)'!J31</f>
        <v>6.8320868162487114E-2</v>
      </c>
      <c r="K30" s="90">
        <f>+'2025 Overview (Rolling)'!K31</f>
        <v>0.35277576613971551</v>
      </c>
      <c r="L30" s="153">
        <f>+'2025 Overview (Rolling)'!L31</f>
        <v>0.33837934127697683</v>
      </c>
      <c r="M30" s="90">
        <f t="shared" ref="M30" si="11">M29/M14</f>
        <v>0.69770377486624813</v>
      </c>
      <c r="N30" s="90">
        <f t="shared" ref="N30" si="12">N29/N14</f>
        <v>0.61336042224903919</v>
      </c>
      <c r="O30" s="7"/>
      <c r="P30" s="252">
        <f>P29/P14</f>
        <v>0.26451391925448009</v>
      </c>
    </row>
    <row r="31" spans="2:20" ht="15.75" thickBot="1" x14ac:dyDescent="0.3">
      <c r="B31" s="241"/>
      <c r="L31" s="116"/>
      <c r="M31" s="109"/>
      <c r="P31" s="186"/>
    </row>
    <row r="32" spans="2:20" x14ac:dyDescent="0.25">
      <c r="B32" s="258" t="s">
        <v>172</v>
      </c>
      <c r="C32" s="160">
        <f>+'2025 Overview (Rolling)'!C36</f>
        <v>3823.5900000000011</v>
      </c>
      <c r="D32" s="84">
        <f>+'2025 Overview (Rolling)'!D36</f>
        <v>494.25000000000091</v>
      </c>
      <c r="E32" s="84">
        <f>+'2025 Overview (Rolling)'!E36</f>
        <v>985.19000000000108</v>
      </c>
      <c r="F32" s="160">
        <f>+'2025 Overview (Rolling)'!F36</f>
        <v>1331.5300000000013</v>
      </c>
      <c r="G32" s="160">
        <f>+'2025 Overview (Rolling)'!G36</f>
        <v>557.08000000001061</v>
      </c>
      <c r="H32" s="160">
        <f>+'2025 Overview (Rolling)'!H36</f>
        <v>1059.5000000000034</v>
      </c>
      <c r="I32" s="160">
        <f>+'2025 Overview (Rolling)'!I36</f>
        <v>3158.8300000000054</v>
      </c>
      <c r="J32" s="160">
        <f>+'2025 Overview (Rolling)'!J36</f>
        <v>3999.4700000000043</v>
      </c>
      <c r="K32" s="160">
        <f>+'2025 Overview (Rolling)'!K36</f>
        <v>6133.2000000000007</v>
      </c>
      <c r="L32" s="585">
        <f>+'2025 Overview (Rolling)'!L36</f>
        <v>10262.870000000006</v>
      </c>
      <c r="M32" s="322">
        <f>+'2024 AOP'!M31</f>
        <v>36536.590043550263</v>
      </c>
      <c r="N32" s="160">
        <f>+'2024 AOP'!N31</f>
        <v>38730.025353412595</v>
      </c>
      <c r="P32" s="186"/>
    </row>
    <row r="33" spans="2:16" x14ac:dyDescent="0.25">
      <c r="B33" s="259" t="s">
        <v>173</v>
      </c>
      <c r="C33" s="260">
        <f>+'2025 Overview (Rolling)'!C37</f>
        <v>3530.76</v>
      </c>
      <c r="D33" s="261">
        <f>+'2025 Overview (Rolling)'!D37</f>
        <v>-3329.34</v>
      </c>
      <c r="E33" s="261">
        <f>+'2025 Overview (Rolling)'!E37</f>
        <v>490.94000000000017</v>
      </c>
      <c r="F33" s="260">
        <f>+'2025 Overview (Rolling)'!F37</f>
        <v>346.34000000000026</v>
      </c>
      <c r="G33" s="260">
        <f>+'2025 Overview (Rolling)'!G37</f>
        <v>-774.44999999999072</v>
      </c>
      <c r="H33" s="260">
        <f>+'2025 Overview (Rolling)'!H37</f>
        <v>502.4199999999928</v>
      </c>
      <c r="I33" s="260">
        <f>+'2025 Overview (Rolling)'!I37</f>
        <v>2099.3300000000017</v>
      </c>
      <c r="J33" s="260">
        <f>+'2025 Overview (Rolling)'!J37</f>
        <v>840.63999999999896</v>
      </c>
      <c r="K33" s="260">
        <f>+'2025 Overview (Rolling)'!K37</f>
        <v>2133.7299999999959</v>
      </c>
      <c r="L33" s="586">
        <f>+'2025 Overview (Rolling)'!L37</f>
        <v>4129.6700000000055</v>
      </c>
      <c r="M33" s="323">
        <f>+'2024 AOP'!M32</f>
        <v>1814.0563377699918</v>
      </c>
      <c r="N33" s="261">
        <f>+'2024 AOP'!N32</f>
        <v>2193.4353098623324</v>
      </c>
      <c r="O33" s="262"/>
      <c r="P33" s="263"/>
    </row>
    <row r="34" spans="2:16" x14ac:dyDescent="0.25">
      <c r="E34" s="9"/>
    </row>
  </sheetData>
  <mergeCells count="1">
    <mergeCell ref="B8:P8"/>
  </mergeCells>
  <pageMargins left="0.25" right="0.25" top="0.75" bottom="0.75" header="0.3" footer="0.3"/>
  <pageSetup scale="56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57E8-D2FC-4FDC-A195-55F3A93C25AC}">
  <sheetPr>
    <tabColor theme="1"/>
    <pageSetUpPr fitToPage="1"/>
  </sheetPr>
  <dimension ref="B1:T38"/>
  <sheetViews>
    <sheetView showGridLines="0" topLeftCell="A8" zoomScale="70" zoomScaleNormal="70" workbookViewId="0">
      <selection activeCell="G74" sqref="G74"/>
    </sheetView>
  </sheetViews>
  <sheetFormatPr defaultColWidth="8.7109375" defaultRowHeight="15" x14ac:dyDescent="0.25"/>
  <cols>
    <col min="2" max="2" width="34" bestFit="1" customWidth="1"/>
    <col min="3" max="3" width="14.28515625" bestFit="1" customWidth="1"/>
    <col min="4" max="5" width="13.42578125" bestFit="1" customWidth="1"/>
    <col min="6" max="7" width="14.42578125" bestFit="1" customWidth="1"/>
    <col min="8" max="8" width="14.28515625" bestFit="1" customWidth="1"/>
    <col min="9" max="9" width="14.42578125" bestFit="1" customWidth="1"/>
    <col min="10" max="10" width="13" bestFit="1" customWidth="1"/>
    <col min="11" max="13" width="15" bestFit="1" customWidth="1"/>
    <col min="14" max="14" width="15.42578125" bestFit="1" customWidth="1"/>
    <col min="15" max="15" width="1.42578125" customWidth="1"/>
    <col min="16" max="16" width="14.42578125" bestFit="1" customWidth="1"/>
  </cols>
  <sheetData>
    <row r="1" spans="2:16" x14ac:dyDescent="0.25">
      <c r="B1" t="s">
        <v>163</v>
      </c>
    </row>
    <row r="8" spans="2:16" ht="15.75" x14ac:dyDescent="0.25">
      <c r="B8" s="744" t="s">
        <v>257</v>
      </c>
      <c r="C8" s="744"/>
      <c r="D8" s="744"/>
      <c r="E8" s="744"/>
      <c r="F8" s="744"/>
      <c r="G8" s="744"/>
      <c r="H8" s="744"/>
      <c r="I8" s="744"/>
      <c r="J8" s="744"/>
      <c r="K8" s="744"/>
      <c r="L8" s="744"/>
      <c r="M8" s="744"/>
      <c r="N8" s="744"/>
      <c r="O8" s="744"/>
      <c r="P8" s="744"/>
    </row>
    <row r="9" spans="2:16" ht="1.9" customHeight="1" x14ac:dyDescent="0.25"/>
    <row r="10" spans="2:16" ht="15.75" x14ac:dyDescent="0.25">
      <c r="B10" s="237"/>
      <c r="C10" s="238" t="str">
        <f>TEXT('Monthly Detail'!D4,"mmmm")</f>
        <v>January</v>
      </c>
      <c r="D10" s="238" t="str">
        <f>TEXT('Monthly Detail'!E4,"mmmm")</f>
        <v>February</v>
      </c>
      <c r="E10" s="238" t="str">
        <f>TEXT('Monthly Detail'!F4,"mmmm")</f>
        <v>March</v>
      </c>
      <c r="F10" s="238" t="str">
        <f>TEXT('Monthly Detail'!G4,"mmmm")</f>
        <v>April</v>
      </c>
      <c r="G10" s="238" t="str">
        <f>TEXT('Monthly Detail'!H4,"mmmm")</f>
        <v>May</v>
      </c>
      <c r="H10" s="327" t="str">
        <f>TEXT('Monthly Detail'!I4,"mmmm")</f>
        <v>June</v>
      </c>
      <c r="I10" s="238" t="str">
        <f>TEXT('Monthly Detail'!J4,"mmmm")</f>
        <v>July</v>
      </c>
      <c r="J10" s="501" t="str">
        <f>TEXT('Monthly Detail'!K4,"mmmm")</f>
        <v>August</v>
      </c>
      <c r="K10" s="238" t="str">
        <f>TEXT('Monthly Detail'!L4,"mmmm")</f>
        <v>September</v>
      </c>
      <c r="L10" s="321" t="str">
        <f>TEXT('Monthly Detail'!M4,"mmmm")</f>
        <v>October</v>
      </c>
      <c r="M10" s="238" t="str">
        <f>TEXT('Monthly Detail'!N4,"mmmm")</f>
        <v>November</v>
      </c>
      <c r="N10" s="238" t="str">
        <f>TEXT('Monthly Detail'!O4,"mmmm")</f>
        <v>December</v>
      </c>
      <c r="O10" s="239"/>
      <c r="P10" s="240" t="s">
        <v>0</v>
      </c>
    </row>
    <row r="11" spans="2:16" x14ac:dyDescent="0.25">
      <c r="B11" s="241"/>
      <c r="C11" s="91">
        <v>45322</v>
      </c>
      <c r="D11" s="91">
        <v>45351</v>
      </c>
      <c r="E11" s="91">
        <v>45382</v>
      </c>
      <c r="F11" s="91">
        <v>45412</v>
      </c>
      <c r="G11" s="91">
        <v>45443</v>
      </c>
      <c r="H11" s="91">
        <v>45473</v>
      </c>
      <c r="I11" s="91">
        <v>45504</v>
      </c>
      <c r="J11" s="91">
        <v>45535</v>
      </c>
      <c r="K11" s="91">
        <v>45565</v>
      </c>
      <c r="L11" s="91">
        <v>45596</v>
      </c>
      <c r="M11" s="91">
        <v>45626</v>
      </c>
      <c r="N11" s="91">
        <v>45657</v>
      </c>
      <c r="O11" s="91">
        <v>45322</v>
      </c>
      <c r="P11" s="186"/>
    </row>
    <row r="12" spans="2:16" x14ac:dyDescent="0.25">
      <c r="B12" s="242" t="s">
        <v>60</v>
      </c>
      <c r="C12" s="73">
        <f>SUMIF('Monthly Detail'!$4:$4, '2024 Overview (Rolling)'!C$11, 'Monthly Detail'!12:12)</f>
        <v>2885</v>
      </c>
      <c r="D12" s="73">
        <f>SUMIF('Monthly Detail'!$4:$4, '2024 Overview (Rolling)'!D$11, 'Monthly Detail'!12:12)</f>
        <v>4357.5</v>
      </c>
      <c r="E12" s="73">
        <f>SUMIF('Monthly Detail'!$4:$4, '2024 Overview (Rolling)'!E$11, 'Monthly Detail'!12:12)</f>
        <v>3467.5</v>
      </c>
      <c r="F12" s="73">
        <f>SUMIF('Monthly Detail'!$4:$4, '2024 Overview (Rolling)'!F$11, 'Monthly Detail'!12:12)</f>
        <v>4000</v>
      </c>
      <c r="G12" s="73">
        <f>SUMIF('Monthly Detail'!$4:$4, '2024 Overview (Rolling)'!G$11, 'Monthly Detail'!12:12)</f>
        <v>5370</v>
      </c>
      <c r="H12" s="73">
        <f>SUMIF('Monthly Detail'!$4:$4, '2024 Overview (Rolling)'!H$11, 'Monthly Detail'!12:12)</f>
        <v>4296.26</v>
      </c>
      <c r="I12" s="73">
        <f>SUMIF('Monthly Detail'!$4:$4, '2024 Overview (Rolling)'!I$11, 'Monthly Detail'!12:12)</f>
        <v>9031.27</v>
      </c>
      <c r="J12" s="73">
        <f>SUMIF('Monthly Detail'!$4:$4, '2024 Overview (Rolling)'!J$11, 'Monthly Detail'!12:12)</f>
        <v>14073.76</v>
      </c>
      <c r="K12" s="73">
        <f>SUMIF('Monthly Detail'!$4:$4, '2024 Overview (Rolling)'!K$11, 'Monthly Detail'!12:12)</f>
        <v>9897.5</v>
      </c>
      <c r="L12" s="73">
        <f>SUMIF('Monthly Detail'!$4:$4, '2024 Overview (Rolling)'!L$11, 'Monthly Detail'!12:12)</f>
        <v>17386.25</v>
      </c>
      <c r="M12" s="73">
        <f>SUMIF('Monthly Detail'!$4:$4, '2024 Overview (Rolling)'!M$11, 'Monthly Detail'!12:12)</f>
        <v>9563.75</v>
      </c>
      <c r="N12" s="73">
        <f>SUMIF('Monthly Detail'!$4:$4, '2024 Overview (Rolling)'!N$11, 'Monthly Detail'!12:12)</f>
        <v>5160</v>
      </c>
      <c r="O12" s="73"/>
      <c r="P12" s="243">
        <f>SUM(C12:O12)</f>
        <v>89488.790000000008</v>
      </c>
    </row>
    <row r="13" spans="2:16" x14ac:dyDescent="0.25">
      <c r="B13" s="242" t="s">
        <v>295</v>
      </c>
      <c r="C13" s="73">
        <f>SUMIF('Monthly Detail'!$4:$4, '2024 Overview (Rolling)'!C$11, 'Monthly Detail'!13:13)</f>
        <v>117</v>
      </c>
      <c r="D13" s="73">
        <f>SUMIF('Monthly Detail'!$4:$4, '2024 Overview (Rolling)'!D$11, 'Monthly Detail'!13:13)</f>
        <v>0</v>
      </c>
      <c r="E13" s="73">
        <f>SUMIF('Monthly Detail'!$4:$4, '2024 Overview (Rolling)'!E$11, 'Monthly Detail'!13:13)</f>
        <v>12</v>
      </c>
      <c r="F13" s="73">
        <f>SUMIF('Monthly Detail'!$4:$4, '2024 Overview (Rolling)'!F$11, 'Monthly Detail'!13:13)</f>
        <v>18</v>
      </c>
      <c r="G13" s="73">
        <f>SUMIF('Monthly Detail'!$4:$4, '2024 Overview (Rolling)'!G$11, 'Monthly Detail'!13:13)</f>
        <v>50.08</v>
      </c>
      <c r="H13" s="73">
        <f>SUMIF('Monthly Detail'!$4:$4, '2024 Overview (Rolling)'!H$11, 'Monthly Detail'!13:13)</f>
        <v>12</v>
      </c>
      <c r="I13" s="73">
        <f>SUMIF('Monthly Detail'!$4:$4, '2024 Overview (Rolling)'!I$11, 'Monthly Detail'!13:13)</f>
        <v>29.62</v>
      </c>
      <c r="J13" s="73">
        <f>SUMIF('Monthly Detail'!$4:$4, '2024 Overview (Rolling)'!J$11, 'Monthly Detail'!13:13)</f>
        <v>37.5</v>
      </c>
      <c r="K13" s="73">
        <f>SUMIF('Monthly Detail'!$4:$4, '2024 Overview (Rolling)'!K$11, 'Monthly Detail'!13:13)</f>
        <v>0</v>
      </c>
      <c r="L13" s="73">
        <f>SUMIF('Monthly Detail'!$4:$4, '2024 Overview (Rolling)'!L$11, 'Monthly Detail'!13:13)</f>
        <v>19.5</v>
      </c>
      <c r="M13" s="73">
        <f>SUMIF('Monthly Detail'!$4:$4, '2024 Overview (Rolling)'!M$11, 'Monthly Detail'!13:13)</f>
        <v>9.75</v>
      </c>
      <c r="N13" s="73">
        <f>SUMIF('Monthly Detail'!$4:$4, '2024 Overview (Rolling)'!N$11, 'Monthly Detail'!13:13)</f>
        <v>34</v>
      </c>
      <c r="O13" s="73"/>
      <c r="P13" s="243">
        <f>+SUM(C13:N13)</f>
        <v>339.45</v>
      </c>
    </row>
    <row r="14" spans="2:16" x14ac:dyDescent="0.25">
      <c r="B14" s="244" t="s">
        <v>7</v>
      </c>
      <c r="C14" s="74">
        <f>SUM(C12:C13)</f>
        <v>3002</v>
      </c>
      <c r="D14" s="74">
        <f t="shared" ref="D14:N14" si="0">SUM(D12:D13)</f>
        <v>4357.5</v>
      </c>
      <c r="E14" s="74">
        <f t="shared" si="0"/>
        <v>3479.5</v>
      </c>
      <c r="F14" s="74">
        <f t="shared" si="0"/>
        <v>4018</v>
      </c>
      <c r="G14" s="74">
        <f t="shared" si="0"/>
        <v>5420.08</v>
      </c>
      <c r="H14" s="74">
        <f t="shared" si="0"/>
        <v>4308.26</v>
      </c>
      <c r="I14" s="74">
        <f t="shared" si="0"/>
        <v>9060.8900000000012</v>
      </c>
      <c r="J14" s="502">
        <f t="shared" si="0"/>
        <v>14111.26</v>
      </c>
      <c r="K14" s="74">
        <f t="shared" si="0"/>
        <v>9897.5</v>
      </c>
      <c r="L14" s="74">
        <f t="shared" si="0"/>
        <v>17405.75</v>
      </c>
      <c r="M14" s="74">
        <f t="shared" si="0"/>
        <v>9573.5</v>
      </c>
      <c r="N14" s="245">
        <f t="shared" si="0"/>
        <v>5194</v>
      </c>
      <c r="O14" s="75"/>
      <c r="P14" s="457">
        <f>SUM(P12:P13)</f>
        <v>89828.24</v>
      </c>
    </row>
    <row r="15" spans="2:16" x14ac:dyDescent="0.25">
      <c r="B15" s="246" t="s">
        <v>66</v>
      </c>
      <c r="C15" s="224">
        <f>+'Monthly Detail'!AB17</f>
        <v>16</v>
      </c>
      <c r="D15" s="224">
        <f>+'Monthly Detail'!AC17</f>
        <v>15</v>
      </c>
      <c r="E15" s="224">
        <f>+'Monthly Detail'!AD17</f>
        <v>20</v>
      </c>
      <c r="F15" s="224">
        <f>+'Monthly Detail'!AE17</f>
        <v>17</v>
      </c>
      <c r="G15" s="224">
        <f>+'Monthly Detail'!AF17</f>
        <v>20</v>
      </c>
      <c r="H15" s="224">
        <f>+'Monthly Detail'!AG17</f>
        <v>24</v>
      </c>
      <c r="I15" s="224">
        <f>+'Monthly Detail'!AH17</f>
        <v>30</v>
      </c>
      <c r="J15" s="503">
        <f>+'Monthly Detail'!AI17</f>
        <v>38</v>
      </c>
      <c r="K15" s="224">
        <f>+'Monthly Detail'!AJ17</f>
        <v>42</v>
      </c>
      <c r="L15" s="224">
        <f>+'Monthly Detail'!AK17</f>
        <v>48</v>
      </c>
      <c r="M15" s="224">
        <f>+'Monthly Detail'!AL17</f>
        <v>44</v>
      </c>
      <c r="N15" s="328">
        <f>+'Monthly Detail'!AM17</f>
        <v>23</v>
      </c>
      <c r="O15" s="75"/>
      <c r="P15" s="247"/>
    </row>
    <row r="16" spans="2:16" x14ac:dyDescent="0.25">
      <c r="B16" s="454" t="s">
        <v>327</v>
      </c>
      <c r="C16" s="455">
        <f>+'Monthly Detail'!AB22</f>
        <v>34</v>
      </c>
      <c r="D16" s="455">
        <f>+'Monthly Detail'!AC22</f>
        <v>56</v>
      </c>
      <c r="E16" s="455">
        <f>+'Monthly Detail'!AD22</f>
        <v>36</v>
      </c>
      <c r="F16" s="455">
        <f>+'Monthly Detail'!AE22</f>
        <v>49</v>
      </c>
      <c r="G16" s="455">
        <f>+'Monthly Detail'!AF22</f>
        <v>76</v>
      </c>
      <c r="H16" s="455">
        <f>+'Monthly Detail'!AG22</f>
        <v>45</v>
      </c>
      <c r="I16" s="455">
        <f>+'Monthly Detail'!AH22</f>
        <v>118</v>
      </c>
      <c r="J16" s="504">
        <f>+'Monthly Detail'!AI22</f>
        <v>169</v>
      </c>
      <c r="K16" s="455">
        <f>+'Monthly Detail'!AJ22</f>
        <v>125</v>
      </c>
      <c r="L16" s="455">
        <f>+'Monthly Detail'!AK22</f>
        <v>173</v>
      </c>
      <c r="M16" s="455">
        <f>+'Monthly Detail'!AL22</f>
        <v>90</v>
      </c>
      <c r="N16" s="456">
        <f>+'Monthly Detail'!AM22</f>
        <v>50</v>
      </c>
      <c r="O16" s="75"/>
      <c r="P16" s="247"/>
    </row>
    <row r="17" spans="2:20" ht="7.15" customHeight="1" x14ac:dyDescent="0.25">
      <c r="B17" s="241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247"/>
    </row>
    <row r="18" spans="2:20" x14ac:dyDescent="0.25">
      <c r="B18" s="241" t="s">
        <v>325</v>
      </c>
      <c r="C18" s="76">
        <f>SUMIF('Monthly Detail'!$4:$4, '2025 Overview (Budget)'!C$11, 'Monthly Detail'!63:63)</f>
        <v>0</v>
      </c>
      <c r="D18" s="76">
        <f>SUMIF('Monthly Detail'!$4:$4, '2025 Overview (Budget)'!D$11, 'Monthly Detail'!63:63)</f>
        <v>450</v>
      </c>
      <c r="E18" s="76">
        <f>SUMIF('Monthly Detail'!$4:$4, '2025 Overview (Budget)'!E$11, 'Monthly Detail'!63:63)</f>
        <v>0</v>
      </c>
      <c r="F18" s="76">
        <f>SUMIF('Monthly Detail'!$4:$4, '2025 Overview (Budget)'!F$11, 'Monthly Detail'!63:63)</f>
        <v>0</v>
      </c>
      <c r="G18" s="76">
        <f>SUMIF('Monthly Detail'!$4:$4, '2025 Overview (Budget)'!G$11, 'Monthly Detail'!63:63)</f>
        <v>270</v>
      </c>
      <c r="H18" s="76">
        <f>SUMIF('Monthly Detail'!$4:$4, '2025 Overview (Budget)'!H$11, 'Monthly Detail'!63:63)</f>
        <v>0</v>
      </c>
      <c r="I18" s="76">
        <f>SUMIF('Monthly Detail'!$4:$4, '2025 Overview (Budget)'!I$11, 'Monthly Detail'!63:63)</f>
        <v>1582.5</v>
      </c>
      <c r="J18" s="76">
        <f>SUMIF('Monthly Detail'!$4:$4, '2025 Overview (Budget)'!J$11, 'Monthly Detail'!63:63)</f>
        <v>684</v>
      </c>
      <c r="K18" s="76">
        <f>SUMIF('Monthly Detail'!$4:$4, '2025 Overview (Budget)'!K$11, 'Monthly Detail'!63:63)</f>
        <v>4076.7400000000002</v>
      </c>
      <c r="L18" s="76">
        <f>SUMIF('Monthly Detail'!$4:$4, '2025 Overview (Budget)'!L$11, 'Monthly Detail'!63:63)</f>
        <v>6255</v>
      </c>
      <c r="M18" s="76">
        <f>SUMIF('Monthly Detail'!$4:$4, '2025 Overview (Budget)'!M$11, 'Monthly Detail'!63:63)</f>
        <v>0</v>
      </c>
      <c r="N18" s="76">
        <f>SUMIF('Monthly Detail'!$4:$4, '2025 Overview (Budget)'!N$11, 'Monthly Detail'!63:63)</f>
        <v>959.95423340961133</v>
      </c>
      <c r="P18" s="243">
        <f>SUM(C18:O18)</f>
        <v>14278.194233409611</v>
      </c>
    </row>
    <row r="19" spans="2:20" ht="15.75" x14ac:dyDescent="0.25">
      <c r="B19" s="248" t="s">
        <v>165</v>
      </c>
      <c r="C19" s="88">
        <f t="shared" ref="C19:N19" si="1">C14-C18</f>
        <v>3002</v>
      </c>
      <c r="D19" s="88">
        <f t="shared" si="1"/>
        <v>3907.5</v>
      </c>
      <c r="E19" s="88">
        <f t="shared" si="1"/>
        <v>3479.5</v>
      </c>
      <c r="F19" s="88">
        <f t="shared" si="1"/>
        <v>4018</v>
      </c>
      <c r="G19" s="88">
        <f t="shared" si="1"/>
        <v>5150.08</v>
      </c>
      <c r="H19" s="88">
        <f t="shared" si="1"/>
        <v>4308.26</v>
      </c>
      <c r="I19" s="88">
        <f t="shared" si="1"/>
        <v>7478.3900000000012</v>
      </c>
      <c r="J19" s="505">
        <f t="shared" si="1"/>
        <v>13427.26</v>
      </c>
      <c r="K19" s="88">
        <f t="shared" si="1"/>
        <v>5820.76</v>
      </c>
      <c r="L19" s="88">
        <f t="shared" si="1"/>
        <v>11150.75</v>
      </c>
      <c r="M19" s="88">
        <f t="shared" si="1"/>
        <v>9573.5</v>
      </c>
      <c r="N19" s="250">
        <f t="shared" si="1"/>
        <v>4234.0457665903887</v>
      </c>
      <c r="O19" s="249"/>
      <c r="P19" s="461">
        <f>P14-P18</f>
        <v>75550.045766590396</v>
      </c>
    </row>
    <row r="20" spans="2:20" x14ac:dyDescent="0.25">
      <c r="B20" s="458" t="s">
        <v>166</v>
      </c>
      <c r="C20" s="459">
        <f t="shared" ref="C20:N20" si="2">C19/C14</f>
        <v>1</v>
      </c>
      <c r="D20" s="459">
        <f t="shared" si="2"/>
        <v>0.89672977624784855</v>
      </c>
      <c r="E20" s="459">
        <f t="shared" si="2"/>
        <v>1</v>
      </c>
      <c r="F20" s="459">
        <f t="shared" si="2"/>
        <v>1</v>
      </c>
      <c r="G20" s="459">
        <f t="shared" si="2"/>
        <v>0.9501852371182713</v>
      </c>
      <c r="H20" s="459">
        <f t="shared" si="2"/>
        <v>1</v>
      </c>
      <c r="I20" s="459">
        <f t="shared" si="2"/>
        <v>0.82534828256385417</v>
      </c>
      <c r="J20" s="459">
        <f t="shared" si="2"/>
        <v>0.95152807049122479</v>
      </c>
      <c r="K20" s="459">
        <f t="shared" si="2"/>
        <v>0.58810406668350601</v>
      </c>
      <c r="L20" s="459">
        <f t="shared" si="2"/>
        <v>0.64063599672522009</v>
      </c>
      <c r="M20" s="459">
        <f t="shared" si="2"/>
        <v>1</v>
      </c>
      <c r="N20" s="460">
        <f t="shared" si="2"/>
        <v>0.81518016299391383</v>
      </c>
      <c r="O20" s="7"/>
      <c r="P20" s="462">
        <f>P19/P14</f>
        <v>0.84105005025803015</v>
      </c>
    </row>
    <row r="21" spans="2:20" ht="6.4" customHeight="1" x14ac:dyDescent="0.25">
      <c r="B21" s="241"/>
      <c r="P21" s="186"/>
    </row>
    <row r="22" spans="2:20" x14ac:dyDescent="0.25">
      <c r="B22" s="241" t="s">
        <v>273</v>
      </c>
      <c r="C22" s="73">
        <f>SUMIF('Monthly Detail'!$4:$4, '2024 Overview (Rolling)'!C$11, 'Monthly Detail'!$70:$70)</f>
        <v>0</v>
      </c>
      <c r="D22" s="73">
        <f>SUMIF('Monthly Detail'!$4:$4, '2024 Overview (Rolling)'!D$11, 'Monthly Detail'!$70:$70)</f>
        <v>1179.44</v>
      </c>
      <c r="E22" s="73">
        <f>SUMIF('Monthly Detail'!$4:$4, '2024 Overview (Rolling)'!E$11, 'Monthly Detail'!$70:$70)</f>
        <v>0</v>
      </c>
      <c r="F22" s="73">
        <f>SUMIF('Monthly Detail'!$4:$4, '2024 Overview (Rolling)'!F$11, 'Monthly Detail'!$70:$70)</f>
        <v>2400</v>
      </c>
      <c r="G22" s="73">
        <f>SUMIF('Monthly Detail'!$4:$4, '2024 Overview (Rolling)'!G$11, 'Monthly Detail'!$70:$70)</f>
        <v>0</v>
      </c>
      <c r="H22" s="73">
        <f>SUMIF('Monthly Detail'!$4:$4, '2024 Overview (Rolling)'!H$11, 'Monthly Detail'!$70:$70)</f>
        <v>665.56</v>
      </c>
      <c r="I22" s="73">
        <f>SUMIF('Monthly Detail'!$4:$4, '2024 Overview (Rolling)'!I$11, 'Monthly Detail'!$70:$70)</f>
        <v>0</v>
      </c>
      <c r="J22" s="73">
        <f>SUMIF('Monthly Detail'!$4:$4, '2024 Overview (Rolling)'!J$11, 'Monthly Detail'!$70:$70)</f>
        <v>0</v>
      </c>
      <c r="K22" s="73">
        <f>SUMIF('Monthly Detail'!$4:$4, '2024 Overview (Rolling)'!K$11, 'Monthly Detail'!$70:$70)</f>
        <v>0</v>
      </c>
      <c r="L22" s="73">
        <f>SUMIF('Monthly Detail'!$4:$4, '2024 Overview (Rolling)'!L$11, 'Monthly Detail'!$70:$70)</f>
        <v>0</v>
      </c>
      <c r="M22" s="73">
        <f>SUMIF('Monthly Detail'!$4:$4, '2024 Overview (Rolling)'!M$11, 'Monthly Detail'!$70:$70)</f>
        <v>0</v>
      </c>
      <c r="N22" s="73">
        <f>SUMIF('Monthly Detail'!$4:$4, '2024 Overview (Rolling)'!N$11, 'Monthly Detail'!$70:$70)</f>
        <v>0</v>
      </c>
      <c r="P22" s="243">
        <f>SUM(C22:O22)</f>
        <v>4245</v>
      </c>
      <c r="T22" s="1"/>
    </row>
    <row r="23" spans="2:20" x14ac:dyDescent="0.25">
      <c r="B23" s="241" t="s">
        <v>203</v>
      </c>
      <c r="C23" s="73">
        <f>SUMIF('Monthly Detail'!$4:$4, '2024 Overview (Rolling)'!C$11, 'Monthly Detail'!$93:$93)</f>
        <v>417.24</v>
      </c>
      <c r="D23" s="73">
        <f>SUMIF('Monthly Detail'!$4:$4, '2024 Overview (Rolling)'!D$11, 'Monthly Detail'!$93:$93)</f>
        <v>436.02</v>
      </c>
      <c r="E23" s="73">
        <f>SUMIF('Monthly Detail'!$4:$4, '2024 Overview (Rolling)'!E$11, 'Monthly Detail'!$93:$93)</f>
        <v>943.03</v>
      </c>
      <c r="F23" s="73">
        <f>SUMIF('Monthly Detail'!$4:$4, '2024 Overview (Rolling)'!F$11, 'Monthly Detail'!$93:$93)</f>
        <v>382.79999999999995</v>
      </c>
      <c r="G23" s="73">
        <f>SUMIF('Monthly Detail'!$4:$4, '2024 Overview (Rolling)'!G$11, 'Monthly Detail'!$93:$93)</f>
        <v>689.94999999999993</v>
      </c>
      <c r="H23" s="73">
        <f>SUMIF('Monthly Detail'!$4:$4, '2024 Overview (Rolling)'!H$11, 'Monthly Detail'!$93:$93)</f>
        <v>913.86</v>
      </c>
      <c r="I23" s="73">
        <f>SUMIF('Monthly Detail'!$4:$4, '2024 Overview (Rolling)'!I$11, 'Monthly Detail'!$93:$93)</f>
        <v>2146.7599999999998</v>
      </c>
      <c r="J23" s="73">
        <f>SUMIF('Monthly Detail'!$4:$4, '2024 Overview (Rolling)'!J$11, 'Monthly Detail'!$93:$93)</f>
        <v>1446.3200000000002</v>
      </c>
      <c r="K23" s="73">
        <f>SUMIF('Monthly Detail'!$4:$4, '2024 Overview (Rolling)'!K$11, 'Monthly Detail'!$93:$93)</f>
        <v>878.64</v>
      </c>
      <c r="L23" s="73">
        <f>SUMIF('Monthly Detail'!$4:$4, '2024 Overview (Rolling)'!L$11, 'Monthly Detail'!$93:$93)</f>
        <v>1580.87</v>
      </c>
      <c r="M23" s="73">
        <f>SUMIF('Monthly Detail'!$4:$4, '2024 Overview (Rolling)'!M$11, 'Monthly Detail'!$93:$93)</f>
        <v>2040.0100000000002</v>
      </c>
      <c r="N23" s="73">
        <f>SUMIF('Monthly Detail'!$4:$4, '2024 Overview (Rolling)'!N$11, 'Monthly Detail'!$93:$93)</f>
        <v>620.20999999999992</v>
      </c>
      <c r="P23" s="243">
        <f>SUM(C23:O23)</f>
        <v>12495.709999999997</v>
      </c>
    </row>
    <row r="24" spans="2:20" x14ac:dyDescent="0.25">
      <c r="B24" s="463" t="s">
        <v>167</v>
      </c>
      <c r="C24" s="464">
        <f t="shared" ref="C24" si="3">SUM(C23:C23)</f>
        <v>417.24</v>
      </c>
      <c r="D24" s="464">
        <f>SUM(D22:D23)</f>
        <v>1615.46</v>
      </c>
      <c r="E24" s="464">
        <f t="shared" ref="E24:N24" si="4">SUM(E22:E23)</f>
        <v>943.03</v>
      </c>
      <c r="F24" s="464">
        <f t="shared" si="4"/>
        <v>2782.8</v>
      </c>
      <c r="G24" s="464">
        <f t="shared" si="4"/>
        <v>689.94999999999993</v>
      </c>
      <c r="H24" s="464">
        <f t="shared" si="4"/>
        <v>1579.42</v>
      </c>
      <c r="I24" s="464">
        <f t="shared" si="4"/>
        <v>2146.7599999999998</v>
      </c>
      <c r="J24" s="506">
        <f t="shared" si="4"/>
        <v>1446.3200000000002</v>
      </c>
      <c r="K24" s="464">
        <f t="shared" si="4"/>
        <v>878.64</v>
      </c>
      <c r="L24" s="464">
        <f t="shared" si="4"/>
        <v>1580.87</v>
      </c>
      <c r="M24" s="464">
        <f t="shared" si="4"/>
        <v>2040.0100000000002</v>
      </c>
      <c r="N24" s="465">
        <f t="shared" si="4"/>
        <v>620.20999999999992</v>
      </c>
      <c r="O24" s="254"/>
      <c r="P24" s="466">
        <f>SUM(P22:P23)</f>
        <v>16740.71</v>
      </c>
    </row>
    <row r="25" spans="2:20" ht="4.9000000000000004" customHeight="1" x14ac:dyDescent="0.25">
      <c r="B25" s="241"/>
      <c r="P25" s="186"/>
    </row>
    <row r="26" spans="2:20" ht="15.75" x14ac:dyDescent="0.25">
      <c r="B26" s="248" t="s">
        <v>168</v>
      </c>
      <c r="C26" s="88">
        <f t="shared" ref="C26:N26" si="5">C19-C24</f>
        <v>2584.7600000000002</v>
      </c>
      <c r="D26" s="88">
        <f>D19-D24</f>
        <v>2292.04</v>
      </c>
      <c r="E26" s="88">
        <f t="shared" si="5"/>
        <v>2536.4700000000003</v>
      </c>
      <c r="F26" s="88">
        <f t="shared" si="5"/>
        <v>1235.1999999999998</v>
      </c>
      <c r="G26" s="88">
        <f t="shared" si="5"/>
        <v>4460.13</v>
      </c>
      <c r="H26" s="88">
        <f t="shared" si="5"/>
        <v>2728.84</v>
      </c>
      <c r="I26" s="88">
        <f t="shared" si="5"/>
        <v>5331.630000000001</v>
      </c>
      <c r="J26" s="505">
        <f t="shared" si="5"/>
        <v>11980.94</v>
      </c>
      <c r="K26" s="88">
        <f t="shared" si="5"/>
        <v>4942.12</v>
      </c>
      <c r="L26" s="88">
        <f t="shared" si="5"/>
        <v>9569.880000000001</v>
      </c>
      <c r="M26" s="88">
        <f t="shared" si="5"/>
        <v>7533.49</v>
      </c>
      <c r="N26" s="250">
        <f t="shared" si="5"/>
        <v>3613.8357665903886</v>
      </c>
      <c r="O26" s="249"/>
      <c r="P26" s="461">
        <f>P19-P24</f>
        <v>58809.335766590397</v>
      </c>
    </row>
    <row r="27" spans="2:20" x14ac:dyDescent="0.25">
      <c r="B27" s="458" t="s">
        <v>169</v>
      </c>
      <c r="C27" s="459">
        <f t="shared" ref="C27:N27" si="6">C26/C14</f>
        <v>0.86101265822784823</v>
      </c>
      <c r="D27" s="459">
        <f t="shared" si="6"/>
        <v>0.52599885255306944</v>
      </c>
      <c r="E27" s="459">
        <f t="shared" si="6"/>
        <v>0.72897542750395183</v>
      </c>
      <c r="F27" s="459">
        <f t="shared" si="6"/>
        <v>0.30741662518665996</v>
      </c>
      <c r="G27" s="459">
        <f t="shared" si="6"/>
        <v>0.82289006804327613</v>
      </c>
      <c r="H27" s="459">
        <f t="shared" si="6"/>
        <v>0.6333972415778063</v>
      </c>
      <c r="I27" s="459">
        <f t="shared" si="6"/>
        <v>0.58842232937382533</v>
      </c>
      <c r="J27" s="459">
        <f t="shared" si="6"/>
        <v>0.84903403381413145</v>
      </c>
      <c r="K27" s="459">
        <f t="shared" si="6"/>
        <v>0.49933013387218994</v>
      </c>
      <c r="L27" s="459">
        <f t="shared" si="6"/>
        <v>0.549811412895164</v>
      </c>
      <c r="M27" s="459">
        <f t="shared" si="6"/>
        <v>0.78691074319736776</v>
      </c>
      <c r="N27" s="460">
        <f t="shared" si="6"/>
        <v>0.69577122960923921</v>
      </c>
      <c r="O27" s="7"/>
      <c r="P27" s="462">
        <f>P26/P14</f>
        <v>0.65468649688105207</v>
      </c>
    </row>
    <row r="28" spans="2:20" ht="7.9" customHeight="1" x14ac:dyDescent="0.25">
      <c r="B28" s="256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P28" s="257"/>
    </row>
    <row r="29" spans="2:20" x14ac:dyDescent="0.25">
      <c r="B29" s="241" t="s">
        <v>170</v>
      </c>
      <c r="C29" s="132">
        <f>SUMIF('Monthly Detail'!$4:$4, '2024 Overview (Rolling)'!C$11, 'Monthly Detail'!107:107)</f>
        <v>0</v>
      </c>
      <c r="D29" s="132">
        <f>SUMIF('Monthly Detail'!$4:$4, '2024 Overview (Rolling)'!D$11, 'Monthly Detail'!107:107)</f>
        <v>0</v>
      </c>
      <c r="E29" s="132">
        <f>SUMIF('Monthly Detail'!$4:$4, '2024 Overview (Rolling)'!E$11, 'Monthly Detail'!107:107)</f>
        <v>0</v>
      </c>
      <c r="F29" s="132">
        <f>SUMIF('Monthly Detail'!$4:$4, '2024 Overview (Rolling)'!F$11, 'Monthly Detail'!107:107)</f>
        <v>0</v>
      </c>
      <c r="G29" s="132">
        <f>SUMIF('Monthly Detail'!$4:$4, '2024 Overview (Rolling)'!G$11, 'Monthly Detail'!107:107)</f>
        <v>0</v>
      </c>
      <c r="H29" s="132">
        <f>SUMIF('Monthly Detail'!$4:$4, '2024 Overview (Rolling)'!H$11, 'Monthly Detail'!107:107)</f>
        <v>-690.26</v>
      </c>
      <c r="I29" s="132">
        <f>SUMIF('Monthly Detail'!$4:$4, '2024 Overview (Rolling)'!I$11, 'Monthly Detail'!107:107)</f>
        <v>-715.26</v>
      </c>
      <c r="J29" s="507">
        <f>SUMIF('Monthly Detail'!$4:$4, '2024 Overview (Rolling)'!J$11, 'Monthly Detail'!107:107)</f>
        <v>-639.19000000000005</v>
      </c>
      <c r="K29" s="132">
        <f>SUMIF('Monthly Detail'!$4:$4, '2024 Overview (Rolling)'!K$11, 'Monthly Detail'!107:107)</f>
        <v>-719.18</v>
      </c>
      <c r="L29" s="132">
        <f>SUMIF('Monthly Detail'!$4:$4, '2024 Overview (Rolling)'!L$11, 'Monthly Detail'!107:107)</f>
        <v>-731.63</v>
      </c>
      <c r="M29" s="132">
        <f>SUMIF('Monthly Detail'!$4:$4, '2024 Overview (Rolling)'!M$11, 'Monthly Detail'!107:107)</f>
        <v>-732.67000000000007</v>
      </c>
      <c r="N29" s="132">
        <f>SUMIF('Monthly Detail'!$4:$4, '2024 Overview (Rolling)'!N$11, 'Monthly Detail'!107:107)</f>
        <v>-790.04</v>
      </c>
      <c r="O29" s="132"/>
      <c r="P29" s="187">
        <f>SUM(C29:O29)</f>
        <v>-5018.2300000000005</v>
      </c>
    </row>
    <row r="30" spans="2:20" ht="15.75" x14ac:dyDescent="0.25">
      <c r="B30" s="248" t="s">
        <v>16</v>
      </c>
      <c r="C30" s="88">
        <f t="shared" ref="C30:N30" si="7">C26+SUM(C29:C29)</f>
        <v>2584.7600000000002</v>
      </c>
      <c r="D30" s="88">
        <f t="shared" si="7"/>
        <v>2292.04</v>
      </c>
      <c r="E30" s="88">
        <f t="shared" si="7"/>
        <v>2536.4700000000003</v>
      </c>
      <c r="F30" s="88">
        <f t="shared" si="7"/>
        <v>1235.1999999999998</v>
      </c>
      <c r="G30" s="88">
        <f t="shared" si="7"/>
        <v>4460.13</v>
      </c>
      <c r="H30" s="88">
        <f t="shared" si="7"/>
        <v>2038.5800000000002</v>
      </c>
      <c r="I30" s="88">
        <f t="shared" si="7"/>
        <v>4616.3700000000008</v>
      </c>
      <c r="J30" s="505">
        <f t="shared" si="7"/>
        <v>11341.75</v>
      </c>
      <c r="K30" s="88">
        <f t="shared" si="7"/>
        <v>4222.9399999999996</v>
      </c>
      <c r="L30" s="88">
        <f t="shared" si="7"/>
        <v>8838.2500000000018</v>
      </c>
      <c r="M30" s="88">
        <f t="shared" si="7"/>
        <v>6800.82</v>
      </c>
      <c r="N30" s="250">
        <f t="shared" si="7"/>
        <v>2823.7957665903887</v>
      </c>
      <c r="O30" s="249"/>
      <c r="P30" s="461">
        <f>P26+SUM(P29:P29)</f>
        <v>53791.105766590394</v>
      </c>
    </row>
    <row r="31" spans="2:20" x14ac:dyDescent="0.25">
      <c r="B31" s="251" t="s">
        <v>171</v>
      </c>
      <c r="C31" s="90">
        <f t="shared" ref="C31:N31" si="8">C30/C14</f>
        <v>0.86101265822784823</v>
      </c>
      <c r="D31" s="90">
        <f t="shared" si="8"/>
        <v>0.52599885255306944</v>
      </c>
      <c r="E31" s="90">
        <f t="shared" si="8"/>
        <v>0.72897542750395183</v>
      </c>
      <c r="F31" s="90">
        <f t="shared" si="8"/>
        <v>0.30741662518665996</v>
      </c>
      <c r="G31" s="90">
        <f t="shared" si="8"/>
        <v>0.82289006804327613</v>
      </c>
      <c r="H31" s="90">
        <f t="shared" si="8"/>
        <v>0.47317942742545716</v>
      </c>
      <c r="I31" s="90">
        <f t="shared" si="8"/>
        <v>0.5094830640257193</v>
      </c>
      <c r="J31" s="90">
        <f t="shared" si="8"/>
        <v>0.8037375826113331</v>
      </c>
      <c r="K31" s="90">
        <f t="shared" si="8"/>
        <v>0.42666734023743363</v>
      </c>
      <c r="L31" s="90">
        <f t="shared" si="8"/>
        <v>0.50777760222914847</v>
      </c>
      <c r="M31" s="90">
        <f t="shared" si="8"/>
        <v>0.71037969394683242</v>
      </c>
      <c r="N31" s="252">
        <f t="shared" si="8"/>
        <v>0.54366495313638596</v>
      </c>
      <c r="O31" s="7"/>
      <c r="P31" s="469">
        <f>P30/P14</f>
        <v>0.59882177104427725</v>
      </c>
    </row>
    <row r="32" spans="2:20" x14ac:dyDescent="0.25">
      <c r="B32" s="251" t="s">
        <v>280</v>
      </c>
      <c r="C32" s="281">
        <f>+'Monthly Detail'!AB147-'Monthly Detail'!AA147</f>
        <v>0</v>
      </c>
      <c r="D32" s="281">
        <f>+'Monthly Detail'!AC147-'Monthly Detail'!AB147</f>
        <v>0</v>
      </c>
      <c r="E32" s="281">
        <f>+'Monthly Detail'!AD147-'Monthly Detail'!AC147</f>
        <v>0</v>
      </c>
      <c r="F32" s="281">
        <f>+'Monthly Detail'!AE147-'Monthly Detail'!AD147</f>
        <v>2400</v>
      </c>
      <c r="G32" s="281">
        <f>+'Monthly Detail'!AF147-'Monthly Detail'!AE147</f>
        <v>0</v>
      </c>
      <c r="H32" s="281">
        <f>+'Monthly Detail'!AG147-'Monthly Detail'!AF147</f>
        <v>0</v>
      </c>
      <c r="I32" s="281">
        <f>+'Monthly Detail'!AH147-'Monthly Detail'!AG147</f>
        <v>0</v>
      </c>
      <c r="J32" s="281">
        <f>+'Monthly Detail'!AI147-'Monthly Detail'!AH147</f>
        <v>0</v>
      </c>
      <c r="K32" s="281">
        <f>+'Monthly Detail'!AJ147-'Monthly Detail'!AI147</f>
        <v>0</v>
      </c>
      <c r="L32" s="281">
        <f>+'Monthly Detail'!AK147-'Monthly Detail'!AJ147</f>
        <v>0</v>
      </c>
      <c r="M32" s="281">
        <f>+'Monthly Detail'!AL147-'Monthly Detail'!AK147</f>
        <v>0</v>
      </c>
      <c r="N32" s="282">
        <f>+'Monthly Detail'!AM147-'Monthly Detail'!AL147</f>
        <v>0</v>
      </c>
      <c r="O32" s="7"/>
      <c r="P32" s="470">
        <f>+SUM(C32:N32)</f>
        <v>2400</v>
      </c>
    </row>
    <row r="33" spans="2:16" x14ac:dyDescent="0.25">
      <c r="B33" s="251" t="s">
        <v>301</v>
      </c>
      <c r="C33" s="281">
        <f>+'Monthly Detail'!AB148-'Monthly Detail'!AA148</f>
        <v>-1900</v>
      </c>
      <c r="D33" s="281">
        <f>+'Monthly Detail'!AC148-'Monthly Detail'!AB148</f>
        <v>-3325</v>
      </c>
      <c r="E33" s="281">
        <f>+'Monthly Detail'!AD148-'Monthly Detail'!AC148</f>
        <v>-3220</v>
      </c>
      <c r="F33" s="281">
        <f>+'Monthly Detail'!AE148-'Monthly Detail'!AD148</f>
        <v>-2325</v>
      </c>
      <c r="G33" s="281">
        <f>+'Monthly Detail'!AF148-'Monthly Detail'!AE148</f>
        <v>-4100</v>
      </c>
      <c r="H33" s="281">
        <f>+'Monthly Detail'!AG148-'Monthly Detail'!AF148</f>
        <v>-2750</v>
      </c>
      <c r="I33" s="281">
        <f>+'Monthly Detail'!AH148-'Monthly Detail'!AG148</f>
        <v>-2903.9499999999971</v>
      </c>
      <c r="J33" s="281">
        <f>+'Monthly Detail'!AI148-'Monthly Detail'!AH148</f>
        <v>-9775</v>
      </c>
      <c r="K33" s="281">
        <f>+'Monthly Detail'!AJ148-'Monthly Detail'!AI148</f>
        <v>-6767.5</v>
      </c>
      <c r="L33" s="281">
        <f>+'Monthly Detail'!AK148-'Monthly Detail'!AJ148</f>
        <v>-12500</v>
      </c>
      <c r="M33" s="281">
        <f>+'Monthly Detail'!AL148-'Monthly Detail'!AK148</f>
        <v>-7780</v>
      </c>
      <c r="N33" s="282">
        <f>+'Monthly Detail'!AM148-'Monthly Detail'!AL148</f>
        <v>-7452.4100000000035</v>
      </c>
      <c r="O33" s="7"/>
      <c r="P33" s="470">
        <f>+SUM(C33:N33)</f>
        <v>-64798.86</v>
      </c>
    </row>
    <row r="34" spans="2:16" x14ac:dyDescent="0.25">
      <c r="B34" s="458" t="s">
        <v>300</v>
      </c>
      <c r="C34" s="467">
        <f>+(C30)*0.153</f>
        <v>395.46828000000005</v>
      </c>
      <c r="D34" s="467">
        <f>+C34+((D26)*0.153)</f>
        <v>746.15039999999999</v>
      </c>
      <c r="E34" s="467">
        <f t="shared" ref="E34:N34" si="9">+D34+((E26)*0.153)</f>
        <v>1134.2303099999999</v>
      </c>
      <c r="F34" s="467">
        <f t="shared" si="9"/>
        <v>1323.2159099999999</v>
      </c>
      <c r="G34" s="467">
        <f t="shared" si="9"/>
        <v>2005.6158</v>
      </c>
      <c r="H34" s="467">
        <f t="shared" si="9"/>
        <v>2423.1283199999998</v>
      </c>
      <c r="I34" s="467">
        <f t="shared" si="9"/>
        <v>3238.86771</v>
      </c>
      <c r="J34" s="467">
        <f t="shared" si="9"/>
        <v>5071.9515300000003</v>
      </c>
      <c r="K34" s="467">
        <f t="shared" si="9"/>
        <v>5828.0958900000005</v>
      </c>
      <c r="L34" s="467">
        <f t="shared" si="9"/>
        <v>7292.2875300000005</v>
      </c>
      <c r="M34" s="467">
        <f t="shared" si="9"/>
        <v>8444.9115000000002</v>
      </c>
      <c r="N34" s="468">
        <f t="shared" si="9"/>
        <v>8997.8283722883298</v>
      </c>
      <c r="O34" s="382"/>
      <c r="P34" s="569">
        <f>+N34</f>
        <v>8997.8283722883298</v>
      </c>
    </row>
    <row r="35" spans="2:16" ht="15.75" thickBot="1" x14ac:dyDescent="0.3">
      <c r="B35" s="241"/>
      <c r="H35" s="9"/>
      <c r="M35" s="109"/>
      <c r="P35" s="186"/>
    </row>
    <row r="36" spans="2:16" x14ac:dyDescent="0.25">
      <c r="B36" s="258" t="s">
        <v>172</v>
      </c>
      <c r="C36" s="84">
        <f>SUMIF('Monthly Detail'!$4:$4, '2024 Overview (Rolling)'!C$11, 'Monthly Detail'!172:172)</f>
        <v>1291.7799999999991</v>
      </c>
      <c r="D36" s="160">
        <f>SUMIF('Monthly Detail'!$4:$4, '2024 Overview (Rolling)'!D$11, 'Monthly Detail'!172:172)</f>
        <v>551.31999999999903</v>
      </c>
      <c r="E36" s="160">
        <f>SUMIF('Monthly Detail'!$4:$4, '2024 Overview (Rolling)'!E$11, 'Monthly Detail'!172:172)</f>
        <v>177.78999999999928</v>
      </c>
      <c r="F36" s="160">
        <f>SUMIF('Monthly Detail'!$4:$4, '2024 Overview (Rolling)'!F$11, 'Monthly Detail'!172:172)</f>
        <v>1342.9899999999991</v>
      </c>
      <c r="G36" s="160">
        <f>SUMIF('Monthly Detail'!$4:$4, '2024 Overview (Rolling)'!G$11, 'Monthly Detail'!172:172)</f>
        <v>1278.089999999999</v>
      </c>
      <c r="H36" s="160">
        <f>SUMIF('Monthly Detail'!$4:$4, '2024 Overview (Rolling)'!H$11, 'Monthly Detail'!172:172)</f>
        <v>1615.6999999999991</v>
      </c>
      <c r="I36" s="160">
        <f>SUMIF('Monthly Detail'!$4:$4, '2024 Overview (Rolling)'!I$11, 'Monthly Detail'!172:172)</f>
        <v>3158.9800000000023</v>
      </c>
      <c r="J36" s="508">
        <f>SUMIF('Monthly Detail'!$4:$4, '2024 Overview (Rolling)'!J$11, 'Monthly Detail'!172:172)</f>
        <v>3192.6000000000031</v>
      </c>
      <c r="K36" s="160">
        <f>SUMIF('Monthly Detail'!$4:$4, '2024 Overview (Rolling)'!K$11, 'Monthly Detail'!172:172)</f>
        <v>4237.5200000000032</v>
      </c>
      <c r="L36" s="510">
        <f>SUMIF('Monthly Detail'!$4:$4, '2024 Overview (Rolling)'!L$11, 'Monthly Detail'!172:172)</f>
        <v>5429.6700000000046</v>
      </c>
      <c r="M36" s="160">
        <f>SUMIF('Monthly Detail'!$4:$4, '2024 Overview (Rolling)'!M$11, 'Monthly Detail'!172:172)</f>
        <v>3714.4000000000042</v>
      </c>
      <c r="N36" s="84">
        <f>SUMIF('Monthly Detail'!$4:$4, '2024 Overview (Rolling)'!N$11, 'Monthly Detail'!172:172)</f>
        <v>292.83000000000084</v>
      </c>
      <c r="P36" s="186"/>
    </row>
    <row r="37" spans="2:16" x14ac:dyDescent="0.25">
      <c r="B37" s="259" t="s">
        <v>173</v>
      </c>
      <c r="C37" s="261">
        <f>SUMIF('Monthly Detail'!$4:$4, '2024 Overview (Rolling)'!C$11, 'Monthly Detail'!169:169)</f>
        <v>294.76000000000022</v>
      </c>
      <c r="D37" s="260">
        <f>SUMIF('Monthly Detail'!$4:$4, '2024 Overview (Rolling)'!D$11, 'Monthly Detail'!169:169)</f>
        <v>-740.46</v>
      </c>
      <c r="E37" s="260">
        <f>SUMIF('Monthly Detail'!$4:$4, '2024 Overview (Rolling)'!E$11, 'Monthly Detail'!169:169)</f>
        <v>-373.52999999999975</v>
      </c>
      <c r="F37" s="260">
        <f>SUMIF('Monthly Detail'!$4:$4, '2024 Overview (Rolling)'!F$11, 'Monthly Detail'!169:169)</f>
        <v>1165.1999999999998</v>
      </c>
      <c r="G37" s="260">
        <f>SUMIF('Monthly Detail'!$4:$4, '2024 Overview (Rolling)'!G$11, 'Monthly Detail'!169:169)</f>
        <v>-64.900000000000091</v>
      </c>
      <c r="H37" s="260">
        <f>SUMIF('Monthly Detail'!$4:$4, '2024 Overview (Rolling)'!H$11, 'Monthly Detail'!169:169)</f>
        <v>337.61000000000013</v>
      </c>
      <c r="I37" s="260">
        <f>SUMIF('Monthly Detail'!$4:$4, '2024 Overview (Rolling)'!I$11, 'Monthly Detail'!169:169)</f>
        <v>1543.2800000000034</v>
      </c>
      <c r="J37" s="509">
        <f>SUMIF('Monthly Detail'!$4:$4, '2024 Overview (Rolling)'!J$11, 'Monthly Detail'!169:169)</f>
        <v>33.6200000000008</v>
      </c>
      <c r="K37" s="260">
        <f>SUMIF('Monthly Detail'!$4:$4, '2024 Overview (Rolling)'!K$11, 'Monthly Detail'!169:169)</f>
        <v>1044.92</v>
      </c>
      <c r="L37" s="511">
        <f>SUMIF('Monthly Detail'!$4:$4, '2024 Overview (Rolling)'!L$11, 'Monthly Detail'!169:169)</f>
        <v>1192.1500000000015</v>
      </c>
      <c r="M37" s="260">
        <f>SUMIF('Monthly Detail'!$4:$4, '2024 Overview (Rolling)'!M$11, 'Monthly Detail'!169:169)</f>
        <v>-1715.2700000000004</v>
      </c>
      <c r="N37" s="261">
        <f>SUMIF('Monthly Detail'!$4:$4, '2024 Overview (Rolling)'!N$11, 'Monthly Detail'!169:169)</f>
        <v>-3421.5700000000033</v>
      </c>
      <c r="O37" s="262"/>
      <c r="P37" s="263"/>
    </row>
    <row r="38" spans="2:16" x14ac:dyDescent="0.25">
      <c r="E38" s="9"/>
    </row>
  </sheetData>
  <mergeCells count="1">
    <mergeCell ref="B8:P8"/>
  </mergeCells>
  <pageMargins left="0.25" right="0.25" top="0.75" bottom="0.75" header="0.3" footer="0.3"/>
  <pageSetup scale="55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6506-3FAF-47D0-ABD4-7EC31347B89F}">
  <sheetPr>
    <tabColor theme="1"/>
    <pageSetUpPr fitToPage="1"/>
  </sheetPr>
  <dimension ref="B10:T33"/>
  <sheetViews>
    <sheetView showGridLines="0" zoomScale="90" zoomScaleNormal="90" workbookViewId="0">
      <selection activeCell="C12" sqref="C12"/>
    </sheetView>
  </sheetViews>
  <sheetFormatPr defaultColWidth="8.7109375" defaultRowHeight="15" x14ac:dyDescent="0.25"/>
  <cols>
    <col min="2" max="2" width="34" bestFit="1" customWidth="1"/>
    <col min="3" max="3" width="12.7109375" bestFit="1" customWidth="1"/>
    <col min="4" max="4" width="13.7109375" bestFit="1" customWidth="1"/>
    <col min="5" max="6" width="14.28515625" bestFit="1" customWidth="1"/>
    <col min="7" max="7" width="15.28515625" bestFit="1" customWidth="1"/>
    <col min="8" max="8" width="15.7109375" bestFit="1" customWidth="1"/>
    <col min="9" max="9" width="15.28515625" bestFit="1" customWidth="1"/>
    <col min="10" max="10" width="14.7109375" bestFit="1" customWidth="1"/>
    <col min="11" max="11" width="15.28515625" bestFit="1" customWidth="1"/>
    <col min="12" max="14" width="15.7109375" bestFit="1" customWidth="1"/>
    <col min="15" max="15" width="9.42578125" bestFit="1" customWidth="1"/>
    <col min="16" max="16" width="13.7109375" bestFit="1" customWidth="1"/>
  </cols>
  <sheetData>
    <row r="10" spans="2:16" ht="15.75" x14ac:dyDescent="0.25">
      <c r="B10" s="68"/>
      <c r="C10" s="69" t="s">
        <v>245</v>
      </c>
      <c r="D10" s="69" t="s">
        <v>246</v>
      </c>
      <c r="E10" s="69" t="s">
        <v>247</v>
      </c>
      <c r="F10" s="69" t="s">
        <v>248</v>
      </c>
      <c r="G10" s="69" t="s">
        <v>249</v>
      </c>
      <c r="H10" s="69" t="s">
        <v>250</v>
      </c>
      <c r="I10" s="69" t="s">
        <v>251</v>
      </c>
      <c r="J10" s="69" t="s">
        <v>252</v>
      </c>
      <c r="K10" s="69" t="s">
        <v>253</v>
      </c>
      <c r="L10" s="69" t="s">
        <v>254</v>
      </c>
      <c r="M10" s="69" t="s">
        <v>255</v>
      </c>
      <c r="N10" s="69" t="s">
        <v>256</v>
      </c>
      <c r="O10" s="70"/>
      <c r="P10" s="71" t="s">
        <v>0</v>
      </c>
    </row>
    <row r="11" spans="2:16" x14ac:dyDescent="0.25">
      <c r="B11" s="7"/>
      <c r="C11" s="91">
        <v>45322</v>
      </c>
      <c r="D11" s="91">
        <v>45351</v>
      </c>
      <c r="E11" s="91">
        <v>45382</v>
      </c>
      <c r="F11" s="91">
        <v>45412</v>
      </c>
      <c r="G11" s="91">
        <v>45443</v>
      </c>
      <c r="H11" s="91">
        <v>45473</v>
      </c>
      <c r="I11" s="91">
        <v>45504</v>
      </c>
      <c r="J11" s="91">
        <v>45535</v>
      </c>
      <c r="K11" s="91">
        <v>45565</v>
      </c>
      <c r="L11" s="91">
        <v>45596</v>
      </c>
      <c r="M11" s="91">
        <v>45626</v>
      </c>
      <c r="N11" s="91">
        <v>45657</v>
      </c>
      <c r="O11" s="91">
        <v>45322</v>
      </c>
    </row>
    <row r="12" spans="2:16" x14ac:dyDescent="0.25">
      <c r="B12" s="72" t="s">
        <v>60</v>
      </c>
      <c r="C12" s="73">
        <v>3016.9791666666665</v>
      </c>
      <c r="D12" s="73">
        <v>4844.1611842105267</v>
      </c>
      <c r="E12" s="73">
        <v>3944.633152173913</v>
      </c>
      <c r="F12" s="73">
        <v>5914.9553571428578</v>
      </c>
      <c r="G12" s="73">
        <v>10182.291666666668</v>
      </c>
      <c r="H12" s="73">
        <v>6680.871212121212</v>
      </c>
      <c r="I12" s="73">
        <v>9818.9732142857138</v>
      </c>
      <c r="J12" s="73">
        <v>9199.4884910485926</v>
      </c>
      <c r="K12" s="73">
        <v>12430.845905172415</v>
      </c>
      <c r="L12" s="73">
        <v>10145.197088068182</v>
      </c>
      <c r="M12" s="73">
        <v>5993.1640625</v>
      </c>
      <c r="N12" s="73">
        <v>4062.5</v>
      </c>
      <c r="O12" s="73"/>
      <c r="P12" s="73">
        <v>86234.060500056745</v>
      </c>
    </row>
    <row r="13" spans="2:16" x14ac:dyDescent="0.25">
      <c r="B13" s="72" t="s">
        <v>295</v>
      </c>
      <c r="C13" s="73">
        <v>49.5</v>
      </c>
      <c r="D13" s="73">
        <v>49.5</v>
      </c>
      <c r="E13" s="73">
        <v>49.5</v>
      </c>
      <c r="F13" s="73">
        <v>49.5</v>
      </c>
      <c r="G13" s="73">
        <v>49.5</v>
      </c>
      <c r="H13" s="73">
        <v>49.5</v>
      </c>
      <c r="I13" s="73">
        <v>49.5</v>
      </c>
      <c r="J13" s="73">
        <v>49.5</v>
      </c>
      <c r="K13" s="73">
        <v>49.5</v>
      </c>
      <c r="L13" s="73">
        <v>49.5</v>
      </c>
      <c r="M13" s="73">
        <v>49.5</v>
      </c>
      <c r="N13" s="73">
        <v>49.5</v>
      </c>
      <c r="O13" s="73"/>
      <c r="P13" s="73">
        <f>+SUM(C13:N13)</f>
        <v>594</v>
      </c>
    </row>
    <row r="14" spans="2:16" x14ac:dyDescent="0.25">
      <c r="B14" s="74" t="s">
        <v>7</v>
      </c>
      <c r="C14" s="74">
        <v>3066.4791666666665</v>
      </c>
      <c r="D14" s="74">
        <v>4893.6611842105267</v>
      </c>
      <c r="E14" s="74">
        <v>3994.133152173913</v>
      </c>
      <c r="F14" s="74">
        <v>5964.4553571428578</v>
      </c>
      <c r="G14" s="74">
        <v>10231.791666666668</v>
      </c>
      <c r="H14" s="74">
        <v>6730.371212121212</v>
      </c>
      <c r="I14" s="74">
        <v>9868.4732142857138</v>
      </c>
      <c r="J14" s="74">
        <v>9248.9884910485926</v>
      </c>
      <c r="K14" s="74">
        <v>12480.345905172415</v>
      </c>
      <c r="L14" s="74">
        <v>10194.697088068182</v>
      </c>
      <c r="M14" s="74">
        <v>6042.6640625</v>
      </c>
      <c r="N14" s="74">
        <v>4112</v>
      </c>
      <c r="O14" s="75"/>
      <c r="P14" s="74">
        <v>86828.060500050007</v>
      </c>
    </row>
    <row r="15" spans="2:16" x14ac:dyDescent="0.25">
      <c r="B15" s="269" t="s">
        <v>66</v>
      </c>
      <c r="C15" s="224">
        <v>21</v>
      </c>
      <c r="D15" s="224">
        <v>33</v>
      </c>
      <c r="E15" s="224">
        <v>35</v>
      </c>
      <c r="F15" s="224">
        <v>33</v>
      </c>
      <c r="G15" s="224">
        <v>34</v>
      </c>
      <c r="H15" s="224">
        <v>34</v>
      </c>
      <c r="I15" s="224">
        <v>31</v>
      </c>
      <c r="J15" s="224">
        <v>32</v>
      </c>
      <c r="K15" s="224">
        <v>43</v>
      </c>
      <c r="L15" s="224">
        <v>38</v>
      </c>
      <c r="M15" s="224">
        <v>38</v>
      </c>
      <c r="N15" s="224">
        <v>38</v>
      </c>
      <c r="O15" s="75"/>
      <c r="P15" s="76"/>
    </row>
    <row r="16" spans="2:16" x14ac:dyDescent="0.25">
      <c r="B16" s="269" t="s">
        <v>327</v>
      </c>
      <c r="C16" s="224">
        <v>28</v>
      </c>
      <c r="D16" s="224">
        <v>44.95772282967198</v>
      </c>
      <c r="E16" s="224">
        <v>36.609377181381348</v>
      </c>
      <c r="F16" s="224">
        <v>54.895556399544255</v>
      </c>
      <c r="G16" s="224">
        <v>94.499879156164781</v>
      </c>
      <c r="H16" s="224">
        <v>62.003873280329451</v>
      </c>
      <c r="I16" s="224">
        <v>91.127990884922141</v>
      </c>
      <c r="J16" s="224">
        <v>85.378673010180634</v>
      </c>
      <c r="K16" s="224">
        <v>115.36827605256173</v>
      </c>
      <c r="L16" s="224">
        <v>94.155611548276326</v>
      </c>
      <c r="M16" s="224">
        <v>55.621396264199156</v>
      </c>
      <c r="N16" s="224">
        <v>37.703276594275458</v>
      </c>
      <c r="O16" s="75"/>
      <c r="P16" s="76"/>
    </row>
    <row r="17" spans="2:20" x14ac:dyDescent="0.25">
      <c r="B17" s="7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P17" s="76"/>
    </row>
    <row r="18" spans="2:20" ht="15.75" x14ac:dyDescent="0.25">
      <c r="B18" s="87" t="s">
        <v>165</v>
      </c>
      <c r="C18" s="88">
        <v>3066.4791666666665</v>
      </c>
      <c r="D18" s="88">
        <v>4893.6611842105267</v>
      </c>
      <c r="E18" s="88">
        <v>3994.133152173913</v>
      </c>
      <c r="F18" s="88">
        <v>5964.4553571428578</v>
      </c>
      <c r="G18" s="88">
        <v>10231.791666666668</v>
      </c>
      <c r="H18" s="88">
        <v>6730.371212121212</v>
      </c>
      <c r="I18" s="88">
        <v>9868.4732142857138</v>
      </c>
      <c r="J18" s="88">
        <v>9248.9884910485926</v>
      </c>
      <c r="K18" s="88">
        <v>12480.345905172415</v>
      </c>
      <c r="L18" s="88">
        <v>10194.697088068182</v>
      </c>
      <c r="M18" s="88">
        <v>6042.6640625</v>
      </c>
      <c r="N18" s="88">
        <v>4112</v>
      </c>
      <c r="O18" s="77"/>
      <c r="P18" s="88">
        <v>86234.060500056745</v>
      </c>
    </row>
    <row r="19" spans="2:20" x14ac:dyDescent="0.25">
      <c r="B19" s="89" t="s">
        <v>166</v>
      </c>
      <c r="C19" s="90">
        <v>1</v>
      </c>
      <c r="D19" s="90">
        <v>1</v>
      </c>
      <c r="E19" s="90">
        <v>1</v>
      </c>
      <c r="F19" s="90">
        <v>1</v>
      </c>
      <c r="G19" s="90">
        <v>1</v>
      </c>
      <c r="H19" s="90">
        <v>1</v>
      </c>
      <c r="I19" s="90">
        <v>1</v>
      </c>
      <c r="J19" s="90">
        <v>1</v>
      </c>
      <c r="K19" s="90">
        <v>1</v>
      </c>
      <c r="L19" s="90">
        <v>1</v>
      </c>
      <c r="M19" s="90">
        <v>1</v>
      </c>
      <c r="N19" s="90">
        <v>1</v>
      </c>
      <c r="O19" s="7"/>
      <c r="P19" s="90">
        <v>1</v>
      </c>
    </row>
    <row r="20" spans="2:20" x14ac:dyDescent="0.25">
      <c r="B20" s="7"/>
    </row>
    <row r="21" spans="2:20" x14ac:dyDescent="0.25">
      <c r="B21" s="7" t="s">
        <v>203</v>
      </c>
      <c r="C21" s="73">
        <v>810.76066666666679</v>
      </c>
      <c r="D21" s="73">
        <v>810.76066666666679</v>
      </c>
      <c r="E21" s="73">
        <v>810.76066666666679</v>
      </c>
      <c r="F21" s="73">
        <v>960.76066666666679</v>
      </c>
      <c r="G21" s="73">
        <v>810.76066666666679</v>
      </c>
      <c r="H21" s="73">
        <v>810.76066666666679</v>
      </c>
      <c r="I21" s="73">
        <v>960.76066666666679</v>
      </c>
      <c r="J21" s="73">
        <v>810.76066666666679</v>
      </c>
      <c r="K21" s="73">
        <v>1846.5020459770124</v>
      </c>
      <c r="L21" s="73">
        <v>960.76066666666679</v>
      </c>
      <c r="M21" s="73">
        <v>810.76066666666679</v>
      </c>
      <c r="N21" s="73">
        <v>810.76066666666679</v>
      </c>
      <c r="P21" s="73">
        <v>11214.869379310348</v>
      </c>
      <c r="T21" s="1"/>
    </row>
    <row r="22" spans="2:20" x14ac:dyDescent="0.25">
      <c r="B22" s="78" t="s">
        <v>167</v>
      </c>
      <c r="C22" s="79">
        <v>810.76066666666679</v>
      </c>
      <c r="D22" s="79">
        <v>810.76066666666679</v>
      </c>
      <c r="E22" s="79">
        <v>810.76066666666679</v>
      </c>
      <c r="F22" s="79">
        <v>960.76066666666679</v>
      </c>
      <c r="G22" s="79">
        <v>810.76066666666679</v>
      </c>
      <c r="H22" s="79">
        <v>810.76066666666679</v>
      </c>
      <c r="I22" s="79">
        <v>960.76066666666679</v>
      </c>
      <c r="J22" s="79">
        <v>810.76066666666679</v>
      </c>
      <c r="K22" s="79">
        <v>1846.5020459770124</v>
      </c>
      <c r="L22" s="79">
        <v>960.76066666666679</v>
      </c>
      <c r="M22" s="79">
        <v>810.76066666666679</v>
      </c>
      <c r="N22" s="79">
        <v>810.76066666666679</v>
      </c>
      <c r="O22" s="80"/>
      <c r="P22" s="79">
        <v>11214.869379310348</v>
      </c>
    </row>
    <row r="23" spans="2:20" x14ac:dyDescent="0.25">
      <c r="B23" s="7"/>
    </row>
    <row r="24" spans="2:20" ht="15.75" x14ac:dyDescent="0.25">
      <c r="B24" s="87" t="s">
        <v>168</v>
      </c>
      <c r="C24" s="88">
        <v>2255.7184999999999</v>
      </c>
      <c r="D24" s="88">
        <v>4082.9005175438597</v>
      </c>
      <c r="E24" s="88">
        <v>3183.372485507246</v>
      </c>
      <c r="F24" s="88">
        <v>5003.6946904761908</v>
      </c>
      <c r="G24" s="88">
        <v>9421.0310000000009</v>
      </c>
      <c r="H24" s="88">
        <v>5919.610545454545</v>
      </c>
      <c r="I24" s="88">
        <v>8907.7125476190467</v>
      </c>
      <c r="J24" s="88">
        <v>8438.2278243819255</v>
      </c>
      <c r="K24" s="88">
        <v>10633.843859195402</v>
      </c>
      <c r="L24" s="88">
        <v>9233.936421401515</v>
      </c>
      <c r="M24" s="88">
        <v>5231.903395833333</v>
      </c>
      <c r="N24" s="88">
        <v>3301.239333333333</v>
      </c>
      <c r="O24" s="77"/>
      <c r="P24" s="88">
        <v>75019.1911207464</v>
      </c>
    </row>
    <row r="25" spans="2:20" x14ac:dyDescent="0.25">
      <c r="B25" s="89" t="s">
        <v>169</v>
      </c>
      <c r="C25" s="90">
        <v>0.73560535630575241</v>
      </c>
      <c r="D25" s="90">
        <v>0.83432431544656205</v>
      </c>
      <c r="E25" s="90">
        <v>0.79701210856593774</v>
      </c>
      <c r="F25" s="90">
        <v>0.83891896088783902</v>
      </c>
      <c r="G25" s="90">
        <v>0.92076063576353118</v>
      </c>
      <c r="H25" s="90">
        <v>0.87953700604113638</v>
      </c>
      <c r="I25" s="90">
        <v>0.90264343371010436</v>
      </c>
      <c r="J25" s="90">
        <v>0.91234061244088027</v>
      </c>
      <c r="K25" s="90">
        <v>0.85204720606247464</v>
      </c>
      <c r="L25" s="90">
        <v>0.90575878239765106</v>
      </c>
      <c r="M25" s="90">
        <v>0.86582728109971496</v>
      </c>
      <c r="N25" s="90">
        <v>0.80283057717250317</v>
      </c>
      <c r="O25" s="7"/>
      <c r="P25" s="90">
        <v>0.86994849466350987</v>
      </c>
    </row>
    <row r="26" spans="2:20" x14ac:dyDescent="0.25">
      <c r="B26" s="81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P26" s="82"/>
    </row>
    <row r="27" spans="2:20" x14ac:dyDescent="0.25">
      <c r="B27" s="7" t="s">
        <v>170</v>
      </c>
      <c r="C27" s="132">
        <v>0</v>
      </c>
      <c r="D27" s="129">
        <v>0</v>
      </c>
      <c r="E27" s="132">
        <v>0</v>
      </c>
      <c r="F27" s="129">
        <v>0</v>
      </c>
      <c r="G27" s="129">
        <v>0</v>
      </c>
      <c r="H27" s="129">
        <v>0</v>
      </c>
      <c r="I27" s="132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/>
      <c r="P27" s="113">
        <v>0</v>
      </c>
    </row>
    <row r="28" spans="2:20" ht="15.75" x14ac:dyDescent="0.25">
      <c r="B28" s="87" t="s">
        <v>16</v>
      </c>
      <c r="C28" s="88">
        <v>2255.7184999999999</v>
      </c>
      <c r="D28" s="88">
        <v>4082.9005175438597</v>
      </c>
      <c r="E28" s="88">
        <v>3183.372485507246</v>
      </c>
      <c r="F28" s="88">
        <v>5003.6946904761908</v>
      </c>
      <c r="G28" s="88">
        <v>9421.0310000000009</v>
      </c>
      <c r="H28" s="88">
        <v>5919.610545454545</v>
      </c>
      <c r="I28" s="88">
        <v>8907.7125476190467</v>
      </c>
      <c r="J28" s="88">
        <v>8438.2278243819255</v>
      </c>
      <c r="K28" s="88">
        <v>10633.843859195402</v>
      </c>
      <c r="L28" s="88">
        <v>9233.936421401515</v>
      </c>
      <c r="M28" s="88">
        <v>5231.903395833333</v>
      </c>
      <c r="N28" s="88">
        <v>3301.239333333333</v>
      </c>
      <c r="O28" s="77"/>
      <c r="P28" s="88">
        <v>75019.1911207464</v>
      </c>
    </row>
    <row r="29" spans="2:20" x14ac:dyDescent="0.25">
      <c r="B29" s="89" t="s">
        <v>171</v>
      </c>
      <c r="C29" s="90">
        <v>0.73560535630575241</v>
      </c>
      <c r="D29" s="90">
        <v>0.83432431544656205</v>
      </c>
      <c r="E29" s="90">
        <v>0.79701210856593774</v>
      </c>
      <c r="F29" s="90">
        <v>0.83891896088783902</v>
      </c>
      <c r="G29" s="90">
        <v>0.92076063576353118</v>
      </c>
      <c r="H29" s="90">
        <v>0.87953700604113638</v>
      </c>
      <c r="I29" s="90">
        <v>0.90264343371010436</v>
      </c>
      <c r="J29" s="90">
        <v>0.91234061244088027</v>
      </c>
      <c r="K29" s="90">
        <v>0.85204720606247464</v>
      </c>
      <c r="L29" s="90">
        <v>0.90575878239765106</v>
      </c>
      <c r="M29" s="90">
        <v>0.86582728109971496</v>
      </c>
      <c r="N29" s="90">
        <v>0.80283057717250317</v>
      </c>
      <c r="O29" s="7"/>
      <c r="P29" s="90">
        <v>0.86994849466350987</v>
      </c>
    </row>
    <row r="30" spans="2:20" ht="15.75" thickBot="1" x14ac:dyDescent="0.3">
      <c r="B30" s="7"/>
    </row>
    <row r="31" spans="2:20" x14ac:dyDescent="0.25">
      <c r="B31" s="83" t="s">
        <v>172</v>
      </c>
      <c r="C31" s="84">
        <v>583.93523734582391</v>
      </c>
      <c r="D31" s="160">
        <v>3316.6412282455376</v>
      </c>
      <c r="E31" s="84">
        <v>5497.8005183445657</v>
      </c>
      <c r="F31" s="160">
        <v>8902.7836486269971</v>
      </c>
      <c r="G31" s="84">
        <v>15222.718101502005</v>
      </c>
      <c r="H31" s="84">
        <v>20447.590030793574</v>
      </c>
      <c r="I31" s="84">
        <v>26375.12213383965</v>
      </c>
      <c r="J31" s="160">
        <v>28510.127406483367</v>
      </c>
      <c r="K31" s="84">
        <v>33013.079542775929</v>
      </c>
      <c r="L31" s="84">
        <v>34722.533705780268</v>
      </c>
      <c r="M31" s="84">
        <v>36536.590043550263</v>
      </c>
      <c r="N31" s="84">
        <v>38730.025353412595</v>
      </c>
    </row>
    <row r="32" spans="2:20" ht="15.75" thickBot="1" x14ac:dyDescent="0.3">
      <c r="B32" s="85" t="s">
        <v>173</v>
      </c>
      <c r="C32" s="86">
        <v>-413.08476265417585</v>
      </c>
      <c r="D32" s="161">
        <v>2732.7059908997135</v>
      </c>
      <c r="E32" s="86">
        <v>2181.1592900990277</v>
      </c>
      <c r="F32" s="161">
        <v>3404.9831302824314</v>
      </c>
      <c r="G32" s="86">
        <v>6319.934452875008</v>
      </c>
      <c r="H32" s="86">
        <v>5224.8719292915684</v>
      </c>
      <c r="I32" s="86">
        <v>5927.5321030460782</v>
      </c>
      <c r="J32" s="161">
        <v>2135.005272643717</v>
      </c>
      <c r="K32" s="86">
        <v>4502.9521362925589</v>
      </c>
      <c r="L32" s="86">
        <v>1709.4541630043368</v>
      </c>
      <c r="M32" s="86">
        <v>1814.0563377699918</v>
      </c>
      <c r="N32" s="86">
        <v>2193.4353098623324</v>
      </c>
    </row>
    <row r="33" spans="5:5" x14ac:dyDescent="0.25">
      <c r="E33" s="9"/>
    </row>
  </sheetData>
  <pageMargins left="0.25" right="0.25" top="0.75" bottom="0.75" header="0.3" footer="0.3"/>
  <pageSetup scale="55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779F-A4A7-4151-BD4E-7C8B08BFACF6}">
  <sheetPr>
    <tabColor theme="1"/>
    <pageSetUpPr fitToPage="1"/>
  </sheetPr>
  <dimension ref="B9:O40"/>
  <sheetViews>
    <sheetView showGridLines="0" zoomScale="74" workbookViewId="0">
      <selection activeCell="K49" sqref="K49"/>
    </sheetView>
  </sheetViews>
  <sheetFormatPr defaultColWidth="8.7109375" defaultRowHeight="15" outlineLevelCol="1" x14ac:dyDescent="0.25"/>
  <cols>
    <col min="2" max="2" width="45.140625" bestFit="1" customWidth="1"/>
    <col min="3" max="3" width="16.28515625" bestFit="1" customWidth="1"/>
    <col min="4" max="4" width="15.7109375" bestFit="1" customWidth="1"/>
    <col min="5" max="5" width="15.28515625" bestFit="1" customWidth="1" outlineLevel="1"/>
    <col min="6" max="6" width="18.42578125" bestFit="1" customWidth="1"/>
    <col min="7" max="7" width="16.7109375" bestFit="1" customWidth="1" outlineLevel="1"/>
    <col min="8" max="8" width="18" bestFit="1" customWidth="1"/>
    <col min="9" max="9" width="16.7109375" hidden="1" customWidth="1" outlineLevel="1"/>
    <col min="10" max="10" width="0.7109375" customWidth="1" collapsed="1"/>
    <col min="11" max="11" width="15.7109375" bestFit="1" customWidth="1"/>
  </cols>
  <sheetData>
    <row r="9" spans="2:13" x14ac:dyDescent="0.25">
      <c r="C9" s="91">
        <v>45382</v>
      </c>
      <c r="D9" s="91">
        <v>45473</v>
      </c>
      <c r="E9" s="209"/>
      <c r="F9" s="91">
        <v>45565</v>
      </c>
      <c r="G9" s="209"/>
      <c r="H9" s="91">
        <v>45657</v>
      </c>
      <c r="I9" s="209"/>
    </row>
    <row r="10" spans="2:13" ht="15.75" x14ac:dyDescent="0.25">
      <c r="B10" s="237"/>
      <c r="C10" s="238" t="s">
        <v>378</v>
      </c>
      <c r="D10" s="238" t="s">
        <v>379</v>
      </c>
      <c r="E10" s="403" t="s">
        <v>226</v>
      </c>
      <c r="F10" s="238" t="s">
        <v>380</v>
      </c>
      <c r="G10" s="403" t="s">
        <v>226</v>
      </c>
      <c r="H10" s="279" t="s">
        <v>381</v>
      </c>
      <c r="I10" s="279" t="s">
        <v>226</v>
      </c>
      <c r="J10" s="239"/>
      <c r="K10" s="240" t="s">
        <v>0</v>
      </c>
      <c r="M10" s="285"/>
    </row>
    <row r="11" spans="2:13" ht="3.4" customHeight="1" x14ac:dyDescent="0.25">
      <c r="B11" s="241"/>
      <c r="C11" s="91" t="str">
        <f>+C10</f>
        <v>Q1 2025</v>
      </c>
      <c r="D11" s="91" t="str">
        <f>+D10</f>
        <v>Q2 2025</v>
      </c>
      <c r="E11" s="404"/>
      <c r="F11" s="91" t="str">
        <f>+F10</f>
        <v>Q3 2025</v>
      </c>
      <c r="G11" s="404"/>
      <c r="H11" s="189" t="str">
        <f>+H10</f>
        <v>Q4 2025</v>
      </c>
      <c r="I11" s="189"/>
      <c r="J11" s="91">
        <v>45322</v>
      </c>
      <c r="K11" s="186"/>
    </row>
    <row r="12" spans="2:13" x14ac:dyDescent="0.25">
      <c r="B12" s="242" t="s">
        <v>60</v>
      </c>
      <c r="C12" s="283">
        <f>SUMIF('Monthly Detail'!$3:$3, 'Quarterly Overview'!C$11, 'Monthly Detail'!12:12)</f>
        <v>22160</v>
      </c>
      <c r="D12" s="283">
        <f>SUMIF('Monthly Detail'!$3:$3, 'Quarterly Overview'!D$11, 'Monthly Detail'!12:12)</f>
        <v>16611.25</v>
      </c>
      <c r="E12" s="405">
        <f>+D12-C12</f>
        <v>-5548.75</v>
      </c>
      <c r="F12" s="283">
        <f>SUMIF('Monthly Detail'!$3:$3, 'Quarterly Overview'!F$11, 'Monthly Detail'!12:12)</f>
        <v>63525</v>
      </c>
      <c r="G12" s="405">
        <f>+F12-D12</f>
        <v>46913.75</v>
      </c>
      <c r="H12" s="203">
        <f>SUMIF('Monthly Detail'!$3:$3, 'Quarterly Overview'!H$11, 'Monthly Detail'!12:12)</f>
        <v>70029.573865196595</v>
      </c>
      <c r="I12" s="210">
        <f>+H12-F12</f>
        <v>6504.5738651965949</v>
      </c>
      <c r="J12" s="73"/>
      <c r="K12" s="243">
        <f>SUM(C12,D12,F12,H12)</f>
        <v>172325.82386519661</v>
      </c>
    </row>
    <row r="13" spans="2:13" x14ac:dyDescent="0.25">
      <c r="B13" s="242" t="s">
        <v>295</v>
      </c>
      <c r="C13" s="283">
        <f>SUMIF('Monthly Detail'!$3:$3, 'Quarterly Overview'!C$11, 'Monthly Detail'!13:13)</f>
        <v>219.99</v>
      </c>
      <c r="D13" s="283">
        <f>SUMIF('Monthly Detail'!$3:$3, 'Quarterly Overview'!D$11, 'Monthly Detail'!13:13)</f>
        <v>105.5</v>
      </c>
      <c r="E13" s="405">
        <f>+D13-C13</f>
        <v>-114.49000000000001</v>
      </c>
      <c r="F13" s="283">
        <f>SUMIF('Monthly Detail'!$3:$3, 'Quarterly Overview'!F$11, 'Monthly Detail'!13:13)</f>
        <v>169.5</v>
      </c>
      <c r="G13" s="405">
        <f>+F13-D13</f>
        <v>64</v>
      </c>
      <c r="H13" s="203">
        <f>SUMIF('Monthly Detail'!$3:$3, 'Quarterly Overview'!H$11, 'Monthly Detail'!13:13)</f>
        <v>159.51436315452048</v>
      </c>
      <c r="I13" s="210">
        <f>+H13-F13</f>
        <v>-9.9856368454795188</v>
      </c>
      <c r="J13" s="73"/>
      <c r="K13" s="243">
        <f>+SUM(H13,F13,D13,C13)</f>
        <v>654.50436315452043</v>
      </c>
    </row>
    <row r="14" spans="2:13" x14ac:dyDescent="0.25">
      <c r="B14" s="244" t="s">
        <v>7</v>
      </c>
      <c r="C14" s="74">
        <f>SUM(C12:C13)</f>
        <v>22379.99</v>
      </c>
      <c r="D14" s="74">
        <f>SUM(D12:D13)</f>
        <v>16716.75</v>
      </c>
      <c r="E14" s="406">
        <f>+D14-C14</f>
        <v>-5663.2400000000016</v>
      </c>
      <c r="F14" s="74">
        <f>SUM(F12:F13)</f>
        <v>63694.5</v>
      </c>
      <c r="G14" s="406">
        <f>+F14-D14</f>
        <v>46977.75</v>
      </c>
      <c r="H14" s="191">
        <f>SUM(H12:H13)</f>
        <v>70189.088228351116</v>
      </c>
      <c r="I14" s="211">
        <f>+H14-F14</f>
        <v>6494.5882283511164</v>
      </c>
      <c r="J14" s="75"/>
      <c r="K14" s="245">
        <f>SUM(K12:K13)</f>
        <v>172980.32822835114</v>
      </c>
    </row>
    <row r="15" spans="2:13" x14ac:dyDescent="0.25">
      <c r="B15" s="454" t="s">
        <v>291</v>
      </c>
      <c r="C15" s="455">
        <f>+AVERAGEIFS('Monthly Detail'!17:17,'Monthly Detail'!3:3,'Quarterly Overview'!C10)</f>
        <v>25.333333333333332</v>
      </c>
      <c r="D15" s="455">
        <f>+AVERAGEIFS('Monthly Detail'!17:17,'Monthly Detail'!3:3,'Quarterly Overview'!D10)</f>
        <v>22.666666666666668</v>
      </c>
      <c r="E15" s="481">
        <f>+D15-C15</f>
        <v>-2.6666666666666643</v>
      </c>
      <c r="F15" s="455">
        <f>+AVERAGEIFS('Monthly Detail'!17:17,'Monthly Detail'!3:3,'Quarterly Overview'!F10)</f>
        <v>46.666666666666664</v>
      </c>
      <c r="G15" s="481">
        <f>+F15-D15</f>
        <v>23.999999999999996</v>
      </c>
      <c r="H15" s="482">
        <f>+AVERAGEIFS('Monthly Detail'!17:17,'Monthly Detail'!3:3,'Quarterly Overview'!H10)</f>
        <v>62.199999999999996</v>
      </c>
      <c r="I15" s="398">
        <f>+H15-F15</f>
        <v>15.533333333333331</v>
      </c>
      <c r="J15" s="75"/>
      <c r="K15" s="340"/>
    </row>
    <row r="16" spans="2:13" ht="4.9000000000000004" customHeight="1" x14ac:dyDescent="0.25">
      <c r="B16" s="241"/>
      <c r="C16" s="284"/>
      <c r="D16" s="284"/>
      <c r="E16" s="407"/>
      <c r="F16" s="284"/>
      <c r="G16" s="407"/>
      <c r="H16" s="204"/>
      <c r="I16" s="212"/>
      <c r="K16" s="247"/>
    </row>
    <row r="17" spans="2:15" x14ac:dyDescent="0.25">
      <c r="B17" s="241" t="s">
        <v>325</v>
      </c>
      <c r="C17" s="283">
        <f>SUMIF('Monthly Detail'!$3:$3, 'Quarterly Overview'!C$11, 'Monthly Detail'!$63:$63)</f>
        <v>450</v>
      </c>
      <c r="D17" s="283">
        <f>SUMIF('Monthly Detail'!$3:$3, 'Quarterly Overview'!D$11, 'Monthly Detail'!$63:$63)</f>
        <v>270</v>
      </c>
      <c r="E17" s="407">
        <f>+D17-C17</f>
        <v>-180</v>
      </c>
      <c r="F17" s="284">
        <f>SUMIF('Monthly Detail'!$3:$3, 'Quarterly Overview'!F$11, 'Monthly Detail'!$63:$63)</f>
        <v>6343.24</v>
      </c>
      <c r="G17" s="407">
        <f>+F17-E17</f>
        <v>6523.24</v>
      </c>
      <c r="H17" s="204">
        <f>SUMIF('Monthly Detail'!$3:$3, 'Quarterly Overview'!H$11, 'Monthly Detail'!$63:$63)</f>
        <v>7214.9542334096113</v>
      </c>
      <c r="I17" s="407">
        <f>+H17-G17</f>
        <v>691.71423340961155</v>
      </c>
      <c r="K17" s="243">
        <f>SUM(C17,D17,F17,H17)</f>
        <v>14278.194233409611</v>
      </c>
    </row>
    <row r="18" spans="2:15" ht="15.75" x14ac:dyDescent="0.25">
      <c r="B18" s="248" t="s">
        <v>165</v>
      </c>
      <c r="C18" s="88">
        <f>C14-C17</f>
        <v>21929.99</v>
      </c>
      <c r="D18" s="88">
        <f>D14-D17</f>
        <v>16446.75</v>
      </c>
      <c r="E18" s="408">
        <f>+D18-C18</f>
        <v>-5483.2400000000016</v>
      </c>
      <c r="F18" s="88">
        <f>F14-F17</f>
        <v>57351.26</v>
      </c>
      <c r="G18" s="408">
        <f>+F18-D18</f>
        <v>40904.51</v>
      </c>
      <c r="H18" s="193">
        <f>H14-H17</f>
        <v>62974.133994941505</v>
      </c>
      <c r="I18" s="213">
        <f>+H18-F18</f>
        <v>5622.873994941503</v>
      </c>
      <c r="J18" s="249"/>
      <c r="K18" s="250">
        <f>K14-K17</f>
        <v>158702.13399494151</v>
      </c>
    </row>
    <row r="19" spans="2:15" x14ac:dyDescent="0.25">
      <c r="B19" s="458" t="s">
        <v>166</v>
      </c>
      <c r="C19" s="483">
        <f>C18/C14</f>
        <v>0.97989275240963025</v>
      </c>
      <c r="D19" s="483">
        <f>D18/D14</f>
        <v>0.98384853515186865</v>
      </c>
      <c r="E19" s="484">
        <f>+D19-C19</f>
        <v>3.9557827422384007E-3</v>
      </c>
      <c r="F19" s="483">
        <f>F18/F14</f>
        <v>0.90041149549804145</v>
      </c>
      <c r="G19" s="484">
        <f>+F19-D19</f>
        <v>-8.3437039653827205E-2</v>
      </c>
      <c r="H19" s="485">
        <f>H18/H14</f>
        <v>0.89720689617826788</v>
      </c>
      <c r="I19" s="214">
        <f>+H19-F19</f>
        <v>-3.2045993197735712E-3</v>
      </c>
      <c r="J19" s="7"/>
      <c r="K19" s="252">
        <f>K18/K14</f>
        <v>0.91745769949886447</v>
      </c>
    </row>
    <row r="20" spans="2:15" ht="5.65" customHeight="1" x14ac:dyDescent="0.25">
      <c r="B20" s="241"/>
      <c r="C20" s="285"/>
      <c r="D20" s="285"/>
      <c r="E20" s="409"/>
      <c r="F20" s="285"/>
      <c r="G20" s="409"/>
      <c r="H20" s="205"/>
      <c r="I20" s="215"/>
      <c r="K20" s="186"/>
    </row>
    <row r="21" spans="2:15" x14ac:dyDescent="0.25">
      <c r="B21" s="241" t="s">
        <v>273</v>
      </c>
      <c r="C21" s="283">
        <f>SUMIF('Monthly Detail'!$3:$3, 'Quarterly Overview'!C$11, 'Monthly Detail'!$70:$70)</f>
        <v>0</v>
      </c>
      <c r="D21" s="283">
        <f>SUMIF('Monthly Detail'!$3:$3, 'Quarterly Overview'!D$11, 'Monthly Detail'!$70:$70)</f>
        <v>0</v>
      </c>
      <c r="E21" s="410">
        <f>+D21-C21</f>
        <v>0</v>
      </c>
      <c r="F21" s="283">
        <f>SUMIF('Monthly Detail'!$3:$3, 'Quarterly Overview'!F$11, 'Monthly Detail'!$70:$70)</f>
        <v>0</v>
      </c>
      <c r="G21" s="410">
        <f>SUMIF('Monthly Detail'!$3:$3, 'Quarterly Overview'!G$11, 'Monthly Detail'!$70:$70)</f>
        <v>0</v>
      </c>
      <c r="H21" s="203">
        <f>SUMIF('Monthly Detail'!$3:$3, 'Quarterly Overview'!H$11, 'Monthly Detail'!$70:$70)</f>
        <v>0</v>
      </c>
      <c r="I21" s="410">
        <f>SUMIF('Monthly Detail'!$3:$3, 'Quarterly Overview'!I$11, 'Monthly Detail'!$70:$70)</f>
        <v>0</v>
      </c>
      <c r="K21" s="243">
        <f>SUM(C21,D21,F21,H21)</f>
        <v>0</v>
      </c>
    </row>
    <row r="22" spans="2:15" x14ac:dyDescent="0.25">
      <c r="B22" s="241" t="s">
        <v>203</v>
      </c>
      <c r="C22" s="283">
        <f>SUMIF('Monthly Detail'!$3:$3, 'Quarterly Overview'!C$11, 'Monthly Detail'!$93:$93)</f>
        <v>18368.589999999997</v>
      </c>
      <c r="D22" s="283">
        <f>SUMIF('Monthly Detail'!$3:$3, 'Quarterly Overview'!D$11, 'Monthly Detail'!$93:$93)</f>
        <v>11611.73</v>
      </c>
      <c r="E22" s="410">
        <f>+D22-C22</f>
        <v>-6756.8599999999969</v>
      </c>
      <c r="F22" s="283">
        <f>SUMIF('Monthly Detail'!$3:$3, 'Quarterly Overview'!F$11, 'Monthly Detail'!$93:$93)</f>
        <v>40676.630000000005</v>
      </c>
      <c r="G22" s="410">
        <f>+F22-D22</f>
        <v>29064.900000000005</v>
      </c>
      <c r="H22" s="203">
        <f>SUMIF('Monthly Detail'!$3:$3, 'Quarterly Overview'!H$11, 'Monthly Detail'!$93:$93)</f>
        <v>48106.070178837843</v>
      </c>
      <c r="I22" s="216">
        <f>+H22-F22</f>
        <v>7429.4401788378382</v>
      </c>
      <c r="K22" s="243">
        <f>SUM(C22,D22,F22,H22)</f>
        <v>118763.02017883785</v>
      </c>
      <c r="O22" s="1"/>
    </row>
    <row r="23" spans="2:15" x14ac:dyDescent="0.25">
      <c r="B23" s="253" t="s">
        <v>167</v>
      </c>
      <c r="C23" s="79">
        <f>SUM(C21:C22)</f>
        <v>18368.589999999997</v>
      </c>
      <c r="D23" s="79">
        <f t="shared" ref="D23:H23" si="0">SUM(D21:D22)</f>
        <v>11611.73</v>
      </c>
      <c r="E23" s="411">
        <f t="shared" si="0"/>
        <v>-6756.8599999999969</v>
      </c>
      <c r="F23" s="79">
        <f>SUM(F21:F22)</f>
        <v>40676.630000000005</v>
      </c>
      <c r="G23" s="411">
        <f t="shared" si="0"/>
        <v>29064.900000000005</v>
      </c>
      <c r="H23" s="196">
        <f t="shared" si="0"/>
        <v>48106.070178837843</v>
      </c>
      <c r="I23" s="217">
        <f>+H23-F23</f>
        <v>7429.4401788378382</v>
      </c>
      <c r="J23" s="254"/>
      <c r="K23" s="255">
        <f>SUM(K21:K22)</f>
        <v>118763.02017883785</v>
      </c>
    </row>
    <row r="24" spans="2:15" ht="1.9" customHeight="1" x14ac:dyDescent="0.25">
      <c r="B24" s="241"/>
      <c r="C24" s="285"/>
      <c r="D24" s="285"/>
      <c r="E24" s="409"/>
      <c r="F24" s="285"/>
      <c r="G24" s="409"/>
      <c r="H24" s="205"/>
      <c r="I24" s="215"/>
      <c r="K24" s="186"/>
    </row>
    <row r="25" spans="2:15" ht="15.75" x14ac:dyDescent="0.25">
      <c r="B25" s="248" t="s">
        <v>168</v>
      </c>
      <c r="C25" s="88">
        <f>C18-C23</f>
        <v>3561.4000000000051</v>
      </c>
      <c r="D25" s="88">
        <f>D18-D23</f>
        <v>4835.0200000000004</v>
      </c>
      <c r="E25" s="408">
        <f>+D25-C25</f>
        <v>1273.6199999999953</v>
      </c>
      <c r="F25" s="88">
        <f>F18-F23</f>
        <v>16674.629999999997</v>
      </c>
      <c r="G25" s="408">
        <f>+F25-D25</f>
        <v>11839.609999999997</v>
      </c>
      <c r="H25" s="193">
        <f>H18-H23</f>
        <v>14868.063816103662</v>
      </c>
      <c r="I25" s="213">
        <f>+H25-F25</f>
        <v>-1806.5661838963351</v>
      </c>
      <c r="J25" s="249"/>
      <c r="K25" s="250">
        <f>K18-K23</f>
        <v>39939.113816103665</v>
      </c>
    </row>
    <row r="26" spans="2:15" x14ac:dyDescent="0.25">
      <c r="B26" s="458" t="s">
        <v>169</v>
      </c>
      <c r="C26" s="483">
        <f>C25/C14</f>
        <v>0.15913322570742905</v>
      </c>
      <c r="D26" s="483">
        <f>D25/D14</f>
        <v>0.28923205766671156</v>
      </c>
      <c r="E26" s="484">
        <f>+D26-C26</f>
        <v>0.13009883195928251</v>
      </c>
      <c r="F26" s="483">
        <f>F25/F14</f>
        <v>0.26179073546381554</v>
      </c>
      <c r="G26" s="484">
        <f>+F26-D26</f>
        <v>-2.7441322202896024E-2</v>
      </c>
      <c r="H26" s="485">
        <f>H25/H14</f>
        <v>0.21182870715932853</v>
      </c>
      <c r="I26" s="214">
        <f>+H26-F26</f>
        <v>-4.9962028304487011E-2</v>
      </c>
      <c r="J26" s="7"/>
      <c r="K26" s="252">
        <f>K25/K14</f>
        <v>0.23088818379035614</v>
      </c>
    </row>
    <row r="27" spans="2:15" ht="4.1500000000000004" customHeight="1" x14ac:dyDescent="0.25">
      <c r="B27" s="256"/>
      <c r="C27" s="286"/>
      <c r="D27" s="286"/>
      <c r="E27" s="412"/>
      <c r="F27" s="286"/>
      <c r="G27" s="412"/>
      <c r="H27" s="206"/>
      <c r="I27" s="218"/>
      <c r="K27" s="257"/>
    </row>
    <row r="28" spans="2:15" x14ac:dyDescent="0.25">
      <c r="B28" s="241" t="s">
        <v>170</v>
      </c>
      <c r="C28" s="165">
        <f>SUMIF('Monthly Detail'!$3:$3, 'Quarterly Overview'!C$11, 'Monthly Detail'!107:107)</f>
        <v>-2355.33</v>
      </c>
      <c r="D28" s="165">
        <f>SUMIF('Monthly Detail'!$3:$3, 'Quarterly Overview'!D$11, 'Monthly Detail'!107:107)</f>
        <v>-2219.81</v>
      </c>
      <c r="E28" s="413">
        <f>+D28-C28</f>
        <v>135.51999999999998</v>
      </c>
      <c r="F28" s="165">
        <f>SUMIF('Monthly Detail'!$3:$3, 'Quarterly Overview'!F$11, 'Monthly Detail'!107:107)</f>
        <v>-2228.9300000000003</v>
      </c>
      <c r="G28" s="413">
        <f>+F28-D28</f>
        <v>-9.1200000000003456</v>
      </c>
      <c r="H28" s="207">
        <f>SUMIF('Monthly Detail'!$3:$3, 'Quarterly Overview'!H$11, 'Monthly Detail'!107:107)</f>
        <v>-2442.23</v>
      </c>
      <c r="I28" s="219">
        <f>+H28-F28</f>
        <v>-213.29999999999973</v>
      </c>
      <c r="J28" s="132"/>
      <c r="K28" s="187">
        <f>SUM(C28,D28,F28,H28)</f>
        <v>-9246.2999999999993</v>
      </c>
    </row>
    <row r="29" spans="2:15" ht="15.75" x14ac:dyDescent="0.25">
      <c r="B29" s="248" t="s">
        <v>16</v>
      </c>
      <c r="C29" s="88">
        <f>C25+SUM(C28:C28)</f>
        <v>1206.0700000000052</v>
      </c>
      <c r="D29" s="88">
        <f>D25+SUM(D28:D28)</f>
        <v>2615.2100000000005</v>
      </c>
      <c r="E29" s="408">
        <f>+D29-C29</f>
        <v>1409.1399999999953</v>
      </c>
      <c r="F29" s="88">
        <f>F25+SUM(F28:F28)</f>
        <v>14445.699999999997</v>
      </c>
      <c r="G29" s="408">
        <f>+F29-D29</f>
        <v>11830.489999999996</v>
      </c>
      <c r="H29" s="193">
        <f>H25+SUM(H28:H28)</f>
        <v>12425.833816103663</v>
      </c>
      <c r="I29" s="213">
        <f>+H29-F29</f>
        <v>-2019.8661838963344</v>
      </c>
      <c r="J29" s="249"/>
      <c r="K29" s="250">
        <f>K25+SUM(K28:K28)</f>
        <v>30692.813816103666</v>
      </c>
      <c r="L29" s="225"/>
    </row>
    <row r="30" spans="2:15" x14ac:dyDescent="0.25">
      <c r="B30" s="251" t="s">
        <v>171</v>
      </c>
      <c r="C30" s="90">
        <f>C29/C14</f>
        <v>5.3890551336260875E-2</v>
      </c>
      <c r="D30" s="90">
        <f>D29/D14</f>
        <v>0.15644249031659865</v>
      </c>
      <c r="E30" s="414">
        <f>+D30-C30</f>
        <v>0.10255193898033778</v>
      </c>
      <c r="F30" s="90">
        <f>F29/F14</f>
        <v>0.22679666219218295</v>
      </c>
      <c r="G30" s="414">
        <f>+F30-D30</f>
        <v>7.0354171875584293E-2</v>
      </c>
      <c r="H30" s="194">
        <f>H29/H14</f>
        <v>0.1770336975411024</v>
      </c>
      <c r="I30" s="220">
        <f>+H30-F30</f>
        <v>-4.9762964651080543E-2</v>
      </c>
      <c r="J30" s="7"/>
      <c r="K30" s="252">
        <f>K29/K14</f>
        <v>0.17743528487000046</v>
      </c>
      <c r="L30" s="225"/>
    </row>
    <row r="31" spans="2:15" ht="2.25" customHeight="1" thickBot="1" x14ac:dyDescent="0.3">
      <c r="B31" s="241"/>
      <c r="E31" s="415"/>
      <c r="G31" s="415"/>
      <c r="H31" s="195"/>
      <c r="I31" s="221"/>
      <c r="K31" s="186"/>
    </row>
    <row r="32" spans="2:15" x14ac:dyDescent="0.25">
      <c r="B32" s="258" t="s">
        <v>172</v>
      </c>
      <c r="C32" s="84">
        <f>SUMIF('Monthly Detail'!$4:$4, 'Quarterly Overview'!C$9, 'Monthly Detail'!172:172)</f>
        <v>177.78999999999928</v>
      </c>
      <c r="D32" s="160">
        <f>SUMIF('Monthly Detail'!$4:$4, 'Quarterly Overview'!D$9, 'Monthly Detail'!172:172)</f>
        <v>1615.6999999999991</v>
      </c>
      <c r="E32" s="416"/>
      <c r="F32" s="160">
        <f>SUMIF('Monthly Detail'!$4:$4, 'Quarterly Overview'!F$9, 'Monthly Detail'!172:172)</f>
        <v>4237.5200000000032</v>
      </c>
      <c r="G32" s="416"/>
      <c r="H32" s="222">
        <f>SUMIF('Monthly Detail'!$4:$4, 'Quarterly Overview'!H$9, 'Monthly Detail'!172:172)</f>
        <v>292.83000000000084</v>
      </c>
      <c r="I32" s="199"/>
      <c r="K32" s="186"/>
    </row>
    <row r="33" spans="2:11" x14ac:dyDescent="0.25">
      <c r="B33" s="259" t="s">
        <v>173</v>
      </c>
      <c r="C33" s="261">
        <f>SUMIF('Monthly Detail'!$3:$3, 'Quarterly Overview'!C$10, 'Monthly Detail'!169:169)</f>
        <v>692.36000000000024</v>
      </c>
      <c r="D33" s="260">
        <f>SUMIF('Monthly Detail'!$3:$3, 'Quarterly Overview'!D$10, 'Monthly Detail'!169:169)</f>
        <v>74.310000000002333</v>
      </c>
      <c r="E33" s="512">
        <f>+D33-C33</f>
        <v>-618.04999999999791</v>
      </c>
      <c r="F33" s="260">
        <f>SUMIF('Monthly Detail'!$3:$3, 'Quarterly Overview'!F$10, 'Monthly Detail'!169:169)</f>
        <v>5073.6999999999971</v>
      </c>
      <c r="G33" s="512">
        <f>+F33-D33</f>
        <v>4999.3899999999949</v>
      </c>
      <c r="H33" s="287">
        <f>SUMIF('Monthly Detail'!$3:$3, 'Quarterly Overview'!H$10, 'Monthly Detail'!169:169)</f>
        <v>20568.363767289604</v>
      </c>
      <c r="I33" s="280">
        <f>+H33-F33</f>
        <v>15494.663767289607</v>
      </c>
      <c r="J33" s="262"/>
      <c r="K33" s="263"/>
    </row>
    <row r="37" spans="2:11" x14ac:dyDescent="0.25">
      <c r="C37" t="s">
        <v>311</v>
      </c>
      <c r="D37" t="s">
        <v>312</v>
      </c>
      <c r="F37" t="s">
        <v>313</v>
      </c>
      <c r="H37" t="s">
        <v>314</v>
      </c>
    </row>
    <row r="38" spans="2:11" x14ac:dyDescent="0.25">
      <c r="B38" t="s">
        <v>308</v>
      </c>
      <c r="C38" s="383">
        <f>+SUM('2025 AOP'!C14:E14)</f>
        <v>27893.465793950309</v>
      </c>
      <c r="D38" s="383">
        <f>+SUM('2025 AOP'!F14:H14)</f>
        <v>26421.692374480412</v>
      </c>
      <c r="F38" s="383">
        <f>+SUM('2025 AOP'!I14:K14)</f>
        <v>38914.059938518738</v>
      </c>
      <c r="H38" s="383">
        <f>+SUM('2025 AOP'!L14:N14)</f>
        <v>30767.431226639746</v>
      </c>
    </row>
    <row r="39" spans="2:11" x14ac:dyDescent="0.25">
      <c r="B39" t="s">
        <v>309</v>
      </c>
      <c r="C39" s="383" t="e">
        <f>+AVERAGE('2025 AOP'!C28:E28)</f>
        <v>#DIV/0!</v>
      </c>
      <c r="D39" s="383">
        <f>+SUM('2025 AOP'!F28:H28)</f>
        <v>0</v>
      </c>
      <c r="F39" s="383">
        <f>+SUM('2025 AOP'!I28:K28)</f>
        <v>0</v>
      </c>
      <c r="H39" s="383">
        <f>+SUM('2025 AOP'!L28:N28)</f>
        <v>0</v>
      </c>
    </row>
    <row r="40" spans="2:11" x14ac:dyDescent="0.25">
      <c r="B40" t="s">
        <v>310</v>
      </c>
      <c r="C40" s="384">
        <f>+AVERAGE('2025 AOP'!C15:E15)</f>
        <v>34.733333333333327</v>
      </c>
      <c r="D40" s="384">
        <f>+AVERAGE('2025 AOP'!F15:H15)</f>
        <v>31.666666666666657</v>
      </c>
      <c r="F40" s="384">
        <f>+AVERAGE('2025 AOP'!I15:K15)</f>
        <v>37.199999999999989</v>
      </c>
      <c r="H40" s="384">
        <f>+AVERAGE('2025 AOP'!L15:N15)</f>
        <v>43.599999999999987</v>
      </c>
    </row>
  </sheetData>
  <pageMargins left="0.25" right="0.25" top="0.75" bottom="0.75" header="0.3" footer="0.3"/>
  <pageSetup scale="50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691E-3F63-4C69-9719-9B3845E3F8A6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ColWidth="8.7109375" defaultRowHeight="15" outlineLevelCol="1" x14ac:dyDescent="0.25"/>
  <cols>
    <col min="2" max="2" width="32.140625" bestFit="1" customWidth="1"/>
    <col min="3" max="9" width="12.28515625" hidden="1" customWidth="1" outlineLevel="1"/>
    <col min="10" max="10" width="9.42578125" bestFit="1" customWidth="1" collapsed="1"/>
    <col min="11" max="12" width="11.140625" bestFit="1" customWidth="1"/>
    <col min="13" max="13" width="10.7109375" bestFit="1" customWidth="1"/>
    <col min="14" max="14" width="10.42578125" bestFit="1" customWidth="1"/>
    <col min="15" max="15" width="0.7109375" customWidth="1"/>
    <col min="16" max="16" width="8.7109375" bestFit="1" customWidth="1"/>
  </cols>
  <sheetData>
    <row r="10" spans="2:16" ht="15.75" x14ac:dyDescent="0.25">
      <c r="B10" s="68"/>
      <c r="C10" s="69" t="str">
        <f>TEXT('Monthly Detail'!D4,"mmmm")</f>
        <v>January</v>
      </c>
      <c r="D10" s="69" t="str">
        <f>TEXT('Monthly Detail'!E4,"mmmm")</f>
        <v>February</v>
      </c>
      <c r="E10" s="69" t="str">
        <f>TEXT('Monthly Detail'!F4,"mmmm")</f>
        <v>March</v>
      </c>
      <c r="F10" s="69" t="str">
        <f>TEXT('Monthly Detail'!G4,"mmmm")</f>
        <v>April</v>
      </c>
      <c r="G10" s="69" t="str">
        <f>TEXT('Monthly Detail'!H4,"mmmm")</f>
        <v>May</v>
      </c>
      <c r="H10" s="69" t="str">
        <f>TEXT('Monthly Detail'!I4,"mmmm")</f>
        <v>June</v>
      </c>
      <c r="I10" s="69" t="str">
        <f>TEXT('Monthly Detail'!J4,"mmmm")</f>
        <v>July</v>
      </c>
      <c r="J10" s="69" t="str">
        <f>TEXT('Monthly Detail'!K4,"mmmm")</f>
        <v>August</v>
      </c>
      <c r="K10" s="69" t="str">
        <f>TEXT('Monthly Detail'!L4,"mmmm")</f>
        <v>September</v>
      </c>
      <c r="L10" s="69" t="str">
        <f>TEXT('Monthly Detail'!M4,"mmmm")</f>
        <v>October</v>
      </c>
      <c r="M10" s="69" t="str">
        <f>TEXT('Monthly Detail'!N4,"mmmm")</f>
        <v>November</v>
      </c>
      <c r="N10" s="147" t="str">
        <f>TEXT('Monthly Detail'!O4,"mmmm")</f>
        <v>December</v>
      </c>
      <c r="O10" s="70"/>
      <c r="P10" s="71" t="s">
        <v>0</v>
      </c>
    </row>
    <row r="11" spans="2:16" ht="1.5" customHeight="1" x14ac:dyDescent="0.25">
      <c r="B11" s="7"/>
      <c r="C11" s="91">
        <v>44592</v>
      </c>
      <c r="D11" s="91">
        <v>44620</v>
      </c>
      <c r="E11" s="91">
        <v>44651</v>
      </c>
      <c r="F11" s="91">
        <v>44681</v>
      </c>
      <c r="G11" s="91">
        <v>44712</v>
      </c>
      <c r="H11" s="91">
        <v>44742</v>
      </c>
      <c r="I11" s="91">
        <v>44773</v>
      </c>
      <c r="J11" s="91">
        <v>44804</v>
      </c>
      <c r="K11" s="91">
        <v>44834</v>
      </c>
      <c r="L11" s="91">
        <v>44865</v>
      </c>
      <c r="M11" s="91">
        <v>44895</v>
      </c>
      <c r="N11" s="148">
        <v>44926</v>
      </c>
    </row>
    <row r="12" spans="2:16" x14ac:dyDescent="0.25">
      <c r="B12" s="72" t="s">
        <v>60</v>
      </c>
      <c r="C12" s="73">
        <f>SUMIF('Monthly Detail'!$4:$4, '2022 Overview'!C$11, 'Monthly Detail'!12:12)</f>
        <v>0</v>
      </c>
      <c r="D12" s="73">
        <f>SUMIF('Monthly Detail'!$4:$4, '2022 Overview'!D$11, 'Monthly Detail'!12:12)</f>
        <v>0</v>
      </c>
      <c r="E12" s="73">
        <f>SUMIF('Monthly Detail'!$4:$4, '2022 Overview'!E$11, 'Monthly Detail'!12:12)</f>
        <v>0</v>
      </c>
      <c r="F12" s="73">
        <f>SUMIF('Monthly Detail'!$4:$4, '2022 Overview'!F$11, 'Monthly Detail'!12:12)</f>
        <v>0</v>
      </c>
      <c r="G12" s="73">
        <f>SUMIF('Monthly Detail'!$4:$4, '2022 Overview'!G$11, 'Monthly Detail'!12:12)</f>
        <v>0</v>
      </c>
      <c r="H12" s="73">
        <f>SUMIF('Monthly Detail'!$4:$4, '2022 Overview'!H$11, 'Monthly Detail'!12:12)</f>
        <v>0</v>
      </c>
      <c r="I12" s="73">
        <f>SUMIF('Monthly Detail'!$4:$4, '2022 Overview'!I$11, 'Monthly Detail'!12:12)</f>
        <v>0</v>
      </c>
      <c r="J12" s="73">
        <f>SUMIF('Monthly Detail'!$4:$4, '2022 Overview'!J$11, 'Monthly Detail'!12:12)</f>
        <v>375</v>
      </c>
      <c r="K12" s="73">
        <f>SUMIF('Monthly Detail'!$4:$4, '2022 Overview'!K$11, 'Monthly Detail'!12:12)</f>
        <v>1075</v>
      </c>
      <c r="L12" s="73">
        <f>SUMIF('Monthly Detail'!$4:$4, '2022 Overview'!L$11, 'Monthly Detail'!12:12)</f>
        <v>3640</v>
      </c>
      <c r="M12" s="73">
        <f>SUMIF('Monthly Detail'!$4:$4, '2022 Overview'!M$11, 'Monthly Detail'!12:12)</f>
        <v>2090</v>
      </c>
      <c r="N12" s="149">
        <f>SUMIF('Monthly Detail'!$4:$4, '2022 Overview'!N$11, 'Monthly Detail'!12:12)</f>
        <v>2032.5</v>
      </c>
      <c r="O12" s="73"/>
      <c r="P12" s="73">
        <f>SUM(C12:O12)</f>
        <v>9212.5</v>
      </c>
    </row>
    <row r="13" spans="2:16" x14ac:dyDescent="0.25">
      <c r="B13" s="72" t="s">
        <v>174</v>
      </c>
      <c r="C13" s="73">
        <f>SUMIF('Monthly Detail'!$4:$4, '2022 Overview'!C$11, 'Monthly Detail'!13:13)</f>
        <v>0</v>
      </c>
      <c r="D13" s="73">
        <f>SUMIF('Monthly Detail'!$4:$4, '2022 Overview'!D$11, 'Monthly Detail'!13:13)</f>
        <v>0</v>
      </c>
      <c r="E13" s="73">
        <f>SUMIF('Monthly Detail'!$4:$4, '2022 Overview'!E$11, 'Monthly Detail'!13:13)</f>
        <v>0</v>
      </c>
      <c r="F13" s="73">
        <f>SUMIF('Monthly Detail'!$4:$4, '2022 Overview'!F$11, 'Monthly Detail'!13:13)</f>
        <v>0</v>
      </c>
      <c r="G13" s="73">
        <f>SUMIF('Monthly Detail'!$4:$4, '2022 Overview'!G$11, 'Monthly Detail'!13:13)</f>
        <v>0</v>
      </c>
      <c r="H13" s="73">
        <f>SUMIF('Monthly Detail'!$4:$4, '2022 Overview'!H$11, 'Monthly Detail'!13:13)</f>
        <v>0</v>
      </c>
      <c r="I13" s="73">
        <f>SUMIF('Monthly Detail'!$4:$4, '2022 Overview'!I$11, 'Monthly Detail'!13:13)</f>
        <v>0</v>
      </c>
      <c r="J13" s="73">
        <f>SUMIF('Monthly Detail'!$4:$4, '2022 Overview'!J$11, 'Monthly Detail'!13:13)</f>
        <v>0</v>
      </c>
      <c r="K13" s="73">
        <f>SUMIF('Monthly Detail'!$4:$4, '2022 Overview'!K$11, 'Monthly Detail'!13:13)</f>
        <v>0</v>
      </c>
      <c r="L13" s="73">
        <f>SUMIF('Monthly Detail'!$4:$4, '2022 Overview'!L$11, 'Monthly Detail'!13:13)</f>
        <v>125</v>
      </c>
      <c r="M13" s="133">
        <f>SUMIF('Monthly Detail'!$4:$4, '2022 Overview'!M$11, 'Monthly Detail'!13:13)</f>
        <v>0</v>
      </c>
      <c r="N13" s="149">
        <f>SUMIF('Monthly Detail'!$4:$4, '2022 Overview'!N$11, 'Monthly Detail'!13:13)</f>
        <v>0</v>
      </c>
      <c r="O13" s="73"/>
      <c r="P13" s="73"/>
    </row>
    <row r="14" spans="2:16" x14ac:dyDescent="0.25">
      <c r="B14" s="74" t="s">
        <v>7</v>
      </c>
      <c r="C14" s="74">
        <v>0.1</v>
      </c>
      <c r="D14" s="74">
        <v>0.1</v>
      </c>
      <c r="E14" s="74">
        <v>0.1</v>
      </c>
      <c r="F14" s="74">
        <v>0.1</v>
      </c>
      <c r="G14" s="74">
        <v>0.1</v>
      </c>
      <c r="H14" s="74">
        <v>0.1</v>
      </c>
      <c r="I14" s="74">
        <v>0.1</v>
      </c>
      <c r="J14" s="74">
        <f>SUM(J12:J13)</f>
        <v>375</v>
      </c>
      <c r="K14" s="74">
        <f>SUM(K12:K13)</f>
        <v>1075</v>
      </c>
      <c r="L14" s="74">
        <f>SUM(L12:L13)</f>
        <v>3765</v>
      </c>
      <c r="M14" s="74">
        <f>SUM(M12:M13)</f>
        <v>2090</v>
      </c>
      <c r="N14" s="150">
        <f>SUM(N12:N13)</f>
        <v>2032.5</v>
      </c>
      <c r="O14" s="75"/>
      <c r="P14" s="74">
        <f>SUM(P12:P12)</f>
        <v>9212.5</v>
      </c>
    </row>
    <row r="15" spans="2:16" x14ac:dyDescent="0.25">
      <c r="B15" s="7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51"/>
      <c r="P15" s="76"/>
    </row>
    <row r="16" spans="2:16" ht="15.75" x14ac:dyDescent="0.25">
      <c r="B16" s="87" t="s">
        <v>165</v>
      </c>
      <c r="C16" s="88">
        <f>C14</f>
        <v>0.1</v>
      </c>
      <c r="D16" s="88">
        <f t="shared" ref="D16:N16" si="0">D14</f>
        <v>0.1</v>
      </c>
      <c r="E16" s="88">
        <f t="shared" si="0"/>
        <v>0.1</v>
      </c>
      <c r="F16" s="88">
        <f t="shared" si="0"/>
        <v>0.1</v>
      </c>
      <c r="G16" s="88">
        <f t="shared" si="0"/>
        <v>0.1</v>
      </c>
      <c r="H16" s="88">
        <f t="shared" si="0"/>
        <v>0.1</v>
      </c>
      <c r="I16" s="88">
        <f t="shared" si="0"/>
        <v>0.1</v>
      </c>
      <c r="J16" s="88">
        <f t="shared" si="0"/>
        <v>375</v>
      </c>
      <c r="K16" s="88">
        <f t="shared" si="0"/>
        <v>1075</v>
      </c>
      <c r="L16" s="88">
        <f t="shared" si="0"/>
        <v>3765</v>
      </c>
      <c r="M16" s="88">
        <f t="shared" si="0"/>
        <v>2090</v>
      </c>
      <c r="N16" s="152">
        <f t="shared" si="0"/>
        <v>2032.5</v>
      </c>
      <c r="O16" s="77"/>
      <c r="P16" s="88">
        <f>P14</f>
        <v>9212.5</v>
      </c>
    </row>
    <row r="17" spans="2:20" x14ac:dyDescent="0.25">
      <c r="B17" s="89" t="s">
        <v>166</v>
      </c>
      <c r="C17" s="90">
        <f t="shared" ref="C17:N17" si="1">C16/C14</f>
        <v>1</v>
      </c>
      <c r="D17" s="90">
        <f t="shared" si="1"/>
        <v>1</v>
      </c>
      <c r="E17" s="90">
        <f t="shared" si="1"/>
        <v>1</v>
      </c>
      <c r="F17" s="90">
        <f t="shared" si="1"/>
        <v>1</v>
      </c>
      <c r="G17" s="90">
        <f t="shared" si="1"/>
        <v>1</v>
      </c>
      <c r="H17" s="90">
        <f t="shared" si="1"/>
        <v>1</v>
      </c>
      <c r="I17" s="90">
        <f t="shared" si="1"/>
        <v>1</v>
      </c>
      <c r="J17" s="90">
        <f t="shared" si="1"/>
        <v>1</v>
      </c>
      <c r="K17" s="90">
        <f t="shared" si="1"/>
        <v>1</v>
      </c>
      <c r="L17" s="90">
        <f t="shared" si="1"/>
        <v>1</v>
      </c>
      <c r="M17" s="90">
        <f t="shared" si="1"/>
        <v>1</v>
      </c>
      <c r="N17" s="153">
        <f t="shared" si="1"/>
        <v>1</v>
      </c>
      <c r="O17" s="7"/>
      <c r="P17" s="90">
        <f>P16/P14</f>
        <v>1</v>
      </c>
    </row>
    <row r="18" spans="2:20" x14ac:dyDescent="0.25">
      <c r="B18" s="7"/>
      <c r="N18" s="116"/>
    </row>
    <row r="19" spans="2:20" x14ac:dyDescent="0.25">
      <c r="B19" s="7" t="s">
        <v>203</v>
      </c>
      <c r="C19" s="73">
        <f>SUMIF('Monthly Detail'!$4:$4, '2023 Overview'!C$11, 'Monthly Detail'!$93:$93)</f>
        <v>235.13</v>
      </c>
      <c r="D19" s="73">
        <f>SUMIF('Monthly Detail'!$4:$4, '2023 Overview'!D$11, 'Monthly Detail'!$93:$93)</f>
        <v>153.76</v>
      </c>
      <c r="E19" s="73">
        <f>SUMIF('Monthly Detail'!$4:$4, '2023 Overview'!E$11, 'Monthly Detail'!$93:$93)</f>
        <v>105.36</v>
      </c>
      <c r="F19" s="73">
        <f>SUMIF('Monthly Detail'!$4:$4, '2023 Overview'!F$11, 'Monthly Detail'!$93:$93)</f>
        <v>272.83999999999997</v>
      </c>
      <c r="G19" s="73">
        <f>SUMIF('Monthly Detail'!$4:$4, '2023 Overview'!G$11, 'Monthly Detail'!$93:$93)</f>
        <v>551</v>
      </c>
      <c r="H19" s="73">
        <f>SUMIF('Monthly Detail'!$4:$4, '2023 Overview'!H$11, 'Monthly Detail'!$93:$93)</f>
        <v>647.26</v>
      </c>
      <c r="I19" s="73">
        <f>SUMIF('Monthly Detail'!$4:$4, '2023 Overview'!I$11, 'Monthly Detail'!$93:$93)</f>
        <v>432.76</v>
      </c>
      <c r="J19" s="73">
        <f>SUMIF('Monthly Detail'!$4:$4, '2023 Overview'!J$11, 'Monthly Detail'!$93:$93)</f>
        <v>851.95</v>
      </c>
      <c r="K19" s="73">
        <f>SUMIF('Monthly Detail'!$4:$4, '2023 Overview'!K$11, 'Monthly Detail'!$93:$93)</f>
        <v>1646.3600000000001</v>
      </c>
      <c r="L19" s="73">
        <f>SUMIF('Monthly Detail'!$4:$4, '2023 Overview'!L$11, 'Monthly Detail'!$93:$93)</f>
        <v>1347.4700000000003</v>
      </c>
      <c r="M19" s="73">
        <f>SUMIF('Monthly Detail'!$4:$4, '2023 Overview'!M$11, 'Monthly Detail'!$93:$93)</f>
        <v>906.43000000000006</v>
      </c>
      <c r="N19" s="149">
        <f>SUMIF('Monthly Detail'!$4:$4, '2023 Overview'!N$11, 'Monthly Detail'!$93:$93)</f>
        <v>797.47</v>
      </c>
      <c r="P19" s="73">
        <f>SUM(C19:O19)</f>
        <v>7947.7900000000009</v>
      </c>
      <c r="T19" s="1"/>
    </row>
    <row r="20" spans="2:20" x14ac:dyDescent="0.25">
      <c r="B20" s="7" t="s">
        <v>202</v>
      </c>
      <c r="C20" s="73">
        <f>SUMIF('Monthly Detail'!$4:$4, '2022 Overview'!C$11, 'Monthly Detail'!50:50)</f>
        <v>0</v>
      </c>
      <c r="D20" s="73">
        <f>SUMIF('Monthly Detail'!$4:$4, '2022 Overview'!D$11, 'Monthly Detail'!50:50)</f>
        <v>0</v>
      </c>
      <c r="E20" s="73">
        <f>SUMIF('Monthly Detail'!$4:$4, '2022 Overview'!E$11, 'Monthly Detail'!50:50)</f>
        <v>0</v>
      </c>
      <c r="F20" s="73">
        <f>SUMIF('Monthly Detail'!$4:$4, '2022 Overview'!F$11, 'Monthly Detail'!50:50)</f>
        <v>0</v>
      </c>
      <c r="G20" s="73">
        <f>SUMIF('Monthly Detail'!$4:$4, '2022 Overview'!G$11, 'Monthly Detail'!50:50)</f>
        <v>0</v>
      </c>
      <c r="H20" s="73">
        <f>SUMIF('Monthly Detail'!$4:$4, '2022 Overview'!H$11, 'Monthly Detail'!50:50)</f>
        <v>0</v>
      </c>
      <c r="I20" s="73">
        <f>SUMIF('Monthly Detail'!$4:$4, '2022 Overview'!I$11, 'Monthly Detail'!50:50)</f>
        <v>0</v>
      </c>
      <c r="J20" s="73">
        <f>SUMIF('Monthly Detail'!$4:$4, '2022 Overview'!J$11, 'Monthly Detail'!50:50)</f>
        <v>0</v>
      </c>
      <c r="K20" s="73">
        <f>SUMIF('Monthly Detail'!$4:$4, '2022 Overview'!K$11, 'Monthly Detail'!50:50)</f>
        <v>0</v>
      </c>
      <c r="L20" s="73">
        <f>SUMIF('Monthly Detail'!$4:$4, '2022 Overview'!L$11, 'Monthly Detail'!50:50)</f>
        <v>0</v>
      </c>
      <c r="M20" s="73">
        <f>SUMIF('Monthly Detail'!$4:$4, '2022 Overview'!M$11, 'Monthly Detail'!50:50)</f>
        <v>0</v>
      </c>
      <c r="N20" s="149">
        <f>SUMIF('Monthly Detail'!$4:$4, '2022 Overview'!N$11, 'Monthly Detail'!50:50)</f>
        <v>0</v>
      </c>
      <c r="P20" s="73">
        <f>SUM(C20:O20)</f>
        <v>0</v>
      </c>
      <c r="T20" s="1"/>
    </row>
    <row r="21" spans="2:20" x14ac:dyDescent="0.25">
      <c r="B21" s="78" t="s">
        <v>167</v>
      </c>
      <c r="C21" s="79">
        <f>SUM(C19:C20)</f>
        <v>235.13</v>
      </c>
      <c r="D21" s="79">
        <f t="shared" ref="D21:N21" si="2">SUM(D19:D20)</f>
        <v>153.76</v>
      </c>
      <c r="E21" s="79">
        <f t="shared" si="2"/>
        <v>105.36</v>
      </c>
      <c r="F21" s="79">
        <f t="shared" si="2"/>
        <v>272.83999999999997</v>
      </c>
      <c r="G21" s="79">
        <f t="shared" si="2"/>
        <v>551</v>
      </c>
      <c r="H21" s="79">
        <f t="shared" si="2"/>
        <v>647.26</v>
      </c>
      <c r="I21" s="79">
        <f t="shared" si="2"/>
        <v>432.76</v>
      </c>
      <c r="J21" s="79">
        <f t="shared" si="2"/>
        <v>851.95</v>
      </c>
      <c r="K21" s="79">
        <f t="shared" si="2"/>
        <v>1646.3600000000001</v>
      </c>
      <c r="L21" s="79">
        <f t="shared" si="2"/>
        <v>1347.4700000000003</v>
      </c>
      <c r="M21" s="79">
        <f t="shared" si="2"/>
        <v>906.43000000000006</v>
      </c>
      <c r="N21" s="154">
        <f t="shared" si="2"/>
        <v>797.47</v>
      </c>
      <c r="O21" s="80"/>
      <c r="P21" s="79">
        <f>SUM(P19:P20)</f>
        <v>7947.7900000000009</v>
      </c>
    </row>
    <row r="22" spans="2:20" ht="3" customHeight="1" x14ac:dyDescent="0.25">
      <c r="B22" s="7"/>
      <c r="N22" s="116"/>
    </row>
    <row r="23" spans="2:20" ht="15.75" x14ac:dyDescent="0.25">
      <c r="B23" s="87" t="s">
        <v>168</v>
      </c>
      <c r="C23" s="88">
        <f t="shared" ref="C23:N23" si="3">C16-C21</f>
        <v>-235.03</v>
      </c>
      <c r="D23" s="88">
        <f t="shared" si="3"/>
        <v>-153.66</v>
      </c>
      <c r="E23" s="88">
        <f t="shared" si="3"/>
        <v>-105.26</v>
      </c>
      <c r="F23" s="88">
        <f t="shared" si="3"/>
        <v>-272.73999999999995</v>
      </c>
      <c r="G23" s="88">
        <f t="shared" si="3"/>
        <v>-550.9</v>
      </c>
      <c r="H23" s="88">
        <f t="shared" si="3"/>
        <v>-647.16</v>
      </c>
      <c r="I23" s="88">
        <f t="shared" si="3"/>
        <v>-432.65999999999997</v>
      </c>
      <c r="J23" s="88">
        <f t="shared" si="3"/>
        <v>-476.95000000000005</v>
      </c>
      <c r="K23" s="88">
        <f t="shared" si="3"/>
        <v>-571.36000000000013</v>
      </c>
      <c r="L23" s="88">
        <f t="shared" si="3"/>
        <v>2417.5299999999997</v>
      </c>
      <c r="M23" s="88">
        <f t="shared" si="3"/>
        <v>1183.57</v>
      </c>
      <c r="N23" s="152">
        <f t="shared" si="3"/>
        <v>1235.03</v>
      </c>
      <c r="O23" s="77"/>
      <c r="P23" s="88">
        <f>P16-P21</f>
        <v>1264.7099999999991</v>
      </c>
    </row>
    <row r="24" spans="2:20" x14ac:dyDescent="0.25">
      <c r="B24" s="89" t="s">
        <v>169</v>
      </c>
      <c r="C24" s="90">
        <f>C23/C14</f>
        <v>-2350.2999999999997</v>
      </c>
      <c r="D24" s="90">
        <f t="shared" ref="D24:N24" si="4">D23/D14</f>
        <v>-1536.6</v>
      </c>
      <c r="E24" s="90">
        <f t="shared" si="4"/>
        <v>-1052.5999999999999</v>
      </c>
      <c r="F24" s="90">
        <f t="shared" si="4"/>
        <v>-2727.3999999999992</v>
      </c>
      <c r="G24" s="90">
        <f t="shared" si="4"/>
        <v>-5508.9999999999991</v>
      </c>
      <c r="H24" s="90">
        <f t="shared" si="4"/>
        <v>-6471.5999999999995</v>
      </c>
      <c r="I24" s="90">
        <f t="shared" si="4"/>
        <v>-4326.5999999999995</v>
      </c>
      <c r="J24" s="90">
        <f t="shared" si="4"/>
        <v>-1.2718666666666667</v>
      </c>
      <c r="K24" s="90">
        <f t="shared" si="4"/>
        <v>-0.53149767441860474</v>
      </c>
      <c r="L24" s="90">
        <f t="shared" si="4"/>
        <v>0.64210624169986708</v>
      </c>
      <c r="M24" s="90">
        <f t="shared" si="4"/>
        <v>0.56630143540669853</v>
      </c>
      <c r="N24" s="153">
        <f t="shared" si="4"/>
        <v>0.60764083640836408</v>
      </c>
      <c r="O24" s="7"/>
      <c r="P24" s="90">
        <f>P23/P14</f>
        <v>0.13728195386702841</v>
      </c>
    </row>
    <row r="25" spans="2:20" ht="8.25" customHeight="1" x14ac:dyDescent="0.25">
      <c r="B25" s="8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155"/>
      <c r="P25" s="82"/>
    </row>
    <row r="26" spans="2:20" x14ac:dyDescent="0.25">
      <c r="B26" s="7" t="s">
        <v>170</v>
      </c>
      <c r="C26" s="73">
        <f>SUMIF('Monthly Detail'!$4:$4, '2022 Overview'!C$11, 'Monthly Detail'!86:86)</f>
        <v>0</v>
      </c>
      <c r="D26" s="73">
        <f>SUMIF('Monthly Detail'!$4:$4, '2022 Overview'!D$11, 'Monthly Detail'!86:86)</f>
        <v>0</v>
      </c>
      <c r="E26" s="73">
        <f>SUMIF('Monthly Detail'!$4:$4, '2022 Overview'!E$11, 'Monthly Detail'!86:86)</f>
        <v>0</v>
      </c>
      <c r="F26" s="73">
        <f>SUMIF('Monthly Detail'!$4:$4, '2022 Overview'!F$11, 'Monthly Detail'!86:86)</f>
        <v>0</v>
      </c>
      <c r="G26" s="73">
        <f>SUMIF('Monthly Detail'!$4:$4, '2022 Overview'!G$11, 'Monthly Detail'!86:86)</f>
        <v>0</v>
      </c>
      <c r="H26" s="73">
        <f>SUMIF('Monthly Detail'!$4:$4, '2022 Overview'!H$11, 'Monthly Detail'!86:86)</f>
        <v>0</v>
      </c>
      <c r="I26" s="73">
        <f>SUMIF('Monthly Detail'!$4:$4, '2022 Overview'!I$11, 'Monthly Detail'!86:86)</f>
        <v>0</v>
      </c>
      <c r="J26" s="73">
        <f>SUMIF('Monthly Detail'!$4:$4, '2022 Overview'!J$11, 'Monthly Detail'!86:86)</f>
        <v>0</v>
      </c>
      <c r="K26" s="73">
        <f>SUMIF('Monthly Detail'!$4:$4, '2022 Overview'!K$11, 'Monthly Detail'!86:86)</f>
        <v>0</v>
      </c>
      <c r="L26" s="129">
        <f>SUMIF('Monthly Detail'!$4:$4, '2022 Overview'!L$11, 'Monthly Detail'!86:86)</f>
        <v>279.60000000000002</v>
      </c>
      <c r="M26" s="132">
        <f>SUMIF('Monthly Detail'!$4:$4, '2022 Overview'!M$11, 'Monthly Detail'!86:86)</f>
        <v>75</v>
      </c>
      <c r="N26" s="156">
        <f>SUMIF('Monthly Detail'!$4:$4, '2022 Overview'!N$11, 'Monthly Detail'!86:86)</f>
        <v>75</v>
      </c>
      <c r="O26" s="73"/>
      <c r="P26" s="129">
        <f>SUM(C26:O26)</f>
        <v>429.6</v>
      </c>
    </row>
    <row r="27" spans="2:20" ht="15.75" x14ac:dyDescent="0.25">
      <c r="B27" s="87" t="s">
        <v>16</v>
      </c>
      <c r="C27" s="88">
        <f t="shared" ref="C27:N27" si="5">C23+SUM(C26:C26)</f>
        <v>-235.03</v>
      </c>
      <c r="D27" s="88">
        <f t="shared" si="5"/>
        <v>-153.66</v>
      </c>
      <c r="E27" s="88">
        <f t="shared" si="5"/>
        <v>-105.26</v>
      </c>
      <c r="F27" s="88">
        <f t="shared" si="5"/>
        <v>-272.73999999999995</v>
      </c>
      <c r="G27" s="88">
        <f t="shared" si="5"/>
        <v>-550.9</v>
      </c>
      <c r="H27" s="88">
        <f t="shared" si="5"/>
        <v>-647.16</v>
      </c>
      <c r="I27" s="88">
        <f t="shared" si="5"/>
        <v>-432.65999999999997</v>
      </c>
      <c r="J27" s="88">
        <f t="shared" si="5"/>
        <v>-476.95000000000005</v>
      </c>
      <c r="K27" s="88">
        <f t="shared" si="5"/>
        <v>-571.36000000000013</v>
      </c>
      <c r="L27" s="88">
        <f t="shared" si="5"/>
        <v>2697.1299999999997</v>
      </c>
      <c r="M27" s="88">
        <f t="shared" si="5"/>
        <v>1258.57</v>
      </c>
      <c r="N27" s="152">
        <f t="shared" si="5"/>
        <v>1310.03</v>
      </c>
      <c r="O27" s="77"/>
      <c r="P27" s="88">
        <f>P23+SUM(P26:P26)</f>
        <v>1694.309999999999</v>
      </c>
    </row>
    <row r="28" spans="2:20" x14ac:dyDescent="0.25">
      <c r="B28" s="89" t="s">
        <v>171</v>
      </c>
      <c r="C28" s="90">
        <f t="shared" ref="C28:N28" si="6">C27/C14</f>
        <v>-2350.2999999999997</v>
      </c>
      <c r="D28" s="90">
        <f t="shared" si="6"/>
        <v>-1536.6</v>
      </c>
      <c r="E28" s="90">
        <f t="shared" si="6"/>
        <v>-1052.5999999999999</v>
      </c>
      <c r="F28" s="90">
        <f t="shared" si="6"/>
        <v>-2727.3999999999992</v>
      </c>
      <c r="G28" s="90">
        <f t="shared" si="6"/>
        <v>-5508.9999999999991</v>
      </c>
      <c r="H28" s="90">
        <f t="shared" si="6"/>
        <v>-6471.5999999999995</v>
      </c>
      <c r="I28" s="90">
        <f t="shared" si="6"/>
        <v>-4326.5999999999995</v>
      </c>
      <c r="J28" s="90">
        <f t="shared" si="6"/>
        <v>-1.2718666666666667</v>
      </c>
      <c r="K28" s="90">
        <f t="shared" si="6"/>
        <v>-0.53149767441860474</v>
      </c>
      <c r="L28" s="90">
        <f t="shared" si="6"/>
        <v>0.71636918990703846</v>
      </c>
      <c r="M28" s="90">
        <f t="shared" si="6"/>
        <v>0.60218660287081338</v>
      </c>
      <c r="N28" s="153">
        <f t="shared" si="6"/>
        <v>0.64454120541205406</v>
      </c>
      <c r="O28" s="7"/>
      <c r="P28" s="90">
        <f>P27/P14</f>
        <v>0.18391424694708267</v>
      </c>
    </row>
    <row r="29" spans="2:20" ht="15.75" thickBot="1" x14ac:dyDescent="0.3">
      <c r="B29" s="7"/>
      <c r="M29" s="109"/>
      <c r="N29" s="116"/>
    </row>
    <row r="30" spans="2:20" x14ac:dyDescent="0.25">
      <c r="B30" s="83" t="s">
        <v>172</v>
      </c>
      <c r="C30" s="84">
        <f>SUMIF('Monthly Detail'!$4:$4, '2022 Overview'!C$11, 'Monthly Detail'!172:172)</f>
        <v>0</v>
      </c>
      <c r="D30" s="84">
        <f>SUMIF('Monthly Detail'!$4:$4, '2022 Overview'!D$11, 'Monthly Detail'!172:172)</f>
        <v>0</v>
      </c>
      <c r="E30" s="84">
        <f>SUMIF('Monthly Detail'!$4:$4, '2022 Overview'!E$11, 'Monthly Detail'!172:172)</f>
        <v>0</v>
      </c>
      <c r="F30" s="84">
        <f>SUMIF('Monthly Detail'!$4:$4, '2022 Overview'!F$11, 'Monthly Detail'!172:172)</f>
        <v>0</v>
      </c>
      <c r="G30" s="84">
        <f>SUMIF('Monthly Detail'!$4:$4, '2022 Overview'!G$11, 'Monthly Detail'!172:172)</f>
        <v>0</v>
      </c>
      <c r="H30" s="84">
        <f>SUMIF('Monthly Detail'!$4:$4, '2022 Overview'!H$11, 'Monthly Detail'!172:172)</f>
        <v>0</v>
      </c>
      <c r="I30" s="84">
        <f>SUMIF('Monthly Detail'!$4:$4, '2022 Overview'!I$11, 'Monthly Detail'!172:172)</f>
        <v>0</v>
      </c>
      <c r="J30" s="84">
        <f>SUMIF('Monthly Detail'!$4:$4, '2022 Overview'!J$11, 'Monthly Detail'!172:172)</f>
        <v>255</v>
      </c>
      <c r="K30" s="84">
        <f>SUMIF('Monthly Detail'!$4:$4, '2022 Overview'!K$11, 'Monthly Detail'!172:172)</f>
        <v>478</v>
      </c>
      <c r="L30" s="84">
        <f>SUMIF('Monthly Detail'!$4:$4, '2022 Overview'!L$11, 'Monthly Detail'!172:172)</f>
        <v>1020.3600000000001</v>
      </c>
      <c r="M30" s="84">
        <f>SUMIF('Monthly Detail'!$4:$4, '2022 Overview'!M$11, 'Monthly Detail'!172:172)</f>
        <v>862.40000000000009</v>
      </c>
      <c r="N30" s="157">
        <f>SUMIF('Monthly Detail'!$4:$4, '2022 Overview'!N$11, 'Monthly Detail'!172:172)</f>
        <v>-55.899999999999864</v>
      </c>
    </row>
    <row r="31" spans="2:20" ht="15.75" thickBot="1" x14ac:dyDescent="0.3">
      <c r="B31" s="85" t="s">
        <v>173</v>
      </c>
      <c r="C31" s="86">
        <f>SUMIF('Monthly Detail'!$4:$4, '2022 Overview'!C$11, 'Monthly Detail'!158:158)</f>
        <v>0</v>
      </c>
      <c r="D31" s="86">
        <f>D30-C30</f>
        <v>0</v>
      </c>
      <c r="E31" s="86">
        <f t="shared" ref="E31:N31" si="7">E30-D30</f>
        <v>0</v>
      </c>
      <c r="F31" s="86">
        <f t="shared" si="7"/>
        <v>0</v>
      </c>
      <c r="G31" s="86">
        <f t="shared" si="7"/>
        <v>0</v>
      </c>
      <c r="H31" s="86">
        <f t="shared" si="7"/>
        <v>0</v>
      </c>
      <c r="I31" s="86">
        <f t="shared" si="7"/>
        <v>0</v>
      </c>
      <c r="J31" s="86">
        <f t="shared" si="7"/>
        <v>255</v>
      </c>
      <c r="K31" s="86">
        <f t="shared" si="7"/>
        <v>223</v>
      </c>
      <c r="L31" s="86">
        <f t="shared" si="7"/>
        <v>542.36000000000013</v>
      </c>
      <c r="M31" s="86">
        <f t="shared" si="7"/>
        <v>-157.96000000000004</v>
      </c>
      <c r="N31" s="158">
        <f t="shared" si="7"/>
        <v>-918.3</v>
      </c>
    </row>
  </sheetData>
  <pageMargins left="0.7" right="0.7" top="0.75" bottom="0.75" header="0.3" footer="0.3"/>
  <pageSetup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1F7F-3B90-4D8D-8E65-DF0E18797B46}">
  <dimension ref="A1"/>
  <sheetViews>
    <sheetView showGridLines="0" zoomScaleNormal="100" workbookViewId="0">
      <selection activeCell="M27" sqref="M27"/>
    </sheetView>
  </sheetViews>
  <sheetFormatPr defaultColWidth="8.7109375"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pageSetUpPr fitToPage="1"/>
  </sheetPr>
  <dimension ref="A1:DJ174"/>
  <sheetViews>
    <sheetView topLeftCell="B1" zoomScale="63" zoomScaleNormal="140" workbookViewId="0">
      <pane xSplit="2" ySplit="4" topLeftCell="AQ20" activePane="bottomRight" state="frozen"/>
      <selection activeCell="B1" sqref="B1"/>
      <selection pane="topRight" activeCell="D1" sqref="D1"/>
      <selection pane="bottomLeft" activeCell="B5" sqref="B5"/>
      <selection pane="bottomRight" activeCell="C2" sqref="C2:AY49"/>
    </sheetView>
  </sheetViews>
  <sheetFormatPr defaultColWidth="8.7109375" defaultRowHeight="15" outlineLevelCol="1" x14ac:dyDescent="0.25"/>
  <cols>
    <col min="1" max="1" width="0" hidden="1" customWidth="1" outlineLevel="1"/>
    <col min="2" max="2" width="36.42578125" bestFit="1" customWidth="1" collapsed="1"/>
    <col min="3" max="3" width="30.42578125" bestFit="1" customWidth="1"/>
    <col min="4" max="9" width="10.7109375" hidden="1" customWidth="1" outlineLevel="1"/>
    <col min="10" max="10" width="10.7109375" hidden="1" customWidth="1" outlineLevel="1" collapsed="1"/>
    <col min="11" max="11" width="10.7109375" hidden="1" customWidth="1" outlineLevel="1"/>
    <col min="12" max="12" width="14.28515625" hidden="1" customWidth="1" outlineLevel="1"/>
    <col min="13" max="15" width="13.140625" hidden="1" customWidth="1" outlineLevel="1"/>
    <col min="16" max="16" width="13.140625" hidden="1" customWidth="1" outlineLevel="1" collapsed="1"/>
    <col min="17" max="25" width="13.140625" hidden="1" customWidth="1" outlineLevel="1"/>
    <col min="26" max="27" width="14.28515625" hidden="1" customWidth="1" outlineLevel="1"/>
    <col min="28" max="28" width="13.140625" hidden="1" customWidth="1" outlineLevel="1" collapsed="1"/>
    <col min="29" max="30" width="13.140625" hidden="1" customWidth="1" outlineLevel="1"/>
    <col min="31" max="31" width="14.140625" hidden="1" customWidth="1" outlineLevel="1"/>
    <col min="32" max="32" width="13.140625" hidden="1" customWidth="1" outlineLevel="1"/>
    <col min="33" max="33" width="14.140625" hidden="1" customWidth="1" outlineLevel="1"/>
    <col min="34" max="34" width="15" hidden="1" customWidth="1" outlineLevel="1"/>
    <col min="35" max="35" width="16.42578125" hidden="1" customWidth="1" outlineLevel="1"/>
    <col min="36" max="36" width="16" hidden="1" customWidth="1" outlineLevel="1"/>
    <col min="37" max="38" width="15" hidden="1" customWidth="1" outlineLevel="1"/>
    <col min="39" max="39" width="14.28515625" style="97" hidden="1" customWidth="1" outlineLevel="1"/>
    <col min="40" max="40" width="14.28515625" hidden="1" customWidth="1" outlineLevel="1" collapsed="1"/>
    <col min="41" max="42" width="15.42578125" hidden="1" customWidth="1" outlineLevel="1"/>
    <col min="43" max="43" width="15.42578125" bestFit="1" customWidth="1" collapsed="1"/>
    <col min="44" max="44" width="15.42578125" bestFit="1" customWidth="1"/>
    <col min="45" max="50" width="16.42578125" bestFit="1" customWidth="1"/>
    <col min="51" max="51" width="16.7109375" bestFit="1" customWidth="1"/>
    <col min="52" max="111" width="13.42578125" bestFit="1" customWidth="1"/>
    <col min="112" max="113" width="5.140625" bestFit="1" customWidth="1"/>
    <col min="114" max="114" width="8.42578125" bestFit="1" customWidth="1"/>
  </cols>
  <sheetData>
    <row r="1" spans="1:114" ht="15.75" thickBot="1" x14ac:dyDescent="0.3">
      <c r="A1" s="29"/>
      <c r="B1" s="29"/>
      <c r="C1" s="29"/>
      <c r="D1" s="30">
        <f t="shared" ref="D1:AD1" si="0">YEAR(D4)</f>
        <v>2022</v>
      </c>
      <c r="E1" s="30">
        <f t="shared" si="0"/>
        <v>2022</v>
      </c>
      <c r="F1" s="30">
        <f t="shared" si="0"/>
        <v>2022</v>
      </c>
      <c r="G1" s="30">
        <f t="shared" si="0"/>
        <v>2022</v>
      </c>
      <c r="H1" s="30">
        <f t="shared" si="0"/>
        <v>2022</v>
      </c>
      <c r="I1" s="30">
        <f t="shared" si="0"/>
        <v>2022</v>
      </c>
      <c r="J1" s="30">
        <f t="shared" si="0"/>
        <v>2022</v>
      </c>
      <c r="K1" s="30">
        <f t="shared" si="0"/>
        <v>2022</v>
      </c>
      <c r="L1" s="30">
        <f t="shared" si="0"/>
        <v>2022</v>
      </c>
      <c r="M1" s="30">
        <f t="shared" si="0"/>
        <v>2022</v>
      </c>
      <c r="N1" s="30">
        <f t="shared" si="0"/>
        <v>2022</v>
      </c>
      <c r="O1" s="30">
        <f t="shared" si="0"/>
        <v>2022</v>
      </c>
      <c r="P1" s="30">
        <f t="shared" si="0"/>
        <v>2023</v>
      </c>
      <c r="Q1" s="30">
        <f t="shared" si="0"/>
        <v>2023</v>
      </c>
      <c r="R1" s="30">
        <f t="shared" si="0"/>
        <v>2023</v>
      </c>
      <c r="S1" s="30">
        <f t="shared" si="0"/>
        <v>2023</v>
      </c>
      <c r="T1" s="30">
        <f t="shared" si="0"/>
        <v>2023</v>
      </c>
      <c r="U1" s="30">
        <f t="shared" si="0"/>
        <v>2023</v>
      </c>
      <c r="V1" s="30">
        <f t="shared" si="0"/>
        <v>2023</v>
      </c>
      <c r="W1" s="30">
        <f t="shared" si="0"/>
        <v>2023</v>
      </c>
      <c r="X1" s="30">
        <f t="shared" si="0"/>
        <v>2023</v>
      </c>
      <c r="Y1" s="30">
        <f t="shared" si="0"/>
        <v>2023</v>
      </c>
      <c r="Z1" s="30">
        <f t="shared" si="0"/>
        <v>2023</v>
      </c>
      <c r="AA1" s="30">
        <f t="shared" si="0"/>
        <v>2023</v>
      </c>
      <c r="AB1" s="30">
        <f>YEAR(AB4)</f>
        <v>2024</v>
      </c>
      <c r="AC1" s="30">
        <f t="shared" si="0"/>
        <v>2024</v>
      </c>
      <c r="AD1" s="30">
        <f t="shared" si="0"/>
        <v>2024</v>
      </c>
      <c r="AE1" s="30">
        <f t="shared" ref="AE1:AF1" si="1">YEAR(AE4)</f>
        <v>2024</v>
      </c>
      <c r="AF1" s="30">
        <f t="shared" si="1"/>
        <v>2024</v>
      </c>
      <c r="AG1" s="30">
        <f t="shared" ref="AG1" si="2">YEAR(AG4)</f>
        <v>2024</v>
      </c>
      <c r="AH1" s="30">
        <f>YEAR(AH4)</f>
        <v>2024</v>
      </c>
      <c r="AI1" s="308">
        <f>YEAR(AI4)</f>
        <v>2024</v>
      </c>
      <c r="AJ1" s="30">
        <f>YEAR(AJ4)</f>
        <v>2024</v>
      </c>
      <c r="AK1" s="30">
        <f t="shared" ref="AK1:BO1" si="3">YEAR(AK4)</f>
        <v>2024</v>
      </c>
      <c r="AL1" s="30">
        <f t="shared" si="3"/>
        <v>2024</v>
      </c>
      <c r="AM1" s="52">
        <f t="shared" si="3"/>
        <v>2024</v>
      </c>
      <c r="AN1" s="30">
        <f t="shared" si="3"/>
        <v>2025</v>
      </c>
      <c r="AO1" s="30">
        <f t="shared" si="3"/>
        <v>2025</v>
      </c>
      <c r="AP1" s="30">
        <f t="shared" ref="AP1:AQ1" si="4">YEAR(AP4)</f>
        <v>2025</v>
      </c>
      <c r="AQ1" s="30">
        <f t="shared" si="4"/>
        <v>2025</v>
      </c>
      <c r="AR1" s="30">
        <f t="shared" ref="AR1" si="5">YEAR(AR4)</f>
        <v>2025</v>
      </c>
      <c r="AS1" s="30">
        <f t="shared" ref="AS1:AT1" si="6">YEAR(AS4)</f>
        <v>2025</v>
      </c>
      <c r="AT1" s="30">
        <f t="shared" si="6"/>
        <v>2025</v>
      </c>
      <c r="AU1" s="308">
        <f t="shared" ref="AU1:AV1" si="7">YEAR(AU4)</f>
        <v>2025</v>
      </c>
      <c r="AV1" s="30">
        <f t="shared" si="7"/>
        <v>2025</v>
      </c>
      <c r="AW1" s="308">
        <f t="shared" ref="AW1" si="8">YEAR(AW4)</f>
        <v>2025</v>
      </c>
      <c r="AX1" s="30">
        <f t="shared" ref="AX1" si="9">YEAR(AX4)</f>
        <v>2025</v>
      </c>
      <c r="AY1" s="308">
        <f t="shared" si="3"/>
        <v>2025</v>
      </c>
      <c r="AZ1" s="30">
        <f t="shared" si="3"/>
        <v>2026</v>
      </c>
      <c r="BA1" s="30">
        <f t="shared" si="3"/>
        <v>2026</v>
      </c>
      <c r="BB1" s="30">
        <f t="shared" si="3"/>
        <v>2026</v>
      </c>
      <c r="BC1" s="30">
        <f t="shared" si="3"/>
        <v>2026</v>
      </c>
      <c r="BD1" s="30">
        <f t="shared" si="3"/>
        <v>2026</v>
      </c>
      <c r="BE1" s="30">
        <f t="shared" si="3"/>
        <v>2026</v>
      </c>
      <c r="BF1" s="30">
        <f t="shared" si="3"/>
        <v>2026</v>
      </c>
      <c r="BG1" s="30">
        <f t="shared" si="3"/>
        <v>2026</v>
      </c>
      <c r="BH1" s="30">
        <f t="shared" si="3"/>
        <v>2026</v>
      </c>
      <c r="BI1" s="30">
        <f t="shared" si="3"/>
        <v>2026</v>
      </c>
      <c r="BJ1" s="30">
        <f t="shared" si="3"/>
        <v>2026</v>
      </c>
      <c r="BK1" s="308">
        <f t="shared" si="3"/>
        <v>2026</v>
      </c>
      <c r="BL1" s="30">
        <f t="shared" si="3"/>
        <v>2027</v>
      </c>
      <c r="BM1" s="30">
        <f t="shared" si="3"/>
        <v>2027</v>
      </c>
      <c r="BN1" s="30">
        <f t="shared" si="3"/>
        <v>2027</v>
      </c>
      <c r="BO1" s="30">
        <f t="shared" si="3"/>
        <v>2027</v>
      </c>
      <c r="BP1" s="30">
        <f t="shared" ref="BP1:CU1" si="10">YEAR(BP4)</f>
        <v>2027</v>
      </c>
      <c r="BQ1" s="30">
        <f t="shared" si="10"/>
        <v>2027</v>
      </c>
      <c r="BR1" s="30">
        <f t="shared" si="10"/>
        <v>2027</v>
      </c>
      <c r="BS1" s="30">
        <f t="shared" si="10"/>
        <v>2027</v>
      </c>
      <c r="BT1" s="30">
        <f t="shared" si="10"/>
        <v>2027</v>
      </c>
      <c r="BU1" s="30">
        <f t="shared" si="10"/>
        <v>2027</v>
      </c>
      <c r="BV1" s="30">
        <f t="shared" si="10"/>
        <v>2027</v>
      </c>
      <c r="BW1" s="308">
        <f t="shared" si="10"/>
        <v>2027</v>
      </c>
      <c r="BX1" s="30">
        <f t="shared" si="10"/>
        <v>2028</v>
      </c>
      <c r="BY1" s="30">
        <f t="shared" si="10"/>
        <v>2028</v>
      </c>
      <c r="BZ1" s="30">
        <f t="shared" si="10"/>
        <v>2028</v>
      </c>
      <c r="CA1" s="30">
        <f t="shared" si="10"/>
        <v>2028</v>
      </c>
      <c r="CB1" s="30">
        <f t="shared" si="10"/>
        <v>2028</v>
      </c>
      <c r="CC1" s="30">
        <f t="shared" si="10"/>
        <v>2028</v>
      </c>
      <c r="CD1" s="30">
        <f t="shared" si="10"/>
        <v>2028</v>
      </c>
      <c r="CE1" s="30">
        <f t="shared" si="10"/>
        <v>2028</v>
      </c>
      <c r="CF1" s="30">
        <f t="shared" si="10"/>
        <v>2028</v>
      </c>
      <c r="CG1" s="30">
        <f t="shared" si="10"/>
        <v>2028</v>
      </c>
      <c r="CH1" s="30">
        <f t="shared" si="10"/>
        <v>2028</v>
      </c>
      <c r="CI1" s="308">
        <f t="shared" si="10"/>
        <v>2028</v>
      </c>
      <c r="CJ1" s="30">
        <f t="shared" si="10"/>
        <v>2029</v>
      </c>
      <c r="CK1" s="30">
        <f t="shared" si="10"/>
        <v>2029</v>
      </c>
      <c r="CL1" s="30">
        <f t="shared" si="10"/>
        <v>2029</v>
      </c>
      <c r="CM1" s="30">
        <f t="shared" si="10"/>
        <v>2029</v>
      </c>
      <c r="CN1" s="30">
        <f t="shared" si="10"/>
        <v>2029</v>
      </c>
      <c r="CO1" s="30">
        <f t="shared" si="10"/>
        <v>2029</v>
      </c>
      <c r="CP1" s="30">
        <f t="shared" si="10"/>
        <v>2029</v>
      </c>
      <c r="CQ1" s="30">
        <f t="shared" si="10"/>
        <v>2029</v>
      </c>
      <c r="CR1" s="30">
        <f t="shared" si="10"/>
        <v>2029</v>
      </c>
      <c r="CS1" s="30">
        <f t="shared" si="10"/>
        <v>2029</v>
      </c>
      <c r="CT1" s="30">
        <f t="shared" si="10"/>
        <v>2029</v>
      </c>
      <c r="CU1" s="308">
        <f t="shared" si="10"/>
        <v>2029</v>
      </c>
      <c r="CV1" s="30">
        <f t="shared" ref="CV1:DG1" si="11">YEAR(CV4)</f>
        <v>2030</v>
      </c>
      <c r="CW1" s="30">
        <f t="shared" si="11"/>
        <v>2030</v>
      </c>
      <c r="CX1" s="30">
        <f t="shared" si="11"/>
        <v>2030</v>
      </c>
      <c r="CY1" s="30">
        <f t="shared" si="11"/>
        <v>2030</v>
      </c>
      <c r="CZ1" s="30">
        <f t="shared" si="11"/>
        <v>2030</v>
      </c>
      <c r="DA1" s="30">
        <f t="shared" si="11"/>
        <v>2030</v>
      </c>
      <c r="DB1" s="30">
        <f t="shared" si="11"/>
        <v>2030</v>
      </c>
      <c r="DC1" s="30">
        <f t="shared" si="11"/>
        <v>2030</v>
      </c>
      <c r="DD1" s="30">
        <f t="shared" si="11"/>
        <v>2030</v>
      </c>
      <c r="DE1" s="30">
        <f t="shared" si="11"/>
        <v>2030</v>
      </c>
      <c r="DF1" s="30">
        <f t="shared" si="11"/>
        <v>2030</v>
      </c>
      <c r="DG1" s="30">
        <f t="shared" si="11"/>
        <v>2030</v>
      </c>
      <c r="DH1" s="30"/>
      <c r="DI1" s="30"/>
      <c r="DJ1" s="52"/>
    </row>
    <row r="2" spans="1:114" x14ac:dyDescent="0.25">
      <c r="A2" s="29"/>
      <c r="B2" s="29"/>
      <c r="C2" s="486"/>
      <c r="D2" s="306"/>
      <c r="E2" s="306"/>
      <c r="F2" s="306"/>
      <c r="G2" s="307" t="s">
        <v>205</v>
      </c>
      <c r="H2" s="307" t="s">
        <v>205</v>
      </c>
      <c r="I2" s="307" t="s">
        <v>207</v>
      </c>
      <c r="J2" s="307" t="s">
        <v>207</v>
      </c>
      <c r="K2" s="307" t="s">
        <v>206</v>
      </c>
      <c r="L2" s="307" t="s">
        <v>207</v>
      </c>
      <c r="M2" s="307" t="s">
        <v>207</v>
      </c>
      <c r="N2" s="307" t="s">
        <v>206</v>
      </c>
      <c r="O2" s="307" t="s">
        <v>207</v>
      </c>
      <c r="P2" s="307" t="s">
        <v>207</v>
      </c>
      <c r="Q2" s="307" t="s">
        <v>205</v>
      </c>
      <c r="R2" s="307" t="s">
        <v>207</v>
      </c>
      <c r="S2" s="307" t="s">
        <v>207</v>
      </c>
      <c r="T2" s="307" t="s">
        <v>205</v>
      </c>
      <c r="U2" s="307" t="s">
        <v>207</v>
      </c>
      <c r="V2" s="307" t="s">
        <v>205</v>
      </c>
      <c r="W2" s="307" t="s">
        <v>205</v>
      </c>
      <c r="X2" s="307" t="s">
        <v>205</v>
      </c>
      <c r="Y2" s="307" t="s">
        <v>207</v>
      </c>
      <c r="Z2" s="307" t="s">
        <v>206</v>
      </c>
      <c r="AA2" s="567" t="s">
        <v>206</v>
      </c>
      <c r="AB2" s="307" t="str">
        <f>+P2</f>
        <v>Shoulder</v>
      </c>
      <c r="AC2" s="307" t="str">
        <f t="shared" ref="AC2:CN2" si="12">+Q2</f>
        <v>Peak</v>
      </c>
      <c r="AD2" s="307" t="str">
        <f t="shared" si="12"/>
        <v>Shoulder</v>
      </c>
      <c r="AE2" s="307" t="str">
        <f t="shared" si="12"/>
        <v>Shoulder</v>
      </c>
      <c r="AF2" s="307" t="str">
        <f t="shared" si="12"/>
        <v>Peak</v>
      </c>
      <c r="AG2" s="307" t="str">
        <f t="shared" si="12"/>
        <v>Shoulder</v>
      </c>
      <c r="AH2" s="307" t="str">
        <f t="shared" si="12"/>
        <v>Peak</v>
      </c>
      <c r="AI2" s="309" t="str">
        <f t="shared" si="12"/>
        <v>Peak</v>
      </c>
      <c r="AJ2" s="307" t="str">
        <f t="shared" si="12"/>
        <v>Peak</v>
      </c>
      <c r="AK2" s="307" t="str">
        <f t="shared" si="12"/>
        <v>Shoulder</v>
      </c>
      <c r="AL2" s="307" t="str">
        <f t="shared" si="12"/>
        <v>Trough</v>
      </c>
      <c r="AM2" s="567" t="str">
        <f t="shared" si="12"/>
        <v>Trough</v>
      </c>
      <c r="AN2" s="307" t="str">
        <f t="shared" si="12"/>
        <v>Shoulder</v>
      </c>
      <c r="AO2" s="307" t="str">
        <f t="shared" si="12"/>
        <v>Peak</v>
      </c>
      <c r="AP2" s="307" t="str">
        <f t="shared" si="12"/>
        <v>Shoulder</v>
      </c>
      <c r="AQ2" s="307" t="str">
        <f t="shared" si="12"/>
        <v>Shoulder</v>
      </c>
      <c r="AR2" s="307" t="str">
        <f t="shared" si="12"/>
        <v>Peak</v>
      </c>
      <c r="AS2" s="307" t="str">
        <f t="shared" ref="AS2:AW2" si="13">+AG2</f>
        <v>Shoulder</v>
      </c>
      <c r="AT2" s="307" t="str">
        <f t="shared" si="13"/>
        <v>Peak</v>
      </c>
      <c r="AU2" s="309" t="str">
        <f t="shared" si="13"/>
        <v>Peak</v>
      </c>
      <c r="AV2" s="307" t="str">
        <f t="shared" si="13"/>
        <v>Peak</v>
      </c>
      <c r="AW2" s="309" t="str">
        <f t="shared" si="13"/>
        <v>Shoulder</v>
      </c>
      <c r="AX2" s="307" t="str">
        <f t="shared" si="12"/>
        <v>Trough</v>
      </c>
      <c r="AY2" s="567" t="str">
        <f t="shared" ref="AY2:BG2" si="14">+AM2</f>
        <v>Trough</v>
      </c>
      <c r="AZ2" s="30" t="str">
        <f t="shared" si="14"/>
        <v>Shoulder</v>
      </c>
      <c r="BA2" s="30" t="str">
        <f t="shared" si="14"/>
        <v>Peak</v>
      </c>
      <c r="BB2" s="30" t="str">
        <f t="shared" si="14"/>
        <v>Shoulder</v>
      </c>
      <c r="BC2" s="30" t="str">
        <f t="shared" si="14"/>
        <v>Shoulder</v>
      </c>
      <c r="BD2" s="30" t="str">
        <f t="shared" si="14"/>
        <v>Peak</v>
      </c>
      <c r="BE2" s="30" t="str">
        <f t="shared" si="14"/>
        <v>Shoulder</v>
      </c>
      <c r="BF2" s="30" t="str">
        <f t="shared" si="14"/>
        <v>Peak</v>
      </c>
      <c r="BG2" s="30" t="str">
        <f t="shared" si="14"/>
        <v>Peak</v>
      </c>
      <c r="BH2" s="30" t="str">
        <f t="shared" si="12"/>
        <v>Peak</v>
      </c>
      <c r="BI2" s="30" t="str">
        <f t="shared" si="12"/>
        <v>Shoulder</v>
      </c>
      <c r="BJ2" s="30" t="str">
        <f t="shared" si="12"/>
        <v>Trough</v>
      </c>
      <c r="BK2" s="308" t="str">
        <f t="shared" si="12"/>
        <v>Trough</v>
      </c>
      <c r="BL2" s="30" t="str">
        <f t="shared" si="12"/>
        <v>Shoulder</v>
      </c>
      <c r="BM2" s="30" t="str">
        <f t="shared" si="12"/>
        <v>Peak</v>
      </c>
      <c r="BN2" s="30" t="str">
        <f t="shared" si="12"/>
        <v>Shoulder</v>
      </c>
      <c r="BO2" s="30" t="str">
        <f t="shared" si="12"/>
        <v>Shoulder</v>
      </c>
      <c r="BP2" s="30" t="str">
        <f t="shared" si="12"/>
        <v>Peak</v>
      </c>
      <c r="BQ2" s="30" t="str">
        <f t="shared" si="12"/>
        <v>Shoulder</v>
      </c>
      <c r="BR2" s="30" t="str">
        <f t="shared" si="12"/>
        <v>Peak</v>
      </c>
      <c r="BS2" s="30" t="str">
        <f t="shared" si="12"/>
        <v>Peak</v>
      </c>
      <c r="BT2" s="30" t="str">
        <f t="shared" si="12"/>
        <v>Peak</v>
      </c>
      <c r="BU2" s="30" t="str">
        <f t="shared" si="12"/>
        <v>Shoulder</v>
      </c>
      <c r="BV2" s="30" t="str">
        <f t="shared" si="12"/>
        <v>Trough</v>
      </c>
      <c r="BW2" s="308" t="str">
        <f t="shared" si="12"/>
        <v>Trough</v>
      </c>
      <c r="BX2" s="30" t="str">
        <f t="shared" si="12"/>
        <v>Shoulder</v>
      </c>
      <c r="BY2" s="30" t="str">
        <f t="shared" si="12"/>
        <v>Peak</v>
      </c>
      <c r="BZ2" s="30" t="str">
        <f t="shared" si="12"/>
        <v>Shoulder</v>
      </c>
      <c r="CA2" s="30" t="str">
        <f t="shared" si="12"/>
        <v>Shoulder</v>
      </c>
      <c r="CB2" s="30" t="str">
        <f t="shared" si="12"/>
        <v>Peak</v>
      </c>
      <c r="CC2" s="30" t="str">
        <f t="shared" si="12"/>
        <v>Shoulder</v>
      </c>
      <c r="CD2" s="30" t="str">
        <f t="shared" si="12"/>
        <v>Peak</v>
      </c>
      <c r="CE2" s="30" t="str">
        <f t="shared" si="12"/>
        <v>Peak</v>
      </c>
      <c r="CF2" s="30" t="str">
        <f t="shared" si="12"/>
        <v>Peak</v>
      </c>
      <c r="CG2" s="30" t="str">
        <f t="shared" si="12"/>
        <v>Shoulder</v>
      </c>
      <c r="CH2" s="30" t="str">
        <f t="shared" si="12"/>
        <v>Trough</v>
      </c>
      <c r="CI2" s="308" t="str">
        <f t="shared" si="12"/>
        <v>Trough</v>
      </c>
      <c r="CJ2" s="30" t="str">
        <f t="shared" si="12"/>
        <v>Shoulder</v>
      </c>
      <c r="CK2" s="30" t="str">
        <f t="shared" si="12"/>
        <v>Peak</v>
      </c>
      <c r="CL2" s="30" t="str">
        <f t="shared" si="12"/>
        <v>Shoulder</v>
      </c>
      <c r="CM2" s="30" t="str">
        <f t="shared" si="12"/>
        <v>Shoulder</v>
      </c>
      <c r="CN2" s="30" t="str">
        <f t="shared" si="12"/>
        <v>Peak</v>
      </c>
      <c r="CO2" s="30" t="str">
        <f t="shared" ref="CO2:DG2" si="15">+CC2</f>
        <v>Shoulder</v>
      </c>
      <c r="CP2" s="30" t="str">
        <f t="shared" si="15"/>
        <v>Peak</v>
      </c>
      <c r="CQ2" s="30" t="str">
        <f t="shared" si="15"/>
        <v>Peak</v>
      </c>
      <c r="CR2" s="30" t="str">
        <f t="shared" si="15"/>
        <v>Peak</v>
      </c>
      <c r="CS2" s="30" t="str">
        <f t="shared" si="15"/>
        <v>Shoulder</v>
      </c>
      <c r="CT2" s="30" t="str">
        <f t="shared" si="15"/>
        <v>Trough</v>
      </c>
      <c r="CU2" s="308" t="str">
        <f t="shared" si="15"/>
        <v>Trough</v>
      </c>
      <c r="CV2" s="30" t="str">
        <f t="shared" si="15"/>
        <v>Shoulder</v>
      </c>
      <c r="CW2" s="30" t="str">
        <f t="shared" si="15"/>
        <v>Peak</v>
      </c>
      <c r="CX2" s="30" t="str">
        <f t="shared" si="15"/>
        <v>Shoulder</v>
      </c>
      <c r="CY2" s="30" t="str">
        <f t="shared" si="15"/>
        <v>Shoulder</v>
      </c>
      <c r="CZ2" s="30" t="str">
        <f t="shared" si="15"/>
        <v>Peak</v>
      </c>
      <c r="DA2" s="30" t="str">
        <f t="shared" si="15"/>
        <v>Shoulder</v>
      </c>
      <c r="DB2" s="30" t="str">
        <f t="shared" si="15"/>
        <v>Peak</v>
      </c>
      <c r="DC2" s="30" t="str">
        <f t="shared" si="15"/>
        <v>Peak</v>
      </c>
      <c r="DD2" s="30" t="str">
        <f t="shared" si="15"/>
        <v>Peak</v>
      </c>
      <c r="DE2" s="30" t="str">
        <f t="shared" si="15"/>
        <v>Shoulder</v>
      </c>
      <c r="DF2" s="30" t="str">
        <f t="shared" si="15"/>
        <v>Trough</v>
      </c>
      <c r="DG2" s="30" t="str">
        <f t="shared" si="15"/>
        <v>Trough</v>
      </c>
      <c r="DH2" s="30"/>
      <c r="DI2" s="30"/>
      <c r="DJ2" s="30"/>
    </row>
    <row r="3" spans="1:114" x14ac:dyDescent="0.25">
      <c r="A3" s="29"/>
      <c r="B3" s="29"/>
      <c r="C3" s="487"/>
      <c r="D3" s="164" t="str">
        <f>+"Q1 "&amp;D1</f>
        <v>Q1 2022</v>
      </c>
      <c r="E3" s="164" t="str">
        <f>+"Q1 "&amp;E1</f>
        <v>Q1 2022</v>
      </c>
      <c r="F3" s="164" t="str">
        <f>+"Q1 "&amp;F1</f>
        <v>Q1 2022</v>
      </c>
      <c r="G3" s="164" t="str">
        <f>+"Q2 "&amp;G1</f>
        <v>Q2 2022</v>
      </c>
      <c r="H3" s="164" t="str">
        <f>+"Q2 "&amp;H1</f>
        <v>Q2 2022</v>
      </c>
      <c r="I3" s="164" t="str">
        <f>+"Q2 "&amp;I1</f>
        <v>Q2 2022</v>
      </c>
      <c r="J3" s="164" t="str">
        <f>+"Q3 "&amp;J1</f>
        <v>Q3 2022</v>
      </c>
      <c r="K3" s="164" t="str">
        <f>+"Q3 "&amp;K1</f>
        <v>Q3 2022</v>
      </c>
      <c r="L3" s="164" t="str">
        <f>+"Q3 "&amp;L1</f>
        <v>Q3 2022</v>
      </c>
      <c r="M3" s="164" t="str">
        <f>+"Q4 "&amp;M1</f>
        <v>Q4 2022</v>
      </c>
      <c r="N3" s="164" t="str">
        <f>+"Q4 "&amp;N1</f>
        <v>Q4 2022</v>
      </c>
      <c r="O3" s="164" t="str">
        <f>+"Q4 "&amp;O1</f>
        <v>Q4 2022</v>
      </c>
      <c r="P3" s="164" t="str">
        <f>+"Q1 "&amp;P1</f>
        <v>Q1 2023</v>
      </c>
      <c r="Q3" s="164" t="str">
        <f>+"Q1 "&amp;Q1</f>
        <v>Q1 2023</v>
      </c>
      <c r="R3" s="164" t="str">
        <f>+"Q1 "&amp;R1</f>
        <v>Q1 2023</v>
      </c>
      <c r="S3" s="164" t="str">
        <f>+"Q2 "&amp;S1</f>
        <v>Q2 2023</v>
      </c>
      <c r="T3" s="164" t="str">
        <f>+"Q2 "&amp;T1</f>
        <v>Q2 2023</v>
      </c>
      <c r="U3" s="164" t="str">
        <f>+"Q2 "&amp;U1</f>
        <v>Q2 2023</v>
      </c>
      <c r="V3" s="164" t="str">
        <f>+"Q3 "&amp;V1</f>
        <v>Q3 2023</v>
      </c>
      <c r="W3" s="164" t="str">
        <f>+"Q3 "&amp;W1</f>
        <v>Q3 2023</v>
      </c>
      <c r="X3" s="164" t="str">
        <f>+"Q3 "&amp;X1</f>
        <v>Q3 2023</v>
      </c>
      <c r="Y3" s="164" t="str">
        <f>+"Q4 "&amp;Y1</f>
        <v>Q4 2023</v>
      </c>
      <c r="Z3" s="164" t="str">
        <f>+"Q4 "&amp;Z1</f>
        <v>Q4 2023</v>
      </c>
      <c r="AA3" s="519" t="str">
        <f>+"Q4 "&amp;AA1</f>
        <v>Q4 2023</v>
      </c>
      <c r="AB3" s="164" t="str">
        <f>+"Q1 "&amp;AB1</f>
        <v>Q1 2024</v>
      </c>
      <c r="AC3" s="164" t="str">
        <f>+"Q1 "&amp;AC1</f>
        <v>Q1 2024</v>
      </c>
      <c r="AD3" s="164" t="str">
        <f>+"Q1 "&amp;AD1</f>
        <v>Q1 2024</v>
      </c>
      <c r="AE3" s="164" t="str">
        <f>+"Q2 "&amp;AE1</f>
        <v>Q2 2024</v>
      </c>
      <c r="AF3" s="164" t="str">
        <f>+"Q2 "&amp;AF1</f>
        <v>Q2 2024</v>
      </c>
      <c r="AG3" s="164" t="str">
        <f>+"Q2 "&amp;AG1</f>
        <v>Q2 2024</v>
      </c>
      <c r="AH3" s="164" t="str">
        <f>+"Q3 "&amp;AH1</f>
        <v>Q3 2024</v>
      </c>
      <c r="AI3" s="310" t="str">
        <f>+"Q3 "&amp;AI1</f>
        <v>Q3 2024</v>
      </c>
      <c r="AJ3" s="164" t="str">
        <f>+"Q3 "&amp;AJ1</f>
        <v>Q3 2024</v>
      </c>
      <c r="AK3" s="164" t="str">
        <f>+"Q4 "&amp;AK1</f>
        <v>Q4 2024</v>
      </c>
      <c r="AL3" s="164" t="str">
        <f>+"Q4 "&amp;AL1</f>
        <v>Q4 2024</v>
      </c>
      <c r="AM3" s="519" t="str">
        <f>+"Q4 "&amp;AM1</f>
        <v>Q4 2024</v>
      </c>
      <c r="AN3" s="164" t="str">
        <f>+"Q1 "&amp;AN1</f>
        <v>Q1 2025</v>
      </c>
      <c r="AO3" s="164" t="str">
        <f>+"Q1 "&amp;AO1</f>
        <v>Q1 2025</v>
      </c>
      <c r="AP3" s="164" t="str">
        <f>+"Q1 "&amp;AP1</f>
        <v>Q1 2025</v>
      </c>
      <c r="AQ3" s="164" t="str">
        <f t="shared" ref="AQ3:AR3" si="16">+"Q2 "&amp;AQ1</f>
        <v>Q2 2025</v>
      </c>
      <c r="AR3" s="164" t="str">
        <f t="shared" si="16"/>
        <v>Q2 2025</v>
      </c>
      <c r="AS3" s="164" t="str">
        <f>+"Q2 "&amp;AS1</f>
        <v>Q2 2025</v>
      </c>
      <c r="AT3" s="164" t="str">
        <f>+"Q3 "&amp;AT1</f>
        <v>Q3 2025</v>
      </c>
      <c r="AU3" s="164" t="str">
        <f>+"Q3 "&amp;AU1</f>
        <v>Q3 2025</v>
      </c>
      <c r="AV3" s="164" t="str">
        <f>+"Q3 "&amp;AV1</f>
        <v>Q3 2025</v>
      </c>
      <c r="AW3" s="164" t="str">
        <f>+"Q4 "&amp;AW1</f>
        <v>Q4 2025</v>
      </c>
      <c r="AX3" s="164" t="str">
        <f>+"Q4 "&amp;AX1</f>
        <v>Q4 2025</v>
      </c>
      <c r="AY3" s="519" t="str">
        <f>+"Q4 "&amp;AY1</f>
        <v>Q4 2025</v>
      </c>
      <c r="AZ3" s="164" t="str">
        <f>+"Q1 "&amp;AZ1</f>
        <v>Q1 2026</v>
      </c>
      <c r="BA3" s="164" t="str">
        <f>+"Q1 "&amp;BA1</f>
        <v>Q1 2026</v>
      </c>
      <c r="BB3" s="164" t="str">
        <f>+"Q1 "&amp;BB1</f>
        <v>Q1 2026</v>
      </c>
      <c r="BC3" s="164" t="str">
        <f>+"Q2 "&amp;BC1</f>
        <v>Q2 2026</v>
      </c>
      <c r="BD3" s="164" t="str">
        <f>+"Q2 "&amp;BD1</f>
        <v>Q2 2026</v>
      </c>
      <c r="BE3" s="164" t="str">
        <f>+"Q2 "&amp;BE1</f>
        <v>Q2 2026</v>
      </c>
      <c r="BF3" s="164" t="str">
        <f>+"Q3 "&amp;BF1</f>
        <v>Q3 2026</v>
      </c>
      <c r="BG3" s="164" t="str">
        <f>+"Q3 "&amp;BG1</f>
        <v>Q3 2026</v>
      </c>
      <c r="BH3" s="164" t="str">
        <f>+"Q3 "&amp;BH1</f>
        <v>Q3 2026</v>
      </c>
      <c r="BI3" s="164" t="str">
        <f>+"Q4 "&amp;BI1</f>
        <v>Q4 2026</v>
      </c>
      <c r="BJ3" s="164" t="str">
        <f>+"Q4 "&amp;BJ1</f>
        <v>Q4 2026</v>
      </c>
      <c r="BK3" s="310" t="str">
        <f>+"Q4 "&amp;BK1</f>
        <v>Q4 2026</v>
      </c>
      <c r="BL3" s="164" t="str">
        <f>+"Q1 "&amp;BL1</f>
        <v>Q1 2027</v>
      </c>
      <c r="BM3" s="164" t="str">
        <f>+"Q1 "&amp;BM1</f>
        <v>Q1 2027</v>
      </c>
      <c r="BN3" s="164" t="str">
        <f>+"Q1 "&amp;BN1</f>
        <v>Q1 2027</v>
      </c>
      <c r="BO3" s="164" t="str">
        <f>+"Q2 "&amp;BO1</f>
        <v>Q2 2027</v>
      </c>
      <c r="BP3" s="164" t="str">
        <f>+"Q2 "&amp;BP1</f>
        <v>Q2 2027</v>
      </c>
      <c r="BQ3" s="164" t="str">
        <f>+"Q2 "&amp;BQ1</f>
        <v>Q2 2027</v>
      </c>
      <c r="BR3" s="164" t="str">
        <f>+"Q3 "&amp;BR1</f>
        <v>Q3 2027</v>
      </c>
      <c r="BS3" s="164" t="str">
        <f>+"Q3 "&amp;BS1</f>
        <v>Q3 2027</v>
      </c>
      <c r="BT3" s="164" t="str">
        <f>+"Q3 "&amp;BT1</f>
        <v>Q3 2027</v>
      </c>
      <c r="BU3" s="164" t="str">
        <f>+"Q4 "&amp;BU1</f>
        <v>Q4 2027</v>
      </c>
      <c r="BV3" s="164" t="str">
        <f>+"Q4 "&amp;BV1</f>
        <v>Q4 2027</v>
      </c>
      <c r="BW3" s="310" t="str">
        <f>+"Q4 "&amp;BW1</f>
        <v>Q4 2027</v>
      </c>
      <c r="BX3" s="164" t="str">
        <f>+"Q1 "&amp;BX1</f>
        <v>Q1 2028</v>
      </c>
      <c r="BY3" s="164" t="str">
        <f>+"Q1 "&amp;BY1</f>
        <v>Q1 2028</v>
      </c>
      <c r="BZ3" s="164" t="str">
        <f>+"Q1 "&amp;BZ1</f>
        <v>Q1 2028</v>
      </c>
      <c r="CA3" s="164" t="str">
        <f>+"Q2 "&amp;CA1</f>
        <v>Q2 2028</v>
      </c>
      <c r="CB3" s="164" t="str">
        <f>+"Q2 "&amp;CB1</f>
        <v>Q2 2028</v>
      </c>
      <c r="CC3" s="164" t="str">
        <f>+"Q2 "&amp;CC1</f>
        <v>Q2 2028</v>
      </c>
      <c r="CD3" s="164" t="str">
        <f>+"Q3 "&amp;CD1</f>
        <v>Q3 2028</v>
      </c>
      <c r="CE3" s="164" t="str">
        <f>+"Q3 "&amp;CE1</f>
        <v>Q3 2028</v>
      </c>
      <c r="CF3" s="164" t="str">
        <f>+"Q3 "&amp;CF1</f>
        <v>Q3 2028</v>
      </c>
      <c r="CG3" s="164" t="str">
        <f>+"Q4 "&amp;CG1</f>
        <v>Q4 2028</v>
      </c>
      <c r="CH3" s="164" t="str">
        <f>+"Q4 "&amp;CH1</f>
        <v>Q4 2028</v>
      </c>
      <c r="CI3" s="310" t="str">
        <f>+"Q4 "&amp;CI1</f>
        <v>Q4 2028</v>
      </c>
      <c r="CJ3" s="164" t="str">
        <f>+"Q1 "&amp;CJ1</f>
        <v>Q1 2029</v>
      </c>
      <c r="CK3" s="164" t="str">
        <f>+"Q1 "&amp;CK1</f>
        <v>Q1 2029</v>
      </c>
      <c r="CL3" s="164" t="str">
        <f>+"Q1 "&amp;CL1</f>
        <v>Q1 2029</v>
      </c>
      <c r="CM3" s="164" t="str">
        <f>+"Q2 "&amp;CM1</f>
        <v>Q2 2029</v>
      </c>
      <c r="CN3" s="164" t="str">
        <f>+"Q2 "&amp;CN1</f>
        <v>Q2 2029</v>
      </c>
      <c r="CO3" s="164" t="str">
        <f>+"Q2 "&amp;CO1</f>
        <v>Q2 2029</v>
      </c>
      <c r="CP3" s="164" t="str">
        <f>+"Q3 "&amp;CP1</f>
        <v>Q3 2029</v>
      </c>
      <c r="CQ3" s="164" t="str">
        <f>+"Q3 "&amp;CQ1</f>
        <v>Q3 2029</v>
      </c>
      <c r="CR3" s="164" t="str">
        <f>+"Q3 "&amp;CR1</f>
        <v>Q3 2029</v>
      </c>
      <c r="CS3" s="164" t="str">
        <f>+"Q4 "&amp;CS1</f>
        <v>Q4 2029</v>
      </c>
      <c r="CT3" s="164" t="str">
        <f>+"Q4 "&amp;CT1</f>
        <v>Q4 2029</v>
      </c>
      <c r="CU3" s="310" t="str">
        <f>+"Q4 "&amp;CU1</f>
        <v>Q4 2029</v>
      </c>
      <c r="CV3" s="164" t="str">
        <f>+"Q1 "&amp;CV1</f>
        <v>Q1 2030</v>
      </c>
      <c r="CW3" s="164" t="str">
        <f>+"Q1 "&amp;CW1</f>
        <v>Q1 2030</v>
      </c>
      <c r="CX3" s="164" t="str">
        <f>+"Q1 "&amp;CX1</f>
        <v>Q1 2030</v>
      </c>
      <c r="CY3" s="164" t="str">
        <f>+"Q2 "&amp;CY1</f>
        <v>Q2 2030</v>
      </c>
      <c r="CZ3" s="164" t="str">
        <f>+"Q2 "&amp;CZ1</f>
        <v>Q2 2030</v>
      </c>
      <c r="DA3" s="164" t="str">
        <f>+"Q2 "&amp;DA1</f>
        <v>Q2 2030</v>
      </c>
      <c r="DB3" s="164" t="str">
        <f>+"Q3 "&amp;DB1</f>
        <v>Q3 2030</v>
      </c>
      <c r="DC3" s="164" t="str">
        <f>+"Q3 "&amp;DC1</f>
        <v>Q3 2030</v>
      </c>
      <c r="DD3" s="164" t="str">
        <f>+"Q3 "&amp;DD1</f>
        <v>Q3 2030</v>
      </c>
      <c r="DE3" s="164" t="str">
        <f>+"Q4 "&amp;DE1</f>
        <v>Q4 2030</v>
      </c>
      <c r="DF3" s="164" t="str">
        <f>+"Q4 "&amp;DF1</f>
        <v>Q4 2030</v>
      </c>
      <c r="DG3" s="164" t="str">
        <f>+"Q4 "&amp;DG1</f>
        <v>Q4 2030</v>
      </c>
      <c r="DH3" s="30"/>
      <c r="DI3" s="30"/>
      <c r="DJ3" s="30"/>
    </row>
    <row r="4" spans="1:114" ht="15.75" thickBot="1" x14ac:dyDescent="0.3">
      <c r="A4" s="31"/>
      <c r="B4" s="32"/>
      <c r="C4" s="488"/>
      <c r="D4" s="738">
        <v>44592</v>
      </c>
      <c r="E4" s="738">
        <v>44620</v>
      </c>
      <c r="F4" s="738">
        <v>44651</v>
      </c>
      <c r="G4" s="33">
        <v>44681</v>
      </c>
      <c r="H4" s="33">
        <v>44712</v>
      </c>
      <c r="I4" s="33">
        <v>44742</v>
      </c>
      <c r="J4" s="33">
        <v>44773</v>
      </c>
      <c r="K4" s="33">
        <v>44804</v>
      </c>
      <c r="L4" s="33">
        <v>44834</v>
      </c>
      <c r="M4" s="33">
        <v>44865</v>
      </c>
      <c r="N4" s="33">
        <v>44895</v>
      </c>
      <c r="O4" s="33">
        <v>44926</v>
      </c>
      <c r="P4" s="162">
        <v>44957</v>
      </c>
      <c r="Q4" s="33">
        <v>44985</v>
      </c>
      <c r="R4" s="33">
        <v>45016</v>
      </c>
      <c r="S4" s="33">
        <v>45046</v>
      </c>
      <c r="T4" s="33">
        <v>45077</v>
      </c>
      <c r="U4" s="33">
        <v>45107</v>
      </c>
      <c r="V4" s="33">
        <v>45138</v>
      </c>
      <c r="W4" s="33">
        <v>45169</v>
      </c>
      <c r="X4" s="33">
        <v>45199</v>
      </c>
      <c r="Y4" s="33">
        <v>45230</v>
      </c>
      <c r="Z4" s="33">
        <v>45260</v>
      </c>
      <c r="AA4" s="53">
        <v>45291</v>
      </c>
      <c r="AB4" s="33">
        <v>45322</v>
      </c>
      <c r="AC4" s="33">
        <v>45351</v>
      </c>
      <c r="AD4" s="33">
        <v>45382</v>
      </c>
      <c r="AE4" s="33">
        <v>45412</v>
      </c>
      <c r="AF4" s="33">
        <v>45443</v>
      </c>
      <c r="AG4" s="33">
        <v>45473</v>
      </c>
      <c r="AH4" s="33">
        <v>45504</v>
      </c>
      <c r="AI4" s="311">
        <v>45535</v>
      </c>
      <c r="AJ4" s="33">
        <v>45565</v>
      </c>
      <c r="AK4" s="33">
        <v>45596</v>
      </c>
      <c r="AL4" s="33">
        <v>45626</v>
      </c>
      <c r="AM4" s="53">
        <v>45657</v>
      </c>
      <c r="AN4" s="33">
        <v>45688</v>
      </c>
      <c r="AO4" s="33">
        <f>EOMONTH(AN4,1)</f>
        <v>45716</v>
      </c>
      <c r="AP4" s="33">
        <f>EOMONTH(AO4,1)</f>
        <v>45747</v>
      </c>
      <c r="AQ4" s="33">
        <f>EOMONTH(AP4,1)</f>
        <v>45777</v>
      </c>
      <c r="AR4" s="33">
        <f>EOMONTH(AQ4,1)</f>
        <v>45808</v>
      </c>
      <c r="AS4" s="33">
        <f t="shared" ref="AS4:AW4" si="17">EOMONTH(AR4,1)</f>
        <v>45838</v>
      </c>
      <c r="AT4" s="33">
        <f t="shared" si="17"/>
        <v>45869</v>
      </c>
      <c r="AU4" s="311">
        <f t="shared" si="17"/>
        <v>45900</v>
      </c>
      <c r="AV4" s="33">
        <f t="shared" si="17"/>
        <v>45930</v>
      </c>
      <c r="AW4" s="311">
        <f t="shared" si="17"/>
        <v>45961</v>
      </c>
      <c r="AX4" s="33">
        <f t="shared" ref="AX4:DA4" si="18">EOMONTH(AW4,1)</f>
        <v>45991</v>
      </c>
      <c r="AY4" s="53">
        <f t="shared" si="18"/>
        <v>46022</v>
      </c>
      <c r="AZ4" s="33">
        <f t="shared" si="18"/>
        <v>46053</v>
      </c>
      <c r="BA4" s="33">
        <f t="shared" si="18"/>
        <v>46081</v>
      </c>
      <c r="BB4" s="33">
        <f t="shared" si="18"/>
        <v>46112</v>
      </c>
      <c r="BC4" s="33">
        <f t="shared" si="18"/>
        <v>46142</v>
      </c>
      <c r="BD4" s="33">
        <f t="shared" si="18"/>
        <v>46173</v>
      </c>
      <c r="BE4" s="33">
        <f t="shared" si="18"/>
        <v>46203</v>
      </c>
      <c r="BF4" s="33">
        <f t="shared" si="18"/>
        <v>46234</v>
      </c>
      <c r="BG4" s="33">
        <f t="shared" si="18"/>
        <v>46265</v>
      </c>
      <c r="BH4" s="33">
        <f t="shared" si="18"/>
        <v>46295</v>
      </c>
      <c r="BI4" s="33">
        <f t="shared" si="18"/>
        <v>46326</v>
      </c>
      <c r="BJ4" s="33">
        <f t="shared" si="18"/>
        <v>46356</v>
      </c>
      <c r="BK4" s="311">
        <f t="shared" si="18"/>
        <v>46387</v>
      </c>
      <c r="BL4" s="33">
        <f t="shared" si="18"/>
        <v>46418</v>
      </c>
      <c r="BM4" s="33">
        <f t="shared" si="18"/>
        <v>46446</v>
      </c>
      <c r="BN4" s="33">
        <f t="shared" si="18"/>
        <v>46477</v>
      </c>
      <c r="BO4" s="33">
        <f t="shared" si="18"/>
        <v>46507</v>
      </c>
      <c r="BP4" s="33">
        <f t="shared" si="18"/>
        <v>46538</v>
      </c>
      <c r="BQ4" s="33">
        <f t="shared" si="18"/>
        <v>46568</v>
      </c>
      <c r="BR4" s="33">
        <f t="shared" si="18"/>
        <v>46599</v>
      </c>
      <c r="BS4" s="33">
        <f t="shared" si="18"/>
        <v>46630</v>
      </c>
      <c r="BT4" s="33">
        <f t="shared" si="18"/>
        <v>46660</v>
      </c>
      <c r="BU4" s="33">
        <f t="shared" si="18"/>
        <v>46691</v>
      </c>
      <c r="BV4" s="33">
        <f t="shared" si="18"/>
        <v>46721</v>
      </c>
      <c r="BW4" s="311">
        <f t="shared" si="18"/>
        <v>46752</v>
      </c>
      <c r="BX4" s="33">
        <f t="shared" si="18"/>
        <v>46783</v>
      </c>
      <c r="BY4" s="33">
        <f t="shared" si="18"/>
        <v>46812</v>
      </c>
      <c r="BZ4" s="33">
        <f t="shared" si="18"/>
        <v>46843</v>
      </c>
      <c r="CA4" s="33">
        <f t="shared" si="18"/>
        <v>46873</v>
      </c>
      <c r="CB4" s="33">
        <f t="shared" si="18"/>
        <v>46904</v>
      </c>
      <c r="CC4" s="33">
        <f t="shared" si="18"/>
        <v>46934</v>
      </c>
      <c r="CD4" s="33">
        <f t="shared" si="18"/>
        <v>46965</v>
      </c>
      <c r="CE4" s="33">
        <f t="shared" si="18"/>
        <v>46996</v>
      </c>
      <c r="CF4" s="33">
        <f t="shared" si="18"/>
        <v>47026</v>
      </c>
      <c r="CG4" s="33">
        <f t="shared" si="18"/>
        <v>47057</v>
      </c>
      <c r="CH4" s="33">
        <f t="shared" si="18"/>
        <v>47087</v>
      </c>
      <c r="CI4" s="311">
        <f t="shared" si="18"/>
        <v>47118</v>
      </c>
      <c r="CJ4" s="33">
        <f t="shared" si="18"/>
        <v>47149</v>
      </c>
      <c r="CK4" s="33">
        <f t="shared" si="18"/>
        <v>47177</v>
      </c>
      <c r="CL4" s="33">
        <f t="shared" si="18"/>
        <v>47208</v>
      </c>
      <c r="CM4" s="33">
        <f t="shared" si="18"/>
        <v>47238</v>
      </c>
      <c r="CN4" s="33">
        <f t="shared" si="18"/>
        <v>47269</v>
      </c>
      <c r="CO4" s="33">
        <f t="shared" si="18"/>
        <v>47299</v>
      </c>
      <c r="CP4" s="33">
        <f t="shared" si="18"/>
        <v>47330</v>
      </c>
      <c r="CQ4" s="33">
        <f t="shared" si="18"/>
        <v>47361</v>
      </c>
      <c r="CR4" s="33">
        <f t="shared" si="18"/>
        <v>47391</v>
      </c>
      <c r="CS4" s="33">
        <f t="shared" si="18"/>
        <v>47422</v>
      </c>
      <c r="CT4" s="33">
        <f t="shared" si="18"/>
        <v>47452</v>
      </c>
      <c r="CU4" s="311">
        <f t="shared" si="18"/>
        <v>47483</v>
      </c>
      <c r="CV4" s="33">
        <f t="shared" si="18"/>
        <v>47514</v>
      </c>
      <c r="CW4" s="33">
        <f t="shared" si="18"/>
        <v>47542</v>
      </c>
      <c r="CX4" s="33">
        <f t="shared" si="18"/>
        <v>47573</v>
      </c>
      <c r="CY4" s="33">
        <f t="shared" si="18"/>
        <v>47603</v>
      </c>
      <c r="CZ4" s="33">
        <f t="shared" si="18"/>
        <v>47634</v>
      </c>
      <c r="DA4" s="33">
        <f t="shared" si="18"/>
        <v>47664</v>
      </c>
      <c r="DB4" s="33">
        <f t="shared" ref="DB4:DG4" si="19">EOMONTH(DA4,1)</f>
        <v>47695</v>
      </c>
      <c r="DC4" s="33">
        <f t="shared" si="19"/>
        <v>47726</v>
      </c>
      <c r="DD4" s="33">
        <f t="shared" si="19"/>
        <v>47756</v>
      </c>
      <c r="DE4" s="33">
        <f t="shared" si="19"/>
        <v>47787</v>
      </c>
      <c r="DF4" s="33">
        <f t="shared" si="19"/>
        <v>47817</v>
      </c>
      <c r="DG4" s="33">
        <f t="shared" si="19"/>
        <v>47848</v>
      </c>
      <c r="DH4" s="33"/>
      <c r="DI4" s="33"/>
      <c r="DJ4" s="53"/>
    </row>
    <row r="5" spans="1:114" hidden="1" x14ac:dyDescent="0.25">
      <c r="B5" s="1" t="s">
        <v>1</v>
      </c>
      <c r="C5" s="489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AA5" s="97"/>
      <c r="AW5" s="186"/>
      <c r="AY5" s="97"/>
      <c r="BK5" s="186"/>
      <c r="BW5" s="186"/>
      <c r="CI5" s="186"/>
      <c r="CU5" s="186"/>
    </row>
    <row r="6" spans="1:114" s="113" customFormat="1" hidden="1" x14ac:dyDescent="0.25">
      <c r="A6"/>
      <c r="B6" s="1" t="s">
        <v>2</v>
      </c>
      <c r="C6" s="489"/>
      <c r="D6" s="115">
        <f>0</f>
        <v>0</v>
      </c>
      <c r="E6" s="115">
        <f>0</f>
        <v>0</v>
      </c>
      <c r="F6" s="115">
        <f>0</f>
        <v>0</v>
      </c>
      <c r="G6" s="115">
        <f>0</f>
        <v>0</v>
      </c>
      <c r="H6" s="115">
        <f>0</f>
        <v>0</v>
      </c>
      <c r="I6" s="115">
        <f>0</f>
        <v>0</v>
      </c>
      <c r="J6" s="115">
        <f>0</f>
        <v>0</v>
      </c>
      <c r="K6" s="115">
        <v>0</v>
      </c>
      <c r="L6" s="115">
        <v>0</v>
      </c>
      <c r="M6" s="115">
        <v>0</v>
      </c>
      <c r="N6" s="115"/>
      <c r="O6" s="159"/>
      <c r="P6" s="159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520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520"/>
      <c r="AN6" s="115"/>
      <c r="AO6" s="115"/>
      <c r="AP6" s="115"/>
      <c r="AQ6" s="115"/>
      <c r="AR6" s="115"/>
      <c r="AS6" s="115"/>
      <c r="AT6" s="115"/>
      <c r="AU6" s="115"/>
      <c r="AV6" s="115"/>
      <c r="AW6" s="187"/>
      <c r="AX6" s="115"/>
      <c r="AY6" s="520"/>
      <c r="BK6" s="187"/>
      <c r="BW6" s="187"/>
      <c r="CI6" s="187"/>
      <c r="CU6" s="187"/>
    </row>
    <row r="7" spans="1:114" s="113" customFormat="1" hidden="1" x14ac:dyDescent="0.25">
      <c r="A7"/>
      <c r="B7" s="1" t="s">
        <v>3</v>
      </c>
      <c r="C7" s="489"/>
      <c r="D7" s="115">
        <f>0</f>
        <v>0</v>
      </c>
      <c r="E7" s="115">
        <f>0</f>
        <v>0</v>
      </c>
      <c r="F7" s="115">
        <f>0</f>
        <v>0</v>
      </c>
      <c r="G7" s="115">
        <f>0</f>
        <v>0</v>
      </c>
      <c r="H7" s="115">
        <f>0</f>
        <v>0</v>
      </c>
      <c r="I7" s="115">
        <f>0</f>
        <v>0</v>
      </c>
      <c r="J7" s="115">
        <v>0</v>
      </c>
      <c r="K7" s="115">
        <v>50</v>
      </c>
      <c r="L7" s="115">
        <v>350</v>
      </c>
      <c r="M7" s="115">
        <v>2640</v>
      </c>
      <c r="N7" s="115">
        <v>1865</v>
      </c>
      <c r="O7" s="115">
        <v>1932.5</v>
      </c>
      <c r="P7" s="115">
        <v>1360</v>
      </c>
      <c r="Q7" s="115">
        <v>1225</v>
      </c>
      <c r="R7" s="115">
        <v>1177.5</v>
      </c>
      <c r="S7" s="115">
        <v>1875</v>
      </c>
      <c r="T7" s="115">
        <v>2446.25</v>
      </c>
      <c r="U7" s="115">
        <v>1963.75</v>
      </c>
      <c r="V7" s="115">
        <v>2220</v>
      </c>
      <c r="W7" s="115">
        <v>5316.66</v>
      </c>
      <c r="X7" s="115">
        <v>4203.34</v>
      </c>
      <c r="Y7" s="115">
        <v>3105</v>
      </c>
      <c r="Z7" s="115">
        <v>2692.5</v>
      </c>
      <c r="AA7" s="520">
        <v>1350</v>
      </c>
      <c r="AB7" s="115">
        <v>1342.5</v>
      </c>
      <c r="AC7" s="115">
        <v>2167.5</v>
      </c>
      <c r="AD7" s="115">
        <v>1847.5</v>
      </c>
      <c r="AE7" s="115">
        <v>2035</v>
      </c>
      <c r="AF7" s="115">
        <v>1725</v>
      </c>
      <c r="AG7" s="115">
        <v>1285</v>
      </c>
      <c r="AH7" s="115">
        <v>1122.52</v>
      </c>
      <c r="AI7" s="115">
        <v>506.26</v>
      </c>
      <c r="AJ7" s="115">
        <v>326.25</v>
      </c>
      <c r="AK7" s="115">
        <v>135</v>
      </c>
      <c r="AL7" s="115">
        <v>727.5</v>
      </c>
      <c r="AM7" s="520">
        <v>585</v>
      </c>
      <c r="AN7" s="115">
        <v>371.25</v>
      </c>
      <c r="AO7" s="115">
        <v>1108.75</v>
      </c>
      <c r="AP7" s="115">
        <v>1537.5</v>
      </c>
      <c r="AQ7" s="115">
        <v>435</v>
      </c>
      <c r="AR7" s="115">
        <v>281.25</v>
      </c>
      <c r="AS7" s="115"/>
      <c r="AT7" s="115">
        <v>168.75</v>
      </c>
      <c r="AU7" s="115">
        <v>843.75</v>
      </c>
      <c r="AV7" s="115">
        <f>1443.75</f>
        <v>1443.75</v>
      </c>
      <c r="AW7" s="187">
        <f>1871.26</f>
        <v>1871.26</v>
      </c>
      <c r="AX7" s="115">
        <f t="shared" ref="AX7" si="20">+(AX34*AX28)+(AX32*AX38)</f>
        <v>1001.1961722488039</v>
      </c>
      <c r="AY7" s="520">
        <f t="shared" ref="AY7:CQ7" si="21">+(AY34*AY28)+(AY32*AY38)</f>
        <v>1660.7780320366137</v>
      </c>
      <c r="AZ7" s="113">
        <f t="shared" si="21"/>
        <v>1139.3907608695652</v>
      </c>
      <c r="BA7" s="113">
        <f t="shared" si="21"/>
        <v>2460.6214285714286</v>
      </c>
      <c r="BB7" s="113">
        <f t="shared" si="21"/>
        <v>4002.6249999999995</v>
      </c>
      <c r="BC7" s="113">
        <f t="shared" si="21"/>
        <v>1028.1130434782608</v>
      </c>
      <c r="BD7" s="113">
        <f t="shared" si="21"/>
        <v>737.74431818181824</v>
      </c>
      <c r="BE7" s="113">
        <f t="shared" si="21"/>
        <v>0</v>
      </c>
      <c r="BF7" s="113">
        <f t="shared" si="21"/>
        <v>233.27824675324672</v>
      </c>
      <c r="BG7" s="113">
        <f t="shared" si="21"/>
        <v>947.10937499999966</v>
      </c>
      <c r="BH7" s="113">
        <f t="shared" si="21"/>
        <v>1607.8815789473679</v>
      </c>
      <c r="BI7" s="113">
        <f t="shared" si="21"/>
        <v>1762.8552887735229</v>
      </c>
      <c r="BJ7" s="113">
        <f t="shared" si="21"/>
        <v>1244.174641148325</v>
      </c>
      <c r="BK7" s="187">
        <f t="shared" si="21"/>
        <v>2017.263157894736</v>
      </c>
      <c r="BL7" s="113">
        <f t="shared" si="21"/>
        <v>1272.9401086956516</v>
      </c>
      <c r="BM7" s="113">
        <f t="shared" si="21"/>
        <v>3071.0057142857131</v>
      </c>
      <c r="BN7" s="113">
        <f t="shared" si="21"/>
        <v>5384.0809523809494</v>
      </c>
      <c r="BO7" s="113">
        <f t="shared" si="21"/>
        <v>1360.6799999999992</v>
      </c>
      <c r="BP7" s="113">
        <f t="shared" si="21"/>
        <v>1011.9017045454543</v>
      </c>
      <c r="BQ7" s="113">
        <f t="shared" si="21"/>
        <v>0</v>
      </c>
      <c r="BR7" s="113">
        <f t="shared" si="21"/>
        <v>308.72571428571416</v>
      </c>
      <c r="BS7" s="113">
        <f t="shared" si="21"/>
        <v>1371.4151785714278</v>
      </c>
      <c r="BT7" s="113">
        <f t="shared" si="21"/>
        <v>2226.7184210526307</v>
      </c>
      <c r="BU7" s="113">
        <f t="shared" si="21"/>
        <v>2331.7767683322504</v>
      </c>
      <c r="BV7" s="113">
        <f t="shared" si="21"/>
        <v>1817.6842105263149</v>
      </c>
      <c r="BW7" s="187">
        <f t="shared" si="21"/>
        <v>2812.7999999999984</v>
      </c>
      <c r="BX7" s="113">
        <f t="shared" si="21"/>
        <v>1782.8751195652167</v>
      </c>
      <c r="BY7" s="113">
        <f t="shared" si="21"/>
        <v>4491.3833999999979</v>
      </c>
      <c r="BZ7" s="113">
        <f t="shared" si="21"/>
        <v>7526.4871428571378</v>
      </c>
      <c r="CA7" s="113">
        <f t="shared" si="21"/>
        <v>1739.3397628458486</v>
      </c>
      <c r="CB7" s="113">
        <f t="shared" si="21"/>
        <v>1552.1706818181813</v>
      </c>
      <c r="CC7" s="113">
        <f t="shared" si="21"/>
        <v>0</v>
      </c>
      <c r="CD7" s="113">
        <f t="shared" si="21"/>
        <v>413.6743636363633</v>
      </c>
      <c r="CE7" s="113">
        <f t="shared" si="21"/>
        <v>2008.023214285713</v>
      </c>
      <c r="CF7" s="113">
        <f t="shared" si="21"/>
        <v>2967.0015789473673</v>
      </c>
      <c r="CG7" s="113">
        <f t="shared" si="21"/>
        <v>3400.0022063595052</v>
      </c>
      <c r="CH7" s="113">
        <f t="shared" si="21"/>
        <v>2525.8105263157881</v>
      </c>
      <c r="CI7" s="187">
        <f t="shared" si="21"/>
        <v>3585.1123112128125</v>
      </c>
      <c r="CJ7" s="113">
        <f t="shared" si="21"/>
        <v>2742.8855999999982</v>
      </c>
      <c r="CK7" s="113">
        <f t="shared" si="21"/>
        <v>6013.5397714285655</v>
      </c>
      <c r="CL7" s="113">
        <f t="shared" si="21"/>
        <v>10095.055142857131</v>
      </c>
      <c r="CM7" s="113">
        <f t="shared" si="21"/>
        <v>2564.7729296442653</v>
      </c>
      <c r="CN7" s="113">
        <f t="shared" si="21"/>
        <v>2173.6270227272707</v>
      </c>
      <c r="CO7" s="113">
        <f t="shared" si="21"/>
        <v>0</v>
      </c>
      <c r="CP7" s="113">
        <f t="shared" si="21"/>
        <v>608.84382857142759</v>
      </c>
      <c r="CQ7" s="113">
        <f t="shared" si="21"/>
        <v>2831.2548214285666</v>
      </c>
      <c r="CR7" s="113">
        <f t="shared" ref="CR7:DG7" si="22">+(CR34*CR28)+(CR32*CR38)</f>
        <v>4002.9757894736777</v>
      </c>
      <c r="CS7" s="113">
        <f t="shared" si="22"/>
        <v>5059.7399999999925</v>
      </c>
      <c r="CT7" s="113">
        <f t="shared" si="22"/>
        <v>3611.9242105263106</v>
      </c>
      <c r="CU7" s="187">
        <f t="shared" si="22"/>
        <v>5118.3425903890075</v>
      </c>
      <c r="CV7" s="113">
        <f t="shared" si="22"/>
        <v>3890.7460899999942</v>
      </c>
      <c r="CW7" s="113">
        <f t="shared" si="22"/>
        <v>8506.5556799999849</v>
      </c>
      <c r="CX7" s="113">
        <f t="shared" si="22"/>
        <v>13595.727099999975</v>
      </c>
      <c r="CY7" s="113">
        <f t="shared" si="22"/>
        <v>3781.3365286956446</v>
      </c>
      <c r="CZ7" s="113">
        <f t="shared" si="22"/>
        <v>3061.30794545454</v>
      </c>
      <c r="DA7" s="113">
        <f t="shared" si="22"/>
        <v>0</v>
      </c>
      <c r="DB7" s="113">
        <f t="shared" si="22"/>
        <v>898.38440883116675</v>
      </c>
      <c r="DC7" s="113">
        <f t="shared" si="22"/>
        <v>3821.6203928571344</v>
      </c>
      <c r="DD7" s="113">
        <f t="shared" si="22"/>
        <v>5919.1901999999882</v>
      </c>
      <c r="DE7" s="113">
        <f t="shared" si="22"/>
        <v>7117.6434626865539</v>
      </c>
      <c r="DF7" s="113">
        <f t="shared" si="22"/>
        <v>4835.133645933005</v>
      </c>
      <c r="DG7" s="113">
        <f t="shared" si="22"/>
        <v>7514.1518938214931</v>
      </c>
    </row>
    <row r="8" spans="1:114" s="113" customFormat="1" hidden="1" x14ac:dyDescent="0.25">
      <c r="A8"/>
      <c r="B8" s="1" t="s">
        <v>4</v>
      </c>
      <c r="C8" s="489"/>
      <c r="D8" s="115">
        <f>0</f>
        <v>0</v>
      </c>
      <c r="E8" s="115">
        <f>0</f>
        <v>0</v>
      </c>
      <c r="F8" s="115">
        <f>0</f>
        <v>0</v>
      </c>
      <c r="G8" s="115">
        <f>0</f>
        <v>0</v>
      </c>
      <c r="H8" s="115">
        <f>0</f>
        <v>0</v>
      </c>
      <c r="I8" s="115">
        <f>0</f>
        <v>0</v>
      </c>
      <c r="J8" s="115">
        <v>0</v>
      </c>
      <c r="K8" s="115">
        <v>175</v>
      </c>
      <c r="L8" s="115">
        <v>50</v>
      </c>
      <c r="M8" s="115">
        <v>325</v>
      </c>
      <c r="N8" s="115">
        <v>225</v>
      </c>
      <c r="O8" s="115">
        <v>0</v>
      </c>
      <c r="P8" s="115"/>
      <c r="Q8" s="115"/>
      <c r="R8" s="115"/>
      <c r="S8" s="115"/>
      <c r="T8" s="115"/>
      <c r="U8" s="115"/>
      <c r="V8" s="115">
        <v>150</v>
      </c>
      <c r="W8" s="115">
        <v>140</v>
      </c>
      <c r="X8" s="115">
        <v>1827.5</v>
      </c>
      <c r="Y8" s="115">
        <v>1620</v>
      </c>
      <c r="Z8" s="115">
        <v>1070</v>
      </c>
      <c r="AA8" s="520">
        <v>700</v>
      </c>
      <c r="AB8" s="115">
        <v>1110</v>
      </c>
      <c r="AC8" s="115">
        <v>2115</v>
      </c>
      <c r="AD8" s="115">
        <v>1470</v>
      </c>
      <c r="AE8" s="115">
        <v>1935</v>
      </c>
      <c r="AF8" s="115">
        <v>3645</v>
      </c>
      <c r="AG8" s="115">
        <v>1305.01</v>
      </c>
      <c r="AH8" s="115">
        <v>4406.25</v>
      </c>
      <c r="AI8" s="115">
        <v>8085</v>
      </c>
      <c r="AJ8" s="115">
        <v>1530</v>
      </c>
      <c r="AK8" s="115">
        <v>2085</v>
      </c>
      <c r="AL8" s="115">
        <v>956.25</v>
      </c>
      <c r="AM8" s="520">
        <v>1706.25</v>
      </c>
      <c r="AN8" s="115">
        <v>3195</v>
      </c>
      <c r="AO8" s="115">
        <v>4511.25</v>
      </c>
      <c r="AP8" s="115">
        <v>5467.5</v>
      </c>
      <c r="AQ8" s="115">
        <v>2733.75</v>
      </c>
      <c r="AR8" s="115">
        <v>4901.25</v>
      </c>
      <c r="AS8" s="115">
        <v>2047.5</v>
      </c>
      <c r="AT8" s="115">
        <v>5011.25</v>
      </c>
      <c r="AU8" s="115">
        <v>5946.25</v>
      </c>
      <c r="AV8" s="115">
        <f>8113.75</f>
        <v>8113.75</v>
      </c>
      <c r="AW8" s="187">
        <f>4536.25</f>
        <v>4536.25</v>
      </c>
      <c r="AX8" s="115">
        <f t="shared" ref="AX8" si="23">+AX35*AX29</f>
        <v>1401.6746411483255</v>
      </c>
      <c r="AY8" s="520">
        <f t="shared" ref="AY8:DF9" si="24">+AY35*AY29</f>
        <v>5189.931350114417</v>
      </c>
      <c r="AZ8" s="113">
        <f t="shared" si="24"/>
        <v>8010.002717391304</v>
      </c>
      <c r="BA8" s="113">
        <f t="shared" si="24"/>
        <v>10617.750000000002</v>
      </c>
      <c r="BB8" s="113">
        <f t="shared" si="24"/>
        <v>14497.312499999998</v>
      </c>
      <c r="BC8" s="113">
        <f t="shared" si="24"/>
        <v>6558.652173913043</v>
      </c>
      <c r="BD8" s="113">
        <f t="shared" si="24"/>
        <v>13131.848863636365</v>
      </c>
      <c r="BE8" s="113">
        <f t="shared" si="24"/>
        <v>4034.4857142857136</v>
      </c>
      <c r="BF8" s="113">
        <f t="shared" si="24"/>
        <v>7024.2672077922052</v>
      </c>
      <c r="BG8" s="113">
        <f t="shared" si="24"/>
        <v>6587.6718749999973</v>
      </c>
      <c r="BH8" s="113">
        <f t="shared" si="24"/>
        <v>8853.7894736842063</v>
      </c>
      <c r="BI8" s="113">
        <f t="shared" si="24"/>
        <v>4155.3017521090187</v>
      </c>
      <c r="BJ8" s="113">
        <f t="shared" si="24"/>
        <v>1741.8444976076551</v>
      </c>
      <c r="BK8" s="187">
        <f t="shared" si="24"/>
        <v>6303.9473684210488</v>
      </c>
      <c r="BL8" s="113">
        <f t="shared" si="24"/>
        <v>8948.86467391304</v>
      </c>
      <c r="BM8" s="113">
        <f t="shared" si="24"/>
        <v>13251.599999999995</v>
      </c>
      <c r="BN8" s="113">
        <f t="shared" si="24"/>
        <v>19500.878571428562</v>
      </c>
      <c r="BO8" s="113">
        <f t="shared" si="24"/>
        <v>8680.1999999999953</v>
      </c>
      <c r="BP8" s="113">
        <f t="shared" si="24"/>
        <v>18011.850340909084</v>
      </c>
      <c r="BQ8" s="113">
        <f t="shared" si="24"/>
        <v>5582.5942857142818</v>
      </c>
      <c r="BR8" s="113">
        <f t="shared" si="24"/>
        <v>9296.0742857142814</v>
      </c>
      <c r="BS8" s="113">
        <f t="shared" si="24"/>
        <v>9538.954464285709</v>
      </c>
      <c r="BT8" s="113">
        <f t="shared" si="24"/>
        <v>12261.410526315782</v>
      </c>
      <c r="BU8" s="113">
        <f t="shared" si="24"/>
        <v>5496.330953926019</v>
      </c>
      <c r="BV8" s="113">
        <f t="shared" si="24"/>
        <v>2544.7578947368406</v>
      </c>
      <c r="BW8" s="187">
        <f t="shared" si="24"/>
        <v>8789.9999999999927</v>
      </c>
      <c r="BX8" s="113">
        <f t="shared" si="24"/>
        <v>12533.746141304342</v>
      </c>
      <c r="BY8" s="113">
        <f t="shared" si="24"/>
        <v>19380.626999999989</v>
      </c>
      <c r="BZ8" s="113">
        <f t="shared" si="24"/>
        <v>27260.569285714268</v>
      </c>
      <c r="CA8" s="113">
        <f t="shared" si="24"/>
        <v>11095.788142292482</v>
      </c>
      <c r="CB8" s="113">
        <f t="shared" si="24"/>
        <v>27628.638136363625</v>
      </c>
      <c r="CC8" s="113">
        <f t="shared" si="24"/>
        <v>7732.6605714285661</v>
      </c>
      <c r="CD8" s="113">
        <f t="shared" si="24"/>
        <v>12456.194727272718</v>
      </c>
      <c r="CE8" s="113">
        <f t="shared" si="24"/>
        <v>13966.917023809514</v>
      </c>
      <c r="CF8" s="113">
        <f t="shared" si="24"/>
        <v>16337.774928229657</v>
      </c>
      <c r="CG8" s="113">
        <f t="shared" si="24"/>
        <v>8014.2909149902634</v>
      </c>
      <c r="CH8" s="113">
        <f t="shared" si="24"/>
        <v>3536.1347368421034</v>
      </c>
      <c r="CI8" s="187">
        <f t="shared" si="24"/>
        <v>11203.475972540038</v>
      </c>
      <c r="CJ8" s="113">
        <f t="shared" si="24"/>
        <v>19282.691999999985</v>
      </c>
      <c r="CK8" s="113">
        <f t="shared" si="24"/>
        <v>25948.835999999967</v>
      </c>
      <c r="CL8" s="113">
        <f t="shared" si="24"/>
        <v>36563.797285714245</v>
      </c>
      <c r="CM8" s="113">
        <f t="shared" si="24"/>
        <v>16361.48248221342</v>
      </c>
      <c r="CN8" s="113">
        <f t="shared" si="24"/>
        <v>38690.561004545416</v>
      </c>
      <c r="CO8" s="113">
        <f t="shared" si="24"/>
        <v>10435.946399999983</v>
      </c>
      <c r="CP8" s="113">
        <f t="shared" si="24"/>
        <v>18332.964171428543</v>
      </c>
      <c r="CQ8" s="113">
        <f t="shared" si="24"/>
        <v>19692.950202380918</v>
      </c>
      <c r="CR8" s="113">
        <f t="shared" si="24"/>
        <v>22042.360191387525</v>
      </c>
      <c r="CS8" s="113">
        <f t="shared" si="24"/>
        <v>11926.529999999982</v>
      </c>
      <c r="CT8" s="113">
        <f t="shared" si="24"/>
        <v>5056.6938947368335</v>
      </c>
      <c r="CU8" s="187">
        <f t="shared" si="24"/>
        <v>15994.820594965646</v>
      </c>
      <c r="CV8" s="113">
        <f t="shared" si="24"/>
        <v>27352.237549999954</v>
      </c>
      <c r="CW8" s="113">
        <f t="shared" si="24"/>
        <v>36706.370399999934</v>
      </c>
      <c r="CX8" s="113">
        <f t="shared" si="24"/>
        <v>49243.06034999992</v>
      </c>
      <c r="CY8" s="113">
        <f t="shared" si="24"/>
        <v>24122.319234782561</v>
      </c>
      <c r="CZ8" s="113">
        <f t="shared" si="24"/>
        <v>54491.281429090799</v>
      </c>
      <c r="DA8" s="113">
        <f t="shared" si="24"/>
        <v>13980.595199999967</v>
      </c>
      <c r="DB8" s="113">
        <f t="shared" si="24"/>
        <v>27051.352754805135</v>
      </c>
      <c r="DC8" s="113">
        <f t="shared" si="24"/>
        <v>26581.492954761845</v>
      </c>
      <c r="DD8" s="113">
        <f t="shared" si="24"/>
        <v>32593.982399999935</v>
      </c>
      <c r="DE8" s="113">
        <f t="shared" si="24"/>
        <v>16777.302447761162</v>
      </c>
      <c r="DF8" s="113">
        <f t="shared" si="24"/>
        <v>6769.1871043062047</v>
      </c>
      <c r="DG8" s="113">
        <f>+DG35*DG29</f>
        <v>23481.724668192161</v>
      </c>
    </row>
    <row r="9" spans="1:114" s="113" customFormat="1" hidden="1" x14ac:dyDescent="0.25">
      <c r="A9"/>
      <c r="B9" s="1" t="s">
        <v>289</v>
      </c>
      <c r="C9" s="489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520"/>
      <c r="AB9" s="115"/>
      <c r="AC9" s="115"/>
      <c r="AD9" s="115"/>
      <c r="AE9" s="115"/>
      <c r="AF9" s="115"/>
      <c r="AG9" s="115"/>
      <c r="AH9" s="115"/>
      <c r="AI9" s="115">
        <v>851.25</v>
      </c>
      <c r="AJ9" s="115">
        <v>997.5</v>
      </c>
      <c r="AK9" s="115">
        <v>1592.5</v>
      </c>
      <c r="AL9" s="115">
        <v>150</v>
      </c>
      <c r="AM9" s="520"/>
      <c r="AN9" s="115"/>
      <c r="AO9" s="115">
        <v>562.5</v>
      </c>
      <c r="AP9" s="115"/>
      <c r="AQ9" s="115"/>
      <c r="AR9" s="115">
        <v>450</v>
      </c>
      <c r="AS9" s="115">
        <v>637.5</v>
      </c>
      <c r="AT9" s="115">
        <v>1212.5</v>
      </c>
      <c r="AU9" s="115">
        <v>1750</v>
      </c>
      <c r="AV9" s="115">
        <f>2272.5</f>
        <v>2272.5</v>
      </c>
      <c r="AW9" s="187">
        <f>2393.75</f>
        <v>2393.75</v>
      </c>
      <c r="AX9" s="115">
        <f t="shared" ref="AX9" si="25">+AX36*AX30</f>
        <v>315.37679425837325</v>
      </c>
      <c r="AY9" s="520">
        <f t="shared" si="24"/>
        <v>0</v>
      </c>
      <c r="AZ9" s="113">
        <f t="shared" si="24"/>
        <v>0</v>
      </c>
      <c r="BA9" s="113">
        <f t="shared" si="24"/>
        <v>1137.6160714285716</v>
      </c>
      <c r="BB9" s="113">
        <f t="shared" si="24"/>
        <v>0</v>
      </c>
      <c r="BC9" s="113">
        <f t="shared" si="24"/>
        <v>0</v>
      </c>
      <c r="BD9" s="113">
        <f t="shared" si="24"/>
        <v>796.76386363636368</v>
      </c>
      <c r="BE9" s="113">
        <f t="shared" si="24"/>
        <v>1452.4148571428568</v>
      </c>
      <c r="BF9" s="113">
        <f t="shared" si="24"/>
        <v>1632.9477272727265</v>
      </c>
      <c r="BG9" s="113">
        <f t="shared" si="24"/>
        <v>1856.3343749999995</v>
      </c>
      <c r="BH9" s="113">
        <f t="shared" si="24"/>
        <v>2518.3184210526306</v>
      </c>
      <c r="BI9" s="113">
        <f t="shared" si="24"/>
        <v>2363.6651524983768</v>
      </c>
      <c r="BJ9" s="113">
        <f t="shared" si="24"/>
        <v>391.91501196172243</v>
      </c>
      <c r="BK9" s="187">
        <f t="shared" si="24"/>
        <v>0</v>
      </c>
      <c r="BL9" s="113">
        <f t="shared" si="24"/>
        <v>0</v>
      </c>
      <c r="BM9" s="113">
        <f t="shared" si="24"/>
        <v>1419.814285714285</v>
      </c>
      <c r="BN9" s="113">
        <f t="shared" si="24"/>
        <v>0</v>
      </c>
      <c r="BO9" s="113">
        <f t="shared" si="24"/>
        <v>0</v>
      </c>
      <c r="BP9" s="113">
        <f t="shared" si="24"/>
        <v>1092.8538409090904</v>
      </c>
      <c r="BQ9" s="113">
        <f t="shared" si="24"/>
        <v>2009.7339428571413</v>
      </c>
      <c r="BR9" s="113">
        <f t="shared" si="24"/>
        <v>2161.0799999999986</v>
      </c>
      <c r="BS9" s="113">
        <f t="shared" si="24"/>
        <v>2687.9737499999983</v>
      </c>
      <c r="BT9" s="113">
        <f t="shared" si="24"/>
        <v>3487.5615789473668</v>
      </c>
      <c r="BU9" s="113">
        <f t="shared" si="24"/>
        <v>3126.4843608046708</v>
      </c>
      <c r="BV9" s="113">
        <f t="shared" si="24"/>
        <v>572.57052631578915</v>
      </c>
      <c r="BW9" s="187">
        <f t="shared" si="24"/>
        <v>0</v>
      </c>
      <c r="BX9" s="113">
        <f t="shared" si="24"/>
        <v>0</v>
      </c>
      <c r="BY9" s="113">
        <f t="shared" si="24"/>
        <v>2076.4957499999991</v>
      </c>
      <c r="BZ9" s="113">
        <f t="shared" si="24"/>
        <v>0</v>
      </c>
      <c r="CA9" s="113">
        <f t="shared" si="24"/>
        <v>0</v>
      </c>
      <c r="CB9" s="113">
        <f t="shared" si="24"/>
        <v>1676.3443363636356</v>
      </c>
      <c r="CC9" s="113">
        <f t="shared" si="24"/>
        <v>2783.7578057142837</v>
      </c>
      <c r="CD9" s="113">
        <f t="shared" si="24"/>
        <v>2895.7205454545428</v>
      </c>
      <c r="CE9" s="113">
        <f t="shared" si="24"/>
        <v>3935.7254999999977</v>
      </c>
      <c r="CF9" s="113">
        <f t="shared" si="24"/>
        <v>4647.0180574162659</v>
      </c>
      <c r="CG9" s="113">
        <f t="shared" si="24"/>
        <v>4558.7784685269289</v>
      </c>
      <c r="CH9" s="113">
        <f t="shared" si="24"/>
        <v>795.63031578947323</v>
      </c>
      <c r="CI9" s="187">
        <f t="shared" si="24"/>
        <v>0</v>
      </c>
      <c r="CJ9" s="113">
        <f t="shared" si="24"/>
        <v>0</v>
      </c>
      <c r="CK9" s="113">
        <f t="shared" si="24"/>
        <v>2780.2324285714258</v>
      </c>
      <c r="CL9" s="113">
        <f t="shared" si="24"/>
        <v>0</v>
      </c>
      <c r="CM9" s="113">
        <f t="shared" si="24"/>
        <v>0</v>
      </c>
      <c r="CN9" s="113">
        <f t="shared" si="24"/>
        <v>2347.517184545452</v>
      </c>
      <c r="CO9" s="113">
        <f t="shared" si="24"/>
        <v>3756.9407039999942</v>
      </c>
      <c r="CP9" s="113">
        <f t="shared" si="24"/>
        <v>4261.9067999999925</v>
      </c>
      <c r="CQ9" s="113">
        <f t="shared" si="24"/>
        <v>5549.2594499999914</v>
      </c>
      <c r="CR9" s="113">
        <f t="shared" si="24"/>
        <v>6269.5958468899425</v>
      </c>
      <c r="CS9" s="113">
        <f t="shared" si="24"/>
        <v>6784.1819999999916</v>
      </c>
      <c r="CT9" s="113">
        <f t="shared" si="24"/>
        <v>1137.7561263157877</v>
      </c>
      <c r="CU9" s="187">
        <f t="shared" si="24"/>
        <v>0</v>
      </c>
      <c r="CV9" s="113">
        <f t="shared" si="24"/>
        <v>0</v>
      </c>
      <c r="CW9" s="113">
        <f t="shared" si="24"/>
        <v>3932.8253999999934</v>
      </c>
      <c r="CX9" s="113">
        <f t="shared" si="24"/>
        <v>0</v>
      </c>
      <c r="CY9" s="113">
        <f t="shared" si="24"/>
        <v>0</v>
      </c>
      <c r="CZ9" s="113">
        <f t="shared" si="24"/>
        <v>3306.2125810909024</v>
      </c>
      <c r="DA9" s="113">
        <f t="shared" si="24"/>
        <v>5033.0142719999885</v>
      </c>
      <c r="DB9" s="113">
        <f t="shared" si="24"/>
        <v>6288.690861818166</v>
      </c>
      <c r="DC9" s="113">
        <f t="shared" si="24"/>
        <v>7490.3759699999837</v>
      </c>
      <c r="DD9" s="113">
        <f t="shared" si="24"/>
        <v>9270.8355599999813</v>
      </c>
      <c r="DE9" s="113">
        <f t="shared" si="24"/>
        <v>9543.4525611940117</v>
      </c>
      <c r="DF9" s="113">
        <f t="shared" si="24"/>
        <v>1523.0670984688961</v>
      </c>
      <c r="DG9" s="113">
        <f>+DG36*DG30</f>
        <v>0</v>
      </c>
    </row>
    <row r="10" spans="1:114" s="113" customFormat="1" hidden="1" x14ac:dyDescent="0.25">
      <c r="A10"/>
      <c r="B10" s="1" t="s">
        <v>5</v>
      </c>
      <c r="C10" s="489"/>
      <c r="D10" s="115">
        <f>0</f>
        <v>0</v>
      </c>
      <c r="E10" s="115">
        <f>0</f>
        <v>0</v>
      </c>
      <c r="F10" s="115">
        <f>0</f>
        <v>0</v>
      </c>
      <c r="G10" s="115">
        <f>0</f>
        <v>0</v>
      </c>
      <c r="H10" s="115">
        <f>0</f>
        <v>0</v>
      </c>
      <c r="I10" s="115">
        <f>0</f>
        <v>0</v>
      </c>
      <c r="J10" s="115">
        <v>0</v>
      </c>
      <c r="K10" s="115">
        <v>150</v>
      </c>
      <c r="L10" s="115">
        <v>675</v>
      </c>
      <c r="M10" s="115">
        <v>675</v>
      </c>
      <c r="N10" s="115">
        <v>0</v>
      </c>
      <c r="O10" s="115">
        <v>100</v>
      </c>
      <c r="P10" s="115">
        <v>150</v>
      </c>
      <c r="Q10" s="115"/>
      <c r="R10" s="115"/>
      <c r="S10" s="115">
        <v>44.91</v>
      </c>
      <c r="T10" s="115"/>
      <c r="U10" s="115">
        <v>75</v>
      </c>
      <c r="V10" s="115">
        <v>415</v>
      </c>
      <c r="W10" s="115">
        <v>1595</v>
      </c>
      <c r="X10" s="115">
        <v>2690</v>
      </c>
      <c r="Y10" s="115">
        <v>3315</v>
      </c>
      <c r="Z10" s="115">
        <v>1065</v>
      </c>
      <c r="AA10" s="520">
        <v>45</v>
      </c>
      <c r="AB10" s="115">
        <v>195</v>
      </c>
      <c r="AC10" s="115">
        <v>75</v>
      </c>
      <c r="AD10" s="115">
        <v>150</v>
      </c>
      <c r="AE10" s="115">
        <v>30</v>
      </c>
      <c r="AF10" s="115"/>
      <c r="AG10" s="115">
        <v>1706.25</v>
      </c>
      <c r="AH10" s="115">
        <v>3502.5</v>
      </c>
      <c r="AI10" s="115">
        <v>4631.25</v>
      </c>
      <c r="AJ10" s="115">
        <v>7043.75</v>
      </c>
      <c r="AK10" s="115">
        <v>13573.75</v>
      </c>
      <c r="AL10" s="115">
        <v>7730</v>
      </c>
      <c r="AM10" s="520">
        <v>2868.75</v>
      </c>
      <c r="AN10" s="115">
        <v>2911.25</v>
      </c>
      <c r="AO10" s="115">
        <v>1870</v>
      </c>
      <c r="AP10" s="115">
        <v>625</v>
      </c>
      <c r="AQ10" s="115">
        <v>587.5</v>
      </c>
      <c r="AR10" s="115">
        <v>400</v>
      </c>
      <c r="AS10" s="115">
        <v>4137.5</v>
      </c>
      <c r="AT10" s="115">
        <v>8462.5</v>
      </c>
      <c r="AU10" s="115">
        <v>11872.5</v>
      </c>
      <c r="AV10" s="115">
        <f>16427.5</f>
        <v>16427.5</v>
      </c>
      <c r="AW10" s="187">
        <f>30345</f>
        <v>30345</v>
      </c>
      <c r="AX10" s="115">
        <f t="shared" ref="AX10" si="26">+AX37*AX31</f>
        <v>10010.023923444976</v>
      </c>
      <c r="AY10" s="520">
        <f t="shared" ref="AY10:CQ10" si="27">+AY37*AY31</f>
        <v>11116.832951945084</v>
      </c>
      <c r="AZ10" s="113">
        <f t="shared" si="27"/>
        <v>12182.057608695652</v>
      </c>
      <c r="BA10" s="113">
        <f t="shared" si="27"/>
        <v>5839.7625000000007</v>
      </c>
      <c r="BB10" s="113">
        <f t="shared" si="27"/>
        <v>2020.8374999999999</v>
      </c>
      <c r="BC10" s="113">
        <f t="shared" si="27"/>
        <v>1515.5804347826086</v>
      </c>
      <c r="BD10" s="113">
        <f t="shared" si="27"/>
        <v>1062.3518181818183</v>
      </c>
      <c r="BE10" s="113">
        <f t="shared" si="27"/>
        <v>7922.262857142855</v>
      </c>
      <c r="BF10" s="113">
        <f t="shared" si="27"/>
        <v>11383.978441558438</v>
      </c>
      <c r="BG10" s="113">
        <f t="shared" si="27"/>
        <v>12539.728124999996</v>
      </c>
      <c r="BH10" s="113">
        <f t="shared" si="27"/>
        <v>17628.228947368414</v>
      </c>
      <c r="BI10" s="113">
        <f t="shared" si="27"/>
        <v>26874.548994159624</v>
      </c>
      <c r="BJ10" s="113">
        <f t="shared" si="27"/>
        <v>12439.338331532643</v>
      </c>
      <c r="BK10" s="187">
        <f t="shared" si="27"/>
        <v>13503.055263157888</v>
      </c>
      <c r="BL10" s="113">
        <f t="shared" si="27"/>
        <v>13609.931086956514</v>
      </c>
      <c r="BM10" s="113">
        <f t="shared" si="27"/>
        <v>7288.3799999999974</v>
      </c>
      <c r="BN10" s="113">
        <f t="shared" si="27"/>
        <v>2718.3042857142846</v>
      </c>
      <c r="BO10" s="113">
        <f t="shared" si="27"/>
        <v>2005.8299999999986</v>
      </c>
      <c r="BP10" s="113">
        <f t="shared" si="27"/>
        <v>1457.1384545454541</v>
      </c>
      <c r="BQ10" s="113">
        <f t="shared" si="27"/>
        <v>10962.185142857134</v>
      </c>
      <c r="BR10" s="113">
        <f t="shared" si="27"/>
        <v>15065.814857142848</v>
      </c>
      <c r="BS10" s="113">
        <f t="shared" si="27"/>
        <v>18157.536964285708</v>
      </c>
      <c r="BT10" s="113">
        <f t="shared" si="27"/>
        <v>24412.931052631568</v>
      </c>
      <c r="BU10" s="113">
        <f t="shared" si="27"/>
        <v>35547.698896820228</v>
      </c>
      <c r="BV10" s="113">
        <f t="shared" si="27"/>
        <v>18173.324006791165</v>
      </c>
      <c r="BW10" s="187">
        <f t="shared" si="27"/>
        <v>18828.179999999986</v>
      </c>
      <c r="BX10" s="113">
        <f t="shared" si="27"/>
        <v>19062.018195652166</v>
      </c>
      <c r="BY10" s="113">
        <f t="shared" si="27"/>
        <v>10659.344849999994</v>
      </c>
      <c r="BZ10" s="113">
        <f t="shared" si="27"/>
        <v>3799.9581428571405</v>
      </c>
      <c r="CA10" s="113">
        <f t="shared" si="27"/>
        <v>2564.0267193675868</v>
      </c>
      <c r="CB10" s="113">
        <f t="shared" si="27"/>
        <v>2235.1257818181812</v>
      </c>
      <c r="CC10" s="113">
        <f t="shared" si="27"/>
        <v>15184.133485714274</v>
      </c>
      <c r="CD10" s="113">
        <f t="shared" si="27"/>
        <v>20187.308945454526</v>
      </c>
      <c r="CE10" s="113">
        <f t="shared" si="27"/>
        <v>26586.227357142845</v>
      </c>
      <c r="CF10" s="113">
        <f t="shared" si="27"/>
        <v>32529.126401913862</v>
      </c>
      <c r="CG10" s="113">
        <f t="shared" si="27"/>
        <v>51832.686696950012</v>
      </c>
      <c r="CH10" s="113">
        <f t="shared" si="27"/>
        <v>25253.216597623079</v>
      </c>
      <c r="CI10" s="187">
        <f t="shared" si="27"/>
        <v>23997.845533180767</v>
      </c>
      <c r="CJ10" s="113">
        <f t="shared" si="27"/>
        <v>29326.190399999981</v>
      </c>
      <c r="CK10" s="113">
        <f t="shared" si="27"/>
        <v>14271.859799999986</v>
      </c>
      <c r="CL10" s="113">
        <f t="shared" si="27"/>
        <v>5096.7717428571377</v>
      </c>
      <c r="CM10" s="113">
        <f t="shared" si="27"/>
        <v>3780.829060079046</v>
      </c>
      <c r="CN10" s="113">
        <f t="shared" si="27"/>
        <v>3130.0229127272696</v>
      </c>
      <c r="CO10" s="113">
        <f t="shared" si="27"/>
        <v>20492.403839999963</v>
      </c>
      <c r="CP10" s="113">
        <f t="shared" si="27"/>
        <v>29711.578834285661</v>
      </c>
      <c r="CQ10" s="113">
        <f t="shared" si="27"/>
        <v>37485.813835714223</v>
      </c>
      <c r="CR10" s="113">
        <f t="shared" ref="CR10:DF10" si="28">+CR37*CR31</f>
        <v>43887.170928229592</v>
      </c>
      <c r="CS10" s="113">
        <f t="shared" si="28"/>
        <v>77135.219999999885</v>
      </c>
      <c r="CT10" s="113">
        <f t="shared" si="28"/>
        <v>36112.251284210477</v>
      </c>
      <c r="CU10" s="187">
        <f t="shared" si="28"/>
        <v>34260.905714416425</v>
      </c>
      <c r="CV10" s="113">
        <f t="shared" si="28"/>
        <v>41598.804059999937</v>
      </c>
      <c r="CW10" s="113">
        <f t="shared" si="28"/>
        <v>20188.503719999968</v>
      </c>
      <c r="CX10" s="113">
        <f t="shared" si="28"/>
        <v>6864.1841699999886</v>
      </c>
      <c r="CY10" s="113">
        <f t="shared" si="28"/>
        <v>5574.2116069565109</v>
      </c>
      <c r="CZ10" s="113">
        <f t="shared" si="28"/>
        <v>4408.2834414545368</v>
      </c>
      <c r="DA10" s="113">
        <f t="shared" si="28"/>
        <v>27452.805119999932</v>
      </c>
      <c r="DB10" s="113">
        <f t="shared" si="28"/>
        <v>43841.159150960935</v>
      </c>
      <c r="DC10" s="113">
        <f t="shared" si="28"/>
        <v>50598.25400142846</v>
      </c>
      <c r="DD10" s="113">
        <f t="shared" si="28"/>
        <v>64895.84891999988</v>
      </c>
      <c r="DE10" s="113">
        <f t="shared" si="28"/>
        <v>108507.74829850726</v>
      </c>
      <c r="DF10" s="113">
        <f t="shared" si="28"/>
        <v>48341.978136144375</v>
      </c>
      <c r="DG10" s="113">
        <f t="shared" ref="DG10" si="29">+DG37*DG31</f>
        <v>50297.854239267625</v>
      </c>
    </row>
    <row r="11" spans="1:114" s="113" customFormat="1" hidden="1" x14ac:dyDescent="0.25">
      <c r="A11"/>
      <c r="B11" s="1" t="s">
        <v>258</v>
      </c>
      <c r="C11" s="489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520"/>
      <c r="AB11" s="115">
        <v>237.5</v>
      </c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520"/>
      <c r="AN11" s="115"/>
      <c r="AO11" s="115"/>
      <c r="AP11" s="115"/>
      <c r="AQ11" s="115"/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87">
        <f>187.5</f>
        <v>187.5</v>
      </c>
      <c r="AX11" s="115"/>
      <c r="AY11" s="520"/>
      <c r="BK11" s="187"/>
      <c r="BW11" s="187"/>
      <c r="CI11" s="187"/>
      <c r="CU11" s="187"/>
    </row>
    <row r="12" spans="1:114" s="3" customFormat="1" hidden="1" x14ac:dyDescent="0.25">
      <c r="B12" s="4" t="s">
        <v>6</v>
      </c>
      <c r="C12" s="490"/>
      <c r="D12" s="55">
        <f t="shared" ref="D12:J12" si="30">(((D6)+(D7))+(D8))+(D10)</f>
        <v>0</v>
      </c>
      <c r="E12" s="55">
        <f t="shared" si="30"/>
        <v>0</v>
      </c>
      <c r="F12" s="55">
        <f t="shared" si="30"/>
        <v>0</v>
      </c>
      <c r="G12" s="55">
        <f t="shared" si="30"/>
        <v>0</v>
      </c>
      <c r="H12" s="55">
        <f t="shared" si="30"/>
        <v>0</v>
      </c>
      <c r="I12" s="55">
        <f t="shared" si="30"/>
        <v>0</v>
      </c>
      <c r="J12" s="55">
        <f t="shared" si="30"/>
        <v>0</v>
      </c>
      <c r="K12" s="55">
        <f t="shared" ref="K12:Z12" si="31">SUM(K7:K10)</f>
        <v>375</v>
      </c>
      <c r="L12" s="55">
        <f t="shared" si="31"/>
        <v>1075</v>
      </c>
      <c r="M12" s="55">
        <f t="shared" si="31"/>
        <v>3640</v>
      </c>
      <c r="N12" s="55">
        <f t="shared" si="31"/>
        <v>2090</v>
      </c>
      <c r="O12" s="55">
        <f t="shared" si="31"/>
        <v>2032.5</v>
      </c>
      <c r="P12" s="55">
        <f t="shared" si="31"/>
        <v>1510</v>
      </c>
      <c r="Q12" s="55">
        <f t="shared" si="31"/>
        <v>1225</v>
      </c>
      <c r="R12" s="55">
        <f t="shared" si="31"/>
        <v>1177.5</v>
      </c>
      <c r="S12" s="55">
        <f t="shared" si="31"/>
        <v>1919.91</v>
      </c>
      <c r="T12" s="55">
        <f t="shared" si="31"/>
        <v>2446.25</v>
      </c>
      <c r="U12" s="55">
        <f t="shared" si="31"/>
        <v>2038.75</v>
      </c>
      <c r="V12" s="55">
        <f t="shared" si="31"/>
        <v>2785</v>
      </c>
      <c r="W12" s="55">
        <f t="shared" si="31"/>
        <v>7051.66</v>
      </c>
      <c r="X12" s="55">
        <f t="shared" si="31"/>
        <v>8720.84</v>
      </c>
      <c r="Y12" s="55">
        <f t="shared" si="31"/>
        <v>8040</v>
      </c>
      <c r="Z12" s="55">
        <f t="shared" si="31"/>
        <v>4827.5</v>
      </c>
      <c r="AA12" s="521">
        <f t="shared" ref="AA12:BF12" si="32">SUM(AA7:AA11)</f>
        <v>2095</v>
      </c>
      <c r="AB12" s="55">
        <f t="shared" si="32"/>
        <v>2885</v>
      </c>
      <c r="AC12" s="55">
        <f t="shared" si="32"/>
        <v>4357.5</v>
      </c>
      <c r="AD12" s="55">
        <f t="shared" si="32"/>
        <v>3467.5</v>
      </c>
      <c r="AE12" s="55">
        <f t="shared" si="32"/>
        <v>4000</v>
      </c>
      <c r="AF12" s="55">
        <f t="shared" si="32"/>
        <v>5370</v>
      </c>
      <c r="AG12" s="55">
        <f t="shared" si="32"/>
        <v>4296.26</v>
      </c>
      <c r="AH12" s="55">
        <f t="shared" ref="AH12" si="33">SUM(AH7:AH11)</f>
        <v>9031.27</v>
      </c>
      <c r="AI12" s="55">
        <f t="shared" ref="AI12:AJ12" si="34">SUM(AI7:AI11)</f>
        <v>14073.76</v>
      </c>
      <c r="AJ12" s="55">
        <f t="shared" si="34"/>
        <v>9897.5</v>
      </c>
      <c r="AK12" s="55">
        <f t="shared" ref="AK12:AL12" si="35">SUM(AK7:AK11)</f>
        <v>17386.25</v>
      </c>
      <c r="AL12" s="55">
        <f t="shared" si="35"/>
        <v>9563.75</v>
      </c>
      <c r="AM12" s="521">
        <f t="shared" ref="AM12" si="36">SUM(AM7:AM11)</f>
        <v>5160</v>
      </c>
      <c r="AN12" s="55">
        <f t="shared" ref="AN12:AO12" si="37">SUM(AN7:AN11)</f>
        <v>6477.5</v>
      </c>
      <c r="AO12" s="584">
        <f t="shared" si="37"/>
        <v>8052.5</v>
      </c>
      <c r="AP12" s="584">
        <f t="shared" ref="AP12:AQ12" si="38">SUM(AP7:AP11)</f>
        <v>7630</v>
      </c>
      <c r="AQ12" s="584">
        <f t="shared" si="38"/>
        <v>3756.25</v>
      </c>
      <c r="AR12" s="584">
        <f t="shared" ref="AR12:AS12" si="39">SUM(AR7:AR11)</f>
        <v>6032.5</v>
      </c>
      <c r="AS12" s="584">
        <f t="shared" si="39"/>
        <v>6822.5</v>
      </c>
      <c r="AT12" s="584">
        <f t="shared" ref="AT12:AU12" si="40">SUM(AT7:AT11)</f>
        <v>14855</v>
      </c>
      <c r="AU12" s="584">
        <f t="shared" si="40"/>
        <v>20412.5</v>
      </c>
      <c r="AV12" s="584">
        <f t="shared" ref="AV12:AW12" si="41">SUM(AV7:AV11)</f>
        <v>28257.5</v>
      </c>
      <c r="AW12" s="588">
        <f t="shared" si="41"/>
        <v>39333.760000000002</v>
      </c>
      <c r="AX12" s="65">
        <f t="shared" ref="AX12" si="42">SUM(AX7:AX11)</f>
        <v>12728.271531100479</v>
      </c>
      <c r="AY12" s="739">
        <f t="shared" si="32"/>
        <v>17967.542334096113</v>
      </c>
      <c r="AZ12" s="65">
        <f t="shared" si="32"/>
        <v>21331.45108695652</v>
      </c>
      <c r="BA12" s="65">
        <f t="shared" si="32"/>
        <v>20055.750000000004</v>
      </c>
      <c r="BB12" s="65">
        <f t="shared" si="32"/>
        <v>20520.774999999998</v>
      </c>
      <c r="BC12" s="65">
        <f t="shared" si="32"/>
        <v>9102.3456521739117</v>
      </c>
      <c r="BD12" s="65">
        <f t="shared" si="32"/>
        <v>15728.708863636366</v>
      </c>
      <c r="BE12" s="65">
        <f t="shared" si="32"/>
        <v>13409.163428571424</v>
      </c>
      <c r="BF12" s="65">
        <f t="shared" si="32"/>
        <v>20274.471623376616</v>
      </c>
      <c r="BG12" s="65">
        <f t="shared" ref="BG12:CL12" si="43">SUM(BG7:BG11)</f>
        <v>21930.843749999993</v>
      </c>
      <c r="BH12" s="65">
        <f t="shared" si="43"/>
        <v>30608.218421052617</v>
      </c>
      <c r="BI12" s="65">
        <f t="shared" si="43"/>
        <v>35156.371187540542</v>
      </c>
      <c r="BJ12" s="65">
        <f t="shared" si="43"/>
        <v>15817.272482250344</v>
      </c>
      <c r="BK12" s="330">
        <f t="shared" si="43"/>
        <v>21824.265789473673</v>
      </c>
      <c r="BL12" s="65">
        <f t="shared" si="43"/>
        <v>23831.735869565207</v>
      </c>
      <c r="BM12" s="65">
        <f t="shared" si="43"/>
        <v>25030.799999999992</v>
      </c>
      <c r="BN12" s="65">
        <f t="shared" si="43"/>
        <v>27603.2638095238</v>
      </c>
      <c r="BO12" s="65">
        <f t="shared" si="43"/>
        <v>12046.709999999992</v>
      </c>
      <c r="BP12" s="65">
        <f t="shared" si="43"/>
        <v>21573.744340909081</v>
      </c>
      <c r="BQ12" s="65">
        <f t="shared" si="43"/>
        <v>18554.513371428555</v>
      </c>
      <c r="BR12" s="65">
        <f t="shared" si="43"/>
        <v>26831.694857142844</v>
      </c>
      <c r="BS12" s="65">
        <f t="shared" si="43"/>
        <v>31755.880357142843</v>
      </c>
      <c r="BT12" s="65">
        <f t="shared" si="43"/>
        <v>42388.62157894735</v>
      </c>
      <c r="BU12" s="65">
        <f t="shared" si="43"/>
        <v>46502.290979883168</v>
      </c>
      <c r="BV12" s="65">
        <f t="shared" si="43"/>
        <v>23108.336638370107</v>
      </c>
      <c r="BW12" s="330">
        <f t="shared" si="43"/>
        <v>30430.979999999978</v>
      </c>
      <c r="BX12" s="65">
        <f t="shared" si="43"/>
        <v>33378.639456521727</v>
      </c>
      <c r="BY12" s="65">
        <f t="shared" si="43"/>
        <v>36607.850999999981</v>
      </c>
      <c r="BZ12" s="65">
        <f t="shared" si="43"/>
        <v>38587.014571428546</v>
      </c>
      <c r="CA12" s="65">
        <f t="shared" si="43"/>
        <v>15399.154624505916</v>
      </c>
      <c r="CB12" s="65">
        <f t="shared" si="43"/>
        <v>33092.278936363626</v>
      </c>
      <c r="CC12" s="65">
        <f t="shared" si="43"/>
        <v>25700.551862857123</v>
      </c>
      <c r="CD12" s="65">
        <f t="shared" si="43"/>
        <v>35952.898581818154</v>
      </c>
      <c r="CE12" s="65">
        <f t="shared" si="43"/>
        <v>46496.893095238069</v>
      </c>
      <c r="CF12" s="65">
        <f t="shared" si="43"/>
        <v>56480.920966507154</v>
      </c>
      <c r="CG12" s="65">
        <f t="shared" si="43"/>
        <v>67805.758286826705</v>
      </c>
      <c r="CH12" s="65">
        <f t="shared" si="43"/>
        <v>32110.792176570445</v>
      </c>
      <c r="CI12" s="330">
        <f t="shared" si="43"/>
        <v>38786.433816933619</v>
      </c>
      <c r="CJ12" s="65">
        <f t="shared" si="43"/>
        <v>51351.767999999967</v>
      </c>
      <c r="CK12" s="65">
        <f t="shared" si="43"/>
        <v>49014.467999999943</v>
      </c>
      <c r="CL12" s="65">
        <f t="shared" si="43"/>
        <v>51755.624171428513</v>
      </c>
      <c r="CM12" s="65">
        <f t="shared" ref="CM12:DG12" si="44">SUM(CM7:CM11)</f>
        <v>22707.084471936731</v>
      </c>
      <c r="CN12" s="65">
        <f t="shared" si="44"/>
        <v>46341.728124545407</v>
      </c>
      <c r="CO12" s="65">
        <f t="shared" si="44"/>
        <v>34685.290943999935</v>
      </c>
      <c r="CP12" s="65">
        <f t="shared" si="44"/>
        <v>52915.293634285626</v>
      </c>
      <c r="CQ12" s="65">
        <f t="shared" si="44"/>
        <v>65559.278309523695</v>
      </c>
      <c r="CR12" s="65">
        <f t="shared" si="44"/>
        <v>76202.102755980741</v>
      </c>
      <c r="CS12" s="65">
        <f t="shared" si="44"/>
        <v>100905.67199999985</v>
      </c>
      <c r="CT12" s="65">
        <f t="shared" si="44"/>
        <v>45918.625515789405</v>
      </c>
      <c r="CU12" s="330">
        <f t="shared" si="44"/>
        <v>55374.068899771082</v>
      </c>
      <c r="CV12" s="65">
        <f t="shared" si="44"/>
        <v>72841.787699999884</v>
      </c>
      <c r="CW12" s="65">
        <f t="shared" si="44"/>
        <v>69334.255199999883</v>
      </c>
      <c r="CX12" s="65">
        <f t="shared" si="44"/>
        <v>69702.97161999988</v>
      </c>
      <c r="CY12" s="65">
        <f t="shared" si="44"/>
        <v>33477.867370434717</v>
      </c>
      <c r="CZ12" s="65">
        <f t="shared" si="44"/>
        <v>65267.085397090777</v>
      </c>
      <c r="DA12" s="65">
        <f t="shared" si="44"/>
        <v>46466.414591999885</v>
      </c>
      <c r="DB12" s="65">
        <f t="shared" si="44"/>
        <v>78079.5871764154</v>
      </c>
      <c r="DC12" s="65">
        <f t="shared" si="44"/>
        <v>88491.743319047426</v>
      </c>
      <c r="DD12" s="65">
        <f t="shared" si="44"/>
        <v>112679.85707999978</v>
      </c>
      <c r="DE12" s="65">
        <f t="shared" si="44"/>
        <v>141946.14677014897</v>
      </c>
      <c r="DF12" s="65">
        <f t="shared" si="44"/>
        <v>61469.365984852484</v>
      </c>
      <c r="DG12" s="65">
        <f t="shared" si="44"/>
        <v>81293.730801281286</v>
      </c>
    </row>
    <row r="13" spans="1:114" s="113" customFormat="1" hidden="1" x14ac:dyDescent="0.25">
      <c r="B13" s="114" t="s">
        <v>223</v>
      </c>
      <c r="C13" s="491"/>
      <c r="D13" s="115">
        <f>0</f>
        <v>0</v>
      </c>
      <c r="E13" s="115">
        <f>0</f>
        <v>0</v>
      </c>
      <c r="F13" s="115">
        <f>0</f>
        <v>0</v>
      </c>
      <c r="G13" s="115">
        <f>0</f>
        <v>0</v>
      </c>
      <c r="H13" s="115">
        <f>0</f>
        <v>0</v>
      </c>
      <c r="I13" s="115">
        <f>0</f>
        <v>0</v>
      </c>
      <c r="J13" s="115">
        <f>0</f>
        <v>0</v>
      </c>
      <c r="K13" s="115">
        <v>0</v>
      </c>
      <c r="L13" s="115">
        <v>0</v>
      </c>
      <c r="M13" s="115">
        <v>125</v>
      </c>
      <c r="N13" s="115">
        <v>0</v>
      </c>
      <c r="O13" s="115">
        <v>0</v>
      </c>
      <c r="P13" s="115">
        <v>35.99</v>
      </c>
      <c r="Q13" s="115">
        <v>30.75</v>
      </c>
      <c r="R13" s="115">
        <v>29.25</v>
      </c>
      <c r="S13" s="115">
        <v>37.5</v>
      </c>
      <c r="T13" s="115">
        <v>40.68</v>
      </c>
      <c r="U13" s="115">
        <v>4.68</v>
      </c>
      <c r="V13" s="115">
        <v>50.5</v>
      </c>
      <c r="W13" s="115">
        <v>27</v>
      </c>
      <c r="X13" s="115">
        <v>35.25</v>
      </c>
      <c r="Y13" s="115">
        <v>156.37</v>
      </c>
      <c r="Z13" s="115">
        <v>110.62</v>
      </c>
      <c r="AA13" s="520">
        <v>49.5</v>
      </c>
      <c r="AB13" s="115">
        <v>117</v>
      </c>
      <c r="AC13" s="115"/>
      <c r="AD13" s="115">
        <v>12</v>
      </c>
      <c r="AE13" s="115">
        <v>18</v>
      </c>
      <c r="AF13" s="115">
        <v>50.08</v>
      </c>
      <c r="AG13" s="115">
        <v>12</v>
      </c>
      <c r="AH13" s="115">
        <v>29.62</v>
      </c>
      <c r="AI13" s="115">
        <v>37.5</v>
      </c>
      <c r="AJ13" s="115"/>
      <c r="AK13" s="115">
        <v>19.5</v>
      </c>
      <c r="AL13" s="115">
        <v>9.75</v>
      </c>
      <c r="AM13" s="520">
        <v>34</v>
      </c>
      <c r="AN13" s="115">
        <v>108</v>
      </c>
      <c r="AO13" s="115">
        <v>59.62</v>
      </c>
      <c r="AP13" s="115">
        <v>52.37</v>
      </c>
      <c r="AQ13" s="115"/>
      <c r="AR13" s="115">
        <v>12</v>
      </c>
      <c r="AS13" s="115">
        <v>93.5</v>
      </c>
      <c r="AT13" s="115">
        <v>75</v>
      </c>
      <c r="AU13" s="115">
        <v>44.5</v>
      </c>
      <c r="AV13" s="115">
        <v>50</v>
      </c>
      <c r="AW13" s="187">
        <v>29.37</v>
      </c>
      <c r="AX13" s="115">
        <f t="shared" ref="AX13" si="45">+AX15*AX12</f>
        <v>53.965429936069107</v>
      </c>
      <c r="AY13" s="520">
        <f t="shared" ref="AY13:CT13" si="46">+AY15*AY12</f>
        <v>76.178933218451391</v>
      </c>
      <c r="AZ13" s="113">
        <f t="shared" si="46"/>
        <v>90.441261113503955</v>
      </c>
      <c r="BA13" s="113">
        <f t="shared" si="46"/>
        <v>85.032533191625092</v>
      </c>
      <c r="BB13" s="113">
        <f t="shared" si="46"/>
        <v>87.00414999715143</v>
      </c>
      <c r="BC13" s="113">
        <f t="shared" si="46"/>
        <v>38.592199682890062</v>
      </c>
      <c r="BD13" s="113">
        <f t="shared" si="46"/>
        <v>66.686708724857795</v>
      </c>
      <c r="BE13" s="113">
        <f t="shared" si="46"/>
        <v>56.852280982357911</v>
      </c>
      <c r="BF13" s="113">
        <f t="shared" si="46"/>
        <v>85.959870922674682</v>
      </c>
      <c r="BG13" s="113">
        <f t="shared" si="46"/>
        <v>92.982571037842902</v>
      </c>
      <c r="BH13" s="113">
        <f t="shared" si="46"/>
        <v>129.7729752726608</v>
      </c>
      <c r="BI13" s="113">
        <f t="shared" si="46"/>
        <v>149.05627064067076</v>
      </c>
      <c r="BJ13" s="113">
        <f t="shared" si="46"/>
        <v>67.062201480768877</v>
      </c>
      <c r="BK13" s="187">
        <f t="shared" si="46"/>
        <v>92.530700927478037</v>
      </c>
      <c r="BL13" s="113">
        <f t="shared" si="46"/>
        <v>101.04198902274138</v>
      </c>
      <c r="BM13" s="113">
        <f t="shared" si="46"/>
        <v>106.12579094837781</v>
      </c>
      <c r="BN13" s="113">
        <f t="shared" si="46"/>
        <v>117.03254408738221</v>
      </c>
      <c r="BO13" s="113">
        <f t="shared" si="46"/>
        <v>51.07573977163063</v>
      </c>
      <c r="BP13" s="113">
        <f t="shared" si="46"/>
        <v>91.468538037021062</v>
      </c>
      <c r="BQ13" s="113">
        <f t="shared" si="46"/>
        <v>78.667577832314919</v>
      </c>
      <c r="BR13" s="113">
        <f t="shared" si="46"/>
        <v>113.76123972065641</v>
      </c>
      <c r="BS13" s="113">
        <f t="shared" si="46"/>
        <v>134.63884175351325</v>
      </c>
      <c r="BT13" s="113">
        <f t="shared" si="46"/>
        <v>179.71962511295143</v>
      </c>
      <c r="BU13" s="113">
        <f t="shared" si="46"/>
        <v>197.16079434743267</v>
      </c>
      <c r="BV13" s="113">
        <f t="shared" si="46"/>
        <v>97.974915034613616</v>
      </c>
      <c r="BW13" s="187">
        <f t="shared" si="46"/>
        <v>129.02151836274768</v>
      </c>
      <c r="BX13" s="113">
        <f t="shared" si="46"/>
        <v>141.51902908033708</v>
      </c>
      <c r="BY13" s="113">
        <f t="shared" si="46"/>
        <v>155.21026664330995</v>
      </c>
      <c r="BZ13" s="113">
        <f t="shared" si="46"/>
        <v>163.60154057119371</v>
      </c>
      <c r="CA13" s="113">
        <f t="shared" si="46"/>
        <v>65.289461961346049</v>
      </c>
      <c r="CB13" s="113">
        <f t="shared" si="46"/>
        <v>140.30491540046398</v>
      </c>
      <c r="CC13" s="113">
        <f t="shared" si="46"/>
        <v>108.96541038462685</v>
      </c>
      <c r="CD13" s="113">
        <f t="shared" si="46"/>
        <v>152.43339401386547</v>
      </c>
      <c r="CE13" s="113">
        <f t="shared" si="46"/>
        <v>197.13790835188283</v>
      </c>
      <c r="CF13" s="113">
        <f t="shared" si="46"/>
        <v>239.46827153200815</v>
      </c>
      <c r="CG13" s="113">
        <f t="shared" si="46"/>
        <v>287.48340960113177</v>
      </c>
      <c r="CH13" s="113">
        <f t="shared" si="46"/>
        <v>136.14359979375496</v>
      </c>
      <c r="CI13" s="187">
        <f t="shared" si="46"/>
        <v>164.44703992237524</v>
      </c>
      <c r="CJ13" s="113">
        <f t="shared" si="46"/>
        <v>217.72164675510155</v>
      </c>
      <c r="CK13" s="113">
        <f t="shared" si="46"/>
        <v>207.81194306270473</v>
      </c>
      <c r="CL13" s="113">
        <f t="shared" si="46"/>
        <v>219.43391946001861</v>
      </c>
      <c r="CM13" s="113">
        <f t="shared" si="46"/>
        <v>96.273682811412911</v>
      </c>
      <c r="CN13" s="113">
        <f t="shared" si="46"/>
        <v>196.4800386376811</v>
      </c>
      <c r="CO13" s="113">
        <f t="shared" si="46"/>
        <v>147.05898076396281</v>
      </c>
      <c r="CP13" s="113">
        <f t="shared" si="46"/>
        <v>224.35069555124986</v>
      </c>
      <c r="CQ13" s="113">
        <f t="shared" si="46"/>
        <v>277.95876538516683</v>
      </c>
      <c r="CR13" s="113">
        <f t="shared" si="46"/>
        <v>323.08229968311116</v>
      </c>
      <c r="CS13" s="113">
        <f t="shared" si="46"/>
        <v>427.82069499087396</v>
      </c>
      <c r="CT13" s="113">
        <f t="shared" si="46"/>
        <v>194.68616473007316</v>
      </c>
      <c r="CU13" s="187">
        <f t="shared" ref="CU13:DG13" si="47">+CU15*CU12</f>
        <v>234.77543106964927</v>
      </c>
      <c r="CV13" s="113">
        <f t="shared" si="47"/>
        <v>308.83520837353615</v>
      </c>
      <c r="CW13" s="113">
        <f t="shared" si="47"/>
        <v>293.96394333847365</v>
      </c>
      <c r="CX13" s="113">
        <f t="shared" si="47"/>
        <v>295.52723023734046</v>
      </c>
      <c r="CY13" s="113">
        <f t="shared" si="47"/>
        <v>141.93973640284267</v>
      </c>
      <c r="CZ13" s="113">
        <f t="shared" si="47"/>
        <v>276.71992348073496</v>
      </c>
      <c r="DA13" s="113">
        <f t="shared" si="47"/>
        <v>197.0086853441054</v>
      </c>
      <c r="DB13" s="113">
        <f t="shared" si="47"/>
        <v>331.04247351342764</v>
      </c>
      <c r="DC13" s="113">
        <f t="shared" si="47"/>
        <v>375.18801844666325</v>
      </c>
      <c r="DD13" s="113">
        <f t="shared" si="47"/>
        <v>477.74098137355378</v>
      </c>
      <c r="DE13" s="113">
        <f t="shared" si="47"/>
        <v>601.82443621684445</v>
      </c>
      <c r="DF13" s="113">
        <f t="shared" si="47"/>
        <v>260.61832159730341</v>
      </c>
      <c r="DG13" s="113">
        <f t="shared" si="47"/>
        <v>344.66982599159763</v>
      </c>
    </row>
    <row r="14" spans="1:114" s="3" customFormat="1" x14ac:dyDescent="0.25">
      <c r="B14" s="4" t="s">
        <v>7</v>
      </c>
      <c r="C14" s="497" t="s">
        <v>346</v>
      </c>
      <c r="D14" s="55">
        <f t="shared" ref="D14:J14" si="48">(D12)+(D13)</f>
        <v>0</v>
      </c>
      <c r="E14" s="55">
        <f t="shared" si="48"/>
        <v>0</v>
      </c>
      <c r="F14" s="55">
        <f t="shared" si="48"/>
        <v>0</v>
      </c>
      <c r="G14" s="55">
        <f t="shared" si="48"/>
        <v>0</v>
      </c>
      <c r="H14" s="55">
        <f t="shared" si="48"/>
        <v>0</v>
      </c>
      <c r="I14" s="55">
        <f t="shared" si="48"/>
        <v>0</v>
      </c>
      <c r="J14" s="55">
        <f t="shared" si="48"/>
        <v>0</v>
      </c>
      <c r="K14" s="55">
        <f>K13+K12</f>
        <v>375</v>
      </c>
      <c r="L14" s="55">
        <f>L13+L12</f>
        <v>1075</v>
      </c>
      <c r="M14" s="55">
        <f>M13+M12</f>
        <v>3765</v>
      </c>
      <c r="N14" s="55">
        <f t="shared" ref="N14:AO14" si="49">N13+N12</f>
        <v>2090</v>
      </c>
      <c r="O14" s="55">
        <f t="shared" si="49"/>
        <v>2032.5</v>
      </c>
      <c r="P14" s="55">
        <f>P13+P12</f>
        <v>1545.99</v>
      </c>
      <c r="Q14" s="55">
        <f t="shared" ref="Q14:V14" si="50">Q13+Q12</f>
        <v>1255.75</v>
      </c>
      <c r="R14" s="55">
        <f t="shared" si="50"/>
        <v>1206.75</v>
      </c>
      <c r="S14" s="55">
        <f t="shared" si="50"/>
        <v>1957.41</v>
      </c>
      <c r="T14" s="55">
        <f t="shared" si="50"/>
        <v>2486.9299999999998</v>
      </c>
      <c r="U14" s="55">
        <f t="shared" si="50"/>
        <v>2043.43</v>
      </c>
      <c r="V14" s="55">
        <f t="shared" si="50"/>
        <v>2835.5</v>
      </c>
      <c r="W14" s="55">
        <f>W13+W12</f>
        <v>7078.66</v>
      </c>
      <c r="X14" s="55">
        <f>X13+X12</f>
        <v>8756.09</v>
      </c>
      <c r="Y14" s="55">
        <f>Y13+Y12</f>
        <v>8196.3700000000008</v>
      </c>
      <c r="Z14" s="55">
        <f>Z13+Z12</f>
        <v>4938.12</v>
      </c>
      <c r="AA14" s="521">
        <f>AA13+AA12</f>
        <v>2144.5</v>
      </c>
      <c r="AB14" s="55">
        <f t="shared" ref="AB14" si="51">AB13+AB12</f>
        <v>3002</v>
      </c>
      <c r="AC14" s="55">
        <f t="shared" ref="AC14:AD14" si="52">AC13+AC12</f>
        <v>4357.5</v>
      </c>
      <c r="AD14" s="55">
        <f t="shared" si="52"/>
        <v>3479.5</v>
      </c>
      <c r="AE14" s="55">
        <f t="shared" ref="AE14" si="53">AE13+AE12</f>
        <v>4018</v>
      </c>
      <c r="AF14" s="55">
        <f t="shared" ref="AF14:AG14" si="54">AF13+AF12</f>
        <v>5420.08</v>
      </c>
      <c r="AG14" s="55">
        <f t="shared" si="54"/>
        <v>4308.26</v>
      </c>
      <c r="AH14" s="55">
        <f t="shared" ref="AH14" si="55">AH13+AH12</f>
        <v>9060.8900000000012</v>
      </c>
      <c r="AI14" s="55">
        <f t="shared" ref="AI14:AJ14" si="56">AI13+AI12</f>
        <v>14111.26</v>
      </c>
      <c r="AJ14" s="55">
        <f t="shared" si="56"/>
        <v>9897.5</v>
      </c>
      <c r="AK14" s="55">
        <f t="shared" ref="AK14:AL14" si="57">AK13+AK12</f>
        <v>17405.75</v>
      </c>
      <c r="AL14" s="55">
        <f t="shared" si="57"/>
        <v>9573.5</v>
      </c>
      <c r="AM14" s="521">
        <f t="shared" ref="AM14" si="58">AM13+AM12</f>
        <v>5194</v>
      </c>
      <c r="AN14" s="55">
        <f t="shared" ref="AN14" si="59">AN13+AN12</f>
        <v>6585.5</v>
      </c>
      <c r="AO14" s="55">
        <f t="shared" si="49"/>
        <v>8112.12</v>
      </c>
      <c r="AP14" s="55">
        <f t="shared" ref="AP14:AQ14" si="60">AP13+AP12</f>
        <v>7682.37</v>
      </c>
      <c r="AQ14" s="55">
        <f t="shared" si="60"/>
        <v>3756.25</v>
      </c>
      <c r="AR14" s="55">
        <f t="shared" ref="AR14:AS14" si="61">AR13+AR12</f>
        <v>6044.5</v>
      </c>
      <c r="AS14" s="55">
        <f t="shared" si="61"/>
        <v>6916</v>
      </c>
      <c r="AT14" s="55">
        <f t="shared" ref="AT14:AU14" si="62">AT13+AT12</f>
        <v>14930</v>
      </c>
      <c r="AU14" s="55">
        <f t="shared" si="62"/>
        <v>20457</v>
      </c>
      <c r="AV14" s="55">
        <f t="shared" ref="AV14:AW14" si="63">AV13+AV12</f>
        <v>28307.5</v>
      </c>
      <c r="AW14" s="312">
        <f t="shared" si="63"/>
        <v>39363.130000000005</v>
      </c>
      <c r="AX14" s="55">
        <f t="shared" ref="AX14" si="64">AX13+AX12</f>
        <v>12782.236961036549</v>
      </c>
      <c r="AY14" s="521">
        <f t="shared" ref="AY14:BY14" si="65">AY13+AY12</f>
        <v>18043.721267314566</v>
      </c>
      <c r="AZ14" s="55">
        <f t="shared" si="65"/>
        <v>21421.892348070025</v>
      </c>
      <c r="BA14" s="55">
        <f t="shared" si="65"/>
        <v>20140.782533191628</v>
      </c>
      <c r="BB14" s="55">
        <f t="shared" si="65"/>
        <v>20607.77914999715</v>
      </c>
      <c r="BC14" s="55">
        <f t="shared" si="65"/>
        <v>9140.937851856801</v>
      </c>
      <c r="BD14" s="55">
        <f t="shared" si="65"/>
        <v>15795.395572361223</v>
      </c>
      <c r="BE14" s="55">
        <f t="shared" si="65"/>
        <v>13466.015709553782</v>
      </c>
      <c r="BF14" s="55">
        <f t="shared" si="65"/>
        <v>20360.43149429929</v>
      </c>
      <c r="BG14" s="55">
        <f t="shared" si="65"/>
        <v>22023.826321037835</v>
      </c>
      <c r="BH14" s="55">
        <f t="shared" si="65"/>
        <v>30737.991396325277</v>
      </c>
      <c r="BI14" s="55">
        <f t="shared" si="65"/>
        <v>35305.427458181213</v>
      </c>
      <c r="BJ14" s="55">
        <f t="shared" si="65"/>
        <v>15884.334683731113</v>
      </c>
      <c r="BK14" s="312">
        <f t="shared" si="65"/>
        <v>21916.79649040115</v>
      </c>
      <c r="BL14" s="55">
        <f t="shared" si="65"/>
        <v>23932.77785858795</v>
      </c>
      <c r="BM14" s="55">
        <f t="shared" si="65"/>
        <v>25136.925790948371</v>
      </c>
      <c r="BN14" s="55">
        <f t="shared" si="65"/>
        <v>27720.296353611182</v>
      </c>
      <c r="BO14" s="55">
        <f t="shared" si="65"/>
        <v>12097.785739771622</v>
      </c>
      <c r="BP14" s="55">
        <f t="shared" si="65"/>
        <v>21665.212878946102</v>
      </c>
      <c r="BQ14" s="55">
        <f t="shared" si="65"/>
        <v>18633.18094926087</v>
      </c>
      <c r="BR14" s="55">
        <f t="shared" si="65"/>
        <v>26945.456096863501</v>
      </c>
      <c r="BS14" s="55">
        <f t="shared" si="65"/>
        <v>31890.519198896356</v>
      </c>
      <c r="BT14" s="55">
        <f t="shared" si="65"/>
        <v>42568.3412040603</v>
      </c>
      <c r="BU14" s="55">
        <f t="shared" si="65"/>
        <v>46699.451774230598</v>
      </c>
      <c r="BV14" s="55">
        <f t="shared" si="65"/>
        <v>23206.311553404721</v>
      </c>
      <c r="BW14" s="312">
        <f t="shared" si="65"/>
        <v>30560.001518362726</v>
      </c>
      <c r="BX14" s="55">
        <f t="shared" si="65"/>
        <v>33520.158485602064</v>
      </c>
      <c r="BY14" s="55">
        <f t="shared" si="65"/>
        <v>36763.061266643293</v>
      </c>
      <c r="BZ14" s="55">
        <f t="shared" ref="BZ14:DE14" si="66">BZ13+BZ12</f>
        <v>38750.616111999741</v>
      </c>
      <c r="CA14" s="55">
        <f t="shared" si="66"/>
        <v>15464.444086467262</v>
      </c>
      <c r="CB14" s="55">
        <f t="shared" si="66"/>
        <v>33232.583851764088</v>
      </c>
      <c r="CC14" s="55">
        <f t="shared" si="66"/>
        <v>25809.517273241749</v>
      </c>
      <c r="CD14" s="55">
        <f t="shared" si="66"/>
        <v>36105.331975832021</v>
      </c>
      <c r="CE14" s="55">
        <f t="shared" si="66"/>
        <v>46694.031003589953</v>
      </c>
      <c r="CF14" s="55">
        <f t="shared" si="66"/>
        <v>56720.389238039163</v>
      </c>
      <c r="CG14" s="55">
        <f t="shared" si="66"/>
        <v>68093.241696427838</v>
      </c>
      <c r="CH14" s="55">
        <f t="shared" si="66"/>
        <v>32246.9357763642</v>
      </c>
      <c r="CI14" s="312">
        <f t="shared" si="66"/>
        <v>38950.880856855991</v>
      </c>
      <c r="CJ14" s="55">
        <f t="shared" si="66"/>
        <v>51569.489646755072</v>
      </c>
      <c r="CK14" s="55">
        <f t="shared" si="66"/>
        <v>49222.279943062647</v>
      </c>
      <c r="CL14" s="55">
        <f t="shared" si="66"/>
        <v>51975.058090888531</v>
      </c>
      <c r="CM14" s="55">
        <f t="shared" si="66"/>
        <v>22803.358154748144</v>
      </c>
      <c r="CN14" s="55">
        <f t="shared" si="66"/>
        <v>46538.208163183088</v>
      </c>
      <c r="CO14" s="55">
        <f t="shared" si="66"/>
        <v>34832.349924763897</v>
      </c>
      <c r="CP14" s="55">
        <f t="shared" si="66"/>
        <v>53139.644329836876</v>
      </c>
      <c r="CQ14" s="55">
        <f t="shared" si="66"/>
        <v>65837.237074908859</v>
      </c>
      <c r="CR14" s="55">
        <f t="shared" si="66"/>
        <v>76525.185055663853</v>
      </c>
      <c r="CS14" s="55">
        <f t="shared" si="66"/>
        <v>101333.49269499072</v>
      </c>
      <c r="CT14" s="55">
        <f t="shared" si="66"/>
        <v>46113.31168051948</v>
      </c>
      <c r="CU14" s="312">
        <f t="shared" si="66"/>
        <v>55608.84433084073</v>
      </c>
      <c r="CV14" s="55">
        <f t="shared" si="66"/>
        <v>73150.622908373422</v>
      </c>
      <c r="CW14" s="55">
        <f t="shared" si="66"/>
        <v>69628.219143338356</v>
      </c>
      <c r="CX14" s="55">
        <f t="shared" si="66"/>
        <v>69998.498850237214</v>
      </c>
      <c r="CY14" s="55">
        <f t="shared" si="66"/>
        <v>33619.807106837558</v>
      </c>
      <c r="CZ14" s="55">
        <f t="shared" si="66"/>
        <v>65543.805320571511</v>
      </c>
      <c r="DA14" s="55">
        <f t="shared" si="66"/>
        <v>46663.423277343987</v>
      </c>
      <c r="DB14" s="55">
        <f t="shared" si="66"/>
        <v>78410.629649928829</v>
      </c>
      <c r="DC14" s="55">
        <f t="shared" si="66"/>
        <v>88866.931337494083</v>
      </c>
      <c r="DD14" s="55">
        <f t="shared" si="66"/>
        <v>113157.59806137334</v>
      </c>
      <c r="DE14" s="55">
        <f t="shared" si="66"/>
        <v>142547.97120636582</v>
      </c>
      <c r="DF14" s="55">
        <f>DF13+DF12</f>
        <v>61729.984306449791</v>
      </c>
      <c r="DG14" s="55">
        <f>DG13+DG12</f>
        <v>81638.400627272888</v>
      </c>
    </row>
    <row r="15" spans="1:114" s="370" customFormat="1" x14ac:dyDescent="0.25">
      <c r="B15" s="371"/>
      <c r="C15" s="498" t="s">
        <v>294</v>
      </c>
      <c r="D15" s="372"/>
      <c r="E15" s="372"/>
      <c r="F15" s="372"/>
      <c r="G15" s="372"/>
      <c r="H15" s="372"/>
      <c r="I15" s="372"/>
      <c r="J15" s="372"/>
      <c r="K15" s="373">
        <f t="shared" ref="K15:AA15" si="67">+K13/K12</f>
        <v>0</v>
      </c>
      <c r="L15" s="373">
        <f t="shared" si="67"/>
        <v>0</v>
      </c>
      <c r="M15" s="373">
        <f t="shared" si="67"/>
        <v>3.4340659340659344E-2</v>
      </c>
      <c r="N15" s="373">
        <f t="shared" si="67"/>
        <v>0</v>
      </c>
      <c r="O15" s="373">
        <f t="shared" si="67"/>
        <v>0</v>
      </c>
      <c r="P15" s="373">
        <f t="shared" si="67"/>
        <v>2.3834437086092716E-2</v>
      </c>
      <c r="Q15" s="373">
        <f t="shared" si="67"/>
        <v>2.510204081632653E-2</v>
      </c>
      <c r="R15" s="373">
        <f t="shared" si="67"/>
        <v>2.4840764331210193E-2</v>
      </c>
      <c r="S15" s="373">
        <f t="shared" si="67"/>
        <v>1.9532165570261106E-2</v>
      </c>
      <c r="T15" s="373">
        <f t="shared" si="67"/>
        <v>1.6629535002554929E-2</v>
      </c>
      <c r="U15" s="373">
        <f t="shared" si="67"/>
        <v>2.2955242182709991E-3</v>
      </c>
      <c r="V15" s="373">
        <f t="shared" si="67"/>
        <v>1.8132854578096949E-2</v>
      </c>
      <c r="W15" s="373">
        <f t="shared" si="67"/>
        <v>3.8288856808184175E-3</v>
      </c>
      <c r="X15" s="373">
        <f t="shared" si="67"/>
        <v>4.0420418216593817E-3</v>
      </c>
      <c r="Y15" s="373">
        <f t="shared" si="67"/>
        <v>1.9449004975124379E-2</v>
      </c>
      <c r="Z15" s="373">
        <f t="shared" si="67"/>
        <v>2.2914552045572242E-2</v>
      </c>
      <c r="AA15" s="522">
        <f t="shared" si="67"/>
        <v>2.3627684964200476E-2</v>
      </c>
      <c r="AB15" s="373">
        <f>+AB13/AB12</f>
        <v>4.0554592720970541E-2</v>
      </c>
      <c r="AC15" s="373">
        <f t="shared" ref="AC15:AG15" si="68">+AC13/AC12</f>
        <v>0</v>
      </c>
      <c r="AD15" s="373">
        <f t="shared" si="68"/>
        <v>3.4607065609228551E-3</v>
      </c>
      <c r="AE15" s="373">
        <f t="shared" si="68"/>
        <v>4.4999999999999997E-3</v>
      </c>
      <c r="AF15" s="373">
        <f t="shared" si="68"/>
        <v>9.3258845437616377E-3</v>
      </c>
      <c r="AG15" s="373">
        <f t="shared" si="68"/>
        <v>2.7931270453836589E-3</v>
      </c>
      <c r="AH15" s="373">
        <f t="shared" ref="AH15" si="69">+AH13/AH12</f>
        <v>3.2797159203522869E-3</v>
      </c>
      <c r="AI15" s="373">
        <f t="shared" ref="AI15:AJ15" si="70">+AI13/AI12</f>
        <v>2.6645331453712439E-3</v>
      </c>
      <c r="AJ15" s="373">
        <f t="shared" si="70"/>
        <v>0</v>
      </c>
      <c r="AK15" s="373">
        <f t="shared" ref="AK15:AL15" si="71">+AK13/AK12</f>
        <v>1.1215759580127974E-3</v>
      </c>
      <c r="AL15" s="373">
        <f t="shared" si="71"/>
        <v>1.0194745784864723E-3</v>
      </c>
      <c r="AM15" s="522">
        <f t="shared" ref="AM15:AO15" si="72">+AM13/AM12</f>
        <v>6.5891472868217053E-3</v>
      </c>
      <c r="AN15" s="373">
        <f t="shared" si="72"/>
        <v>1.6673099189502123E-2</v>
      </c>
      <c r="AO15" s="373">
        <f t="shared" si="72"/>
        <v>7.4039118286246507E-3</v>
      </c>
      <c r="AP15" s="373">
        <f t="shared" ref="AP15:AQ15" si="73">+AP13/AP12</f>
        <v>6.8636959370904325E-3</v>
      </c>
      <c r="AQ15" s="373">
        <f t="shared" si="73"/>
        <v>0</v>
      </c>
      <c r="AR15" s="373">
        <f t="shared" ref="AR15:AS15" si="74">+AR13/AR12</f>
        <v>1.989225031081641E-3</v>
      </c>
      <c r="AS15" s="373">
        <f t="shared" si="74"/>
        <v>1.3704653719311103E-2</v>
      </c>
      <c r="AT15" s="373">
        <f t="shared" ref="AT15:AU15" si="75">+AT13/AT12</f>
        <v>5.0488051161225178E-3</v>
      </c>
      <c r="AU15" s="373">
        <f t="shared" si="75"/>
        <v>2.180036742192284E-3</v>
      </c>
      <c r="AV15" s="373">
        <f t="shared" ref="AV15:AW15" si="76">+AV13/AV12</f>
        <v>1.7694417411306732E-3</v>
      </c>
      <c r="AW15" s="374">
        <f t="shared" si="76"/>
        <v>7.466868156006443E-4</v>
      </c>
      <c r="AX15" s="718">
        <f>+AVERAGE(AR15:AW15)</f>
        <v>4.2398081942398103E-3</v>
      </c>
      <c r="AY15" s="522">
        <f t="shared" ref="AY15:CU15" si="77">+AX15</f>
        <v>4.2398081942398103E-3</v>
      </c>
      <c r="AZ15" s="373">
        <f t="shared" si="77"/>
        <v>4.2398081942398103E-3</v>
      </c>
      <c r="BA15" s="373">
        <f t="shared" si="77"/>
        <v>4.2398081942398103E-3</v>
      </c>
      <c r="BB15" s="373">
        <f t="shared" si="77"/>
        <v>4.2398081942398103E-3</v>
      </c>
      <c r="BC15" s="373">
        <f t="shared" si="77"/>
        <v>4.2398081942398103E-3</v>
      </c>
      <c r="BD15" s="373">
        <f t="shared" si="77"/>
        <v>4.2398081942398103E-3</v>
      </c>
      <c r="BE15" s="373">
        <f t="shared" si="77"/>
        <v>4.2398081942398103E-3</v>
      </c>
      <c r="BF15" s="373">
        <f t="shared" si="77"/>
        <v>4.2398081942398103E-3</v>
      </c>
      <c r="BG15" s="373">
        <f t="shared" si="77"/>
        <v>4.2398081942398103E-3</v>
      </c>
      <c r="BH15" s="373">
        <f t="shared" si="77"/>
        <v>4.2398081942398103E-3</v>
      </c>
      <c r="BI15" s="373">
        <f t="shared" si="77"/>
        <v>4.2398081942398103E-3</v>
      </c>
      <c r="BJ15" s="373">
        <f t="shared" si="77"/>
        <v>4.2398081942398103E-3</v>
      </c>
      <c r="BK15" s="374">
        <f t="shared" si="77"/>
        <v>4.2398081942398103E-3</v>
      </c>
      <c r="BL15" s="373">
        <f t="shared" si="77"/>
        <v>4.2398081942398103E-3</v>
      </c>
      <c r="BM15" s="373">
        <f t="shared" si="77"/>
        <v>4.2398081942398103E-3</v>
      </c>
      <c r="BN15" s="373">
        <f t="shared" si="77"/>
        <v>4.2398081942398103E-3</v>
      </c>
      <c r="BO15" s="373">
        <f t="shared" si="77"/>
        <v>4.2398081942398103E-3</v>
      </c>
      <c r="BP15" s="373">
        <f t="shared" si="77"/>
        <v>4.2398081942398103E-3</v>
      </c>
      <c r="BQ15" s="373">
        <f t="shared" si="77"/>
        <v>4.2398081942398103E-3</v>
      </c>
      <c r="BR15" s="373">
        <f t="shared" si="77"/>
        <v>4.2398081942398103E-3</v>
      </c>
      <c r="BS15" s="373">
        <f t="shared" si="77"/>
        <v>4.2398081942398103E-3</v>
      </c>
      <c r="BT15" s="373">
        <f t="shared" si="77"/>
        <v>4.2398081942398103E-3</v>
      </c>
      <c r="BU15" s="373">
        <f t="shared" si="77"/>
        <v>4.2398081942398103E-3</v>
      </c>
      <c r="BV15" s="373">
        <f t="shared" si="77"/>
        <v>4.2398081942398103E-3</v>
      </c>
      <c r="BW15" s="374">
        <f t="shared" si="77"/>
        <v>4.2398081942398103E-3</v>
      </c>
      <c r="BX15" s="373">
        <f t="shared" si="77"/>
        <v>4.2398081942398103E-3</v>
      </c>
      <c r="BY15" s="373">
        <f t="shared" si="77"/>
        <v>4.2398081942398103E-3</v>
      </c>
      <c r="BZ15" s="373">
        <f t="shared" si="77"/>
        <v>4.2398081942398103E-3</v>
      </c>
      <c r="CA15" s="373">
        <f t="shared" si="77"/>
        <v>4.2398081942398103E-3</v>
      </c>
      <c r="CB15" s="373">
        <f t="shared" si="77"/>
        <v>4.2398081942398103E-3</v>
      </c>
      <c r="CC15" s="373">
        <f t="shared" si="77"/>
        <v>4.2398081942398103E-3</v>
      </c>
      <c r="CD15" s="373">
        <f t="shared" si="77"/>
        <v>4.2398081942398103E-3</v>
      </c>
      <c r="CE15" s="373">
        <f t="shared" si="77"/>
        <v>4.2398081942398103E-3</v>
      </c>
      <c r="CF15" s="373">
        <f t="shared" si="77"/>
        <v>4.2398081942398103E-3</v>
      </c>
      <c r="CG15" s="373">
        <f t="shared" si="77"/>
        <v>4.2398081942398103E-3</v>
      </c>
      <c r="CH15" s="373">
        <f t="shared" si="77"/>
        <v>4.2398081942398103E-3</v>
      </c>
      <c r="CI15" s="374">
        <f t="shared" si="77"/>
        <v>4.2398081942398103E-3</v>
      </c>
      <c r="CJ15" s="373">
        <f t="shared" si="77"/>
        <v>4.2398081942398103E-3</v>
      </c>
      <c r="CK15" s="373">
        <f t="shared" si="77"/>
        <v>4.2398081942398103E-3</v>
      </c>
      <c r="CL15" s="373">
        <f t="shared" si="77"/>
        <v>4.2398081942398103E-3</v>
      </c>
      <c r="CM15" s="373">
        <f t="shared" si="77"/>
        <v>4.2398081942398103E-3</v>
      </c>
      <c r="CN15" s="373">
        <f t="shared" si="77"/>
        <v>4.2398081942398103E-3</v>
      </c>
      <c r="CO15" s="373">
        <f t="shared" si="77"/>
        <v>4.2398081942398103E-3</v>
      </c>
      <c r="CP15" s="373">
        <f t="shared" si="77"/>
        <v>4.2398081942398103E-3</v>
      </c>
      <c r="CQ15" s="373">
        <f t="shared" si="77"/>
        <v>4.2398081942398103E-3</v>
      </c>
      <c r="CR15" s="373">
        <f t="shared" si="77"/>
        <v>4.2398081942398103E-3</v>
      </c>
      <c r="CS15" s="373">
        <f t="shared" si="77"/>
        <v>4.2398081942398103E-3</v>
      </c>
      <c r="CT15" s="373">
        <f t="shared" si="77"/>
        <v>4.2398081942398103E-3</v>
      </c>
      <c r="CU15" s="374">
        <f t="shared" si="77"/>
        <v>4.2398081942398103E-3</v>
      </c>
      <c r="CV15" s="373">
        <f t="shared" ref="CV15:DG15" si="78">+CU15</f>
        <v>4.2398081942398103E-3</v>
      </c>
      <c r="CW15" s="373">
        <f t="shared" si="78"/>
        <v>4.2398081942398103E-3</v>
      </c>
      <c r="CX15" s="373">
        <f t="shared" si="78"/>
        <v>4.2398081942398103E-3</v>
      </c>
      <c r="CY15" s="373">
        <f t="shared" si="78"/>
        <v>4.2398081942398103E-3</v>
      </c>
      <c r="CZ15" s="373">
        <f t="shared" si="78"/>
        <v>4.2398081942398103E-3</v>
      </c>
      <c r="DA15" s="373">
        <f t="shared" si="78"/>
        <v>4.2398081942398103E-3</v>
      </c>
      <c r="DB15" s="373">
        <f t="shared" si="78"/>
        <v>4.2398081942398103E-3</v>
      </c>
      <c r="DC15" s="373">
        <f t="shared" si="78"/>
        <v>4.2398081942398103E-3</v>
      </c>
      <c r="DD15" s="373">
        <f t="shared" si="78"/>
        <v>4.2398081942398103E-3</v>
      </c>
      <c r="DE15" s="373">
        <f t="shared" si="78"/>
        <v>4.2398081942398103E-3</v>
      </c>
      <c r="DF15" s="373">
        <f t="shared" si="78"/>
        <v>4.2398081942398103E-3</v>
      </c>
      <c r="DG15" s="373">
        <f t="shared" si="78"/>
        <v>4.2398081942398103E-3</v>
      </c>
    </row>
    <row r="16" spans="1:114" hidden="1" x14ac:dyDescent="0.25">
      <c r="B16" s="1"/>
      <c r="C16" s="492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23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23"/>
      <c r="AN16" s="57"/>
      <c r="AO16" s="57"/>
      <c r="AP16" s="57"/>
      <c r="AQ16" s="57"/>
      <c r="AR16" s="57"/>
      <c r="AS16" s="57"/>
      <c r="AT16" s="57"/>
      <c r="AU16" s="57"/>
      <c r="AV16" s="57"/>
      <c r="AW16" s="313"/>
      <c r="AX16" s="57"/>
      <c r="AY16" s="523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313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313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313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313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</row>
    <row r="17" spans="1:111" s="3" customFormat="1" x14ac:dyDescent="0.25">
      <c r="A17" s="142"/>
      <c r="B17" s="142"/>
      <c r="C17" s="493" t="s">
        <v>66</v>
      </c>
      <c r="D17" s="143"/>
      <c r="E17" s="144">
        <v>12</v>
      </c>
      <c r="F17" s="144">
        <v>8</v>
      </c>
      <c r="G17" s="144">
        <v>7</v>
      </c>
      <c r="H17" s="144">
        <v>10</v>
      </c>
      <c r="I17" s="144">
        <v>13</v>
      </c>
      <c r="J17" s="144">
        <v>11</v>
      </c>
      <c r="K17" s="144">
        <v>5</v>
      </c>
      <c r="L17" s="144">
        <v>9</v>
      </c>
      <c r="M17" s="144">
        <v>17</v>
      </c>
      <c r="N17" s="144">
        <v>11</v>
      </c>
      <c r="O17" s="144">
        <v>7</v>
      </c>
      <c r="P17" s="144">
        <v>12</v>
      </c>
      <c r="Q17" s="144">
        <v>10</v>
      </c>
      <c r="R17" s="144">
        <v>10</v>
      </c>
      <c r="S17" s="144">
        <v>7</v>
      </c>
      <c r="T17" s="144">
        <v>9</v>
      </c>
      <c r="U17" s="144">
        <v>13</v>
      </c>
      <c r="V17" s="144">
        <v>8</v>
      </c>
      <c r="W17" s="144">
        <v>19</v>
      </c>
      <c r="X17" s="144">
        <v>29</v>
      </c>
      <c r="Y17" s="144">
        <v>32</v>
      </c>
      <c r="Z17" s="144">
        <v>32</v>
      </c>
      <c r="AA17" s="524">
        <v>19</v>
      </c>
      <c r="AB17" s="144">
        <v>16</v>
      </c>
      <c r="AC17" s="144">
        <v>15</v>
      </c>
      <c r="AD17" s="144">
        <v>20</v>
      </c>
      <c r="AE17" s="144">
        <v>17</v>
      </c>
      <c r="AF17" s="144">
        <v>20</v>
      </c>
      <c r="AG17" s="144">
        <v>24</v>
      </c>
      <c r="AH17" s="144">
        <v>30</v>
      </c>
      <c r="AI17" s="144">
        <v>38</v>
      </c>
      <c r="AJ17" s="144">
        <v>42</v>
      </c>
      <c r="AK17" s="144">
        <v>48</v>
      </c>
      <c r="AL17" s="144">
        <v>44</v>
      </c>
      <c r="AM17" s="524">
        <v>23</v>
      </c>
      <c r="AN17" s="144">
        <v>24</v>
      </c>
      <c r="AO17" s="144">
        <v>28</v>
      </c>
      <c r="AP17" s="144">
        <v>24</v>
      </c>
      <c r="AQ17" s="144">
        <v>23</v>
      </c>
      <c r="AR17" s="144">
        <v>20</v>
      </c>
      <c r="AS17" s="144">
        <v>25</v>
      </c>
      <c r="AT17" s="144">
        <v>35</v>
      </c>
      <c r="AU17" s="144">
        <v>48</v>
      </c>
      <c r="AV17" s="144">
        <v>57</v>
      </c>
      <c r="AW17" s="589">
        <v>67</v>
      </c>
      <c r="AX17" s="145">
        <f>+AW17+AX19</f>
        <v>62</v>
      </c>
      <c r="AY17" s="740">
        <f>+AX17+AY19</f>
        <v>57.6</v>
      </c>
      <c r="AZ17" s="145">
        <f t="shared" ref="AZ17:CM17" si="79">+AY17+AZ19</f>
        <v>57.32</v>
      </c>
      <c r="BA17" s="145">
        <f t="shared" si="79"/>
        <v>62.92</v>
      </c>
      <c r="BB17" s="145">
        <f t="shared" si="79"/>
        <v>59.64</v>
      </c>
      <c r="BC17" s="145">
        <f t="shared" si="79"/>
        <v>54.36</v>
      </c>
      <c r="BD17" s="145">
        <f t="shared" si="79"/>
        <v>54.959999999999994</v>
      </c>
      <c r="BE17" s="145">
        <f t="shared" si="79"/>
        <v>46.679999999999993</v>
      </c>
      <c r="BF17" s="145">
        <f t="shared" si="79"/>
        <v>46.279999999999987</v>
      </c>
      <c r="BG17" s="145">
        <f t="shared" si="79"/>
        <v>53.879999999999981</v>
      </c>
      <c r="BH17" s="145">
        <f t="shared" si="79"/>
        <v>63.479999999999976</v>
      </c>
      <c r="BI17" s="145">
        <f t="shared" si="79"/>
        <v>67.199999999999974</v>
      </c>
      <c r="BJ17" s="145">
        <f t="shared" si="79"/>
        <v>66.039999999999978</v>
      </c>
      <c r="BK17" s="146">
        <f t="shared" si="79"/>
        <v>63.879999999999974</v>
      </c>
      <c r="BL17" s="145">
        <f t="shared" si="79"/>
        <v>67.087999999999965</v>
      </c>
      <c r="BM17" s="145">
        <f t="shared" si="79"/>
        <v>78.527999999999963</v>
      </c>
      <c r="BN17" s="145">
        <f t="shared" si="79"/>
        <v>76.735999999999962</v>
      </c>
      <c r="BO17" s="145">
        <f t="shared" si="79"/>
        <v>71.94399999999996</v>
      </c>
      <c r="BP17" s="145">
        <f t="shared" si="79"/>
        <v>75.383999999999958</v>
      </c>
      <c r="BQ17" s="145">
        <f t="shared" si="79"/>
        <v>64.591999999999956</v>
      </c>
      <c r="BR17" s="145">
        <f t="shared" si="79"/>
        <v>64.031999999999954</v>
      </c>
      <c r="BS17" s="145">
        <f t="shared" si="79"/>
        <v>74.471999999999952</v>
      </c>
      <c r="BT17" s="145">
        <f t="shared" si="79"/>
        <v>87.911999999999949</v>
      </c>
      <c r="BU17" s="145">
        <f t="shared" si="79"/>
        <v>93.119999999999948</v>
      </c>
      <c r="BV17" s="145">
        <f t="shared" si="79"/>
        <v>92.095999999999947</v>
      </c>
      <c r="BW17" s="146">
        <f t="shared" si="79"/>
        <v>89.071999999999946</v>
      </c>
      <c r="BX17" s="145">
        <f t="shared" si="79"/>
        <v>93.963199999999944</v>
      </c>
      <c r="BY17" s="145">
        <f t="shared" si="79"/>
        <v>109.37919999999994</v>
      </c>
      <c r="BZ17" s="145">
        <f t="shared" si="79"/>
        <v>107.27039999999994</v>
      </c>
      <c r="CA17" s="145">
        <f t="shared" si="79"/>
        <v>101.16159999999994</v>
      </c>
      <c r="CB17" s="145">
        <f t="shared" si="79"/>
        <v>105.57759999999993</v>
      </c>
      <c r="CC17" s="145">
        <f t="shared" si="79"/>
        <v>89.468799999999931</v>
      </c>
      <c r="CD17" s="145">
        <f t="shared" si="79"/>
        <v>89.884799999999927</v>
      </c>
      <c r="CE17" s="145">
        <f t="shared" si="79"/>
        <v>104.30079999999992</v>
      </c>
      <c r="CF17" s="145">
        <f t="shared" si="79"/>
        <v>122.71679999999992</v>
      </c>
      <c r="CG17" s="145">
        <f t="shared" si="79"/>
        <v>129.60799999999992</v>
      </c>
      <c r="CH17" s="145">
        <f t="shared" si="79"/>
        <v>127.97439999999992</v>
      </c>
      <c r="CI17" s="146">
        <f t="shared" si="79"/>
        <v>124.34079999999992</v>
      </c>
      <c r="CJ17" s="145">
        <f t="shared" si="79"/>
        <v>131.9884799999999</v>
      </c>
      <c r="CK17" s="145">
        <f t="shared" si="79"/>
        <v>153.77087999999986</v>
      </c>
      <c r="CL17" s="145">
        <f t="shared" si="79"/>
        <v>150.41855999999984</v>
      </c>
      <c r="CM17" s="145">
        <f t="shared" si="79"/>
        <v>142.06623999999982</v>
      </c>
      <c r="CN17" s="145">
        <f t="shared" ref="CN17:DG17" si="80">+CM17+CN19</f>
        <v>147.84863999999982</v>
      </c>
      <c r="CO17" s="145">
        <f t="shared" si="80"/>
        <v>126.4963199999998</v>
      </c>
      <c r="CP17" s="145">
        <f t="shared" si="80"/>
        <v>126.27871999999978</v>
      </c>
      <c r="CQ17" s="145">
        <f t="shared" si="80"/>
        <v>147.06111999999976</v>
      </c>
      <c r="CR17" s="145">
        <f t="shared" si="80"/>
        <v>173.84351999999973</v>
      </c>
      <c r="CS17" s="145">
        <f t="shared" si="80"/>
        <v>184.49119999999971</v>
      </c>
      <c r="CT17" s="145">
        <f t="shared" si="80"/>
        <v>183.0041599999997</v>
      </c>
      <c r="CU17" s="146">
        <f t="shared" si="80"/>
        <v>177.51711999999969</v>
      </c>
      <c r="CV17" s="145">
        <f t="shared" si="80"/>
        <v>187.22387199999969</v>
      </c>
      <c r="CW17" s="145">
        <f t="shared" si="80"/>
        <v>217.51923199999965</v>
      </c>
      <c r="CX17" s="145">
        <f t="shared" si="80"/>
        <v>212.22598399999964</v>
      </c>
      <c r="CY17" s="145">
        <f t="shared" si="80"/>
        <v>199.93273599999964</v>
      </c>
      <c r="CZ17" s="145">
        <f t="shared" si="80"/>
        <v>208.2280959999996</v>
      </c>
      <c r="DA17" s="145">
        <f t="shared" si="80"/>
        <v>177.93484799999959</v>
      </c>
      <c r="DB17" s="145">
        <f t="shared" si="80"/>
        <v>178.23020799999955</v>
      </c>
      <c r="DC17" s="145">
        <f t="shared" si="80"/>
        <v>207.52556799999951</v>
      </c>
      <c r="DD17" s="145">
        <f t="shared" si="80"/>
        <v>244.82092799999947</v>
      </c>
      <c r="DE17" s="145">
        <f t="shared" si="80"/>
        <v>259.52767999999946</v>
      </c>
      <c r="DF17" s="145">
        <f t="shared" si="80"/>
        <v>256.64582399999944</v>
      </c>
      <c r="DG17" s="146">
        <f t="shared" si="80"/>
        <v>248.76396799999941</v>
      </c>
    </row>
    <row r="18" spans="1:111" x14ac:dyDescent="0.25">
      <c r="A18" s="34"/>
      <c r="B18" s="34"/>
      <c r="C18" s="495" t="s">
        <v>383</v>
      </c>
      <c r="D18" s="15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26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526"/>
      <c r="AN18" s="49"/>
      <c r="AO18" s="49">
        <v>18</v>
      </c>
      <c r="AP18" s="49">
        <v>21</v>
      </c>
      <c r="AQ18" s="49">
        <v>19</v>
      </c>
      <c r="AR18" s="49">
        <v>19</v>
      </c>
      <c r="AS18" s="49">
        <v>19</v>
      </c>
      <c r="AT18" s="49">
        <v>19</v>
      </c>
      <c r="AU18" s="49">
        <v>19</v>
      </c>
      <c r="AV18" s="49">
        <v>19</v>
      </c>
      <c r="AW18" s="590">
        <v>51</v>
      </c>
      <c r="AX18" s="145"/>
      <c r="AY18" s="740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6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6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6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6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6"/>
    </row>
    <row r="19" spans="1:111" x14ac:dyDescent="0.25">
      <c r="A19" s="34"/>
      <c r="B19" s="34"/>
      <c r="C19" s="494" t="s">
        <v>67</v>
      </c>
      <c r="D19" s="15"/>
      <c r="E19" s="50">
        <f t="shared" ref="E19:L19" si="81">E17-D17</f>
        <v>12</v>
      </c>
      <c r="F19" s="50">
        <f>F17-E17</f>
        <v>-4</v>
      </c>
      <c r="G19" s="50">
        <f t="shared" si="81"/>
        <v>-1</v>
      </c>
      <c r="H19" s="50">
        <f t="shared" si="81"/>
        <v>3</v>
      </c>
      <c r="I19" s="50">
        <f t="shared" si="81"/>
        <v>3</v>
      </c>
      <c r="J19" s="50">
        <f t="shared" si="81"/>
        <v>-2</v>
      </c>
      <c r="K19" s="50">
        <f t="shared" si="81"/>
        <v>-6</v>
      </c>
      <c r="L19" s="50">
        <f t="shared" si="81"/>
        <v>4</v>
      </c>
      <c r="M19" s="50">
        <f t="shared" ref="M19:AH19" si="82">M17-L17</f>
        <v>8</v>
      </c>
      <c r="N19" s="50">
        <f t="shared" si="82"/>
        <v>-6</v>
      </c>
      <c r="O19" s="50">
        <f t="shared" si="82"/>
        <v>-4</v>
      </c>
      <c r="P19" s="50">
        <f t="shared" si="82"/>
        <v>5</v>
      </c>
      <c r="Q19" s="50">
        <f t="shared" si="82"/>
        <v>-2</v>
      </c>
      <c r="R19" s="50">
        <f t="shared" si="82"/>
        <v>0</v>
      </c>
      <c r="S19" s="50">
        <f t="shared" si="82"/>
        <v>-3</v>
      </c>
      <c r="T19" s="50">
        <f t="shared" si="82"/>
        <v>2</v>
      </c>
      <c r="U19" s="50">
        <f t="shared" si="82"/>
        <v>4</v>
      </c>
      <c r="V19" s="50">
        <f t="shared" si="82"/>
        <v>-5</v>
      </c>
      <c r="W19" s="50">
        <f t="shared" si="82"/>
        <v>11</v>
      </c>
      <c r="X19" s="50">
        <f t="shared" si="82"/>
        <v>10</v>
      </c>
      <c r="Y19" s="50">
        <f t="shared" si="82"/>
        <v>3</v>
      </c>
      <c r="Z19" s="50">
        <f t="shared" si="82"/>
        <v>0</v>
      </c>
      <c r="AA19" s="525">
        <f t="shared" si="82"/>
        <v>-13</v>
      </c>
      <c r="AB19" s="50">
        <f t="shared" si="82"/>
        <v>-3</v>
      </c>
      <c r="AC19" s="50">
        <f t="shared" si="82"/>
        <v>-1</v>
      </c>
      <c r="AD19" s="50">
        <f t="shared" si="82"/>
        <v>5</v>
      </c>
      <c r="AE19" s="50">
        <f t="shared" si="82"/>
        <v>-3</v>
      </c>
      <c r="AF19" s="50">
        <f t="shared" si="82"/>
        <v>3</v>
      </c>
      <c r="AG19" s="50">
        <f t="shared" si="82"/>
        <v>4</v>
      </c>
      <c r="AH19" s="50">
        <f t="shared" si="82"/>
        <v>6</v>
      </c>
      <c r="AI19" s="50">
        <f t="shared" ref="AI19:AP19" si="83">AI17-AH17</f>
        <v>8</v>
      </c>
      <c r="AJ19" s="50">
        <f t="shared" si="83"/>
        <v>4</v>
      </c>
      <c r="AK19" s="50">
        <f t="shared" si="83"/>
        <v>6</v>
      </c>
      <c r="AL19" s="50">
        <f t="shared" si="83"/>
        <v>-4</v>
      </c>
      <c r="AM19" s="525">
        <f t="shared" si="83"/>
        <v>-21</v>
      </c>
      <c r="AN19" s="50">
        <f t="shared" si="83"/>
        <v>1</v>
      </c>
      <c r="AO19" s="50">
        <f t="shared" si="83"/>
        <v>4</v>
      </c>
      <c r="AP19" s="50">
        <f t="shared" si="83"/>
        <v>-4</v>
      </c>
      <c r="AQ19" s="50">
        <f t="shared" ref="AQ19:AV19" si="84">AQ17-AP17</f>
        <v>-1</v>
      </c>
      <c r="AR19" s="50">
        <f t="shared" si="84"/>
        <v>-3</v>
      </c>
      <c r="AS19" s="50">
        <f t="shared" si="84"/>
        <v>5</v>
      </c>
      <c r="AT19" s="50">
        <f t="shared" si="84"/>
        <v>10</v>
      </c>
      <c r="AU19" s="50">
        <f t="shared" si="84"/>
        <v>13</v>
      </c>
      <c r="AV19" s="50">
        <f t="shared" si="84"/>
        <v>9</v>
      </c>
      <c r="AW19" s="591">
        <f>AW17-AV17</f>
        <v>10</v>
      </c>
      <c r="AX19" s="719">
        <f t="shared" ref="AX19" si="85">+AX20+AX21</f>
        <v>-5</v>
      </c>
      <c r="AY19" s="741">
        <f t="shared" ref="AY19:CK19" si="86">+AY20+AY21</f>
        <v>-4.4000000000000004</v>
      </c>
      <c r="AZ19" s="60">
        <f t="shared" si="86"/>
        <v>-0.28000000000000291</v>
      </c>
      <c r="BA19" s="60">
        <f t="shared" si="86"/>
        <v>5.5999999999999979</v>
      </c>
      <c r="BB19" s="60">
        <f t="shared" si="86"/>
        <v>-3.2800000000000029</v>
      </c>
      <c r="BC19" s="60">
        <f t="shared" si="86"/>
        <v>-5.2800000000000029</v>
      </c>
      <c r="BD19" s="60">
        <f t="shared" si="86"/>
        <v>0.59999999999999787</v>
      </c>
      <c r="BE19" s="60">
        <f t="shared" si="86"/>
        <v>-8.2800000000000029</v>
      </c>
      <c r="BF19" s="60">
        <f t="shared" si="86"/>
        <v>-0.40000000000000213</v>
      </c>
      <c r="BG19" s="60">
        <f t="shared" si="86"/>
        <v>7.5999999999999979</v>
      </c>
      <c r="BH19" s="60">
        <f t="shared" si="86"/>
        <v>9.5999999999999979</v>
      </c>
      <c r="BI19" s="60">
        <f t="shared" si="86"/>
        <v>3.7199999999999971</v>
      </c>
      <c r="BJ19" s="60">
        <f t="shared" si="86"/>
        <v>-1.160000000000001</v>
      </c>
      <c r="BK19" s="140">
        <f t="shared" si="86"/>
        <v>-2.160000000000001</v>
      </c>
      <c r="BL19" s="60">
        <f t="shared" si="86"/>
        <v>3.2079999999999949</v>
      </c>
      <c r="BM19" s="60">
        <f t="shared" si="86"/>
        <v>11.439999999999994</v>
      </c>
      <c r="BN19" s="60">
        <f t="shared" si="86"/>
        <v>-1.7920000000000051</v>
      </c>
      <c r="BO19" s="60">
        <f t="shared" si="86"/>
        <v>-4.7920000000000051</v>
      </c>
      <c r="BP19" s="60">
        <f t="shared" si="86"/>
        <v>3.4399999999999942</v>
      </c>
      <c r="BQ19" s="60">
        <f t="shared" si="86"/>
        <v>-10.792000000000005</v>
      </c>
      <c r="BR19" s="60">
        <f t="shared" si="86"/>
        <v>-0.56000000000000583</v>
      </c>
      <c r="BS19" s="60">
        <f t="shared" si="86"/>
        <v>10.439999999999994</v>
      </c>
      <c r="BT19" s="60">
        <f t="shared" si="86"/>
        <v>13.439999999999994</v>
      </c>
      <c r="BU19" s="60">
        <f t="shared" si="86"/>
        <v>5.2079999999999949</v>
      </c>
      <c r="BV19" s="60">
        <f t="shared" si="86"/>
        <v>-1.0240000000000027</v>
      </c>
      <c r="BW19" s="140">
        <f t="shared" si="86"/>
        <v>-3.0240000000000027</v>
      </c>
      <c r="BX19" s="60">
        <f t="shared" si="86"/>
        <v>4.8911999999999907</v>
      </c>
      <c r="BY19" s="60">
        <f t="shared" si="86"/>
        <v>15.41599999999999</v>
      </c>
      <c r="BZ19" s="60">
        <f t="shared" si="86"/>
        <v>-2.1088000000000093</v>
      </c>
      <c r="CA19" s="60">
        <f t="shared" si="86"/>
        <v>-6.1088000000000093</v>
      </c>
      <c r="CB19" s="60">
        <f t="shared" si="86"/>
        <v>4.4159999999999897</v>
      </c>
      <c r="CC19" s="60">
        <f t="shared" si="86"/>
        <v>-16.108800000000009</v>
      </c>
      <c r="CD19" s="60">
        <f t="shared" si="86"/>
        <v>0.41599999999998971</v>
      </c>
      <c r="CE19" s="60">
        <f t="shared" si="86"/>
        <v>14.41599999999999</v>
      </c>
      <c r="CF19" s="60">
        <f t="shared" si="86"/>
        <v>18.41599999999999</v>
      </c>
      <c r="CG19" s="60">
        <f t="shared" si="86"/>
        <v>6.8911999999999907</v>
      </c>
      <c r="CH19" s="60">
        <f t="shared" si="86"/>
        <v>-1.6336000000000048</v>
      </c>
      <c r="CI19" s="140">
        <f t="shared" si="86"/>
        <v>-3.6336000000000048</v>
      </c>
      <c r="CJ19" s="60">
        <f t="shared" si="86"/>
        <v>7.6476799999999869</v>
      </c>
      <c r="CK19" s="60">
        <f t="shared" si="86"/>
        <v>21.782399999999981</v>
      </c>
      <c r="CL19" s="60">
        <f t="shared" ref="CL19:DG19" si="87">+CL20+CL21</f>
        <v>-3.3523200000000131</v>
      </c>
      <c r="CM19" s="60">
        <f t="shared" si="87"/>
        <v>-8.3523200000000131</v>
      </c>
      <c r="CN19" s="60">
        <f t="shared" si="87"/>
        <v>5.7823999999999813</v>
      </c>
      <c r="CO19" s="60">
        <f t="shared" si="87"/>
        <v>-21.352320000000013</v>
      </c>
      <c r="CP19" s="60">
        <f t="shared" si="87"/>
        <v>-0.21760000000001867</v>
      </c>
      <c r="CQ19" s="60">
        <f t="shared" si="87"/>
        <v>20.782399999999981</v>
      </c>
      <c r="CR19" s="60">
        <f t="shared" si="87"/>
        <v>26.782399999999981</v>
      </c>
      <c r="CS19" s="60">
        <f t="shared" si="87"/>
        <v>10.647679999999987</v>
      </c>
      <c r="CT19" s="60">
        <f t="shared" si="87"/>
        <v>-1.4870400000000075</v>
      </c>
      <c r="CU19" s="140">
        <f t="shared" si="87"/>
        <v>-5.4870400000000075</v>
      </c>
      <c r="CV19" s="60">
        <f t="shared" si="87"/>
        <v>9.7067519999999803</v>
      </c>
      <c r="CW19" s="60">
        <f t="shared" si="87"/>
        <v>30.295359999999974</v>
      </c>
      <c r="CX19" s="60">
        <f t="shared" si="87"/>
        <v>-5.2932480000000197</v>
      </c>
      <c r="CY19" s="60">
        <f t="shared" si="87"/>
        <v>-12.29324800000002</v>
      </c>
      <c r="CZ19" s="60">
        <f t="shared" si="87"/>
        <v>8.2953599999999739</v>
      </c>
      <c r="DA19" s="60">
        <f t="shared" si="87"/>
        <v>-30.29324800000002</v>
      </c>
      <c r="DB19" s="60">
        <f t="shared" si="87"/>
        <v>0.29535999999997387</v>
      </c>
      <c r="DC19" s="60">
        <f t="shared" si="87"/>
        <v>29.295359999999974</v>
      </c>
      <c r="DD19" s="60">
        <f t="shared" si="87"/>
        <v>37.295359999999974</v>
      </c>
      <c r="DE19" s="60">
        <f t="shared" si="87"/>
        <v>14.70675199999998</v>
      </c>
      <c r="DF19" s="60">
        <f t="shared" si="87"/>
        <v>-2.8818560000000133</v>
      </c>
      <c r="DG19" s="140">
        <f t="shared" si="87"/>
        <v>-7.8818560000000133</v>
      </c>
    </row>
    <row r="20" spans="1:111" x14ac:dyDescent="0.25">
      <c r="A20" s="34"/>
      <c r="B20" s="34"/>
      <c r="C20" s="494" t="s">
        <v>227</v>
      </c>
      <c r="D20" s="15"/>
      <c r="E20" s="50"/>
      <c r="F20" s="50">
        <f>+IF(F17&gt;E17,F17-E17, 0)</f>
        <v>0</v>
      </c>
      <c r="G20" s="50">
        <f t="shared" ref="G20:P20" si="88">+IF(G17&gt;F17,G17-F17, 0)</f>
        <v>0</v>
      </c>
      <c r="H20" s="50">
        <f t="shared" si="88"/>
        <v>3</v>
      </c>
      <c r="I20" s="50">
        <f t="shared" si="88"/>
        <v>3</v>
      </c>
      <c r="J20" s="50">
        <f t="shared" si="88"/>
        <v>0</v>
      </c>
      <c r="K20" s="50">
        <f t="shared" si="88"/>
        <v>0</v>
      </c>
      <c r="L20" s="50">
        <f t="shared" si="88"/>
        <v>4</v>
      </c>
      <c r="M20" s="50">
        <f t="shared" si="88"/>
        <v>8</v>
      </c>
      <c r="N20" s="50">
        <f t="shared" si="88"/>
        <v>0</v>
      </c>
      <c r="O20" s="50">
        <f t="shared" si="88"/>
        <v>0</v>
      </c>
      <c r="P20" s="50">
        <f t="shared" si="88"/>
        <v>5</v>
      </c>
      <c r="Q20" s="50">
        <v>2</v>
      </c>
      <c r="R20" s="50">
        <v>2</v>
      </c>
      <c r="S20" s="50">
        <v>3</v>
      </c>
      <c r="T20" s="50">
        <v>6</v>
      </c>
      <c r="U20" s="50">
        <v>11</v>
      </c>
      <c r="V20" s="50">
        <v>4</v>
      </c>
      <c r="W20" s="50">
        <v>12</v>
      </c>
      <c r="X20" s="50">
        <v>13</v>
      </c>
      <c r="Y20" s="50">
        <v>8</v>
      </c>
      <c r="Z20" s="50">
        <v>14</v>
      </c>
      <c r="AA20" s="525">
        <v>5</v>
      </c>
      <c r="AB20" s="50">
        <v>4</v>
      </c>
      <c r="AC20" s="50">
        <v>5</v>
      </c>
      <c r="AD20" s="50">
        <v>7</v>
      </c>
      <c r="AE20" s="50">
        <v>5</v>
      </c>
      <c r="AF20" s="50">
        <v>6</v>
      </c>
      <c r="AG20" s="50">
        <v>15</v>
      </c>
      <c r="AH20" s="50">
        <v>7</v>
      </c>
      <c r="AI20" s="50">
        <v>10</v>
      </c>
      <c r="AJ20" s="50">
        <v>10</v>
      </c>
      <c r="AK20" s="50">
        <v>9</v>
      </c>
      <c r="AL20" s="50">
        <v>6</v>
      </c>
      <c r="AM20" s="525">
        <v>5</v>
      </c>
      <c r="AN20" s="50">
        <v>5</v>
      </c>
      <c r="AO20" s="50">
        <v>11</v>
      </c>
      <c r="AP20" s="50">
        <v>4</v>
      </c>
      <c r="AQ20" s="50">
        <v>5</v>
      </c>
      <c r="AR20" s="50">
        <v>3</v>
      </c>
      <c r="AS20" s="50">
        <v>3</v>
      </c>
      <c r="AT20" s="50">
        <v>12</v>
      </c>
      <c r="AU20" s="50">
        <v>15</v>
      </c>
      <c r="AV20" s="50">
        <v>15</v>
      </c>
      <c r="AW20" s="591">
        <v>16</v>
      </c>
      <c r="AX20" s="719">
        <f>IF(AX2="Trough",INDEX($H$53:$H$55,MATCH(AX2,$E$53:$E$55,0)),IF(AX2="Shoulder",INDEX($H$53:$H$55,MATCH(AX2,$E$53:$E$55,0)),INDEX($H$53:$H$55,MATCH(AX2,$E$53:$E$55,0))))</f>
        <v>4</v>
      </c>
      <c r="AY20" s="742">
        <f t="shared" ref="AY20" si="89">IF(AY2="Trough",INDEX($I$53:$I$55,MATCH(AY2,$E$53:$E$55,0)),IF(AY2="Shoulder",INDEX($I$53:$I$55,MATCH(AY2,$E$53:$E$55,0)),INDEX($I$53:$I$55,MATCH(AY2,$E$53:$E$55,0))))</f>
        <v>5.6</v>
      </c>
      <c r="AZ20" s="171">
        <f t="shared" ref="AZ20:BK20" si="90">IF(AZ2="Trough",INDEX($J$53:$J$55,MATCH(AZ2,$E$53:$E$55,0)),IF(AZ2="Shoulder",INDEX($J$53:$J$55,MATCH(AZ2,$E$53:$E$55,0)),INDEX($J$53:$J$55,MATCH(AZ2,$E$53:$E$55,0))))</f>
        <v>13.719999999999997</v>
      </c>
      <c r="BA20" s="171">
        <f t="shared" si="90"/>
        <v>19.599999999999998</v>
      </c>
      <c r="BB20" s="171">
        <f t="shared" si="90"/>
        <v>13.719999999999997</v>
      </c>
      <c r="BC20" s="171">
        <f t="shared" si="90"/>
        <v>13.719999999999997</v>
      </c>
      <c r="BD20" s="171">
        <f t="shared" si="90"/>
        <v>19.599999999999998</v>
      </c>
      <c r="BE20" s="171">
        <f t="shared" si="90"/>
        <v>13.719999999999997</v>
      </c>
      <c r="BF20" s="171">
        <f t="shared" si="90"/>
        <v>19.599999999999998</v>
      </c>
      <c r="BG20" s="171">
        <f t="shared" si="90"/>
        <v>19.599999999999998</v>
      </c>
      <c r="BH20" s="171">
        <f t="shared" si="90"/>
        <v>19.599999999999998</v>
      </c>
      <c r="BI20" s="171">
        <f t="shared" si="90"/>
        <v>13.719999999999997</v>
      </c>
      <c r="BJ20" s="171">
        <f t="shared" si="90"/>
        <v>7.839999999999999</v>
      </c>
      <c r="BK20" s="172">
        <f t="shared" si="90"/>
        <v>7.839999999999999</v>
      </c>
      <c r="BL20" s="171">
        <f t="shared" ref="BL20:BW20" si="91">IF(BL2="Trough",INDEX($K$53:$K$55,MATCH(BL2,$E$53:$E$55,0)),IF(BL2="Shoulder",INDEX($K$53:$K$55,MATCH(BL2,$E$53:$E$55,0)),INDEX($K$53:$K$55,MATCH(BL2,$E$53:$E$55,0))))</f>
        <v>19.207999999999995</v>
      </c>
      <c r="BM20" s="171">
        <f t="shared" si="91"/>
        <v>27.439999999999994</v>
      </c>
      <c r="BN20" s="171">
        <f t="shared" si="91"/>
        <v>19.207999999999995</v>
      </c>
      <c r="BO20" s="171">
        <f t="shared" si="91"/>
        <v>19.207999999999995</v>
      </c>
      <c r="BP20" s="171">
        <f t="shared" si="91"/>
        <v>27.439999999999994</v>
      </c>
      <c r="BQ20" s="171">
        <f t="shared" si="91"/>
        <v>19.207999999999995</v>
      </c>
      <c r="BR20" s="171">
        <f t="shared" si="91"/>
        <v>27.439999999999994</v>
      </c>
      <c r="BS20" s="171">
        <f t="shared" si="91"/>
        <v>27.439999999999994</v>
      </c>
      <c r="BT20" s="171">
        <f t="shared" si="91"/>
        <v>27.439999999999994</v>
      </c>
      <c r="BU20" s="171">
        <f t="shared" si="91"/>
        <v>19.207999999999995</v>
      </c>
      <c r="BV20" s="171">
        <f t="shared" si="91"/>
        <v>10.975999999999997</v>
      </c>
      <c r="BW20" s="172">
        <f t="shared" si="91"/>
        <v>10.975999999999997</v>
      </c>
      <c r="BX20" s="171">
        <f t="shared" ref="BX20:CI20" si="92">IF(BX2="Trough",INDEX($L$53:$L$55,MATCH(BX2,$E$53:$E$55,0)),IF(BX2="Shoulder",INDEX($L$53:$L$55,MATCH(BX2,$E$53:$E$55,0)),INDEX($L$53:$L$55,MATCH(BX2,$E$53:$E$55,0))))</f>
        <v>26.891199999999991</v>
      </c>
      <c r="BY20" s="171">
        <f t="shared" si="92"/>
        <v>38.41599999999999</v>
      </c>
      <c r="BZ20" s="171">
        <f t="shared" si="92"/>
        <v>26.891199999999991</v>
      </c>
      <c r="CA20" s="171">
        <f t="shared" si="92"/>
        <v>26.891199999999991</v>
      </c>
      <c r="CB20" s="171">
        <f t="shared" si="92"/>
        <v>38.41599999999999</v>
      </c>
      <c r="CC20" s="171">
        <f t="shared" si="92"/>
        <v>26.891199999999991</v>
      </c>
      <c r="CD20" s="171">
        <f t="shared" si="92"/>
        <v>38.41599999999999</v>
      </c>
      <c r="CE20" s="171">
        <f t="shared" si="92"/>
        <v>38.41599999999999</v>
      </c>
      <c r="CF20" s="171">
        <f t="shared" si="92"/>
        <v>38.41599999999999</v>
      </c>
      <c r="CG20" s="171">
        <f t="shared" si="92"/>
        <v>26.891199999999991</v>
      </c>
      <c r="CH20" s="171">
        <f t="shared" si="92"/>
        <v>15.366399999999995</v>
      </c>
      <c r="CI20" s="172">
        <f t="shared" si="92"/>
        <v>15.366399999999995</v>
      </c>
      <c r="CJ20" s="171">
        <f t="shared" ref="CJ20:CU20" si="93">IF(CJ2="Trough",INDEX($M$53:$M$55,MATCH(CJ2,$E$53:$E$55,0)),IF(CJ2="Shoulder",INDEX($M$53:$M$55,MATCH(CJ2,$E$53:$E$55,0)),INDEX($M$53:$M$55,MATCH(CJ2,$E$53:$E$55,0))))</f>
        <v>37.647679999999987</v>
      </c>
      <c r="CK20" s="171">
        <f t="shared" si="93"/>
        <v>53.782399999999981</v>
      </c>
      <c r="CL20" s="171">
        <f t="shared" si="93"/>
        <v>37.647679999999987</v>
      </c>
      <c r="CM20" s="171">
        <f t="shared" si="93"/>
        <v>37.647679999999987</v>
      </c>
      <c r="CN20" s="171">
        <f t="shared" si="93"/>
        <v>53.782399999999981</v>
      </c>
      <c r="CO20" s="171">
        <f t="shared" si="93"/>
        <v>37.647679999999987</v>
      </c>
      <c r="CP20" s="171">
        <f t="shared" si="93"/>
        <v>53.782399999999981</v>
      </c>
      <c r="CQ20" s="171">
        <f t="shared" si="93"/>
        <v>53.782399999999981</v>
      </c>
      <c r="CR20" s="171">
        <f t="shared" si="93"/>
        <v>53.782399999999981</v>
      </c>
      <c r="CS20" s="171">
        <f t="shared" si="93"/>
        <v>37.647679999999987</v>
      </c>
      <c r="CT20" s="171">
        <f t="shared" si="93"/>
        <v>21.512959999999993</v>
      </c>
      <c r="CU20" s="172">
        <f t="shared" si="93"/>
        <v>21.512959999999993</v>
      </c>
      <c r="CV20" s="171">
        <f t="shared" ref="CV20:DG20" si="94">IF(CV2="Trough",INDEX($N$53:$N$55,MATCH(CV2,$E$53:$E$55,0)),IF(CV2="Shoulder",INDEX($N$53:$N$55,MATCH(CV2,$E$53:$E$55,0)),INDEX($N$53:$N$55,MATCH(CV2,$E$53:$E$55,0))))</f>
        <v>52.70675199999998</v>
      </c>
      <c r="CW20" s="171">
        <f t="shared" si="94"/>
        <v>75.295359999999974</v>
      </c>
      <c r="CX20" s="171">
        <f t="shared" si="94"/>
        <v>52.70675199999998</v>
      </c>
      <c r="CY20" s="171">
        <f t="shared" si="94"/>
        <v>52.70675199999998</v>
      </c>
      <c r="CZ20" s="171">
        <f t="shared" si="94"/>
        <v>75.295359999999974</v>
      </c>
      <c r="DA20" s="171">
        <f t="shared" si="94"/>
        <v>52.70675199999998</v>
      </c>
      <c r="DB20" s="171">
        <f t="shared" si="94"/>
        <v>75.295359999999974</v>
      </c>
      <c r="DC20" s="171">
        <f t="shared" si="94"/>
        <v>75.295359999999974</v>
      </c>
      <c r="DD20" s="171">
        <f t="shared" si="94"/>
        <v>75.295359999999974</v>
      </c>
      <c r="DE20" s="171">
        <f t="shared" si="94"/>
        <v>52.70675199999998</v>
      </c>
      <c r="DF20" s="171">
        <f t="shared" si="94"/>
        <v>30.118143999999987</v>
      </c>
      <c r="DG20" s="172">
        <f t="shared" si="94"/>
        <v>30.118143999999987</v>
      </c>
    </row>
    <row r="21" spans="1:111" x14ac:dyDescent="0.25">
      <c r="A21" s="34"/>
      <c r="B21" s="34"/>
      <c r="C21" s="494" t="s">
        <v>228</v>
      </c>
      <c r="D21" s="15"/>
      <c r="E21" s="50"/>
      <c r="F21" s="50">
        <f>+IF(F17&lt;E17,F17-E17, 0)</f>
        <v>-4</v>
      </c>
      <c r="G21" s="50">
        <f t="shared" ref="G21:P21" si="95">+IF(G17&lt;F17,G17-F17, 0)</f>
        <v>-1</v>
      </c>
      <c r="H21" s="50">
        <f t="shared" si="95"/>
        <v>0</v>
      </c>
      <c r="I21" s="50">
        <f t="shared" si="95"/>
        <v>0</v>
      </c>
      <c r="J21" s="50">
        <f t="shared" si="95"/>
        <v>-2</v>
      </c>
      <c r="K21" s="50">
        <f t="shared" si="95"/>
        <v>-6</v>
      </c>
      <c r="L21" s="50">
        <f t="shared" si="95"/>
        <v>0</v>
      </c>
      <c r="M21" s="50">
        <f t="shared" si="95"/>
        <v>0</v>
      </c>
      <c r="N21" s="50">
        <f t="shared" si="95"/>
        <v>-6</v>
      </c>
      <c r="O21" s="50">
        <f t="shared" si="95"/>
        <v>-4</v>
      </c>
      <c r="P21" s="50">
        <f t="shared" si="95"/>
        <v>0</v>
      </c>
      <c r="Q21" s="50">
        <v>-4</v>
      </c>
      <c r="R21" s="50">
        <v>-2</v>
      </c>
      <c r="S21" s="50">
        <v>-6</v>
      </c>
      <c r="T21" s="50">
        <v>-4</v>
      </c>
      <c r="U21" s="50">
        <v>-7</v>
      </c>
      <c r="V21" s="50">
        <v>-9</v>
      </c>
      <c r="W21" s="50">
        <v>-1</v>
      </c>
      <c r="X21" s="50">
        <v>-3</v>
      </c>
      <c r="Y21" s="50">
        <v>-5</v>
      </c>
      <c r="Z21" s="50">
        <v>-14</v>
      </c>
      <c r="AA21" s="525">
        <v>-18</v>
      </c>
      <c r="AB21" s="50">
        <v>-7</v>
      </c>
      <c r="AC21" s="50">
        <v>-4</v>
      </c>
      <c r="AD21" s="50">
        <v>-2</v>
      </c>
      <c r="AE21" s="50">
        <v>-8</v>
      </c>
      <c r="AF21" s="50">
        <v>-3</v>
      </c>
      <c r="AG21" s="50">
        <v>-11</v>
      </c>
      <c r="AH21" s="50">
        <v>-1</v>
      </c>
      <c r="AI21" s="50">
        <v>-2</v>
      </c>
      <c r="AJ21" s="50">
        <v>-6</v>
      </c>
      <c r="AK21" s="50">
        <v>-3</v>
      </c>
      <c r="AL21" s="50">
        <v>-10</v>
      </c>
      <c r="AM21" s="525">
        <v>-26</v>
      </c>
      <c r="AN21" s="50">
        <v>-11</v>
      </c>
      <c r="AO21" s="50">
        <v>-7</v>
      </c>
      <c r="AP21" s="50">
        <v>-8</v>
      </c>
      <c r="AQ21" s="50">
        <v>-6</v>
      </c>
      <c r="AR21" s="50">
        <v>-6</v>
      </c>
      <c r="AS21" s="50">
        <v>-6</v>
      </c>
      <c r="AT21" s="50">
        <v>-2</v>
      </c>
      <c r="AU21" s="50">
        <v>-2</v>
      </c>
      <c r="AV21" s="50">
        <v>-6</v>
      </c>
      <c r="AW21" s="591">
        <v>-6</v>
      </c>
      <c r="AX21" s="719">
        <f>+ROUNDUP(AW17*AW40, 0)</f>
        <v>-9</v>
      </c>
      <c r="AY21" s="742">
        <f t="shared" ref="AY21:BJ21" si="96">+ROUNDUP(AX17*AX40, 0)</f>
        <v>-10</v>
      </c>
      <c r="AZ21" s="171">
        <f t="shared" si="96"/>
        <v>-14</v>
      </c>
      <c r="BA21" s="171">
        <f t="shared" si="96"/>
        <v>-14</v>
      </c>
      <c r="BB21" s="171">
        <f t="shared" si="96"/>
        <v>-17</v>
      </c>
      <c r="BC21" s="171">
        <f t="shared" si="96"/>
        <v>-19</v>
      </c>
      <c r="BD21" s="171">
        <f t="shared" si="96"/>
        <v>-19</v>
      </c>
      <c r="BE21" s="171">
        <f t="shared" si="96"/>
        <v>-22</v>
      </c>
      <c r="BF21" s="171">
        <f t="shared" si="96"/>
        <v>-20</v>
      </c>
      <c r="BG21" s="171">
        <f t="shared" si="96"/>
        <v>-12</v>
      </c>
      <c r="BH21" s="171">
        <f t="shared" si="96"/>
        <v>-10</v>
      </c>
      <c r="BI21" s="171">
        <f t="shared" si="96"/>
        <v>-10</v>
      </c>
      <c r="BJ21" s="171">
        <f t="shared" si="96"/>
        <v>-9</v>
      </c>
      <c r="BK21" s="172">
        <f t="shared" ref="BK21:CP21" si="97">+ROUNDUP(BJ17*BJ40, 0)</f>
        <v>-10</v>
      </c>
      <c r="BL21" s="171">
        <f t="shared" si="97"/>
        <v>-16</v>
      </c>
      <c r="BM21" s="171">
        <f t="shared" si="97"/>
        <v>-16</v>
      </c>
      <c r="BN21" s="171">
        <f t="shared" si="97"/>
        <v>-21</v>
      </c>
      <c r="BO21" s="171">
        <f t="shared" si="97"/>
        <v>-24</v>
      </c>
      <c r="BP21" s="171">
        <f t="shared" si="97"/>
        <v>-24</v>
      </c>
      <c r="BQ21" s="171">
        <f t="shared" si="97"/>
        <v>-30</v>
      </c>
      <c r="BR21" s="171">
        <f t="shared" si="97"/>
        <v>-28</v>
      </c>
      <c r="BS21" s="171">
        <f t="shared" si="97"/>
        <v>-17</v>
      </c>
      <c r="BT21" s="171">
        <f t="shared" si="97"/>
        <v>-14</v>
      </c>
      <c r="BU21" s="171">
        <f t="shared" si="97"/>
        <v>-14</v>
      </c>
      <c r="BV21" s="171">
        <f t="shared" si="97"/>
        <v>-12</v>
      </c>
      <c r="BW21" s="172">
        <f t="shared" si="97"/>
        <v>-14</v>
      </c>
      <c r="BX21" s="171">
        <f t="shared" si="97"/>
        <v>-22</v>
      </c>
      <c r="BY21" s="171">
        <f t="shared" si="97"/>
        <v>-23</v>
      </c>
      <c r="BZ21" s="171">
        <f t="shared" si="97"/>
        <v>-29</v>
      </c>
      <c r="CA21" s="171">
        <f t="shared" si="97"/>
        <v>-33</v>
      </c>
      <c r="CB21" s="171">
        <f t="shared" si="97"/>
        <v>-34</v>
      </c>
      <c r="CC21" s="171">
        <f t="shared" si="97"/>
        <v>-43</v>
      </c>
      <c r="CD21" s="171">
        <f t="shared" si="97"/>
        <v>-38</v>
      </c>
      <c r="CE21" s="171">
        <f t="shared" si="97"/>
        <v>-24</v>
      </c>
      <c r="CF21" s="171">
        <f t="shared" si="97"/>
        <v>-20</v>
      </c>
      <c r="CG21" s="171">
        <f t="shared" si="97"/>
        <v>-20</v>
      </c>
      <c r="CH21" s="171">
        <f t="shared" si="97"/>
        <v>-17</v>
      </c>
      <c r="CI21" s="172">
        <f t="shared" si="97"/>
        <v>-19</v>
      </c>
      <c r="CJ21" s="171">
        <f t="shared" si="97"/>
        <v>-30</v>
      </c>
      <c r="CK21" s="171">
        <f t="shared" si="97"/>
        <v>-32</v>
      </c>
      <c r="CL21" s="171">
        <f t="shared" si="97"/>
        <v>-41</v>
      </c>
      <c r="CM21" s="171">
        <f t="shared" si="97"/>
        <v>-46</v>
      </c>
      <c r="CN21" s="171">
        <f t="shared" si="97"/>
        <v>-48</v>
      </c>
      <c r="CO21" s="171">
        <f t="shared" si="97"/>
        <v>-59</v>
      </c>
      <c r="CP21" s="171">
        <f t="shared" si="97"/>
        <v>-54</v>
      </c>
      <c r="CQ21" s="171">
        <f t="shared" ref="CQ21:DG21" si="98">+ROUNDUP(CP17*CP40, 0)</f>
        <v>-33</v>
      </c>
      <c r="CR21" s="171">
        <f t="shared" si="98"/>
        <v>-27</v>
      </c>
      <c r="CS21" s="171">
        <f t="shared" si="98"/>
        <v>-27</v>
      </c>
      <c r="CT21" s="171">
        <f t="shared" si="98"/>
        <v>-23</v>
      </c>
      <c r="CU21" s="172">
        <f t="shared" si="98"/>
        <v>-27</v>
      </c>
      <c r="CV21" s="171">
        <f t="shared" si="98"/>
        <v>-43</v>
      </c>
      <c r="CW21" s="171">
        <f t="shared" si="98"/>
        <v>-45</v>
      </c>
      <c r="CX21" s="171">
        <f t="shared" si="98"/>
        <v>-58</v>
      </c>
      <c r="CY21" s="171">
        <f t="shared" si="98"/>
        <v>-65</v>
      </c>
      <c r="CZ21" s="171">
        <f t="shared" si="98"/>
        <v>-67</v>
      </c>
      <c r="DA21" s="171">
        <f t="shared" si="98"/>
        <v>-83</v>
      </c>
      <c r="DB21" s="171">
        <f t="shared" si="98"/>
        <v>-75</v>
      </c>
      <c r="DC21" s="171">
        <f t="shared" si="98"/>
        <v>-46</v>
      </c>
      <c r="DD21" s="171">
        <f t="shared" si="98"/>
        <v>-38</v>
      </c>
      <c r="DE21" s="171">
        <f t="shared" si="98"/>
        <v>-38</v>
      </c>
      <c r="DF21" s="171">
        <f t="shared" si="98"/>
        <v>-33</v>
      </c>
      <c r="DG21" s="172">
        <f t="shared" si="98"/>
        <v>-38</v>
      </c>
    </row>
    <row r="22" spans="1:111" x14ac:dyDescent="0.25">
      <c r="A22" s="34"/>
      <c r="B22" s="34"/>
      <c r="C22" s="495" t="s">
        <v>327</v>
      </c>
      <c r="D22" s="15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9">
        <v>21</v>
      </c>
      <c r="Q22" s="49">
        <v>22</v>
      </c>
      <c r="R22" s="49">
        <v>20</v>
      </c>
      <c r="S22" s="49">
        <v>16</v>
      </c>
      <c r="T22" s="49">
        <v>25</v>
      </c>
      <c r="U22" s="49">
        <v>22</v>
      </c>
      <c r="V22" s="49">
        <v>23</v>
      </c>
      <c r="W22" s="49">
        <v>70</v>
      </c>
      <c r="X22" s="49">
        <v>110</v>
      </c>
      <c r="Y22" s="49">
        <v>114</v>
      </c>
      <c r="Z22" s="49">
        <v>73</v>
      </c>
      <c r="AA22" s="526">
        <v>31</v>
      </c>
      <c r="AB22" s="49">
        <v>34</v>
      </c>
      <c r="AC22" s="49">
        <v>56</v>
      </c>
      <c r="AD22" s="49">
        <v>36</v>
      </c>
      <c r="AE22" s="49">
        <v>49</v>
      </c>
      <c r="AF22" s="49">
        <v>76</v>
      </c>
      <c r="AG22" s="49">
        <v>45</v>
      </c>
      <c r="AH22" s="49">
        <v>118</v>
      </c>
      <c r="AI22" s="49">
        <v>169</v>
      </c>
      <c r="AJ22" s="49">
        <v>125</v>
      </c>
      <c r="AK22" s="49">
        <v>173</v>
      </c>
      <c r="AL22" s="49">
        <v>90</v>
      </c>
      <c r="AM22" s="526">
        <v>50</v>
      </c>
      <c r="AN22" s="49">
        <v>56</v>
      </c>
      <c r="AO22" s="49">
        <v>66</v>
      </c>
      <c r="AP22" s="49">
        <v>73</v>
      </c>
      <c r="AQ22" s="49">
        <v>37</v>
      </c>
      <c r="AR22" s="49">
        <v>62</v>
      </c>
      <c r="AS22" s="49">
        <v>51</v>
      </c>
      <c r="AT22" s="49">
        <v>120</v>
      </c>
      <c r="AU22" s="49">
        <v>163</v>
      </c>
      <c r="AV22" s="49">
        <v>240</v>
      </c>
      <c r="AW22" s="590">
        <v>275</v>
      </c>
      <c r="AX22" s="144">
        <f>+AVERAGE(AU22:AW22)</f>
        <v>226</v>
      </c>
      <c r="AY22" s="740">
        <f t="shared" ref="AY22:CN22" si="99">+(AX22/AX26)*AY26</f>
        <v>247.6229966782314</v>
      </c>
      <c r="AZ22" s="145">
        <f t="shared" si="99"/>
        <v>304.52173771752115</v>
      </c>
      <c r="BA22" s="145">
        <f t="shared" si="99"/>
        <v>323.57052985151057</v>
      </c>
      <c r="BB22" s="145">
        <f t="shared" si="99"/>
        <v>373.00336057347675</v>
      </c>
      <c r="BC22" s="145">
        <f t="shared" si="99"/>
        <v>160.89475680224407</v>
      </c>
      <c r="BD22" s="145">
        <f t="shared" si="99"/>
        <v>283.27802322580652</v>
      </c>
      <c r="BE22" s="145">
        <f t="shared" si="99"/>
        <v>175.6918750967742</v>
      </c>
      <c r="BF22" s="145">
        <f t="shared" si="99"/>
        <v>275.42235117255501</v>
      </c>
      <c r="BG22" s="145">
        <f t="shared" si="99"/>
        <v>295.25660645161287</v>
      </c>
      <c r="BH22" s="145">
        <f t="shared" si="99"/>
        <v>411.62119690624399</v>
      </c>
      <c r="BI22" s="145">
        <f t="shared" si="99"/>
        <v>421.26651053288947</v>
      </c>
      <c r="BJ22" s="145">
        <f t="shared" si="99"/>
        <v>280.8475268817204</v>
      </c>
      <c r="BK22" s="146">
        <f t="shared" si="99"/>
        <v>300.77514189775508</v>
      </c>
      <c r="BL22" s="145">
        <f t="shared" si="99"/>
        <v>340.21509320866437</v>
      </c>
      <c r="BM22" s="145">
        <f t="shared" si="99"/>
        <v>403.83576872503829</v>
      </c>
      <c r="BN22" s="145">
        <f t="shared" si="99"/>
        <v>501.74080480628078</v>
      </c>
      <c r="BO22" s="145">
        <f t="shared" si="99"/>
        <v>212.93988931899634</v>
      </c>
      <c r="BP22" s="145">
        <f t="shared" si="99"/>
        <v>388.54858993548379</v>
      </c>
      <c r="BQ22" s="145">
        <f t="shared" si="99"/>
        <v>243.10817472688157</v>
      </c>
      <c r="BR22" s="145">
        <f t="shared" si="99"/>
        <v>364.50017641781864</v>
      </c>
      <c r="BS22" s="145">
        <f t="shared" si="99"/>
        <v>427.53181665130552</v>
      </c>
      <c r="BT22" s="145">
        <f t="shared" si="99"/>
        <v>570.04478044142593</v>
      </c>
      <c r="BU22" s="145">
        <f t="shared" si="99"/>
        <v>557.22070256850373</v>
      </c>
      <c r="BV22" s="145">
        <f t="shared" si="99"/>
        <v>410.30583512544786</v>
      </c>
      <c r="BW22" s="146">
        <f t="shared" si="99"/>
        <v>419.39016028673814</v>
      </c>
      <c r="BX22" s="145">
        <f t="shared" si="99"/>
        <v>476.50397755462041</v>
      </c>
      <c r="BY22" s="145">
        <f t="shared" si="99"/>
        <v>590.61474862795683</v>
      </c>
      <c r="BZ22" s="145">
        <f t="shared" si="99"/>
        <v>701.39096158115683</v>
      </c>
      <c r="CA22" s="145">
        <f t="shared" si="99"/>
        <v>272.19832479975048</v>
      </c>
      <c r="CB22" s="145">
        <f t="shared" si="99"/>
        <v>596.00031015913953</v>
      </c>
      <c r="CC22" s="145">
        <f t="shared" si="99"/>
        <v>336.73824410150513</v>
      </c>
      <c r="CD22" s="145">
        <f t="shared" si="99"/>
        <v>488.40887411612863</v>
      </c>
      <c r="CE22" s="145">
        <f t="shared" si="99"/>
        <v>625.99118494213997</v>
      </c>
      <c r="CF22" s="145">
        <f t="shared" si="99"/>
        <v>759.55888613921866</v>
      </c>
      <c r="CG22" s="145">
        <f t="shared" si="99"/>
        <v>812.49270680277868</v>
      </c>
      <c r="CH22" s="145">
        <f t="shared" si="99"/>
        <v>570.15117992831517</v>
      </c>
      <c r="CI22" s="146">
        <f t="shared" si="99"/>
        <v>534.54238724598292</v>
      </c>
      <c r="CJ22" s="145">
        <f t="shared" si="99"/>
        <v>733.083256384229</v>
      </c>
      <c r="CK22" s="145">
        <f t="shared" si="99"/>
        <v>790.77757656282574</v>
      </c>
      <c r="CL22" s="145">
        <f t="shared" si="99"/>
        <v>940.75500289441788</v>
      </c>
      <c r="CM22" s="145">
        <f t="shared" si="99"/>
        <v>401.37465367816691</v>
      </c>
      <c r="CN22" s="145">
        <f t="shared" si="99"/>
        <v>834.6262398141929</v>
      </c>
      <c r="CO22" s="145">
        <f t="shared" ref="CO22:DG22" si="100">+(CN22/CN26)*CO26</f>
        <v>454.45965639019289</v>
      </c>
      <c r="CP22" s="145">
        <f t="shared" si="100"/>
        <v>718.83770174000915</v>
      </c>
      <c r="CQ22" s="145">
        <f t="shared" si="100"/>
        <v>882.62951739313746</v>
      </c>
      <c r="CR22" s="145">
        <f t="shared" si="100"/>
        <v>1024.7705472989987</v>
      </c>
      <c r="CS22" s="145">
        <f t="shared" si="100"/>
        <v>1209.117406050178</v>
      </c>
      <c r="CT22" s="145">
        <f t="shared" si="100"/>
        <v>815.31960888888796</v>
      </c>
      <c r="CU22" s="146">
        <f t="shared" si="100"/>
        <v>763.14793777932528</v>
      </c>
      <c r="CV22" s="145">
        <f t="shared" si="100"/>
        <v>1039.8686745890548</v>
      </c>
      <c r="CW22" s="145">
        <f t="shared" si="100"/>
        <v>1118.6079648940488</v>
      </c>
      <c r="CX22" s="145">
        <f t="shared" si="100"/>
        <v>1266.9815178139049</v>
      </c>
      <c r="CY22" s="145">
        <f t="shared" si="100"/>
        <v>591.76101794568081</v>
      </c>
      <c r="CZ22" s="145">
        <f t="shared" si="100"/>
        <v>1175.4767090732025</v>
      </c>
      <c r="DA22" s="145">
        <f t="shared" si="100"/>
        <v>608.82034529445048</v>
      </c>
      <c r="DB22" s="145">
        <f t="shared" si="100"/>
        <v>1060.6867531835228</v>
      </c>
      <c r="DC22" s="145">
        <f t="shared" si="100"/>
        <v>1191.3710265419745</v>
      </c>
      <c r="DD22" s="145">
        <f t="shared" si="100"/>
        <v>1515.3256226959118</v>
      </c>
      <c r="DE22" s="145">
        <f t="shared" si="100"/>
        <v>1700.8910736112107</v>
      </c>
      <c r="DF22" s="145">
        <f t="shared" si="100"/>
        <v>1091.4346601290308</v>
      </c>
      <c r="DG22" s="146">
        <f t="shared" si="100"/>
        <v>1120.3645361094627</v>
      </c>
    </row>
    <row r="23" spans="1:111" x14ac:dyDescent="0.25">
      <c r="A23" s="34"/>
      <c r="B23" s="111" t="s">
        <v>176</v>
      </c>
      <c r="C23" s="49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527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527"/>
      <c r="AN23" s="15"/>
      <c r="AO23" s="15"/>
      <c r="AP23" s="15"/>
      <c r="AQ23" s="15"/>
      <c r="AR23" s="15"/>
      <c r="AS23" s="15"/>
      <c r="AT23" s="15"/>
      <c r="AU23" s="15"/>
      <c r="AV23" s="15"/>
      <c r="AW23" s="592"/>
      <c r="AX23" s="16"/>
      <c r="AY23" s="17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331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331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331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331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7"/>
    </row>
    <row r="24" spans="1:111" x14ac:dyDescent="0.25">
      <c r="A24" s="35"/>
      <c r="B24" s="112">
        <v>125</v>
      </c>
      <c r="C24" s="496" t="s">
        <v>61</v>
      </c>
      <c r="D24" s="18"/>
      <c r="E24" s="18">
        <f>NETWORKDAYS(D4+1,E4,Holidays!$B$3:$B$62)</f>
        <v>19</v>
      </c>
      <c r="F24" s="18">
        <f>NETWORKDAYS(E4+1,F4,Holidays!$B$3:$B$62)</f>
        <v>23</v>
      </c>
      <c r="G24" s="18">
        <f>NETWORKDAYS(F4+1,G4,Holidays!$B$3:$B$62)</f>
        <v>21</v>
      </c>
      <c r="H24" s="18">
        <f>NETWORKDAYS(G4+1,H4,Holidays!$B$3:$B$62)</f>
        <v>21</v>
      </c>
      <c r="I24" s="18">
        <f>NETWORKDAYS(H4+1,I4,Holidays!$B$3:$B$62)</f>
        <v>22</v>
      </c>
      <c r="J24" s="18">
        <f>NETWORKDAYS(I4+1,J4,Holidays!$B$3:$B$62)</f>
        <v>20</v>
      </c>
      <c r="K24" s="18">
        <f>NETWORKDAYS(J4+1,K4,Holidays!$B$3:$B$62)</f>
        <v>23</v>
      </c>
      <c r="L24" s="18">
        <f>NETWORKDAYS(K4+1,L4,Holidays!$B$3:$B$62)</f>
        <v>21</v>
      </c>
      <c r="M24" s="18">
        <f>NETWORKDAYS(L4+1,M4,Holidays!$B$3:$B$62)</f>
        <v>21</v>
      </c>
      <c r="N24" s="18">
        <f>NETWORKDAYS(M4+1,N4,Holidays!$B$3:$B$62)</f>
        <v>21</v>
      </c>
      <c r="O24" s="18">
        <f>NETWORKDAYS(N4+1,O4,Holidays!$B$3:$B$62)</f>
        <v>21</v>
      </c>
      <c r="P24" s="18">
        <f>NETWORKDAYS(O4+1,P4,Holidays!$B$3:$B$62)</f>
        <v>21</v>
      </c>
      <c r="Q24" s="18">
        <f>NETWORKDAYS(P4+1,Q4,Holidays!$B$3:$B$62)</f>
        <v>19</v>
      </c>
      <c r="R24" s="18">
        <f>NETWORKDAYS(Q4+1,R4,Holidays!$B$3:$B$62)</f>
        <v>23</v>
      </c>
      <c r="S24" s="18">
        <f>NETWORKDAYS(R4+1,S4,Holidays!$B$3:$B$62)</f>
        <v>20</v>
      </c>
      <c r="T24" s="18">
        <f>NETWORKDAYS(S4+1,T4,Holidays!$B$3:$B$62)</f>
        <v>22</v>
      </c>
      <c r="U24" s="18">
        <f>NETWORKDAYS(T4+1,U4,Holidays!$B$3:$B$62)</f>
        <v>22</v>
      </c>
      <c r="V24" s="18">
        <f>NETWORKDAYS(U4+1,V4,Holidays!$B$3:$B$62)</f>
        <v>20</v>
      </c>
      <c r="W24" s="18">
        <f>NETWORKDAYS(V4+1,W4,Holidays!$B$3:$B$62)</f>
        <v>23</v>
      </c>
      <c r="X24" s="18">
        <f>NETWORKDAYS(W4+1,X4,Holidays!$B$3:$B$62)</f>
        <v>20</v>
      </c>
      <c r="Y24" s="18">
        <f>NETWORKDAYS(X4+1,Y4,Holidays!$B$3:$B$62)</f>
        <v>22</v>
      </c>
      <c r="Z24" s="18">
        <f>NETWORKDAYS(Y4+1,Z4,Holidays!$B$3:$B$62)</f>
        <v>20</v>
      </c>
      <c r="AA24" s="528">
        <f>NETWORKDAYS(Z4+1,AA4,Holidays!$B$3:$B$62)</f>
        <v>19</v>
      </c>
      <c r="AB24" s="18">
        <f>NETWORKDAYS(AA4+1,AB4,Holidays!$B$3:$B$62)</f>
        <v>22</v>
      </c>
      <c r="AC24" s="18">
        <f>NETWORKDAYS(AB4+1,AC4,Holidays!$B$3:$B$62)</f>
        <v>21</v>
      </c>
      <c r="AD24" s="18">
        <f>NETWORKDAYS(AC4+1,AD4,Holidays!$B$3:$B$62)</f>
        <v>21</v>
      </c>
      <c r="AE24" s="18">
        <f>NETWORKDAYS(AD4+1,AE4,Holidays!$B$3:$B$62)</f>
        <v>22</v>
      </c>
      <c r="AF24" s="18">
        <f>NETWORKDAYS(AE4+1,AF4,Holidays!$B$3:$B$62)</f>
        <v>23</v>
      </c>
      <c r="AG24" s="18">
        <f>NETWORKDAYS(AF4+1,AG4,Holidays!$B$3:$B$62)</f>
        <v>20</v>
      </c>
      <c r="AH24" s="18">
        <f>NETWORKDAYS(AG4+1,AH4,Holidays!$B$3:$B$62)</f>
        <v>22</v>
      </c>
      <c r="AI24" s="18">
        <f>NETWORKDAYS(AH4+1,AI4,Holidays!$B$3:$B$62)</f>
        <v>22</v>
      </c>
      <c r="AJ24" s="18">
        <f>NETWORKDAYS(AI4+1,AJ4,Holidays!$B$3:$B$62)</f>
        <v>21</v>
      </c>
      <c r="AK24" s="18">
        <f>NETWORKDAYS(AJ4+1,AK4,Holidays!$B$3:$B$62)</f>
        <v>23</v>
      </c>
      <c r="AL24" s="18">
        <f>NETWORKDAYS(AK4+1,AL4,Holidays!$B$3:$B$62)</f>
        <v>19</v>
      </c>
      <c r="AM24" s="528">
        <f>NETWORKDAYS(AL4+1,AM4,Holidays!$B$3:$B$62)</f>
        <v>19</v>
      </c>
      <c r="AN24" s="18">
        <f>NETWORKDAYS(AM4+1,AN4,Holidays!$B$3:$B$62)</f>
        <v>23</v>
      </c>
      <c r="AO24" s="18">
        <f>NETWORKDAYS(AN4+1,AO4,Holidays!$B$3:$B$62)</f>
        <v>20</v>
      </c>
      <c r="AP24" s="18">
        <f>NETWORKDAYS(AO4+1,AP4,Holidays!$B$3:$B$62)</f>
        <v>21</v>
      </c>
      <c r="AQ24" s="18">
        <f>NETWORKDAYS(AP4+1,AQ4,Holidays!$B$3:$B$62)</f>
        <v>22</v>
      </c>
      <c r="AR24" s="18">
        <f>NETWORKDAYS(AQ4+1,AR4,Holidays!$B$3:$B$62)</f>
        <v>22</v>
      </c>
      <c r="AS24" s="18">
        <f>NETWORKDAYS(AR4+1,AS4,Holidays!$B$3:$B$62)</f>
        <v>21</v>
      </c>
      <c r="AT24" s="18">
        <f>NETWORKDAYS(AS4+1,AT4,Holidays!$B$3:$B$62)</f>
        <v>22</v>
      </c>
      <c r="AU24" s="18">
        <f>NETWORKDAYS(AT4+1,AU4,Holidays!$B$3:$B$62)</f>
        <v>21</v>
      </c>
      <c r="AV24" s="18">
        <f>NETWORKDAYS(AU4+1,AV4,Holidays!$B$3:$B$62)</f>
        <v>22</v>
      </c>
      <c r="AW24" s="593">
        <f>NETWORKDAYS(AV4+1,AW4,Holidays!$B$3:$B$62)</f>
        <v>23</v>
      </c>
      <c r="AX24" s="19">
        <f>NETWORKDAYS(AW4+1,AX4,Holidays!$B$3:$B$62)</f>
        <v>18</v>
      </c>
      <c r="AY24" s="20">
        <f>NETWORKDAYS(AX4+1,AY4,Holidays!$B$3:$B$62)</f>
        <v>21</v>
      </c>
      <c r="AZ24" s="19">
        <f>NETWORKDAYS(AY4+1,AZ4,Holidays!$B$3:$B$62)</f>
        <v>22</v>
      </c>
      <c r="BA24" s="19">
        <f>NETWORKDAYS(AZ4+1,BA4,Holidays!$B$3:$B$62)</f>
        <v>20</v>
      </c>
      <c r="BB24" s="19">
        <f>NETWORKDAYS(BA4+1,BB4,Holidays!$B$3:$B$62)</f>
        <v>22</v>
      </c>
      <c r="BC24" s="19">
        <f>NETWORKDAYS(BB4+1,BC4,Holidays!$B$3:$B$62)</f>
        <v>22</v>
      </c>
      <c r="BD24" s="19">
        <f>NETWORKDAYS(BC4+1,BD4,Holidays!$B$3:$B$62)</f>
        <v>21</v>
      </c>
      <c r="BE24" s="19">
        <f>NETWORKDAYS(BD4+1,BE4,Holidays!$B$3:$B$62)</f>
        <v>22</v>
      </c>
      <c r="BF24" s="19">
        <f>NETWORKDAYS(BE4+1,BF4,Holidays!$B$3:$B$62)</f>
        <v>23</v>
      </c>
      <c r="BG24" s="19">
        <f>NETWORKDAYS(BF4+1,BG4,Holidays!$B$3:$B$62)</f>
        <v>21</v>
      </c>
      <c r="BH24" s="19">
        <f>NETWORKDAYS(BG4+1,BH4,Holidays!$B$3:$B$62)</f>
        <v>22</v>
      </c>
      <c r="BI24" s="19">
        <f>NETWORKDAYS(BH4+1,BI4,Holidays!$B$3:$B$62)</f>
        <v>22</v>
      </c>
      <c r="BJ24" s="19">
        <f>NETWORKDAYS(BI4+1,BJ4,Holidays!$B$3:$B$62)</f>
        <v>21</v>
      </c>
      <c r="BK24" s="332">
        <f>NETWORKDAYS(BJ4+1,BK4,Holidays!$B$3:$B$62)</f>
        <v>23</v>
      </c>
      <c r="BL24" s="19">
        <f>NETWORKDAYS(BK4+1,BL4,Holidays!$B$3:$B$62)</f>
        <v>21</v>
      </c>
      <c r="BM24" s="19">
        <f>NETWORKDAYS(BL4+1,BM4,Holidays!$B$3:$B$62)</f>
        <v>20</v>
      </c>
      <c r="BN24" s="19">
        <f>NETWORKDAYS(BM4+1,BN4,Holidays!$B$3:$B$62)</f>
        <v>23</v>
      </c>
      <c r="BO24" s="19">
        <f>NETWORKDAYS(BN4+1,BO4,Holidays!$B$3:$B$62)</f>
        <v>22</v>
      </c>
      <c r="BP24" s="19">
        <f>NETWORKDAYS(BO4+1,BP4,Holidays!$B$3:$B$62)</f>
        <v>21</v>
      </c>
      <c r="BQ24" s="19">
        <f>NETWORKDAYS(BP4+1,BQ4,Holidays!$B$3:$B$62)</f>
        <v>22</v>
      </c>
      <c r="BR24" s="19">
        <f>NETWORKDAYS(BQ4+1,BR4,Holidays!$B$3:$B$62)</f>
        <v>22</v>
      </c>
      <c r="BS24" s="19">
        <f>NETWORKDAYS(BR4+1,BS4,Holidays!$B$3:$B$62)</f>
        <v>22</v>
      </c>
      <c r="BT24" s="19">
        <f>NETWORKDAYS(BS4+1,BT4,Holidays!$B$3:$B$62)</f>
        <v>22</v>
      </c>
      <c r="BU24" s="19">
        <f>NETWORKDAYS(BT4+1,BU4,Holidays!$B$3:$B$62)</f>
        <v>21</v>
      </c>
      <c r="BV24" s="19">
        <f>NETWORKDAYS(BU4+1,BV4,Holidays!$B$3:$B$62)</f>
        <v>22</v>
      </c>
      <c r="BW24" s="332">
        <f>NETWORKDAYS(BV4+1,BW4,Holidays!$B$3:$B$62)</f>
        <v>23</v>
      </c>
      <c r="BX24" s="19">
        <f>NETWORKDAYS(BW4+1,BX4,Holidays!$B$3:$B$62)</f>
        <v>21</v>
      </c>
      <c r="BY24" s="19">
        <f>NETWORKDAYS(BX4+1,BY4,Holidays!$B$3:$B$62)</f>
        <v>21</v>
      </c>
      <c r="BZ24" s="19">
        <f>NETWORKDAYS(BY4+1,BZ4,Holidays!$B$3:$B$62)</f>
        <v>23</v>
      </c>
      <c r="CA24" s="19">
        <f>NETWORKDAYS(BZ4+1,CA4,Holidays!$B$3:$B$62)</f>
        <v>20</v>
      </c>
      <c r="CB24" s="19">
        <f>NETWORKDAYS(CA4+1,CB4,Holidays!$B$3:$B$62)</f>
        <v>23</v>
      </c>
      <c r="CC24" s="19">
        <f>NETWORKDAYS(CB4+1,CC4,Holidays!$B$3:$B$62)</f>
        <v>22</v>
      </c>
      <c r="CD24" s="19">
        <f>NETWORKDAYS(CC4+1,CD4,Holidays!$B$3:$B$62)</f>
        <v>21</v>
      </c>
      <c r="CE24" s="19">
        <f>NETWORKDAYS(CD4+1,CE4,Holidays!$B$3:$B$62)</f>
        <v>23</v>
      </c>
      <c r="CF24" s="19">
        <f>NETWORKDAYS(CE4+1,CF4,Holidays!$B$3:$B$62)</f>
        <v>21</v>
      </c>
      <c r="CG24" s="19">
        <f>NETWORKDAYS(CF4+1,CG4,Holidays!$B$3:$B$62)</f>
        <v>22</v>
      </c>
      <c r="CH24" s="19">
        <f>NETWORKDAYS(CG4+1,CH4,Holidays!$B$3:$B$62)</f>
        <v>22</v>
      </c>
      <c r="CI24" s="332">
        <f>NETWORKDAYS(CH4+1,CI4,Holidays!$B$3:$B$62)</f>
        <v>21</v>
      </c>
      <c r="CJ24" s="19">
        <f>NETWORKDAYS(CI4+1,CJ4,Holidays!$B$3:$B$62)</f>
        <v>23</v>
      </c>
      <c r="CK24" s="19">
        <f>NETWORKDAYS(CJ4+1,CK4,Holidays!$B$3:$B$62)</f>
        <v>20</v>
      </c>
      <c r="CL24" s="19">
        <f>NETWORKDAYS(CK4+1,CL4,Holidays!$B$3:$B$62)</f>
        <v>22</v>
      </c>
      <c r="CM24" s="19">
        <f>NETWORKDAYS(CL4+1,CM4,Holidays!$B$3:$B$62)</f>
        <v>21</v>
      </c>
      <c r="CN24" s="19">
        <f>NETWORKDAYS(CM4+1,CN4,Holidays!$B$3:$B$62)</f>
        <v>23</v>
      </c>
      <c r="CO24" s="19">
        <f>NETWORKDAYS(CN4+1,CO4,Holidays!$B$3:$B$62)</f>
        <v>21</v>
      </c>
      <c r="CP24" s="19">
        <f>NETWORKDAYS(CO4+1,CP4,Holidays!$B$3:$B$62)</f>
        <v>22</v>
      </c>
      <c r="CQ24" s="19">
        <f>NETWORKDAYS(CP4+1,CQ4,Holidays!$B$3:$B$62)</f>
        <v>23</v>
      </c>
      <c r="CR24" s="19">
        <f>NETWORKDAYS(CQ4+1,CR4,Holidays!$B$3:$B$62)</f>
        <v>20</v>
      </c>
      <c r="CS24" s="19">
        <f>NETWORKDAYS(CR4+1,CS4,Holidays!$B$3:$B$62)</f>
        <v>23</v>
      </c>
      <c r="CT24" s="19">
        <f>NETWORKDAYS(CS4+1,CT4,Holidays!$B$3:$B$62)</f>
        <v>22</v>
      </c>
      <c r="CU24" s="332">
        <f>NETWORKDAYS(CT4+1,CU4,Holidays!$B$3:$B$62)</f>
        <v>21</v>
      </c>
      <c r="CV24" s="19">
        <f>NETWORKDAYS(CU4+1,CV4,Holidays!$B$3:$B$62)</f>
        <v>23</v>
      </c>
      <c r="CW24" s="19">
        <f>NETWORKDAYS(CV4+1,CW4,Holidays!$B$3:$B$62)</f>
        <v>20</v>
      </c>
      <c r="CX24" s="19">
        <f>NETWORKDAYS(CW4+1,CX4,Holidays!$B$3:$B$62)</f>
        <v>21</v>
      </c>
      <c r="CY24" s="19">
        <f>NETWORKDAYS(CX4+1,CY4,Holidays!$B$3:$B$62)</f>
        <v>22</v>
      </c>
      <c r="CZ24" s="19">
        <f>NETWORKDAYS(CY4+1,CZ4,Holidays!$B$3:$B$62)</f>
        <v>23</v>
      </c>
      <c r="DA24" s="19">
        <f>NETWORKDAYS(CZ4+1,DA4,Holidays!$B$3:$B$62)</f>
        <v>20</v>
      </c>
      <c r="DB24" s="19">
        <f>NETWORKDAYS(DA4+1,DB4,Holidays!$B$3:$B$62)</f>
        <v>23</v>
      </c>
      <c r="DC24" s="19">
        <f>NETWORKDAYS(DB4+1,DC4,Holidays!$B$3:$B$62)</f>
        <v>22</v>
      </c>
      <c r="DD24" s="19">
        <f>NETWORKDAYS(DC4+1,DD4,Holidays!$B$3:$B$62)</f>
        <v>21</v>
      </c>
      <c r="DE24" s="19">
        <f>NETWORKDAYS(DD4+1,DE4,Holidays!$B$3:$B$62)</f>
        <v>23</v>
      </c>
      <c r="DF24" s="19">
        <f>NETWORKDAYS(DE4+1,DF4,Holidays!$B$3:$B$62)</f>
        <v>21</v>
      </c>
      <c r="DG24" s="20">
        <f>NETWORKDAYS(DF4+1,DG4,Holidays!$B$3:$B$62)</f>
        <v>22</v>
      </c>
    </row>
    <row r="25" spans="1:111" ht="18.75" x14ac:dyDescent="0.25">
      <c r="A25" s="36"/>
      <c r="B25" s="36"/>
      <c r="C25" s="496" t="s">
        <v>238</v>
      </c>
      <c r="D25" s="21"/>
      <c r="E25" s="21">
        <f t="shared" ref="E25:W25" si="101">+E26/E24/E17</f>
        <v>4.3859649122807015E-3</v>
      </c>
      <c r="F25" s="21">
        <f t="shared" si="101"/>
        <v>5.434782608695652E-3</v>
      </c>
      <c r="G25" s="21">
        <f t="shared" si="101"/>
        <v>6.8027210884353739E-3</v>
      </c>
      <c r="H25" s="21">
        <f t="shared" si="101"/>
        <v>4.7619047619047615E-3</v>
      </c>
      <c r="I25" s="21">
        <f t="shared" si="101"/>
        <v>3.4965034965034965E-3</v>
      </c>
      <c r="J25" s="21">
        <f t="shared" si="101"/>
        <v>4.5454545454545461E-3</v>
      </c>
      <c r="K25" s="21">
        <f t="shared" si="101"/>
        <v>6.5217391304347824E-2</v>
      </c>
      <c r="L25" s="21">
        <f t="shared" si="101"/>
        <v>0.10846560846560846</v>
      </c>
      <c r="M25" s="21">
        <f t="shared" si="101"/>
        <v>0.16036414565826332</v>
      </c>
      <c r="N25" s="21">
        <f t="shared" si="101"/>
        <v>0.13419913419913421</v>
      </c>
      <c r="O25" s="21">
        <f t="shared" si="101"/>
        <v>0.10204081632653061</v>
      </c>
      <c r="P25" s="21">
        <f t="shared" si="101"/>
        <v>0.10448412698412697</v>
      </c>
      <c r="Q25" s="21">
        <f t="shared" si="101"/>
        <v>0.1118421052631579</v>
      </c>
      <c r="R25" s="21">
        <f t="shared" si="101"/>
        <v>9.1304347826086957E-2</v>
      </c>
      <c r="S25" s="21">
        <f t="shared" si="101"/>
        <v>0.13035714285714287</v>
      </c>
      <c r="T25" s="21">
        <f t="shared" si="101"/>
        <v>0.21338383838383837</v>
      </c>
      <c r="U25" s="21">
        <f t="shared" si="101"/>
        <v>0.14685314685314685</v>
      </c>
      <c r="V25" s="21">
        <f t="shared" si="101"/>
        <v>0.19843749999999999</v>
      </c>
      <c r="W25" s="21">
        <f t="shared" si="101"/>
        <v>0.19279176201372997</v>
      </c>
      <c r="X25" s="21">
        <f t="shared" ref="X25:AA25" si="102">+X26/X24/X17</f>
        <v>0.22500000000000001</v>
      </c>
      <c r="Y25" s="21">
        <f t="shared" si="102"/>
        <v>0.19353693181818182</v>
      </c>
      <c r="Z25" s="21">
        <f t="shared" si="102"/>
        <v>0.13125000000000001</v>
      </c>
      <c r="AA25" s="529">
        <f t="shared" si="102"/>
        <v>9.5567867036011084E-2</v>
      </c>
      <c r="AB25" s="21">
        <f>+AB26/AB24/AB17</f>
        <v>0.12784090909090909</v>
      </c>
      <c r="AC25" s="21">
        <f>+AC26/AC24/AC17</f>
        <v>0.2365079365079365</v>
      </c>
      <c r="AD25" s="21">
        <f t="shared" ref="AD25" si="103">+AD26/AD24/AD17</f>
        <v>0.14345238095238094</v>
      </c>
      <c r="AE25" s="21">
        <f t="shared" ref="AE25:AK25" si="104">+AE26/AE24/AE17</f>
        <v>0.18649732620320855</v>
      </c>
      <c r="AF25" s="21">
        <f t="shared" si="104"/>
        <v>0.19456521739130433</v>
      </c>
      <c r="AG25" s="21">
        <f t="shared" si="104"/>
        <v>0.12395833333333334</v>
      </c>
      <c r="AH25" s="21">
        <f t="shared" si="104"/>
        <v>0.20568181818181819</v>
      </c>
      <c r="AI25" s="21">
        <f t="shared" si="104"/>
        <v>0.26525119617224879</v>
      </c>
      <c r="AJ25" s="21">
        <f t="shared" si="104"/>
        <v>0.16241496598639454</v>
      </c>
      <c r="AK25" s="21">
        <f t="shared" si="104"/>
        <v>0.19180253623188406</v>
      </c>
      <c r="AL25" s="21">
        <f t="shared" ref="AL25:AN25" si="105">+AL26/AL24/AL17</f>
        <v>0.14204545454545456</v>
      </c>
      <c r="AM25" s="529">
        <f t="shared" si="105"/>
        <v>0.14359267734553777</v>
      </c>
      <c r="AN25" s="21">
        <f t="shared" si="105"/>
        <v>0.1693840579710145</v>
      </c>
      <c r="AO25" s="21">
        <f t="shared" ref="AO25:AP25" si="106">+AO26/AO24/AO17</f>
        <v>0.18035714285714285</v>
      </c>
      <c r="AP25" s="21">
        <f t="shared" si="106"/>
        <v>0.19940476190476189</v>
      </c>
      <c r="AQ25" s="21">
        <f t="shared" ref="AQ25:AR25" si="107">+AQ26/AQ24/AQ17</f>
        <v>9.4367588932806321E-2</v>
      </c>
      <c r="AR25" s="21">
        <f t="shared" si="107"/>
        <v>0.17215909090909093</v>
      </c>
      <c r="AS25" s="21">
        <f t="shared" ref="AS25:AT25" si="108">+AS26/AS24/AS17</f>
        <v>0.12</v>
      </c>
      <c r="AT25" s="21">
        <f t="shared" si="108"/>
        <v>0.18149350649350651</v>
      </c>
      <c r="AU25" s="21">
        <f t="shared" ref="AU25:AV25" si="109">+AU26/AU24/AU17</f>
        <v>0.1830357142857143</v>
      </c>
      <c r="AV25" s="21">
        <f t="shared" si="109"/>
        <v>0.20673843700159489</v>
      </c>
      <c r="AW25" s="594">
        <f t="shared" ref="AW25" si="110">+AW26/AW24/AW17</f>
        <v>0.19987021414665804</v>
      </c>
      <c r="AX25" s="720">
        <f>+AL25</f>
        <v>0.14204545454545456</v>
      </c>
      <c r="AY25" s="23">
        <f t="shared" ref="AY25:BG25" si="111">+AM25</f>
        <v>0.14359267734553777</v>
      </c>
      <c r="AZ25" s="22">
        <f t="shared" si="111"/>
        <v>0.1693840579710145</v>
      </c>
      <c r="BA25" s="22">
        <f t="shared" si="111"/>
        <v>0.18035714285714285</v>
      </c>
      <c r="BB25" s="22">
        <f t="shared" si="111"/>
        <v>0.19940476190476189</v>
      </c>
      <c r="BC25" s="22">
        <f t="shared" si="111"/>
        <v>9.4367588932806321E-2</v>
      </c>
      <c r="BD25" s="22">
        <f t="shared" si="111"/>
        <v>0.17215909090909093</v>
      </c>
      <c r="BE25" s="22">
        <f t="shared" si="111"/>
        <v>0.12</v>
      </c>
      <c r="BF25" s="22">
        <f t="shared" si="111"/>
        <v>0.18149350649350651</v>
      </c>
      <c r="BG25" s="22">
        <f t="shared" si="111"/>
        <v>0.1830357142857143</v>
      </c>
      <c r="BH25" s="22">
        <f t="shared" ref="BH25:CN25" si="112">+AV25</f>
        <v>0.20673843700159489</v>
      </c>
      <c r="BI25" s="22">
        <f t="shared" si="112"/>
        <v>0.19987021414665804</v>
      </c>
      <c r="BJ25" s="22">
        <f t="shared" si="112"/>
        <v>0.14204545454545456</v>
      </c>
      <c r="BK25" s="333">
        <f t="shared" si="112"/>
        <v>0.14359267734553777</v>
      </c>
      <c r="BL25" s="22">
        <f t="shared" si="112"/>
        <v>0.1693840579710145</v>
      </c>
      <c r="BM25" s="22">
        <f t="shared" si="112"/>
        <v>0.18035714285714285</v>
      </c>
      <c r="BN25" s="22">
        <f t="shared" si="112"/>
        <v>0.19940476190476189</v>
      </c>
      <c r="BO25" s="22">
        <f t="shared" si="112"/>
        <v>9.4367588932806321E-2</v>
      </c>
      <c r="BP25" s="22">
        <f t="shared" si="112"/>
        <v>0.17215909090909093</v>
      </c>
      <c r="BQ25" s="22">
        <f t="shared" si="112"/>
        <v>0.12</v>
      </c>
      <c r="BR25" s="22">
        <f t="shared" si="112"/>
        <v>0.18149350649350651</v>
      </c>
      <c r="BS25" s="22">
        <f t="shared" si="112"/>
        <v>0.1830357142857143</v>
      </c>
      <c r="BT25" s="22">
        <f t="shared" si="112"/>
        <v>0.20673843700159489</v>
      </c>
      <c r="BU25" s="22">
        <f t="shared" si="112"/>
        <v>0.19987021414665804</v>
      </c>
      <c r="BV25" s="22">
        <f t="shared" si="112"/>
        <v>0.14204545454545456</v>
      </c>
      <c r="BW25" s="333">
        <f t="shared" si="112"/>
        <v>0.14359267734553777</v>
      </c>
      <c r="BX25" s="22">
        <f t="shared" si="112"/>
        <v>0.1693840579710145</v>
      </c>
      <c r="BY25" s="22">
        <f t="shared" si="112"/>
        <v>0.18035714285714285</v>
      </c>
      <c r="BZ25" s="22">
        <f t="shared" si="112"/>
        <v>0.19940476190476189</v>
      </c>
      <c r="CA25" s="22">
        <f t="shared" si="112"/>
        <v>9.4367588932806321E-2</v>
      </c>
      <c r="CB25" s="22">
        <f t="shared" si="112"/>
        <v>0.17215909090909093</v>
      </c>
      <c r="CC25" s="22">
        <f t="shared" si="112"/>
        <v>0.12</v>
      </c>
      <c r="CD25" s="22">
        <f t="shared" si="112"/>
        <v>0.18149350649350651</v>
      </c>
      <c r="CE25" s="22">
        <f t="shared" si="112"/>
        <v>0.1830357142857143</v>
      </c>
      <c r="CF25" s="22">
        <f t="shared" si="112"/>
        <v>0.20673843700159489</v>
      </c>
      <c r="CG25" s="22">
        <f t="shared" si="112"/>
        <v>0.19987021414665804</v>
      </c>
      <c r="CH25" s="22">
        <f t="shared" si="112"/>
        <v>0.14204545454545456</v>
      </c>
      <c r="CI25" s="333">
        <f t="shared" si="112"/>
        <v>0.14359267734553777</v>
      </c>
      <c r="CJ25" s="22">
        <f t="shared" si="112"/>
        <v>0.1693840579710145</v>
      </c>
      <c r="CK25" s="22">
        <f t="shared" si="112"/>
        <v>0.18035714285714285</v>
      </c>
      <c r="CL25" s="22">
        <f t="shared" si="112"/>
        <v>0.19940476190476189</v>
      </c>
      <c r="CM25" s="22">
        <f t="shared" si="112"/>
        <v>9.4367588932806321E-2</v>
      </c>
      <c r="CN25" s="22">
        <f t="shared" si="112"/>
        <v>0.17215909090909093</v>
      </c>
      <c r="CO25" s="22">
        <f t="shared" ref="CO25:DG25" si="113">+CC25</f>
        <v>0.12</v>
      </c>
      <c r="CP25" s="22">
        <f t="shared" si="113"/>
        <v>0.18149350649350651</v>
      </c>
      <c r="CQ25" s="22">
        <f t="shared" si="113"/>
        <v>0.1830357142857143</v>
      </c>
      <c r="CR25" s="22">
        <f t="shared" si="113"/>
        <v>0.20673843700159489</v>
      </c>
      <c r="CS25" s="22">
        <f t="shared" si="113"/>
        <v>0.19987021414665804</v>
      </c>
      <c r="CT25" s="22">
        <f t="shared" si="113"/>
        <v>0.14204545454545456</v>
      </c>
      <c r="CU25" s="333">
        <f t="shared" si="113"/>
        <v>0.14359267734553777</v>
      </c>
      <c r="CV25" s="22">
        <f t="shared" si="113"/>
        <v>0.1693840579710145</v>
      </c>
      <c r="CW25" s="22">
        <f t="shared" si="113"/>
        <v>0.18035714285714285</v>
      </c>
      <c r="CX25" s="22">
        <f t="shared" si="113"/>
        <v>0.19940476190476189</v>
      </c>
      <c r="CY25" s="22">
        <f t="shared" si="113"/>
        <v>9.4367588932806321E-2</v>
      </c>
      <c r="CZ25" s="22">
        <f t="shared" si="113"/>
        <v>0.17215909090909093</v>
      </c>
      <c r="DA25" s="22">
        <f t="shared" si="113"/>
        <v>0.12</v>
      </c>
      <c r="DB25" s="22">
        <f t="shared" si="113"/>
        <v>0.18149350649350651</v>
      </c>
      <c r="DC25" s="22">
        <f t="shared" si="113"/>
        <v>0.1830357142857143</v>
      </c>
      <c r="DD25" s="22">
        <f t="shared" si="113"/>
        <v>0.20673843700159489</v>
      </c>
      <c r="DE25" s="22">
        <f t="shared" si="113"/>
        <v>0.19987021414665804</v>
      </c>
      <c r="DF25" s="22">
        <f t="shared" si="113"/>
        <v>0.14204545454545456</v>
      </c>
      <c r="DG25" s="23">
        <f t="shared" si="113"/>
        <v>0.14359267734553777</v>
      </c>
    </row>
    <row r="26" spans="1:111" ht="18.75" x14ac:dyDescent="0.25">
      <c r="A26" s="36"/>
      <c r="B26" s="36"/>
      <c r="C26" s="496" t="s">
        <v>63</v>
      </c>
      <c r="D26" s="15"/>
      <c r="E26" s="15">
        <v>1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518">
        <v>7.5</v>
      </c>
      <c r="L26" s="518">
        <f>20.5</f>
        <v>20.5</v>
      </c>
      <c r="M26" s="518">
        <v>57.25</v>
      </c>
      <c r="N26" s="518">
        <v>31</v>
      </c>
      <c r="O26" s="518">
        <v>15</v>
      </c>
      <c r="P26" s="518">
        <f t="shared" ref="P26:AD26" si="114">+SUM(P28:P32)</f>
        <v>26.33</v>
      </c>
      <c r="Q26" s="518">
        <f t="shared" si="114"/>
        <v>21.25</v>
      </c>
      <c r="R26" s="518">
        <f t="shared" si="114"/>
        <v>21</v>
      </c>
      <c r="S26" s="518">
        <f t="shared" si="114"/>
        <v>18.25</v>
      </c>
      <c r="T26" s="518">
        <f t="shared" si="114"/>
        <v>42.25</v>
      </c>
      <c r="U26" s="518">
        <f t="shared" si="114"/>
        <v>42</v>
      </c>
      <c r="V26" s="518">
        <f t="shared" si="114"/>
        <v>31.75</v>
      </c>
      <c r="W26" s="518">
        <f t="shared" si="114"/>
        <v>84.25</v>
      </c>
      <c r="X26" s="518">
        <f t="shared" si="114"/>
        <v>130.5</v>
      </c>
      <c r="Y26" s="518">
        <f t="shared" si="114"/>
        <v>136.25</v>
      </c>
      <c r="Z26" s="518">
        <f t="shared" si="114"/>
        <v>84</v>
      </c>
      <c r="AA26" s="568">
        <f t="shared" si="114"/>
        <v>34.5</v>
      </c>
      <c r="AB26" s="518">
        <f t="shared" si="114"/>
        <v>45</v>
      </c>
      <c r="AC26" s="518">
        <f t="shared" si="114"/>
        <v>74.5</v>
      </c>
      <c r="AD26" s="518">
        <f t="shared" si="114"/>
        <v>60.25</v>
      </c>
      <c r="AE26" s="518">
        <f t="shared" ref="AE26:AQ26" si="115">+SUM(AE28:AE32)</f>
        <v>69.75</v>
      </c>
      <c r="AF26" s="518">
        <f t="shared" si="115"/>
        <v>89.5</v>
      </c>
      <c r="AG26" s="518">
        <f t="shared" si="115"/>
        <v>59.5</v>
      </c>
      <c r="AH26" s="518">
        <f t="shared" si="115"/>
        <v>135.75</v>
      </c>
      <c r="AI26" s="518">
        <f t="shared" si="115"/>
        <v>221.75</v>
      </c>
      <c r="AJ26" s="518">
        <f t="shared" si="115"/>
        <v>143.25</v>
      </c>
      <c r="AK26" s="518">
        <f t="shared" si="115"/>
        <v>211.75</v>
      </c>
      <c r="AL26" s="518">
        <f t="shared" si="115"/>
        <v>118.75</v>
      </c>
      <c r="AM26" s="530">
        <f t="shared" si="115"/>
        <v>62.75</v>
      </c>
      <c r="AN26" s="570">
        <f t="shared" si="115"/>
        <v>93.5</v>
      </c>
      <c r="AO26" s="570">
        <f t="shared" si="115"/>
        <v>101</v>
      </c>
      <c r="AP26" s="570">
        <f t="shared" si="115"/>
        <v>100.5</v>
      </c>
      <c r="AQ26" s="570">
        <f t="shared" si="115"/>
        <v>47.75</v>
      </c>
      <c r="AR26" s="570">
        <f t="shared" ref="AR26:AS26" si="116">+SUM(AR28:AR32)</f>
        <v>75.75</v>
      </c>
      <c r="AS26" s="570">
        <f t="shared" si="116"/>
        <v>63</v>
      </c>
      <c r="AT26" s="570">
        <f t="shared" ref="AT26:AU26" si="117">+SUM(AT28:AT32)</f>
        <v>139.75</v>
      </c>
      <c r="AU26" s="570">
        <f t="shared" si="117"/>
        <v>184.5</v>
      </c>
      <c r="AV26" s="570">
        <f t="shared" ref="AV26:AW26" si="118">+SUM(AV28:AV32)</f>
        <v>259.25</v>
      </c>
      <c r="AW26" s="595">
        <f t="shared" si="118"/>
        <v>308</v>
      </c>
      <c r="AX26" s="24">
        <f>+(AX17*AX24*AX25)</f>
        <v>158.52272727272728</v>
      </c>
      <c r="AY26" s="25">
        <f t="shared" ref="AY26:CZ26" si="119">+(AY17*AY24*AY25)</f>
        <v>173.68970251716252</v>
      </c>
      <c r="AZ26" s="24">
        <f t="shared" si="119"/>
        <v>213.6000724637681</v>
      </c>
      <c r="BA26" s="24">
        <f t="shared" si="119"/>
        <v>226.9614285714286</v>
      </c>
      <c r="BB26" s="24">
        <f t="shared" si="119"/>
        <v>261.63499999999999</v>
      </c>
      <c r="BC26" s="24">
        <f t="shared" si="119"/>
        <v>112.85608695652174</v>
      </c>
      <c r="BD26" s="24">
        <f t="shared" si="119"/>
        <v>198.69913636363637</v>
      </c>
      <c r="BE26" s="24">
        <f t="shared" si="119"/>
        <v>123.23519999999998</v>
      </c>
      <c r="BF26" s="24">
        <f t="shared" si="119"/>
        <v>193.18894805194799</v>
      </c>
      <c r="BG26" s="24">
        <f t="shared" si="119"/>
        <v>207.10124999999994</v>
      </c>
      <c r="BH26" s="24">
        <f t="shared" si="119"/>
        <v>288.72263157894724</v>
      </c>
      <c r="BI26" s="24">
        <f t="shared" si="119"/>
        <v>295.48812459441911</v>
      </c>
      <c r="BJ26" s="24">
        <f t="shared" si="119"/>
        <v>196.99431818181813</v>
      </c>
      <c r="BK26" s="334">
        <f t="shared" si="119"/>
        <v>210.9721052631578</v>
      </c>
      <c r="BL26" s="24">
        <f t="shared" si="119"/>
        <v>238.63639130434771</v>
      </c>
      <c r="BM26" s="24">
        <f t="shared" si="119"/>
        <v>283.26171428571416</v>
      </c>
      <c r="BN26" s="24">
        <f t="shared" si="119"/>
        <v>351.93504761904745</v>
      </c>
      <c r="BO26" s="24">
        <f t="shared" si="119"/>
        <v>149.36199999999991</v>
      </c>
      <c r="BP26" s="24">
        <f t="shared" si="119"/>
        <v>272.538859090909</v>
      </c>
      <c r="BQ26" s="24">
        <f t="shared" si="119"/>
        <v>170.52287999999987</v>
      </c>
      <c r="BR26" s="24">
        <f t="shared" si="119"/>
        <v>255.67062857142844</v>
      </c>
      <c r="BS26" s="24">
        <f t="shared" si="119"/>
        <v>299.88278571428555</v>
      </c>
      <c r="BT26" s="24">
        <f t="shared" si="119"/>
        <v>399.8453684210524</v>
      </c>
      <c r="BU26" s="24">
        <f t="shared" si="119"/>
        <v>390.85020116807249</v>
      </c>
      <c r="BV26" s="24">
        <f t="shared" si="119"/>
        <v>287.79999999999984</v>
      </c>
      <c r="BW26" s="334">
        <f t="shared" si="119"/>
        <v>294.1719999999998</v>
      </c>
      <c r="BX26" s="24">
        <f t="shared" si="119"/>
        <v>334.23323043478246</v>
      </c>
      <c r="BY26" s="24">
        <f t="shared" si="119"/>
        <v>414.2737199999998</v>
      </c>
      <c r="BZ26" s="24">
        <f t="shared" si="119"/>
        <v>491.97525714285683</v>
      </c>
      <c r="CA26" s="24">
        <f t="shared" si="119"/>
        <v>190.92752569169946</v>
      </c>
      <c r="CB26" s="24">
        <f t="shared" si="119"/>
        <v>418.05130363636346</v>
      </c>
      <c r="CC26" s="24">
        <f t="shared" si="119"/>
        <v>236.19763199999983</v>
      </c>
      <c r="CD26" s="24">
        <f t="shared" si="119"/>
        <v>342.5836581818179</v>
      </c>
      <c r="CE26" s="24">
        <f t="shared" si="119"/>
        <v>439.08774285714259</v>
      </c>
      <c r="CF26" s="24">
        <f t="shared" si="119"/>
        <v>532.77586794258343</v>
      </c>
      <c r="CG26" s="24">
        <f t="shared" si="119"/>
        <v>569.90513173264094</v>
      </c>
      <c r="CH26" s="24">
        <f t="shared" si="119"/>
        <v>399.91999999999979</v>
      </c>
      <c r="CI26" s="334">
        <f t="shared" si="119"/>
        <v>374.94299588100665</v>
      </c>
      <c r="CJ26" s="24">
        <f t="shared" si="119"/>
        <v>514.20511999999962</v>
      </c>
      <c r="CK26" s="24">
        <f t="shared" si="119"/>
        <v>554.67353142857087</v>
      </c>
      <c r="CL26" s="24">
        <f t="shared" si="119"/>
        <v>659.87189714285637</v>
      </c>
      <c r="CM26" s="24">
        <f t="shared" si="119"/>
        <v>281.53541928853718</v>
      </c>
      <c r="CN26" s="24">
        <f t="shared" si="119"/>
        <v>585.43021145454486</v>
      </c>
      <c r="CO26" s="24">
        <f t="shared" si="119"/>
        <v>318.77072639999949</v>
      </c>
      <c r="CP26" s="24">
        <f t="shared" si="119"/>
        <v>504.21288914285628</v>
      </c>
      <c r="CQ26" s="24">
        <f t="shared" si="119"/>
        <v>619.1010542857133</v>
      </c>
      <c r="CR26" s="24">
        <f t="shared" si="119"/>
        <v>718.80275215310883</v>
      </c>
      <c r="CS26" s="24">
        <f t="shared" si="119"/>
        <v>848.10879999999884</v>
      </c>
      <c r="CT26" s="24">
        <f t="shared" si="119"/>
        <v>571.88799999999912</v>
      </c>
      <c r="CU26" s="334">
        <f t="shared" si="119"/>
        <v>535.29332924485038</v>
      </c>
      <c r="CV26" s="24">
        <f t="shared" si="119"/>
        <v>729.39300133333211</v>
      </c>
      <c r="CW26" s="24">
        <f t="shared" si="119"/>
        <v>784.62294399999871</v>
      </c>
      <c r="CX26" s="24">
        <f t="shared" si="119"/>
        <v>888.69630799999845</v>
      </c>
      <c r="CY26" s="24">
        <f t="shared" si="119"/>
        <v>415.07774539130355</v>
      </c>
      <c r="CZ26" s="24">
        <f t="shared" si="119"/>
        <v>824.51227330908932</v>
      </c>
      <c r="DA26" s="24">
        <f t="shared" ref="DA26:DG26" si="120">+(DA17*DA24*DA25)</f>
        <v>427.04363519999902</v>
      </c>
      <c r="DB26" s="24">
        <f t="shared" si="120"/>
        <v>743.99538449869954</v>
      </c>
      <c r="DC26" s="24">
        <f t="shared" si="120"/>
        <v>835.66099257142673</v>
      </c>
      <c r="DD26" s="24">
        <f t="shared" si="120"/>
        <v>1062.8918159999978</v>
      </c>
      <c r="DE26" s="24">
        <f t="shared" si="120"/>
        <v>1193.0526185074605</v>
      </c>
      <c r="DF26" s="24">
        <f t="shared" si="120"/>
        <v>765.56282727272571</v>
      </c>
      <c r="DG26" s="25">
        <f t="shared" si="120"/>
        <v>785.85505222883114</v>
      </c>
    </row>
    <row r="27" spans="1:111" ht="18.75" hidden="1" x14ac:dyDescent="0.25">
      <c r="A27" s="36"/>
      <c r="B27" s="36"/>
      <c r="C27" s="496" t="s">
        <v>162</v>
      </c>
      <c r="D27" s="15"/>
      <c r="E27" s="15"/>
      <c r="F27" s="15"/>
      <c r="G27" s="15"/>
      <c r="H27" s="15"/>
      <c r="I27" s="15"/>
      <c r="J27" s="15"/>
      <c r="K27" s="15"/>
      <c r="L27" s="15">
        <v>3.75</v>
      </c>
      <c r="M27" s="15">
        <v>14.75</v>
      </c>
      <c r="N27" s="15">
        <v>13.5</v>
      </c>
      <c r="O27" s="15">
        <v>14</v>
      </c>
      <c r="P27" s="49">
        <v>14</v>
      </c>
      <c r="Q27" s="49">
        <v>14</v>
      </c>
      <c r="R27" s="49">
        <v>5.5</v>
      </c>
      <c r="S27" s="49">
        <v>4.5</v>
      </c>
      <c r="T27" s="49">
        <v>5</v>
      </c>
      <c r="U27" s="49">
        <v>25.75</v>
      </c>
      <c r="V27" s="49">
        <v>11.75</v>
      </c>
      <c r="W27" s="49">
        <v>0</v>
      </c>
      <c r="X27" s="49">
        <v>0</v>
      </c>
      <c r="Y27" s="49">
        <v>0</v>
      </c>
      <c r="Z27" s="49">
        <v>0</v>
      </c>
      <c r="AA27" s="526">
        <v>0</v>
      </c>
      <c r="AB27" s="324">
        <v>0</v>
      </c>
      <c r="AC27" s="324">
        <v>0</v>
      </c>
      <c r="AD27" s="324">
        <v>0</v>
      </c>
      <c r="AE27" s="324">
        <v>0</v>
      </c>
      <c r="AF27" s="324">
        <v>0</v>
      </c>
      <c r="AG27" s="324">
        <v>0</v>
      </c>
      <c r="AH27" s="324">
        <v>0</v>
      </c>
      <c r="AI27" s="324">
        <v>0</v>
      </c>
      <c r="AJ27" s="324">
        <v>0</v>
      </c>
      <c r="AK27" s="324">
        <v>0</v>
      </c>
      <c r="AL27" s="324">
        <v>0</v>
      </c>
      <c r="AM27" s="531">
        <v>0</v>
      </c>
      <c r="AN27" s="324">
        <v>0</v>
      </c>
      <c r="AO27" s="324">
        <v>0</v>
      </c>
      <c r="AP27" s="324">
        <v>0</v>
      </c>
      <c r="AQ27" s="324">
        <v>0</v>
      </c>
      <c r="AR27" s="324">
        <v>0</v>
      </c>
      <c r="AS27" s="324">
        <v>0</v>
      </c>
      <c r="AT27" s="324">
        <v>0</v>
      </c>
      <c r="AU27" s="324">
        <v>0</v>
      </c>
      <c r="AV27" s="324">
        <v>0</v>
      </c>
      <c r="AW27" s="596">
        <v>0</v>
      </c>
      <c r="AX27" s="24">
        <v>0</v>
      </c>
      <c r="AY27" s="25">
        <f t="shared" ref="AY27:CC27" si="121">AX27</f>
        <v>0</v>
      </c>
      <c r="AZ27" s="24">
        <f t="shared" si="121"/>
        <v>0</v>
      </c>
      <c r="BA27" s="24">
        <f t="shared" si="121"/>
        <v>0</v>
      </c>
      <c r="BB27" s="24">
        <f t="shared" si="121"/>
        <v>0</v>
      </c>
      <c r="BC27" s="24">
        <f t="shared" si="121"/>
        <v>0</v>
      </c>
      <c r="BD27" s="24">
        <f t="shared" si="121"/>
        <v>0</v>
      </c>
      <c r="BE27" s="24">
        <f t="shared" si="121"/>
        <v>0</v>
      </c>
      <c r="BF27" s="24">
        <f t="shared" si="121"/>
        <v>0</v>
      </c>
      <c r="BG27" s="24">
        <f t="shared" si="121"/>
        <v>0</v>
      </c>
      <c r="BH27" s="24">
        <f t="shared" si="121"/>
        <v>0</v>
      </c>
      <c r="BI27" s="24">
        <f t="shared" si="121"/>
        <v>0</v>
      </c>
      <c r="BJ27" s="24">
        <f t="shared" si="121"/>
        <v>0</v>
      </c>
      <c r="BK27" s="334">
        <f t="shared" si="121"/>
        <v>0</v>
      </c>
      <c r="BL27" s="24">
        <f t="shared" si="121"/>
        <v>0</v>
      </c>
      <c r="BM27" s="24">
        <f t="shared" si="121"/>
        <v>0</v>
      </c>
      <c r="BN27" s="24">
        <f t="shared" si="121"/>
        <v>0</v>
      </c>
      <c r="BO27" s="24">
        <f t="shared" si="121"/>
        <v>0</v>
      </c>
      <c r="BP27" s="24">
        <f t="shared" si="121"/>
        <v>0</v>
      </c>
      <c r="BQ27" s="24">
        <f t="shared" si="121"/>
        <v>0</v>
      </c>
      <c r="BR27" s="24">
        <f t="shared" si="121"/>
        <v>0</v>
      </c>
      <c r="BS27" s="24">
        <f t="shared" si="121"/>
        <v>0</v>
      </c>
      <c r="BT27" s="24">
        <f t="shared" si="121"/>
        <v>0</v>
      </c>
      <c r="BU27" s="24">
        <f t="shared" si="121"/>
        <v>0</v>
      </c>
      <c r="BV27" s="24">
        <f t="shared" si="121"/>
        <v>0</v>
      </c>
      <c r="BW27" s="334">
        <f t="shared" si="121"/>
        <v>0</v>
      </c>
      <c r="BX27" s="24">
        <f t="shared" si="121"/>
        <v>0</v>
      </c>
      <c r="BY27" s="24">
        <f t="shared" si="121"/>
        <v>0</v>
      </c>
      <c r="BZ27" s="24">
        <f t="shared" si="121"/>
        <v>0</v>
      </c>
      <c r="CA27" s="24">
        <f t="shared" si="121"/>
        <v>0</v>
      </c>
      <c r="CB27" s="24">
        <f t="shared" si="121"/>
        <v>0</v>
      </c>
      <c r="CC27" s="24">
        <f t="shared" si="121"/>
        <v>0</v>
      </c>
      <c r="CD27" s="24">
        <f t="shared" ref="CD27:DG27" si="122">CC27</f>
        <v>0</v>
      </c>
      <c r="CE27" s="24">
        <f t="shared" si="122"/>
        <v>0</v>
      </c>
      <c r="CF27" s="24">
        <f t="shared" si="122"/>
        <v>0</v>
      </c>
      <c r="CG27" s="24">
        <f t="shared" si="122"/>
        <v>0</v>
      </c>
      <c r="CH27" s="24">
        <f t="shared" si="122"/>
        <v>0</v>
      </c>
      <c r="CI27" s="334">
        <f t="shared" si="122"/>
        <v>0</v>
      </c>
      <c r="CJ27" s="24">
        <f t="shared" si="122"/>
        <v>0</v>
      </c>
      <c r="CK27" s="24">
        <f t="shared" si="122"/>
        <v>0</v>
      </c>
      <c r="CL27" s="24">
        <f t="shared" si="122"/>
        <v>0</v>
      </c>
      <c r="CM27" s="24">
        <f t="shared" si="122"/>
        <v>0</v>
      </c>
      <c r="CN27" s="24">
        <f t="shared" si="122"/>
        <v>0</v>
      </c>
      <c r="CO27" s="24">
        <f t="shared" si="122"/>
        <v>0</v>
      </c>
      <c r="CP27" s="24">
        <f t="shared" si="122"/>
        <v>0</v>
      </c>
      <c r="CQ27" s="24">
        <f t="shared" si="122"/>
        <v>0</v>
      </c>
      <c r="CR27" s="24">
        <f t="shared" si="122"/>
        <v>0</v>
      </c>
      <c r="CS27" s="24">
        <f t="shared" si="122"/>
        <v>0</v>
      </c>
      <c r="CT27" s="24">
        <f t="shared" si="122"/>
        <v>0</v>
      </c>
      <c r="CU27" s="334">
        <f t="shared" si="122"/>
        <v>0</v>
      </c>
      <c r="CV27" s="24">
        <f t="shared" si="122"/>
        <v>0</v>
      </c>
      <c r="CW27" s="24">
        <f t="shared" si="122"/>
        <v>0</v>
      </c>
      <c r="CX27" s="24">
        <f t="shared" si="122"/>
        <v>0</v>
      </c>
      <c r="CY27" s="24">
        <f t="shared" si="122"/>
        <v>0</v>
      </c>
      <c r="CZ27" s="24">
        <f t="shared" si="122"/>
        <v>0</v>
      </c>
      <c r="DA27" s="24">
        <f t="shared" si="122"/>
        <v>0</v>
      </c>
      <c r="DB27" s="24">
        <f t="shared" si="122"/>
        <v>0</v>
      </c>
      <c r="DC27" s="24">
        <f t="shared" si="122"/>
        <v>0</v>
      </c>
      <c r="DD27" s="24">
        <f t="shared" si="122"/>
        <v>0</v>
      </c>
      <c r="DE27" s="24">
        <f t="shared" si="122"/>
        <v>0</v>
      </c>
      <c r="DF27" s="24">
        <f>DE27</f>
        <v>0</v>
      </c>
      <c r="DG27" s="25">
        <f t="shared" si="122"/>
        <v>0</v>
      </c>
    </row>
    <row r="28" spans="1:111" ht="18.75" x14ac:dyDescent="0.25">
      <c r="A28" s="36"/>
      <c r="B28" s="36"/>
      <c r="C28" s="496" t="s">
        <v>281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49">
        <v>21.5</v>
      </c>
      <c r="Q28" s="49">
        <f>8.25+5</f>
        <v>13.25</v>
      </c>
      <c r="R28" s="49">
        <v>18.25</v>
      </c>
      <c r="S28" s="49">
        <v>16.25</v>
      </c>
      <c r="T28" s="49">
        <v>37</v>
      </c>
      <c r="U28" s="49">
        <v>40.75</v>
      </c>
      <c r="V28" s="49">
        <v>22</v>
      </c>
      <c r="W28" s="49">
        <v>56.25</v>
      </c>
      <c r="X28" s="49">
        <v>60</v>
      </c>
      <c r="Y28" s="49">
        <v>58.5</v>
      </c>
      <c r="Z28" s="49">
        <v>47.75</v>
      </c>
      <c r="AA28" s="526">
        <v>21.75</v>
      </c>
      <c r="AB28" s="324">
        <v>22.25</v>
      </c>
      <c r="AC28" s="324">
        <v>36</v>
      </c>
      <c r="AD28" s="324">
        <v>25.75</v>
      </c>
      <c r="AE28" s="324">
        <v>32</v>
      </c>
      <c r="AF28" s="324">
        <v>27.5</v>
      </c>
      <c r="AG28" s="324">
        <v>14</v>
      </c>
      <c r="AH28" s="324">
        <v>15.5</v>
      </c>
      <c r="AI28" s="324">
        <v>14</v>
      </c>
      <c r="AJ28" s="324">
        <v>4.75</v>
      </c>
      <c r="AK28" s="324">
        <v>2.25</v>
      </c>
      <c r="AL28" s="324">
        <v>10</v>
      </c>
      <c r="AM28" s="531">
        <v>8</v>
      </c>
      <c r="AN28" s="324">
        <v>4.25</v>
      </c>
      <c r="AO28" s="324">
        <v>13</v>
      </c>
      <c r="AP28" s="324">
        <v>20.5</v>
      </c>
      <c r="AQ28" s="324">
        <v>5</v>
      </c>
      <c r="AR28" s="324">
        <v>3.75</v>
      </c>
      <c r="AS28" s="324">
        <v>0</v>
      </c>
      <c r="AT28" s="324">
        <v>2.25</v>
      </c>
      <c r="AU28" s="324">
        <v>11.25</v>
      </c>
      <c r="AV28" s="324">
        <v>19.25</v>
      </c>
      <c r="AW28" s="596">
        <v>24.5</v>
      </c>
      <c r="AX28" s="19">
        <f>+IFERROR(AX$26*(AL28/AL$26), 0)</f>
        <v>13.349282296650719</v>
      </c>
      <c r="AY28" s="25">
        <f t="shared" ref="AX28:BG32" si="123">+IFERROR(AY$26*(AM28/AM$26), 0)</f>
        <v>22.143707093821515</v>
      </c>
      <c r="AZ28" s="24">
        <f t="shared" si="123"/>
        <v>9.7090942028985499</v>
      </c>
      <c r="BA28" s="24">
        <f t="shared" si="123"/>
        <v>29.212857142857146</v>
      </c>
      <c r="BB28" s="24">
        <f t="shared" si="123"/>
        <v>53.368333333333325</v>
      </c>
      <c r="BC28" s="24">
        <f t="shared" si="123"/>
        <v>11.817391304347826</v>
      </c>
      <c r="BD28" s="24">
        <f t="shared" si="123"/>
        <v>9.8365909090909103</v>
      </c>
      <c r="BE28" s="24">
        <f t="shared" si="123"/>
        <v>0</v>
      </c>
      <c r="BF28" s="24">
        <f t="shared" si="123"/>
        <v>3.1103766233766228</v>
      </c>
      <c r="BG28" s="24">
        <f t="shared" si="123"/>
        <v>12.628124999999995</v>
      </c>
      <c r="BH28" s="24">
        <f t="shared" ref="BH28:BH32" si="124">+IFERROR(BH$26*(AV28/AV$26), 0)</f>
        <v>21.438421052631572</v>
      </c>
      <c r="BI28" s="24">
        <f t="shared" ref="BI28:BI32" si="125">+IFERROR(BI$26*(AW28/AW$26), 0)</f>
        <v>23.504737183646974</v>
      </c>
      <c r="BJ28" s="24">
        <f t="shared" ref="BJ28:BJ32" si="126">+IFERROR(BJ$26*(AX28/AX$26), 0)</f>
        <v>16.588995215311002</v>
      </c>
      <c r="BK28" s="334">
        <f t="shared" ref="BK28:BK32" si="127">+IFERROR(BK$26*(AY28/AY$26), 0)</f>
        <v>26.896842105263147</v>
      </c>
      <c r="BL28" s="24">
        <f t="shared" ref="BL28:BL32" si="128">+IFERROR(BL$26*(AZ28/AZ$26), 0)</f>
        <v>10.847108695652169</v>
      </c>
      <c r="BM28" s="24">
        <f t="shared" ref="BM28:BM32" si="129">+IFERROR(BM$26*(BA28/BA$26), 0)</f>
        <v>36.459428571428553</v>
      </c>
      <c r="BN28" s="24">
        <f t="shared" ref="BN28:BN32" si="130">+IFERROR(BN$26*(BB28/BB$26), 0)</f>
        <v>71.787746031745996</v>
      </c>
      <c r="BO28" s="24">
        <f t="shared" ref="BO28:BO32" si="131">+IFERROR(BO$26*(BC28/BC$26), 0)</f>
        <v>15.63999999999999</v>
      </c>
      <c r="BP28" s="24">
        <f t="shared" ref="BP28:BP32" si="132">+IFERROR(BP$26*(BD28/BD$26), 0)</f>
        <v>13.492022727272724</v>
      </c>
      <c r="BQ28" s="24">
        <f t="shared" ref="BQ28:BQ32" si="133">+IFERROR(BQ$26*(BE28/BE$26), 0)</f>
        <v>0</v>
      </c>
      <c r="BR28" s="24">
        <f t="shared" ref="BR28:BR32" si="134">+IFERROR(BR$26*(BF28/BF$26), 0)</f>
        <v>4.1163428571428557</v>
      </c>
      <c r="BS28" s="24">
        <f t="shared" ref="BS28:BS32" si="135">+IFERROR(BS$26*(BG28/BG$26), 0)</f>
        <v>18.285535714285704</v>
      </c>
      <c r="BT28" s="24">
        <f t="shared" ref="BT28:BT32" si="136">+IFERROR(BT$26*(BH28/BH$26), 0)</f>
        <v>29.689578947368407</v>
      </c>
      <c r="BU28" s="24">
        <f t="shared" ref="BU28:BU32" si="137">+IFERROR(BU$26*(BI28/BI$26), 0)</f>
        <v>31.090356911096674</v>
      </c>
      <c r="BV28" s="24">
        <f t="shared" ref="BV28:BV32" si="138">+IFERROR(BV$26*(BJ28/BJ$26), 0)</f>
        <v>24.2357894736842</v>
      </c>
      <c r="BW28" s="334">
        <f t="shared" ref="BW28:BW32" si="139">+IFERROR(BW$26*(BK28/BK$26), 0)</f>
        <v>37.503999999999976</v>
      </c>
      <c r="BX28" s="24">
        <f t="shared" ref="BX28:BX32" si="140">+IFERROR(BX$26*(BL28/BL$26), 0)</f>
        <v>15.192419565217385</v>
      </c>
      <c r="BY28" s="24">
        <f t="shared" ref="BY28:BY32" si="141">+IFERROR(BY$26*(BM28/BM$26), 0)</f>
        <v>53.322359999999975</v>
      </c>
      <c r="BZ28" s="24">
        <f t="shared" ref="BZ28:BZ32" si="142">+IFERROR(BZ$26*(BN28/BN$26), 0)</f>
        <v>100.35316190476183</v>
      </c>
      <c r="CA28" s="24">
        <f t="shared" ref="CA28:CA32" si="143">+IFERROR(CA$26*(BO28/BO$26), 0)</f>
        <v>19.992411067193661</v>
      </c>
      <c r="CB28" s="24">
        <f t="shared" ref="CB28:CB32" si="144">+IFERROR(CB$26*(BP28/BP$26), 0)</f>
        <v>20.695609090909084</v>
      </c>
      <c r="CC28" s="24">
        <f t="shared" ref="CC28:CC32" si="145">+IFERROR(CC$26*(BQ28/BQ$26), 0)</f>
        <v>0</v>
      </c>
      <c r="CD28" s="24">
        <f t="shared" ref="CD28:CD32" si="146">+IFERROR(CD$26*(BR28/BR$26), 0)</f>
        <v>5.5156581818181776</v>
      </c>
      <c r="CE28" s="24">
        <f t="shared" ref="CE28:CE32" si="147">+IFERROR(CE$26*(BS28/BS$26), 0)</f>
        <v>26.773642857142839</v>
      </c>
      <c r="CF28" s="24">
        <f t="shared" ref="CF28:CF32" si="148">+IFERROR(CF$26*(BT28/BT$26), 0)</f>
        <v>39.560021052631562</v>
      </c>
      <c r="CG28" s="24">
        <f t="shared" ref="CG28:CG32" si="149">+IFERROR(CG$26*(BU28/BU$26), 0)</f>
        <v>45.333362751460072</v>
      </c>
      <c r="CH28" s="24">
        <f t="shared" ref="CH28:CH32" si="150">+IFERROR(CH$26*(BV28/BV$26), 0)</f>
        <v>33.677473684210511</v>
      </c>
      <c r="CI28" s="334">
        <f t="shared" ref="CI28:CI32" si="151">+IFERROR(CI$26*(BW28/BW$26), 0)</f>
        <v>47.801497482837497</v>
      </c>
      <c r="CJ28" s="24">
        <f t="shared" ref="CJ28:CJ32" si="152">+IFERROR(CJ$26*(BX28/BX$26), 0)</f>
        <v>23.372959999999985</v>
      </c>
      <c r="CK28" s="24">
        <f t="shared" ref="CK28:CK32" si="153">+IFERROR(CK$26*(BY28/BY$26), 0)</f>
        <v>71.393622857142788</v>
      </c>
      <c r="CL28" s="24">
        <f t="shared" ref="CL28:CL32" si="154">+IFERROR(CL$26*(BZ28/BZ$26), 0)</f>
        <v>134.60073523809507</v>
      </c>
      <c r="CM28" s="24">
        <f t="shared" ref="CM28:CM32" si="155">+IFERROR(CM$26*(CA28/CA$26), 0)</f>
        <v>29.480148616600751</v>
      </c>
      <c r="CN28" s="24">
        <f t="shared" ref="CN28:CN32" si="156">+IFERROR(CN$26*(CB28/CB$26), 0)</f>
        <v>28.981693636363609</v>
      </c>
      <c r="CO28" s="24">
        <f t="shared" ref="CO28:CO32" si="157">+IFERROR(CO$26*(CC28/CC$26), 0)</f>
        <v>0</v>
      </c>
      <c r="CP28" s="24">
        <f t="shared" ref="CP28:CP32" si="158">+IFERROR(CP$26*(CD28/CD$26), 0)</f>
        <v>8.1179177142857011</v>
      </c>
      <c r="CQ28" s="24">
        <f t="shared" ref="CQ28:CQ32" si="159">+IFERROR(CQ$26*(CE28/CE$26), 0)</f>
        <v>37.750064285714224</v>
      </c>
      <c r="CR28" s="24">
        <f t="shared" ref="CR28:CR32" si="160">+IFERROR(CR$26*(CF28/CF$26), 0)</f>
        <v>53.373010526315703</v>
      </c>
      <c r="CS28" s="24">
        <f t="shared" ref="CS28:CS32" si="161">+IFERROR(CS$26*(CG28/CG$26), 0)</f>
        <v>67.463199999999901</v>
      </c>
      <c r="CT28" s="24">
        <f t="shared" ref="CT28:CT32" si="162">+IFERROR(CT$26*(CH28/CH$26), 0)</f>
        <v>48.158989473684144</v>
      </c>
      <c r="CU28" s="334">
        <f t="shared" ref="CU28:CU32" si="163">+IFERROR(CU$26*(CI28/CI$26), 0)</f>
        <v>68.244567871853434</v>
      </c>
      <c r="CV28" s="24">
        <f t="shared" ref="CV28:CV32" si="164">+IFERROR(CV$26*(CJ28/CJ$26), 0)</f>
        <v>33.154227333333282</v>
      </c>
      <c r="CW28" s="24">
        <f t="shared" ref="CW28:CW32" si="165">+IFERROR(CW$26*(CK28/CK$26), 0)</f>
        <v>100.99107199999983</v>
      </c>
      <c r="CX28" s="24">
        <f t="shared" ref="CX28:CX32" si="166">+IFERROR(CX$26*(CL28/CL$26), 0)</f>
        <v>181.276361333333</v>
      </c>
      <c r="CY28" s="24">
        <f t="shared" ref="CY28:CY32" si="167">+IFERROR(CY$26*(CM28/CM$26), 0)</f>
        <v>43.46363826086948</v>
      </c>
      <c r="CZ28" s="24">
        <f t="shared" ref="CZ28:CZ32" si="168">+IFERROR(CZ$26*(CN28/CN$26), 0)</f>
        <v>40.817439272727199</v>
      </c>
      <c r="DA28" s="24">
        <f t="shared" ref="DA28:DA32" si="169">+IFERROR(DA$26*(CO28/CO$26), 0)</f>
        <v>0</v>
      </c>
      <c r="DB28" s="24">
        <f t="shared" ref="DB28:DB32" si="170">+IFERROR(DB$26*(CP28/CP$26), 0)</f>
        <v>11.978458784415556</v>
      </c>
      <c r="DC28" s="24">
        <f t="shared" ref="DC28:DC32" si="171">+IFERROR(DC$26*(CQ28/CQ$26), 0)</f>
        <v>50.954938571428457</v>
      </c>
      <c r="DD28" s="24">
        <f t="shared" ref="DD28:DD32" si="172">+IFERROR(DD$26*(CR28/CR$26), 0)</f>
        <v>78.922535999999837</v>
      </c>
      <c r="DE28" s="24">
        <f t="shared" ref="DE28:DE32" si="173">+IFERROR(DE$26*(CS28/CS$26), 0)</f>
        <v>94.901912835820724</v>
      </c>
      <c r="DF28" s="24">
        <f t="shared" ref="DF28:DF32" si="174">+IFERROR(DF$26*(CT28/CT$26), 0)</f>
        <v>64.468448612440071</v>
      </c>
      <c r="DG28" s="25">
        <f t="shared" ref="DG28:DG32" si="175">+IFERROR(DG$26*(CU28/CU$26), 0)</f>
        <v>100.18869191761991</v>
      </c>
    </row>
    <row r="29" spans="1:111" ht="18.75" x14ac:dyDescent="0.25">
      <c r="A29" s="36"/>
      <c r="B29" s="36"/>
      <c r="C29" s="496" t="s">
        <v>282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2.5</v>
      </c>
      <c r="W29" s="49">
        <v>1</v>
      </c>
      <c r="X29" s="49">
        <v>25.25</v>
      </c>
      <c r="Y29" s="49">
        <v>22.5</v>
      </c>
      <c r="Z29" s="49">
        <v>16.5</v>
      </c>
      <c r="AA29" s="526">
        <v>10</v>
      </c>
      <c r="AB29" s="324">
        <v>18.5</v>
      </c>
      <c r="AC29" s="324">
        <v>35.25</v>
      </c>
      <c r="AD29" s="324">
        <v>24.5</v>
      </c>
      <c r="AE29" s="324">
        <v>32.25</v>
      </c>
      <c r="AF29" s="324">
        <v>60.75</v>
      </c>
      <c r="AG29" s="324">
        <v>24.5</v>
      </c>
      <c r="AH29" s="324">
        <v>68.25</v>
      </c>
      <c r="AI29" s="324">
        <v>126.75</v>
      </c>
      <c r="AJ29" s="324">
        <v>22</v>
      </c>
      <c r="AK29" s="324">
        <v>30.5</v>
      </c>
      <c r="AL29" s="324">
        <v>14</v>
      </c>
      <c r="AM29" s="531">
        <v>25</v>
      </c>
      <c r="AN29" s="324">
        <v>46.75</v>
      </c>
      <c r="AO29" s="324">
        <v>63</v>
      </c>
      <c r="AP29" s="324">
        <v>74.25</v>
      </c>
      <c r="AQ29" s="324">
        <v>37</v>
      </c>
      <c r="AR29" s="324">
        <v>66.75</v>
      </c>
      <c r="AS29" s="324">
        <v>27.5</v>
      </c>
      <c r="AT29" s="324">
        <v>67.75</v>
      </c>
      <c r="AU29" s="324">
        <v>78.25</v>
      </c>
      <c r="AV29" s="324">
        <v>106</v>
      </c>
      <c r="AW29" s="596">
        <v>57.75</v>
      </c>
      <c r="AX29" s="24">
        <f>+IFERROR(AX$26*(AL29/AL$26), 0)</f>
        <v>18.688995215311007</v>
      </c>
      <c r="AY29" s="25">
        <f t="shared" si="123"/>
        <v>69.199084668192228</v>
      </c>
      <c r="AZ29" s="24">
        <f t="shared" si="123"/>
        <v>106.80003623188405</v>
      </c>
      <c r="BA29" s="24">
        <f t="shared" si="123"/>
        <v>141.57000000000002</v>
      </c>
      <c r="BB29" s="24">
        <f t="shared" si="123"/>
        <v>193.29749999999999</v>
      </c>
      <c r="BC29" s="24">
        <f t="shared" si="123"/>
        <v>87.44869565217391</v>
      </c>
      <c r="BD29" s="24">
        <f t="shared" si="123"/>
        <v>175.0913181818182</v>
      </c>
      <c r="BE29" s="24">
        <f t="shared" si="123"/>
        <v>53.793142857142847</v>
      </c>
      <c r="BF29" s="24">
        <f t="shared" si="123"/>
        <v>93.656896103896074</v>
      </c>
      <c r="BG29" s="24">
        <f t="shared" si="123"/>
        <v>87.835624999999965</v>
      </c>
      <c r="BH29" s="24">
        <f t="shared" si="124"/>
        <v>118.05052631578943</v>
      </c>
      <c r="BI29" s="24">
        <f t="shared" si="125"/>
        <v>55.404023361453582</v>
      </c>
      <c r="BJ29" s="24">
        <f t="shared" si="126"/>
        <v>23.224593301435402</v>
      </c>
      <c r="BK29" s="334">
        <f t="shared" si="127"/>
        <v>84.052631578947313</v>
      </c>
      <c r="BL29" s="24">
        <f t="shared" si="128"/>
        <v>119.31819565217386</v>
      </c>
      <c r="BM29" s="24">
        <f t="shared" si="129"/>
        <v>176.68799999999993</v>
      </c>
      <c r="BN29" s="24">
        <f t="shared" si="130"/>
        <v>260.01171428571416</v>
      </c>
      <c r="BO29" s="24">
        <f t="shared" si="131"/>
        <v>115.73599999999993</v>
      </c>
      <c r="BP29" s="24">
        <f t="shared" si="132"/>
        <v>240.15800454545447</v>
      </c>
      <c r="BQ29" s="24">
        <f t="shared" si="133"/>
        <v>74.434590476190422</v>
      </c>
      <c r="BR29" s="24">
        <f t="shared" si="134"/>
        <v>123.94765714285708</v>
      </c>
      <c r="BS29" s="24">
        <f t="shared" si="135"/>
        <v>127.18605952380945</v>
      </c>
      <c r="BT29" s="24">
        <f t="shared" si="136"/>
        <v>163.48547368421043</v>
      </c>
      <c r="BU29" s="24">
        <f t="shared" si="137"/>
        <v>73.284412719013588</v>
      </c>
      <c r="BV29" s="24">
        <f t="shared" si="138"/>
        <v>33.930105263157877</v>
      </c>
      <c r="BW29" s="334">
        <f t="shared" si="139"/>
        <v>117.1999999999999</v>
      </c>
      <c r="BX29" s="24">
        <f t="shared" si="140"/>
        <v>167.11661521739123</v>
      </c>
      <c r="BY29" s="24">
        <f t="shared" si="141"/>
        <v>258.40835999999985</v>
      </c>
      <c r="BZ29" s="24">
        <f t="shared" si="142"/>
        <v>363.47425714285691</v>
      </c>
      <c r="CA29" s="24">
        <f t="shared" si="143"/>
        <v>147.94384189723309</v>
      </c>
      <c r="CB29" s="24">
        <f t="shared" si="144"/>
        <v>368.38184181818167</v>
      </c>
      <c r="CC29" s="24">
        <f t="shared" si="145"/>
        <v>103.10214095238088</v>
      </c>
      <c r="CD29" s="24">
        <f t="shared" si="146"/>
        <v>166.08259636363624</v>
      </c>
      <c r="CE29" s="24">
        <f t="shared" si="147"/>
        <v>186.22556031746018</v>
      </c>
      <c r="CF29" s="24">
        <f t="shared" si="148"/>
        <v>217.83699904306209</v>
      </c>
      <c r="CG29" s="24">
        <f t="shared" si="149"/>
        <v>106.85721219987018</v>
      </c>
      <c r="CH29" s="24">
        <f t="shared" si="150"/>
        <v>47.14846315789471</v>
      </c>
      <c r="CI29" s="334">
        <f t="shared" si="151"/>
        <v>149.37967963386717</v>
      </c>
      <c r="CJ29" s="24">
        <f t="shared" si="152"/>
        <v>257.10255999999981</v>
      </c>
      <c r="CK29" s="24">
        <f t="shared" si="153"/>
        <v>345.98447999999956</v>
      </c>
      <c r="CL29" s="24">
        <f t="shared" si="154"/>
        <v>487.51729714285659</v>
      </c>
      <c r="CM29" s="24">
        <f t="shared" si="155"/>
        <v>218.15309976284559</v>
      </c>
      <c r="CN29" s="24">
        <f t="shared" si="156"/>
        <v>515.8741467272722</v>
      </c>
      <c r="CO29" s="24">
        <f t="shared" si="157"/>
        <v>139.14595199999977</v>
      </c>
      <c r="CP29" s="24">
        <f t="shared" si="158"/>
        <v>244.43952228571391</v>
      </c>
      <c r="CQ29" s="24">
        <f t="shared" si="159"/>
        <v>262.57266936507892</v>
      </c>
      <c r="CR29" s="24">
        <f t="shared" si="160"/>
        <v>293.89813588516699</v>
      </c>
      <c r="CS29" s="24">
        <f t="shared" si="161"/>
        <v>159.02039999999977</v>
      </c>
      <c r="CT29" s="24">
        <f t="shared" si="162"/>
        <v>67.422585263157785</v>
      </c>
      <c r="CU29" s="334">
        <f t="shared" si="163"/>
        <v>213.26427459954195</v>
      </c>
      <c r="CV29" s="24">
        <f t="shared" si="164"/>
        <v>364.69650066666605</v>
      </c>
      <c r="CW29" s="24">
        <f t="shared" si="165"/>
        <v>489.41827199999909</v>
      </c>
      <c r="CX29" s="24">
        <f t="shared" si="166"/>
        <v>656.57413799999892</v>
      </c>
      <c r="CY29" s="24">
        <f t="shared" si="167"/>
        <v>321.63092313043416</v>
      </c>
      <c r="CZ29" s="24">
        <f t="shared" si="168"/>
        <v>726.55041905454402</v>
      </c>
      <c r="DA29" s="24">
        <f t="shared" si="169"/>
        <v>186.40793599999955</v>
      </c>
      <c r="DB29" s="24">
        <f t="shared" si="170"/>
        <v>360.68470339740179</v>
      </c>
      <c r="DC29" s="24">
        <f t="shared" si="171"/>
        <v>354.41990606349128</v>
      </c>
      <c r="DD29" s="24">
        <f t="shared" si="172"/>
        <v>434.58643199999915</v>
      </c>
      <c r="DE29" s="24">
        <f t="shared" si="173"/>
        <v>223.69736597014881</v>
      </c>
      <c r="DF29" s="24">
        <f t="shared" si="174"/>
        <v>90.255828057416068</v>
      </c>
      <c r="DG29" s="25">
        <f t="shared" si="175"/>
        <v>313.08966224256216</v>
      </c>
    </row>
    <row r="30" spans="1:111" ht="18.75" x14ac:dyDescent="0.25">
      <c r="A30" s="36"/>
      <c r="B30" s="36"/>
      <c r="C30" s="496" t="s">
        <v>290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526"/>
      <c r="AB30" s="324"/>
      <c r="AC30" s="324"/>
      <c r="AD30" s="324"/>
      <c r="AE30" s="324"/>
      <c r="AF30" s="324"/>
      <c r="AG30" s="324"/>
      <c r="AH30" s="324"/>
      <c r="AI30" s="324">
        <v>12.25</v>
      </c>
      <c r="AJ30" s="324">
        <v>15.25</v>
      </c>
      <c r="AK30" s="324">
        <v>21.5</v>
      </c>
      <c r="AL30" s="324">
        <v>1.75</v>
      </c>
      <c r="AM30" s="531">
        <v>0</v>
      </c>
      <c r="AN30" s="324">
        <v>0</v>
      </c>
      <c r="AO30" s="324">
        <v>3.75</v>
      </c>
      <c r="AP30" s="324"/>
      <c r="AQ30" s="324"/>
      <c r="AR30" s="324">
        <v>2.25</v>
      </c>
      <c r="AS30" s="324">
        <v>5.5</v>
      </c>
      <c r="AT30" s="324">
        <v>8.75</v>
      </c>
      <c r="AU30" s="324">
        <v>12.25</v>
      </c>
      <c r="AV30" s="324">
        <v>16.75</v>
      </c>
      <c r="AW30" s="596">
        <f>17+1.25</f>
        <v>18.25</v>
      </c>
      <c r="AX30" s="720">
        <f t="shared" si="123"/>
        <v>2.3361244019138758</v>
      </c>
      <c r="AY30" s="25">
        <f t="shared" si="123"/>
        <v>0</v>
      </c>
      <c r="AZ30" s="24">
        <f t="shared" si="123"/>
        <v>0</v>
      </c>
      <c r="BA30" s="24">
        <f t="shared" si="123"/>
        <v>8.4267857142857157</v>
      </c>
      <c r="BB30" s="24">
        <f t="shared" si="123"/>
        <v>0</v>
      </c>
      <c r="BC30" s="24">
        <f t="shared" si="123"/>
        <v>0</v>
      </c>
      <c r="BD30" s="24">
        <f t="shared" si="123"/>
        <v>5.9019545454545455</v>
      </c>
      <c r="BE30" s="24">
        <f t="shared" si="123"/>
        <v>10.758628571428568</v>
      </c>
      <c r="BF30" s="24">
        <f t="shared" si="123"/>
        <v>12.095909090909085</v>
      </c>
      <c r="BG30" s="24">
        <f t="shared" si="123"/>
        <v>13.750624999999996</v>
      </c>
      <c r="BH30" s="24">
        <f t="shared" si="124"/>
        <v>18.654210526315783</v>
      </c>
      <c r="BI30" s="24">
        <f t="shared" si="125"/>
        <v>17.508630759247236</v>
      </c>
      <c r="BJ30" s="24">
        <f t="shared" si="126"/>
        <v>2.9030741626794252</v>
      </c>
      <c r="BK30" s="334">
        <f t="shared" si="127"/>
        <v>0</v>
      </c>
      <c r="BL30" s="24">
        <f t="shared" si="128"/>
        <v>0</v>
      </c>
      <c r="BM30" s="24">
        <f t="shared" si="129"/>
        <v>10.517142857142852</v>
      </c>
      <c r="BN30" s="24">
        <f t="shared" si="130"/>
        <v>0</v>
      </c>
      <c r="BO30" s="24">
        <f t="shared" si="131"/>
        <v>0</v>
      </c>
      <c r="BP30" s="24">
        <f t="shared" si="132"/>
        <v>8.0952136363636331</v>
      </c>
      <c r="BQ30" s="24">
        <f t="shared" si="133"/>
        <v>14.886918095238084</v>
      </c>
      <c r="BR30" s="24">
        <f t="shared" si="134"/>
        <v>16.007999999999988</v>
      </c>
      <c r="BS30" s="24">
        <f t="shared" si="135"/>
        <v>19.910916666666655</v>
      </c>
      <c r="BT30" s="24">
        <f t="shared" si="136"/>
        <v>25.833789473684199</v>
      </c>
      <c r="BU30" s="24">
        <f t="shared" si="137"/>
        <v>23.159143413367932</v>
      </c>
      <c r="BV30" s="24">
        <f t="shared" si="138"/>
        <v>4.2412631578947346</v>
      </c>
      <c r="BW30" s="334">
        <f t="shared" si="139"/>
        <v>0</v>
      </c>
      <c r="BX30" s="24">
        <f t="shared" si="140"/>
        <v>0</v>
      </c>
      <c r="BY30" s="24">
        <f t="shared" si="141"/>
        <v>15.381449999999992</v>
      </c>
      <c r="BZ30" s="24">
        <f t="shared" si="142"/>
        <v>0</v>
      </c>
      <c r="CA30" s="24">
        <f t="shared" si="143"/>
        <v>0</v>
      </c>
      <c r="CB30" s="24">
        <f t="shared" si="144"/>
        <v>12.417365454545449</v>
      </c>
      <c r="CC30" s="24">
        <f t="shared" si="145"/>
        <v>20.620428190476176</v>
      </c>
      <c r="CD30" s="24">
        <f t="shared" si="146"/>
        <v>21.449781818181798</v>
      </c>
      <c r="CE30" s="24">
        <f t="shared" si="147"/>
        <v>29.153522222222204</v>
      </c>
      <c r="CF30" s="24">
        <f t="shared" si="148"/>
        <v>34.422355980861226</v>
      </c>
      <c r="CG30" s="24">
        <f t="shared" si="149"/>
        <v>33.768729396495772</v>
      </c>
      <c r="CH30" s="24">
        <f t="shared" si="150"/>
        <v>5.8935578947368388</v>
      </c>
      <c r="CI30" s="334">
        <f t="shared" si="151"/>
        <v>0</v>
      </c>
      <c r="CJ30" s="24">
        <f t="shared" si="152"/>
        <v>0</v>
      </c>
      <c r="CK30" s="24">
        <f t="shared" si="153"/>
        <v>20.594314285714265</v>
      </c>
      <c r="CL30" s="24">
        <f t="shared" si="154"/>
        <v>0</v>
      </c>
      <c r="CM30" s="24">
        <f t="shared" si="155"/>
        <v>0</v>
      </c>
      <c r="CN30" s="24">
        <f t="shared" si="156"/>
        <v>17.389016181818164</v>
      </c>
      <c r="CO30" s="24">
        <f t="shared" si="157"/>
        <v>27.829190399999955</v>
      </c>
      <c r="CP30" s="24">
        <f t="shared" si="158"/>
        <v>31.569679999999941</v>
      </c>
      <c r="CQ30" s="24">
        <f t="shared" si="159"/>
        <v>41.105625555555491</v>
      </c>
      <c r="CR30" s="24">
        <f t="shared" si="160"/>
        <v>46.441450717703276</v>
      </c>
      <c r="CS30" s="24">
        <f t="shared" si="161"/>
        <v>50.253199999999936</v>
      </c>
      <c r="CT30" s="24">
        <f t="shared" si="162"/>
        <v>8.4278231578947231</v>
      </c>
      <c r="CU30" s="334">
        <f t="shared" si="163"/>
        <v>0</v>
      </c>
      <c r="CV30" s="24">
        <f t="shared" si="164"/>
        <v>0</v>
      </c>
      <c r="CW30" s="24">
        <f t="shared" si="165"/>
        <v>29.13203999999995</v>
      </c>
      <c r="CX30" s="24">
        <f t="shared" si="166"/>
        <v>0</v>
      </c>
      <c r="CY30" s="24">
        <f t="shared" si="167"/>
        <v>0</v>
      </c>
      <c r="CZ30" s="24">
        <f t="shared" si="168"/>
        <v>24.490463563636315</v>
      </c>
      <c r="DA30" s="24">
        <f t="shared" si="169"/>
        <v>37.281587199999912</v>
      </c>
      <c r="DB30" s="24">
        <f t="shared" si="170"/>
        <v>46.582895272727157</v>
      </c>
      <c r="DC30" s="24">
        <f t="shared" si="171"/>
        <v>55.484266444444323</v>
      </c>
      <c r="DD30" s="24">
        <f t="shared" si="172"/>
        <v>68.672855999999868</v>
      </c>
      <c r="DE30" s="24">
        <f t="shared" si="173"/>
        <v>70.69224119402972</v>
      </c>
      <c r="DF30" s="24">
        <f t="shared" si="174"/>
        <v>11.281978507177008</v>
      </c>
      <c r="DG30" s="25">
        <f t="shared" si="175"/>
        <v>0</v>
      </c>
    </row>
    <row r="31" spans="1:111" ht="18.75" x14ac:dyDescent="0.25">
      <c r="A31" s="36"/>
      <c r="B31" s="36"/>
      <c r="C31" s="496" t="s">
        <v>298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49">
        <v>3</v>
      </c>
      <c r="Q31" s="49">
        <v>0</v>
      </c>
      <c r="R31" s="49">
        <v>0</v>
      </c>
      <c r="S31" s="49">
        <v>1</v>
      </c>
      <c r="T31" s="49">
        <v>0</v>
      </c>
      <c r="U31" s="49">
        <v>1.25</v>
      </c>
      <c r="V31" s="49">
        <v>7.25</v>
      </c>
      <c r="W31" s="49">
        <v>27</v>
      </c>
      <c r="X31" s="49">
        <v>45.25</v>
      </c>
      <c r="Y31" s="49">
        <v>55.25</v>
      </c>
      <c r="Z31" s="49">
        <v>17.75</v>
      </c>
      <c r="AA31" s="526">
        <v>0.75</v>
      </c>
      <c r="AB31" s="324">
        <v>3.25</v>
      </c>
      <c r="AC31" s="324">
        <v>2.25</v>
      </c>
      <c r="AD31" s="324">
        <v>4</v>
      </c>
      <c r="AE31" s="324">
        <v>0.5</v>
      </c>
      <c r="AF31" s="324">
        <v>1.25</v>
      </c>
      <c r="AG31" s="324">
        <v>20</v>
      </c>
      <c r="AH31" s="324">
        <v>52</v>
      </c>
      <c r="AI31" s="324">
        <v>68.75</v>
      </c>
      <c r="AJ31" s="324">
        <v>101.25</v>
      </c>
      <c r="AK31" s="324">
        <v>157.5</v>
      </c>
      <c r="AL31" s="324">
        <v>93</v>
      </c>
      <c r="AM31" s="531">
        <v>29.75</v>
      </c>
      <c r="AN31" s="324">
        <f>15+9.25+15.25</f>
        <v>39.5</v>
      </c>
      <c r="AO31" s="324">
        <v>19.25</v>
      </c>
      <c r="AP31" s="587">
        <v>5.75</v>
      </c>
      <c r="AQ31" s="324">
        <v>4.75</v>
      </c>
      <c r="AR31" s="324">
        <v>3</v>
      </c>
      <c r="AS31" s="324">
        <v>30</v>
      </c>
      <c r="AT31" s="324">
        <v>61</v>
      </c>
      <c r="AU31" s="324">
        <v>82.75</v>
      </c>
      <c r="AV31" s="324">
        <v>117.25</v>
      </c>
      <c r="AW31" s="596">
        <v>207.5</v>
      </c>
      <c r="AX31" s="720">
        <f>+IFERROR(AX$26*(AL31/AL$26), 0)-50</f>
        <v>74.148325358851679</v>
      </c>
      <c r="AY31" s="25">
        <f t="shared" si="123"/>
        <v>82.34691075514877</v>
      </c>
      <c r="AZ31" s="24">
        <f t="shared" si="123"/>
        <v>90.237463768115944</v>
      </c>
      <c r="BA31" s="24">
        <f t="shared" si="123"/>
        <v>43.257500000000007</v>
      </c>
      <c r="BB31" s="24">
        <f t="shared" si="123"/>
        <v>14.969166666666666</v>
      </c>
      <c r="BC31" s="24">
        <f t="shared" si="123"/>
        <v>11.226521739130433</v>
      </c>
      <c r="BD31" s="24">
        <f t="shared" si="123"/>
        <v>7.8692727272727279</v>
      </c>
      <c r="BE31" s="24">
        <f t="shared" si="123"/>
        <v>58.683428571428557</v>
      </c>
      <c r="BF31" s="24">
        <f t="shared" si="123"/>
        <v>84.325766233766203</v>
      </c>
      <c r="BG31" s="24">
        <f t="shared" si="123"/>
        <v>92.886874999999975</v>
      </c>
      <c r="BH31" s="24">
        <f t="shared" si="124"/>
        <v>130.57947368421048</v>
      </c>
      <c r="BI31" s="24">
        <f t="shared" si="125"/>
        <v>199.0707332900713</v>
      </c>
      <c r="BJ31" s="24">
        <f t="shared" si="126"/>
        <v>92.143246900241792</v>
      </c>
      <c r="BK31" s="334">
        <f t="shared" si="127"/>
        <v>100.02263157894733</v>
      </c>
      <c r="BL31" s="24">
        <f t="shared" si="128"/>
        <v>100.81430434782604</v>
      </c>
      <c r="BM31" s="24">
        <f t="shared" si="129"/>
        <v>53.987999999999978</v>
      </c>
      <c r="BN31" s="24">
        <f t="shared" si="130"/>
        <v>20.135587301587293</v>
      </c>
      <c r="BO31" s="24">
        <f t="shared" si="131"/>
        <v>14.85799999999999</v>
      </c>
      <c r="BP31" s="24">
        <f t="shared" si="132"/>
        <v>10.793618181818179</v>
      </c>
      <c r="BQ31" s="24">
        <f t="shared" si="133"/>
        <v>81.201371428571363</v>
      </c>
      <c r="BR31" s="24">
        <f t="shared" si="134"/>
        <v>111.59862857142851</v>
      </c>
      <c r="BS31" s="24">
        <f t="shared" si="135"/>
        <v>134.50027380952375</v>
      </c>
      <c r="BT31" s="24">
        <f t="shared" si="136"/>
        <v>180.8365263157894</v>
      </c>
      <c r="BU31" s="24">
        <f t="shared" si="137"/>
        <v>263.31628812459428</v>
      </c>
      <c r="BV31" s="24">
        <f t="shared" si="138"/>
        <v>134.61721486511973</v>
      </c>
      <c r="BW31" s="334">
        <f t="shared" si="139"/>
        <v>139.4679999999999</v>
      </c>
      <c r="BX31" s="24">
        <f t="shared" si="140"/>
        <v>141.20013478260864</v>
      </c>
      <c r="BY31" s="24">
        <f t="shared" si="141"/>
        <v>78.958109999999962</v>
      </c>
      <c r="BZ31" s="24">
        <f t="shared" si="142"/>
        <v>28.147838095238079</v>
      </c>
      <c r="CA31" s="24">
        <f t="shared" si="143"/>
        <v>18.992790513833977</v>
      </c>
      <c r="CB31" s="24">
        <f t="shared" si="144"/>
        <v>16.556487272727267</v>
      </c>
      <c r="CC31" s="24">
        <f t="shared" si="145"/>
        <v>112.47506285714277</v>
      </c>
      <c r="CD31" s="24">
        <f t="shared" si="146"/>
        <v>149.53562181818168</v>
      </c>
      <c r="CE31" s="24">
        <f t="shared" si="147"/>
        <v>196.93501746031737</v>
      </c>
      <c r="CF31" s="24">
        <f t="shared" si="148"/>
        <v>240.95649186602861</v>
      </c>
      <c r="CG31" s="24">
        <f t="shared" si="149"/>
        <v>383.94582738481489</v>
      </c>
      <c r="CH31" s="24">
        <f t="shared" si="150"/>
        <v>187.06086368609689</v>
      </c>
      <c r="CI31" s="334">
        <f t="shared" si="151"/>
        <v>177.76181876430198</v>
      </c>
      <c r="CJ31" s="24">
        <f t="shared" si="152"/>
        <v>217.23103999999987</v>
      </c>
      <c r="CK31" s="24">
        <f t="shared" si="153"/>
        <v>105.7174799999999</v>
      </c>
      <c r="CL31" s="24">
        <f t="shared" si="154"/>
        <v>37.753864761904723</v>
      </c>
      <c r="CM31" s="24">
        <f t="shared" si="155"/>
        <v>28.006141185770712</v>
      </c>
      <c r="CN31" s="24">
        <f t="shared" si="156"/>
        <v>23.185354909090886</v>
      </c>
      <c r="CO31" s="24">
        <f t="shared" si="157"/>
        <v>151.79558399999974</v>
      </c>
      <c r="CP31" s="24">
        <f t="shared" si="158"/>
        <v>220.08576914285675</v>
      </c>
      <c r="CQ31" s="24">
        <f t="shared" si="159"/>
        <v>277.67269507936464</v>
      </c>
      <c r="CR31" s="24">
        <f t="shared" si="160"/>
        <v>325.09015502392293</v>
      </c>
      <c r="CS31" s="24">
        <f t="shared" si="161"/>
        <v>571.37199999999916</v>
      </c>
      <c r="CT31" s="24">
        <f t="shared" si="162"/>
        <v>267.49815766081832</v>
      </c>
      <c r="CU31" s="334">
        <f t="shared" si="163"/>
        <v>253.784486773455</v>
      </c>
      <c r="CV31" s="24">
        <f t="shared" si="164"/>
        <v>308.13928933333284</v>
      </c>
      <c r="CW31" s="24">
        <f t="shared" si="165"/>
        <v>149.54447199999976</v>
      </c>
      <c r="CX31" s="24">
        <f t="shared" si="166"/>
        <v>50.845808666666585</v>
      </c>
      <c r="CY31" s="24">
        <f t="shared" si="167"/>
        <v>41.290456347826009</v>
      </c>
      <c r="CZ31" s="24">
        <f t="shared" si="168"/>
        <v>32.653951418181755</v>
      </c>
      <c r="DA31" s="24">
        <f t="shared" si="169"/>
        <v>203.3541119999995</v>
      </c>
      <c r="DB31" s="24">
        <f t="shared" si="170"/>
        <v>324.74932704415505</v>
      </c>
      <c r="DC31" s="24">
        <f t="shared" si="171"/>
        <v>374.80188149206265</v>
      </c>
      <c r="DD31" s="24">
        <f t="shared" si="172"/>
        <v>480.70999199999909</v>
      </c>
      <c r="DE31" s="24">
        <f t="shared" si="173"/>
        <v>803.76109850746116</v>
      </c>
      <c r="DF31" s="24">
        <f t="shared" si="174"/>
        <v>358.08872693440276</v>
      </c>
      <c r="DG31" s="25">
        <f t="shared" si="175"/>
        <v>372.57669806864908</v>
      </c>
    </row>
    <row r="32" spans="1:111" ht="18.75" x14ac:dyDescent="0.25">
      <c r="A32" s="36"/>
      <c r="B32" s="36"/>
      <c r="C32" s="496" t="s">
        <v>283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49">
        <v>1.83</v>
      </c>
      <c r="Q32" s="49">
        <v>8</v>
      </c>
      <c r="R32" s="49">
        <v>2.75</v>
      </c>
      <c r="S32" s="49">
        <v>1</v>
      </c>
      <c r="T32" s="49">
        <v>5.25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2</v>
      </c>
      <c r="AA32" s="526">
        <v>2</v>
      </c>
      <c r="AB32" s="324">
        <v>1</v>
      </c>
      <c r="AC32" s="324">
        <v>1</v>
      </c>
      <c r="AD32" s="324">
        <v>6</v>
      </c>
      <c r="AE32" s="324">
        <v>5</v>
      </c>
      <c r="AF32" s="324">
        <v>0</v>
      </c>
      <c r="AG32" s="324">
        <v>1</v>
      </c>
      <c r="AH32" s="324">
        <v>0</v>
      </c>
      <c r="AI32" s="324">
        <v>0</v>
      </c>
      <c r="AJ32" s="324">
        <v>0</v>
      </c>
      <c r="AK32" s="324">
        <v>0</v>
      </c>
      <c r="AL32" s="324">
        <v>0</v>
      </c>
      <c r="AM32" s="531">
        <v>0</v>
      </c>
      <c r="AN32" s="324">
        <v>3</v>
      </c>
      <c r="AO32" s="324">
        <v>2</v>
      </c>
      <c r="AP32" s="324"/>
      <c r="AQ32" s="324">
        <v>1</v>
      </c>
      <c r="AR32" s="324"/>
      <c r="AS32" s="324"/>
      <c r="AT32" s="324"/>
      <c r="AU32" s="324"/>
      <c r="AV32" s="324"/>
      <c r="AW32" s="596"/>
      <c r="AX32" s="24">
        <f>+IFERROR(AX$26*(AL32/AL$26), 0)</f>
        <v>0</v>
      </c>
      <c r="AY32" s="25">
        <f t="shared" si="123"/>
        <v>0</v>
      </c>
      <c r="AZ32" s="24">
        <f t="shared" si="123"/>
        <v>6.853478260869565</v>
      </c>
      <c r="BA32" s="24">
        <f t="shared" si="123"/>
        <v>4.4942857142857147</v>
      </c>
      <c r="BB32" s="24">
        <f t="shared" si="123"/>
        <v>0</v>
      </c>
      <c r="BC32" s="24">
        <f t="shared" si="123"/>
        <v>2.3634782608695653</v>
      </c>
      <c r="BD32" s="24">
        <f t="shared" si="123"/>
        <v>0</v>
      </c>
      <c r="BE32" s="24">
        <f t="shared" si="123"/>
        <v>0</v>
      </c>
      <c r="BF32" s="24">
        <f t="shared" si="123"/>
        <v>0</v>
      </c>
      <c r="BG32" s="24">
        <f t="shared" si="123"/>
        <v>0</v>
      </c>
      <c r="BH32" s="24">
        <f t="shared" si="124"/>
        <v>0</v>
      </c>
      <c r="BI32" s="24">
        <f t="shared" si="125"/>
        <v>0</v>
      </c>
      <c r="BJ32" s="24">
        <f t="shared" si="126"/>
        <v>0</v>
      </c>
      <c r="BK32" s="334">
        <f t="shared" si="127"/>
        <v>0</v>
      </c>
      <c r="BL32" s="24">
        <f t="shared" si="128"/>
        <v>7.6567826086956492</v>
      </c>
      <c r="BM32" s="24">
        <f t="shared" si="129"/>
        <v>5.6091428571428548</v>
      </c>
      <c r="BN32" s="24">
        <f t="shared" si="130"/>
        <v>0</v>
      </c>
      <c r="BO32" s="24">
        <f t="shared" si="131"/>
        <v>3.1279999999999983</v>
      </c>
      <c r="BP32" s="24">
        <f t="shared" si="132"/>
        <v>0</v>
      </c>
      <c r="BQ32" s="24">
        <f t="shared" si="133"/>
        <v>0</v>
      </c>
      <c r="BR32" s="24">
        <f t="shared" si="134"/>
        <v>0</v>
      </c>
      <c r="BS32" s="24">
        <f t="shared" si="135"/>
        <v>0</v>
      </c>
      <c r="BT32" s="24">
        <f t="shared" si="136"/>
        <v>0</v>
      </c>
      <c r="BU32" s="24">
        <f t="shared" si="137"/>
        <v>0</v>
      </c>
      <c r="BV32" s="24">
        <f t="shared" si="138"/>
        <v>0</v>
      </c>
      <c r="BW32" s="334">
        <f t="shared" si="139"/>
        <v>0</v>
      </c>
      <c r="BX32" s="24">
        <f t="shared" si="140"/>
        <v>10.724060869565214</v>
      </c>
      <c r="BY32" s="24">
        <f t="shared" si="141"/>
        <v>8.203439999999997</v>
      </c>
      <c r="BZ32" s="24">
        <f t="shared" si="142"/>
        <v>0</v>
      </c>
      <c r="CA32" s="24">
        <f t="shared" si="143"/>
        <v>3.9984822134387326</v>
      </c>
      <c r="CB32" s="24">
        <f t="shared" si="144"/>
        <v>0</v>
      </c>
      <c r="CC32" s="24">
        <f t="shared" si="145"/>
        <v>0</v>
      </c>
      <c r="CD32" s="24">
        <f t="shared" si="146"/>
        <v>0</v>
      </c>
      <c r="CE32" s="24">
        <f t="shared" si="147"/>
        <v>0</v>
      </c>
      <c r="CF32" s="24">
        <f t="shared" si="148"/>
        <v>0</v>
      </c>
      <c r="CG32" s="24">
        <f t="shared" si="149"/>
        <v>0</v>
      </c>
      <c r="CH32" s="24">
        <f t="shared" si="150"/>
        <v>0</v>
      </c>
      <c r="CI32" s="334">
        <f t="shared" si="151"/>
        <v>0</v>
      </c>
      <c r="CJ32" s="24">
        <f t="shared" si="152"/>
        <v>16.498559999999991</v>
      </c>
      <c r="CK32" s="24">
        <f t="shared" si="153"/>
        <v>10.983634285714277</v>
      </c>
      <c r="CL32" s="24">
        <f t="shared" si="154"/>
        <v>0</v>
      </c>
      <c r="CM32" s="24">
        <f t="shared" si="155"/>
        <v>5.8960297233201509</v>
      </c>
      <c r="CN32" s="24">
        <f t="shared" si="156"/>
        <v>0</v>
      </c>
      <c r="CO32" s="24">
        <f t="shared" si="157"/>
        <v>0</v>
      </c>
      <c r="CP32" s="24">
        <f t="shared" si="158"/>
        <v>0</v>
      </c>
      <c r="CQ32" s="24">
        <f t="shared" si="159"/>
        <v>0</v>
      </c>
      <c r="CR32" s="24">
        <f t="shared" si="160"/>
        <v>0</v>
      </c>
      <c r="CS32" s="24">
        <f t="shared" si="161"/>
        <v>0</v>
      </c>
      <c r="CT32" s="24">
        <f t="shared" si="162"/>
        <v>0</v>
      </c>
      <c r="CU32" s="334">
        <f t="shared" si="163"/>
        <v>0</v>
      </c>
      <c r="CV32" s="24">
        <f t="shared" si="164"/>
        <v>23.402983999999964</v>
      </c>
      <c r="CW32" s="24">
        <f t="shared" si="165"/>
        <v>15.537087999999978</v>
      </c>
      <c r="CX32" s="24">
        <f t="shared" si="166"/>
        <v>0</v>
      </c>
      <c r="CY32" s="24">
        <f t="shared" si="167"/>
        <v>8.6927276521738968</v>
      </c>
      <c r="CZ32" s="24">
        <f t="shared" si="168"/>
        <v>0</v>
      </c>
      <c r="DA32" s="24">
        <f t="shared" si="169"/>
        <v>0</v>
      </c>
      <c r="DB32" s="24">
        <f t="shared" si="170"/>
        <v>0</v>
      </c>
      <c r="DC32" s="24">
        <f t="shared" si="171"/>
        <v>0</v>
      </c>
      <c r="DD32" s="24">
        <f t="shared" si="172"/>
        <v>0</v>
      </c>
      <c r="DE32" s="24">
        <f t="shared" si="173"/>
        <v>0</v>
      </c>
      <c r="DF32" s="24">
        <f t="shared" si="174"/>
        <v>0</v>
      </c>
      <c r="DG32" s="25">
        <f t="shared" si="175"/>
        <v>0</v>
      </c>
    </row>
    <row r="33" spans="1:111" s="3" customFormat="1" ht="18.75" x14ac:dyDescent="0.25">
      <c r="A33" s="36"/>
      <c r="B33" s="36"/>
      <c r="C33" s="496" t="s">
        <v>64</v>
      </c>
      <c r="D33" s="26"/>
      <c r="E33" s="26">
        <f t="shared" ref="E33:O33" si="176">+E14/(E26+E27)</f>
        <v>0</v>
      </c>
      <c r="F33" s="26">
        <f t="shared" si="176"/>
        <v>0</v>
      </c>
      <c r="G33" s="26">
        <f t="shared" si="176"/>
        <v>0</v>
      </c>
      <c r="H33" s="26">
        <f t="shared" si="176"/>
        <v>0</v>
      </c>
      <c r="I33" s="26">
        <f t="shared" si="176"/>
        <v>0</v>
      </c>
      <c r="J33" s="26">
        <f t="shared" si="176"/>
        <v>0</v>
      </c>
      <c r="K33" s="26">
        <f t="shared" si="176"/>
        <v>50</v>
      </c>
      <c r="L33" s="26">
        <f t="shared" si="176"/>
        <v>44.329896907216494</v>
      </c>
      <c r="M33" s="26">
        <f t="shared" si="176"/>
        <v>52.291666666666664</v>
      </c>
      <c r="N33" s="26">
        <f t="shared" si="176"/>
        <v>46.966292134831463</v>
      </c>
      <c r="O33" s="26">
        <f t="shared" si="176"/>
        <v>70.08620689655173</v>
      </c>
      <c r="P33" s="26">
        <f>+P14/(P26)</f>
        <v>58.71591340676035</v>
      </c>
      <c r="Q33" s="26">
        <f t="shared" ref="Q33:AC33" si="177">+Q14/(Q26)</f>
        <v>59.094117647058823</v>
      </c>
      <c r="R33" s="26">
        <f t="shared" si="177"/>
        <v>57.464285714285715</v>
      </c>
      <c r="S33" s="26">
        <f>+S14/(S26+SUM(Q27:S27))</f>
        <v>46.329230769230769</v>
      </c>
      <c r="T33" s="26">
        <f t="shared" si="177"/>
        <v>58.862248520710054</v>
      </c>
      <c r="U33" s="26">
        <f>+U14/(U26)</f>
        <v>48.65309523809524</v>
      </c>
      <c r="V33" s="26">
        <f>+V14/(V26+(SUM($T$27:$V$27)/2))</f>
        <v>53.5</v>
      </c>
      <c r="W33" s="26">
        <f>+W14/(W26+(SUM($T$27:$V$27)/2))</f>
        <v>67.096303317535543</v>
      </c>
      <c r="X33" s="26">
        <f t="shared" si="177"/>
        <v>67.096475095785436</v>
      </c>
      <c r="Y33" s="26">
        <f t="shared" si="177"/>
        <v>60.156844036697251</v>
      </c>
      <c r="Z33" s="26">
        <f t="shared" si="177"/>
        <v>58.787142857142854</v>
      </c>
      <c r="AA33" s="532">
        <f t="shared" si="177"/>
        <v>62.159420289855071</v>
      </c>
      <c r="AB33" s="26">
        <f>+AB14/(AB26)</f>
        <v>66.711111111111109</v>
      </c>
      <c r="AC33" s="26">
        <f t="shared" si="177"/>
        <v>58.489932885906043</v>
      </c>
      <c r="AD33" s="26">
        <f t="shared" ref="AD33:AI33" si="178">+AD14/(AD26)</f>
        <v>57.751037344398341</v>
      </c>
      <c r="AE33" s="26">
        <f t="shared" si="178"/>
        <v>57.605734767025091</v>
      </c>
      <c r="AF33" s="26">
        <f t="shared" si="178"/>
        <v>60.559553072625697</v>
      </c>
      <c r="AG33" s="26">
        <f t="shared" si="178"/>
        <v>72.407731092436975</v>
      </c>
      <c r="AH33" s="26">
        <f t="shared" si="178"/>
        <v>66.746887661141812</v>
      </c>
      <c r="AI33" s="26">
        <f t="shared" si="178"/>
        <v>63.635896279594135</v>
      </c>
      <c r="AJ33" s="26">
        <f t="shared" ref="AJ33:AL33" si="179">+AJ14/(AJ26)</f>
        <v>69.092495636998251</v>
      </c>
      <c r="AK33" s="26">
        <f t="shared" si="179"/>
        <v>82.199527744982291</v>
      </c>
      <c r="AL33" s="26">
        <f t="shared" si="179"/>
        <v>80.618947368421047</v>
      </c>
      <c r="AM33" s="532">
        <f t="shared" ref="AM33:AN33" si="180">+AM14/(AM26)</f>
        <v>82.772908366533869</v>
      </c>
      <c r="AN33" s="26">
        <f t="shared" si="180"/>
        <v>70.433155080213908</v>
      </c>
      <c r="AO33" s="26">
        <f t="shared" ref="AO33:AP33" si="181">+AO14/(AO26)</f>
        <v>80.318019801980199</v>
      </c>
      <c r="AP33" s="26">
        <f t="shared" si="181"/>
        <v>76.441492537313437</v>
      </c>
      <c r="AQ33" s="26">
        <f t="shared" ref="AQ33:AR33" si="182">+AQ14/(AQ26)</f>
        <v>78.66492146596859</v>
      </c>
      <c r="AR33" s="26">
        <f t="shared" si="182"/>
        <v>79.795379537953792</v>
      </c>
      <c r="AS33" s="26">
        <f t="shared" ref="AS33:AT33" si="183">+AS14/(AS26)</f>
        <v>109.77777777777777</v>
      </c>
      <c r="AT33" s="26">
        <f t="shared" si="183"/>
        <v>106.83363148479428</v>
      </c>
      <c r="AU33" s="26">
        <f t="shared" ref="AU33:AV33" si="184">+AU14/(AU26)</f>
        <v>110.8780487804878</v>
      </c>
      <c r="AV33" s="26">
        <f t="shared" si="184"/>
        <v>109.18997107039537</v>
      </c>
      <c r="AW33" s="597">
        <f t="shared" ref="AW33" si="185">+AW14/(AW26)</f>
        <v>127.80237012987014</v>
      </c>
      <c r="AX33" s="720">
        <f>+AX14/(AX26)</f>
        <v>80.633466134137365</v>
      </c>
      <c r="AY33" s="28">
        <f t="shared" ref="AY33:CS33" si="186">+AY14/(AY26)</f>
        <v>103.88480725005353</v>
      </c>
      <c r="AZ33" s="27">
        <f t="shared" si="186"/>
        <v>100.28972416057449</v>
      </c>
      <c r="BA33" s="27">
        <f t="shared" si="186"/>
        <v>88.740992951817731</v>
      </c>
      <c r="BB33" s="27">
        <f t="shared" si="186"/>
        <v>78.765376000906414</v>
      </c>
      <c r="BC33" s="27">
        <f t="shared" si="186"/>
        <v>80.99640966090189</v>
      </c>
      <c r="BD33" s="27">
        <f t="shared" si="186"/>
        <v>79.494032341712355</v>
      </c>
      <c r="BE33" s="27">
        <f t="shared" si="186"/>
        <v>109.27085532018275</v>
      </c>
      <c r="BF33" s="27">
        <f t="shared" si="186"/>
        <v>105.39128505852428</v>
      </c>
      <c r="BG33" s="27">
        <f t="shared" si="186"/>
        <v>106.3432805018697</v>
      </c>
      <c r="BH33" s="27">
        <f t="shared" si="186"/>
        <v>106.4620089815176</v>
      </c>
      <c r="BI33" s="27">
        <f t="shared" si="186"/>
        <v>119.48171354311012</v>
      </c>
      <c r="BJ33" s="27">
        <f t="shared" si="186"/>
        <v>80.633466134137365</v>
      </c>
      <c r="BK33" s="335">
        <f t="shared" si="186"/>
        <v>103.88480725005351</v>
      </c>
      <c r="BL33" s="27">
        <f t="shared" si="186"/>
        <v>100.28972416057449</v>
      </c>
      <c r="BM33" s="27">
        <f t="shared" si="186"/>
        <v>88.740992951817745</v>
      </c>
      <c r="BN33" s="27">
        <f t="shared" si="186"/>
        <v>78.765376000906429</v>
      </c>
      <c r="BO33" s="27">
        <f t="shared" si="186"/>
        <v>80.99640966090189</v>
      </c>
      <c r="BP33" s="27">
        <f t="shared" si="186"/>
        <v>79.494032341712341</v>
      </c>
      <c r="BQ33" s="27">
        <f t="shared" si="186"/>
        <v>109.27085532018275</v>
      </c>
      <c r="BR33" s="27">
        <f t="shared" si="186"/>
        <v>105.3912850585243</v>
      </c>
      <c r="BS33" s="27">
        <f t="shared" si="186"/>
        <v>106.34328050186971</v>
      </c>
      <c r="BT33" s="27">
        <f t="shared" si="186"/>
        <v>106.46200898151761</v>
      </c>
      <c r="BU33" s="27">
        <f t="shared" si="186"/>
        <v>119.48171354311012</v>
      </c>
      <c r="BV33" s="27">
        <f t="shared" si="186"/>
        <v>80.633466134137365</v>
      </c>
      <c r="BW33" s="335">
        <f t="shared" si="186"/>
        <v>103.88480725005353</v>
      </c>
      <c r="BX33" s="27">
        <f t="shared" si="186"/>
        <v>100.28972416057449</v>
      </c>
      <c r="BY33" s="27">
        <f t="shared" si="186"/>
        <v>88.740992951817731</v>
      </c>
      <c r="BZ33" s="27">
        <f t="shared" si="186"/>
        <v>78.765376000906429</v>
      </c>
      <c r="CA33" s="27">
        <f t="shared" si="186"/>
        <v>80.996409660901904</v>
      </c>
      <c r="CB33" s="27">
        <f t="shared" si="186"/>
        <v>79.494032341712355</v>
      </c>
      <c r="CC33" s="27">
        <f t="shared" si="186"/>
        <v>109.27085532018275</v>
      </c>
      <c r="CD33" s="27">
        <f t="shared" si="186"/>
        <v>105.3912850585243</v>
      </c>
      <c r="CE33" s="27">
        <f t="shared" si="186"/>
        <v>106.34328050186971</v>
      </c>
      <c r="CF33" s="27">
        <f t="shared" si="186"/>
        <v>106.46200898151761</v>
      </c>
      <c r="CG33" s="27">
        <f t="shared" si="186"/>
        <v>119.48171354311012</v>
      </c>
      <c r="CH33" s="27">
        <f t="shared" si="186"/>
        <v>80.633466134137365</v>
      </c>
      <c r="CI33" s="335">
        <f t="shared" si="186"/>
        <v>103.88480725005353</v>
      </c>
      <c r="CJ33" s="27">
        <f t="shared" si="186"/>
        <v>100.28972416057449</v>
      </c>
      <c r="CK33" s="27">
        <f t="shared" si="186"/>
        <v>88.740992951817717</v>
      </c>
      <c r="CL33" s="27">
        <f t="shared" si="186"/>
        <v>78.765376000906429</v>
      </c>
      <c r="CM33" s="27">
        <f t="shared" si="186"/>
        <v>80.996409660901918</v>
      </c>
      <c r="CN33" s="27">
        <f t="shared" si="186"/>
        <v>79.494032341712355</v>
      </c>
      <c r="CO33" s="27">
        <f t="shared" si="186"/>
        <v>109.27085532018273</v>
      </c>
      <c r="CP33" s="27">
        <f t="shared" si="186"/>
        <v>105.39128505852429</v>
      </c>
      <c r="CQ33" s="27">
        <f t="shared" si="186"/>
        <v>106.34328050186969</v>
      </c>
      <c r="CR33" s="27">
        <f t="shared" si="186"/>
        <v>106.46200898151761</v>
      </c>
      <c r="CS33" s="27">
        <f t="shared" si="186"/>
        <v>119.4817135431101</v>
      </c>
      <c r="CT33" s="27">
        <f t="shared" ref="CT33:DG33" si="187">+CT14/(CT26)</f>
        <v>80.633466134137365</v>
      </c>
      <c r="CU33" s="335">
        <f t="shared" si="187"/>
        <v>103.88480725005354</v>
      </c>
      <c r="CV33" s="27">
        <f t="shared" si="187"/>
        <v>100.28972416057449</v>
      </c>
      <c r="CW33" s="27">
        <f t="shared" si="187"/>
        <v>88.740992951817717</v>
      </c>
      <c r="CX33" s="27">
        <f t="shared" si="187"/>
        <v>78.765376000906414</v>
      </c>
      <c r="CY33" s="27">
        <f t="shared" si="187"/>
        <v>80.996409660901904</v>
      </c>
      <c r="CZ33" s="27">
        <f t="shared" si="187"/>
        <v>79.494032341712341</v>
      </c>
      <c r="DA33" s="27">
        <f t="shared" si="187"/>
        <v>109.27085532018273</v>
      </c>
      <c r="DB33" s="27">
        <f t="shared" si="187"/>
        <v>105.39128505852429</v>
      </c>
      <c r="DC33" s="27">
        <f t="shared" si="187"/>
        <v>106.3432805018697</v>
      </c>
      <c r="DD33" s="27">
        <f t="shared" si="187"/>
        <v>106.46200898151763</v>
      </c>
      <c r="DE33" s="27">
        <f t="shared" si="187"/>
        <v>119.48171354311012</v>
      </c>
      <c r="DF33" s="27">
        <f t="shared" si="187"/>
        <v>80.633466134137379</v>
      </c>
      <c r="DG33" s="28">
        <f t="shared" si="187"/>
        <v>103.88480725005356</v>
      </c>
    </row>
    <row r="34" spans="1:111" ht="18.75" x14ac:dyDescent="0.25">
      <c r="A34" s="36"/>
      <c r="B34" s="36"/>
      <c r="C34" s="496" t="s">
        <v>285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>
        <f t="shared" ref="P34:AF34" si="188">+(P7-(P32*60))/P28</f>
        <v>58.148837209302329</v>
      </c>
      <c r="Q34" s="26">
        <f t="shared" si="188"/>
        <v>56.226415094339622</v>
      </c>
      <c r="R34" s="26">
        <f t="shared" si="188"/>
        <v>55.479452054794521</v>
      </c>
      <c r="S34" s="26">
        <f t="shared" si="188"/>
        <v>111.69230769230769</v>
      </c>
      <c r="T34" s="26">
        <f t="shared" si="188"/>
        <v>57.601351351351354</v>
      </c>
      <c r="U34" s="26">
        <f t="shared" si="188"/>
        <v>48.190184049079754</v>
      </c>
      <c r="V34" s="26">
        <f t="shared" si="188"/>
        <v>100.90909090909091</v>
      </c>
      <c r="W34" s="26">
        <f t="shared" si="188"/>
        <v>94.5184</v>
      </c>
      <c r="X34" s="26">
        <f t="shared" si="188"/>
        <v>70.055666666666667</v>
      </c>
      <c r="Y34" s="26">
        <f t="shared" si="188"/>
        <v>53.07692307692308</v>
      </c>
      <c r="Z34" s="26">
        <f t="shared" si="188"/>
        <v>53.874345549738223</v>
      </c>
      <c r="AA34" s="532">
        <f t="shared" si="188"/>
        <v>56.551724137931032</v>
      </c>
      <c r="AB34" s="26">
        <f t="shared" si="188"/>
        <v>57.640449438202246</v>
      </c>
      <c r="AC34" s="26">
        <f t="shared" si="188"/>
        <v>58.541666666666664</v>
      </c>
      <c r="AD34" s="26">
        <f t="shared" si="188"/>
        <v>57.766990291262132</v>
      </c>
      <c r="AE34" s="26">
        <f t="shared" si="188"/>
        <v>54.21875</v>
      </c>
      <c r="AF34" s="26">
        <f t="shared" si="188"/>
        <v>62.727272727272727</v>
      </c>
      <c r="AG34" s="26">
        <f t="shared" ref="AG34" si="189">+(AG7-(AG32*60))/AG28</f>
        <v>87.5</v>
      </c>
      <c r="AH34" s="477">
        <f t="shared" ref="AH34:AM34" si="190">+(AH7-(AH32*60))/AH28</f>
        <v>72.420645161290324</v>
      </c>
      <c r="AI34" s="477">
        <f t="shared" si="190"/>
        <v>36.161428571428573</v>
      </c>
      <c r="AJ34" s="477">
        <f t="shared" si="190"/>
        <v>68.684210526315795</v>
      </c>
      <c r="AK34" s="477">
        <f t="shared" si="190"/>
        <v>60</v>
      </c>
      <c r="AL34" s="477">
        <f t="shared" si="190"/>
        <v>72.75</v>
      </c>
      <c r="AM34" s="533">
        <f t="shared" si="190"/>
        <v>73.125</v>
      </c>
      <c r="AN34" s="477">
        <f t="shared" ref="AN34:AR34" si="191">+IFERROR((AN7-(AN32*60))/AN28, 0)</f>
        <v>45</v>
      </c>
      <c r="AO34" s="477">
        <f t="shared" si="191"/>
        <v>76.057692307692307</v>
      </c>
      <c r="AP34" s="477">
        <f t="shared" si="191"/>
        <v>75</v>
      </c>
      <c r="AQ34" s="477">
        <f t="shared" si="191"/>
        <v>75</v>
      </c>
      <c r="AR34" s="477">
        <f t="shared" si="191"/>
        <v>75</v>
      </c>
      <c r="AS34" s="477">
        <f>+IFERROR((AS7-(AS32*60))/AS28, 0)</f>
        <v>0</v>
      </c>
      <c r="AT34" s="477">
        <f>+IFERROR((AT7-(AT32*60))/AT28, 0)</f>
        <v>75</v>
      </c>
      <c r="AU34" s="477">
        <f>+IFERROR((AU7-(AU32*60))/AU28, 0)</f>
        <v>75</v>
      </c>
      <c r="AV34" s="477">
        <f>+IFERROR((AV7-(AV32*60))/AV28, 0)</f>
        <v>75</v>
      </c>
      <c r="AW34" s="598">
        <f>+IFERROR((AW7-(AW32*60))/AW28, 0)</f>
        <v>76.377959183673468</v>
      </c>
      <c r="AX34" s="720">
        <v>75</v>
      </c>
      <c r="AY34" s="28">
        <f t="shared" ref="AY34:AY37" si="192">+AX34</f>
        <v>75</v>
      </c>
      <c r="AZ34" s="27">
        <f t="shared" ref="AZ34:AZ37" si="193">+AY34</f>
        <v>75</v>
      </c>
      <c r="BA34" s="27">
        <f t="shared" ref="BA34:BA37" si="194">+AZ34</f>
        <v>75</v>
      </c>
      <c r="BB34" s="27">
        <f t="shared" ref="BB34:BB37" si="195">+BA34</f>
        <v>75</v>
      </c>
      <c r="BC34" s="27">
        <f t="shared" ref="BC34:BC37" si="196">+BB34</f>
        <v>75</v>
      </c>
      <c r="BD34" s="27">
        <f t="shared" ref="BD34:BD37" si="197">+BC34</f>
        <v>75</v>
      </c>
      <c r="BE34" s="27">
        <f t="shared" ref="BE34:BE37" si="198">+BD34</f>
        <v>75</v>
      </c>
      <c r="BF34" s="27">
        <f t="shared" ref="BF34:BF37" si="199">+BE34</f>
        <v>75</v>
      </c>
      <c r="BG34" s="27">
        <f t="shared" ref="BG34:BG37" si="200">+BF34</f>
        <v>75</v>
      </c>
      <c r="BH34" s="27">
        <f t="shared" ref="BH34:BH37" si="201">+BG34</f>
        <v>75</v>
      </c>
      <c r="BI34" s="27">
        <f t="shared" ref="BI34:BI37" si="202">+BH34</f>
        <v>75</v>
      </c>
      <c r="BJ34" s="27">
        <f t="shared" ref="BJ34:BJ37" si="203">+BI34</f>
        <v>75</v>
      </c>
      <c r="BK34" s="335">
        <f t="shared" ref="BK34:BK37" si="204">+BJ34</f>
        <v>75</v>
      </c>
      <c r="BL34" s="27">
        <f t="shared" ref="BL34:BL37" si="205">+BK34</f>
        <v>75</v>
      </c>
      <c r="BM34" s="27">
        <f t="shared" ref="BM34:BM37" si="206">+BL34</f>
        <v>75</v>
      </c>
      <c r="BN34" s="27">
        <f t="shared" ref="BN34:BN37" si="207">+BM34</f>
        <v>75</v>
      </c>
      <c r="BO34" s="27">
        <f t="shared" ref="BO34:BO37" si="208">+BN34</f>
        <v>75</v>
      </c>
      <c r="BP34" s="27">
        <f t="shared" ref="BP34:BP37" si="209">+BO34</f>
        <v>75</v>
      </c>
      <c r="BQ34" s="27">
        <f t="shared" ref="BQ34:BQ37" si="210">+BP34</f>
        <v>75</v>
      </c>
      <c r="BR34" s="27">
        <f t="shared" ref="BR34:BR37" si="211">+BQ34</f>
        <v>75</v>
      </c>
      <c r="BS34" s="27">
        <f t="shared" ref="BS34:BS37" si="212">+BR34</f>
        <v>75</v>
      </c>
      <c r="BT34" s="27">
        <f t="shared" ref="BT34:BT37" si="213">+BS34</f>
        <v>75</v>
      </c>
      <c r="BU34" s="27">
        <f t="shared" ref="BU34:BU37" si="214">+BT34</f>
        <v>75</v>
      </c>
      <c r="BV34" s="27">
        <f t="shared" ref="BV34:BV37" si="215">+BU34</f>
        <v>75</v>
      </c>
      <c r="BW34" s="335">
        <f t="shared" ref="BW34:BW37" si="216">+BV34</f>
        <v>75</v>
      </c>
      <c r="BX34" s="27">
        <f t="shared" ref="BX34:BX37" si="217">+BW34</f>
        <v>75</v>
      </c>
      <c r="BY34" s="27">
        <f t="shared" ref="BY34:BY37" si="218">+BX34</f>
        <v>75</v>
      </c>
      <c r="BZ34" s="27">
        <f t="shared" ref="BZ34:BZ37" si="219">+BY34</f>
        <v>75</v>
      </c>
      <c r="CA34" s="27">
        <f t="shared" ref="CA34:CA37" si="220">+BZ34</f>
        <v>75</v>
      </c>
      <c r="CB34" s="27">
        <f t="shared" ref="CB34:CB37" si="221">+CA34</f>
        <v>75</v>
      </c>
      <c r="CC34" s="27">
        <f t="shared" ref="CC34:CC37" si="222">+CB34</f>
        <v>75</v>
      </c>
      <c r="CD34" s="27">
        <f t="shared" ref="CD34:CD37" si="223">+CC34</f>
        <v>75</v>
      </c>
      <c r="CE34" s="27">
        <f t="shared" ref="CE34:CE37" si="224">+CD34</f>
        <v>75</v>
      </c>
      <c r="CF34" s="27">
        <f t="shared" ref="CF34:CF37" si="225">+CE34</f>
        <v>75</v>
      </c>
      <c r="CG34" s="27">
        <f t="shared" ref="CG34:CG37" si="226">+CF34</f>
        <v>75</v>
      </c>
      <c r="CH34" s="27">
        <f t="shared" ref="CH34:CH37" si="227">+CG34</f>
        <v>75</v>
      </c>
      <c r="CI34" s="335">
        <f t="shared" ref="CI34:CI37" si="228">+CH34</f>
        <v>75</v>
      </c>
      <c r="CJ34" s="27">
        <f t="shared" ref="CJ34:CJ37" si="229">+CI34</f>
        <v>75</v>
      </c>
      <c r="CK34" s="27">
        <f t="shared" ref="CK34:CK37" si="230">+CJ34</f>
        <v>75</v>
      </c>
      <c r="CL34" s="27">
        <f t="shared" ref="CL34:CL37" si="231">+CK34</f>
        <v>75</v>
      </c>
      <c r="CM34" s="27">
        <f t="shared" ref="CM34:CM37" si="232">+CL34</f>
        <v>75</v>
      </c>
      <c r="CN34" s="27">
        <f t="shared" ref="CN34:CN37" si="233">+CM34</f>
        <v>75</v>
      </c>
      <c r="CO34" s="27">
        <f t="shared" ref="CO34:CO37" si="234">+CN34</f>
        <v>75</v>
      </c>
      <c r="CP34" s="27">
        <f t="shared" ref="CP34:CP37" si="235">+CO34</f>
        <v>75</v>
      </c>
      <c r="CQ34" s="27">
        <f t="shared" ref="CQ34:CQ37" si="236">+CP34</f>
        <v>75</v>
      </c>
      <c r="CR34" s="27">
        <f t="shared" ref="CR34:CR37" si="237">+CQ34</f>
        <v>75</v>
      </c>
      <c r="CS34" s="27">
        <f t="shared" ref="CS34:CS37" si="238">+CR34</f>
        <v>75</v>
      </c>
      <c r="CT34" s="27">
        <f t="shared" ref="CT34:CT37" si="239">+CS34</f>
        <v>75</v>
      </c>
      <c r="CU34" s="335">
        <f t="shared" ref="CU34:CU37" si="240">+CT34</f>
        <v>75</v>
      </c>
      <c r="CV34" s="27">
        <f t="shared" ref="CV34:CV37" si="241">+CU34</f>
        <v>75</v>
      </c>
      <c r="CW34" s="27">
        <f t="shared" ref="CW34:CW37" si="242">+CV34</f>
        <v>75</v>
      </c>
      <c r="CX34" s="27">
        <f t="shared" ref="CX34:CX37" si="243">+CW34</f>
        <v>75</v>
      </c>
      <c r="CY34" s="27">
        <f t="shared" ref="CY34:CY37" si="244">+CX34</f>
        <v>75</v>
      </c>
      <c r="CZ34" s="27">
        <f t="shared" ref="CZ34:CZ37" si="245">+CY34</f>
        <v>75</v>
      </c>
      <c r="DA34" s="27">
        <f t="shared" ref="DA34:DA37" si="246">+CZ34</f>
        <v>75</v>
      </c>
      <c r="DB34" s="27">
        <f t="shared" ref="DB34:DB37" si="247">+DA34</f>
        <v>75</v>
      </c>
      <c r="DC34" s="27">
        <f t="shared" ref="DC34:DC37" si="248">+DB34</f>
        <v>75</v>
      </c>
      <c r="DD34" s="27">
        <f t="shared" ref="DD34:DD37" si="249">+DC34</f>
        <v>75</v>
      </c>
      <c r="DE34" s="27">
        <f t="shared" ref="DE34:DE37" si="250">+DD34</f>
        <v>75</v>
      </c>
      <c r="DF34" s="27">
        <f t="shared" ref="DF34:DG37" si="251">+DE34</f>
        <v>75</v>
      </c>
      <c r="DG34" s="28">
        <f t="shared" si="251"/>
        <v>75</v>
      </c>
    </row>
    <row r="35" spans="1:111" ht="18.75" x14ac:dyDescent="0.25">
      <c r="A35" s="36"/>
      <c r="B35" s="36"/>
      <c r="C35" s="496" t="s">
        <v>286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>
        <f t="shared" ref="P35:AF35" si="252">+IFERROR(P8/P29, 0)</f>
        <v>0</v>
      </c>
      <c r="Q35" s="26">
        <f t="shared" si="252"/>
        <v>0</v>
      </c>
      <c r="R35" s="26">
        <f t="shared" si="252"/>
        <v>0</v>
      </c>
      <c r="S35" s="26">
        <f t="shared" si="252"/>
        <v>0</v>
      </c>
      <c r="T35" s="26">
        <f t="shared" si="252"/>
        <v>0</v>
      </c>
      <c r="U35" s="26">
        <f t="shared" si="252"/>
        <v>0</v>
      </c>
      <c r="V35" s="26">
        <f t="shared" si="252"/>
        <v>60</v>
      </c>
      <c r="W35" s="26">
        <f t="shared" si="252"/>
        <v>140</v>
      </c>
      <c r="X35" s="26">
        <f t="shared" si="252"/>
        <v>72.376237623762378</v>
      </c>
      <c r="Y35" s="26">
        <f t="shared" si="252"/>
        <v>72</v>
      </c>
      <c r="Z35" s="26">
        <f t="shared" si="252"/>
        <v>64.848484848484844</v>
      </c>
      <c r="AA35" s="532">
        <f t="shared" si="252"/>
        <v>70</v>
      </c>
      <c r="AB35" s="26">
        <f t="shared" si="252"/>
        <v>60</v>
      </c>
      <c r="AC35" s="26">
        <f t="shared" si="252"/>
        <v>60</v>
      </c>
      <c r="AD35" s="26">
        <f t="shared" si="252"/>
        <v>60</v>
      </c>
      <c r="AE35" s="26">
        <f t="shared" si="252"/>
        <v>60</v>
      </c>
      <c r="AF35" s="26">
        <f t="shared" si="252"/>
        <v>60</v>
      </c>
      <c r="AG35" s="477">
        <f t="shared" ref="AG35:AL35" si="253">+IFERROR(AG8/AG29, 0)</f>
        <v>53.265714285714289</v>
      </c>
      <c r="AH35" s="479">
        <f t="shared" si="253"/>
        <v>64.560439560439562</v>
      </c>
      <c r="AI35" s="479">
        <f t="shared" si="253"/>
        <v>63.786982248520708</v>
      </c>
      <c r="AJ35" s="479">
        <f t="shared" si="253"/>
        <v>69.545454545454547</v>
      </c>
      <c r="AK35" s="479">
        <f t="shared" si="253"/>
        <v>68.360655737704917</v>
      </c>
      <c r="AL35" s="479">
        <f t="shared" si="253"/>
        <v>68.303571428571431</v>
      </c>
      <c r="AM35" s="534">
        <f t="shared" ref="AM35:AN35" si="254">+IFERROR(AM8/AM29, 0)</f>
        <v>68.25</v>
      </c>
      <c r="AN35" s="479">
        <f t="shared" si="254"/>
        <v>68.342245989304814</v>
      </c>
      <c r="AO35" s="479">
        <f t="shared" ref="AO35:AP35" si="255">+IFERROR(AO8/AO29, 0)</f>
        <v>71.607142857142861</v>
      </c>
      <c r="AP35" s="479">
        <f t="shared" si="255"/>
        <v>73.63636363636364</v>
      </c>
      <c r="AQ35" s="479">
        <f t="shared" ref="AQ35:AR35" si="256">+IFERROR(AQ8/AQ29, 0)</f>
        <v>73.88513513513513</v>
      </c>
      <c r="AR35" s="479">
        <f t="shared" si="256"/>
        <v>73.426966292134836</v>
      </c>
      <c r="AS35" s="479">
        <f t="shared" ref="AS35:AT35" si="257">+IFERROR(AS8/AS29, 0)</f>
        <v>74.454545454545453</v>
      </c>
      <c r="AT35" s="479">
        <f t="shared" si="257"/>
        <v>73.966789667896677</v>
      </c>
      <c r="AU35" s="479">
        <f t="shared" ref="AU35:AV35" si="258">+IFERROR(AU8/AU29, 0)</f>
        <v>75.990415335463254</v>
      </c>
      <c r="AV35" s="479">
        <f t="shared" si="258"/>
        <v>76.544811320754718</v>
      </c>
      <c r="AW35" s="599">
        <f t="shared" ref="AW35" si="259">+IFERROR(AW8/AW29, 0)</f>
        <v>78.549783549783555</v>
      </c>
      <c r="AX35" s="720">
        <v>75</v>
      </c>
      <c r="AY35" s="28">
        <f t="shared" si="192"/>
        <v>75</v>
      </c>
      <c r="AZ35" s="27">
        <f t="shared" si="193"/>
        <v>75</v>
      </c>
      <c r="BA35" s="27">
        <f t="shared" si="194"/>
        <v>75</v>
      </c>
      <c r="BB35" s="27">
        <f t="shared" si="195"/>
        <v>75</v>
      </c>
      <c r="BC35" s="27">
        <f t="shared" si="196"/>
        <v>75</v>
      </c>
      <c r="BD35" s="27">
        <f t="shared" si="197"/>
        <v>75</v>
      </c>
      <c r="BE35" s="27">
        <f t="shared" si="198"/>
        <v>75</v>
      </c>
      <c r="BF35" s="27">
        <f t="shared" si="199"/>
        <v>75</v>
      </c>
      <c r="BG35" s="27">
        <f t="shared" si="200"/>
        <v>75</v>
      </c>
      <c r="BH35" s="27">
        <f t="shared" si="201"/>
        <v>75</v>
      </c>
      <c r="BI35" s="27">
        <f t="shared" si="202"/>
        <v>75</v>
      </c>
      <c r="BJ35" s="27">
        <f t="shared" si="203"/>
        <v>75</v>
      </c>
      <c r="BK35" s="335">
        <f t="shared" si="204"/>
        <v>75</v>
      </c>
      <c r="BL35" s="27">
        <f t="shared" si="205"/>
        <v>75</v>
      </c>
      <c r="BM35" s="27">
        <f t="shared" si="206"/>
        <v>75</v>
      </c>
      <c r="BN35" s="27">
        <f t="shared" si="207"/>
        <v>75</v>
      </c>
      <c r="BO35" s="27">
        <f t="shared" si="208"/>
        <v>75</v>
      </c>
      <c r="BP35" s="27">
        <f t="shared" si="209"/>
        <v>75</v>
      </c>
      <c r="BQ35" s="27">
        <f t="shared" si="210"/>
        <v>75</v>
      </c>
      <c r="BR35" s="27">
        <f t="shared" si="211"/>
        <v>75</v>
      </c>
      <c r="BS35" s="27">
        <f t="shared" si="212"/>
        <v>75</v>
      </c>
      <c r="BT35" s="27">
        <f t="shared" si="213"/>
        <v>75</v>
      </c>
      <c r="BU35" s="27">
        <f t="shared" si="214"/>
        <v>75</v>
      </c>
      <c r="BV35" s="27">
        <f t="shared" si="215"/>
        <v>75</v>
      </c>
      <c r="BW35" s="335">
        <f t="shared" si="216"/>
        <v>75</v>
      </c>
      <c r="BX35" s="27">
        <f t="shared" si="217"/>
        <v>75</v>
      </c>
      <c r="BY35" s="27">
        <f t="shared" si="218"/>
        <v>75</v>
      </c>
      <c r="BZ35" s="27">
        <f t="shared" si="219"/>
        <v>75</v>
      </c>
      <c r="CA35" s="27">
        <f t="shared" si="220"/>
        <v>75</v>
      </c>
      <c r="CB35" s="27">
        <f t="shared" si="221"/>
        <v>75</v>
      </c>
      <c r="CC35" s="27">
        <f t="shared" si="222"/>
        <v>75</v>
      </c>
      <c r="CD35" s="27">
        <f t="shared" si="223"/>
        <v>75</v>
      </c>
      <c r="CE35" s="27">
        <f t="shared" si="224"/>
        <v>75</v>
      </c>
      <c r="CF35" s="27">
        <f t="shared" si="225"/>
        <v>75</v>
      </c>
      <c r="CG35" s="27">
        <f t="shared" si="226"/>
        <v>75</v>
      </c>
      <c r="CH35" s="27">
        <f t="shared" si="227"/>
        <v>75</v>
      </c>
      <c r="CI35" s="335">
        <f t="shared" si="228"/>
        <v>75</v>
      </c>
      <c r="CJ35" s="27">
        <f t="shared" si="229"/>
        <v>75</v>
      </c>
      <c r="CK35" s="27">
        <f t="shared" si="230"/>
        <v>75</v>
      </c>
      <c r="CL35" s="27">
        <f t="shared" si="231"/>
        <v>75</v>
      </c>
      <c r="CM35" s="27">
        <f t="shared" si="232"/>
        <v>75</v>
      </c>
      <c r="CN35" s="27">
        <f t="shared" si="233"/>
        <v>75</v>
      </c>
      <c r="CO35" s="27">
        <f t="shared" si="234"/>
        <v>75</v>
      </c>
      <c r="CP35" s="27">
        <f t="shared" si="235"/>
        <v>75</v>
      </c>
      <c r="CQ35" s="27">
        <f t="shared" si="236"/>
        <v>75</v>
      </c>
      <c r="CR35" s="27">
        <f t="shared" si="237"/>
        <v>75</v>
      </c>
      <c r="CS35" s="27">
        <f t="shared" si="238"/>
        <v>75</v>
      </c>
      <c r="CT35" s="27">
        <f t="shared" si="239"/>
        <v>75</v>
      </c>
      <c r="CU35" s="335">
        <f t="shared" si="240"/>
        <v>75</v>
      </c>
      <c r="CV35" s="27">
        <f t="shared" si="241"/>
        <v>75</v>
      </c>
      <c r="CW35" s="27">
        <f t="shared" si="242"/>
        <v>75</v>
      </c>
      <c r="CX35" s="27">
        <f t="shared" si="243"/>
        <v>75</v>
      </c>
      <c r="CY35" s="27">
        <f t="shared" si="244"/>
        <v>75</v>
      </c>
      <c r="CZ35" s="27">
        <f t="shared" si="245"/>
        <v>75</v>
      </c>
      <c r="DA35" s="27">
        <f t="shared" si="246"/>
        <v>75</v>
      </c>
      <c r="DB35" s="27">
        <f t="shared" si="247"/>
        <v>75</v>
      </c>
      <c r="DC35" s="27">
        <f t="shared" si="248"/>
        <v>75</v>
      </c>
      <c r="DD35" s="27">
        <f t="shared" si="249"/>
        <v>75</v>
      </c>
      <c r="DE35" s="27">
        <f t="shared" si="250"/>
        <v>75</v>
      </c>
      <c r="DF35" s="27">
        <f t="shared" si="251"/>
        <v>75</v>
      </c>
      <c r="DG35" s="28">
        <f t="shared" si="251"/>
        <v>75</v>
      </c>
    </row>
    <row r="36" spans="1:111" ht="18.75" x14ac:dyDescent="0.25">
      <c r="A36" s="36"/>
      <c r="B36" s="36"/>
      <c r="C36" s="496" t="s">
        <v>296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>
        <f t="shared" ref="P36:AG36" si="260">+IFERROR(P9/P30, 0)</f>
        <v>0</v>
      </c>
      <c r="Q36" s="26">
        <f t="shared" si="260"/>
        <v>0</v>
      </c>
      <c r="R36" s="26">
        <f t="shared" si="260"/>
        <v>0</v>
      </c>
      <c r="S36" s="26">
        <f t="shared" si="260"/>
        <v>0</v>
      </c>
      <c r="T36" s="26">
        <f t="shared" si="260"/>
        <v>0</v>
      </c>
      <c r="U36" s="26">
        <f t="shared" si="260"/>
        <v>0</v>
      </c>
      <c r="V36" s="26">
        <f t="shared" si="260"/>
        <v>0</v>
      </c>
      <c r="W36" s="26">
        <f t="shared" si="260"/>
        <v>0</v>
      </c>
      <c r="X36" s="26">
        <f t="shared" si="260"/>
        <v>0</v>
      </c>
      <c r="Y36" s="26">
        <f t="shared" si="260"/>
        <v>0</v>
      </c>
      <c r="Z36" s="26">
        <f t="shared" si="260"/>
        <v>0</v>
      </c>
      <c r="AA36" s="532">
        <f t="shared" si="260"/>
        <v>0</v>
      </c>
      <c r="AB36" s="26">
        <f t="shared" si="260"/>
        <v>0</v>
      </c>
      <c r="AC36" s="26">
        <f t="shared" si="260"/>
        <v>0</v>
      </c>
      <c r="AD36" s="26">
        <f t="shared" si="260"/>
        <v>0</v>
      </c>
      <c r="AE36" s="26">
        <f t="shared" si="260"/>
        <v>0</v>
      </c>
      <c r="AF36" s="26">
        <f t="shared" si="260"/>
        <v>0</v>
      </c>
      <c r="AG36" s="26">
        <f t="shared" si="260"/>
        <v>0</v>
      </c>
      <c r="AH36" s="26">
        <f t="shared" ref="AH36" si="261">+IFERROR(AH9/AH30, 0)</f>
        <v>0</v>
      </c>
      <c r="AI36" s="26">
        <f t="shared" ref="AI36:AJ36" si="262">+IFERROR(AI9/AI30, 0)</f>
        <v>69.489795918367349</v>
      </c>
      <c r="AJ36" s="26">
        <f t="shared" si="262"/>
        <v>65.409836065573771</v>
      </c>
      <c r="AK36" s="26">
        <f t="shared" ref="AK36:AL36" si="263">+IFERROR(AK9/AK30, 0)</f>
        <v>74.069767441860463</v>
      </c>
      <c r="AL36" s="26">
        <f t="shared" si="263"/>
        <v>85.714285714285708</v>
      </c>
      <c r="AM36" s="532">
        <f t="shared" ref="AM36:AN36" si="264">+IFERROR(AM9/AM30, 0)</f>
        <v>0</v>
      </c>
      <c r="AN36" s="26">
        <f t="shared" si="264"/>
        <v>0</v>
      </c>
      <c r="AO36" s="26">
        <f t="shared" ref="AO36:AP36" si="265">+IFERROR(AO9/AO30, 0)</f>
        <v>150</v>
      </c>
      <c r="AP36" s="26">
        <f t="shared" si="265"/>
        <v>0</v>
      </c>
      <c r="AQ36" s="26">
        <f t="shared" ref="AQ36:AR36" si="266">+IFERROR(AQ9/AQ30, 0)</f>
        <v>0</v>
      </c>
      <c r="AR36" s="26">
        <f t="shared" si="266"/>
        <v>200</v>
      </c>
      <c r="AS36" s="26">
        <f t="shared" ref="AS36:AT36" si="267">+IFERROR(AS9/AS30, 0)</f>
        <v>115.90909090909091</v>
      </c>
      <c r="AT36" s="26">
        <f t="shared" si="267"/>
        <v>138.57142857142858</v>
      </c>
      <c r="AU36" s="26">
        <f t="shared" ref="AU36:AV36" si="268">+IFERROR(AU9/AU30, 0)</f>
        <v>142.85714285714286</v>
      </c>
      <c r="AV36" s="26">
        <f t="shared" si="268"/>
        <v>135.67164179104478</v>
      </c>
      <c r="AW36" s="597">
        <f t="shared" ref="AW36" si="269">+IFERROR(AW9/AW30, 0)</f>
        <v>131.16438356164383</v>
      </c>
      <c r="AX36" s="720">
        <v>135</v>
      </c>
      <c r="AY36" s="28">
        <f t="shared" ref="AY36" si="270">+AX36</f>
        <v>135</v>
      </c>
      <c r="AZ36" s="27">
        <f t="shared" ref="AZ36" si="271">+AY36</f>
        <v>135</v>
      </c>
      <c r="BA36" s="27">
        <f t="shared" ref="BA36" si="272">+AZ36</f>
        <v>135</v>
      </c>
      <c r="BB36" s="27">
        <f t="shared" ref="BB36" si="273">+BA36</f>
        <v>135</v>
      </c>
      <c r="BC36" s="27">
        <f t="shared" ref="BC36" si="274">+BB36</f>
        <v>135</v>
      </c>
      <c r="BD36" s="27">
        <f t="shared" ref="BD36" si="275">+BC36</f>
        <v>135</v>
      </c>
      <c r="BE36" s="27">
        <f t="shared" ref="BE36" si="276">+BD36</f>
        <v>135</v>
      </c>
      <c r="BF36" s="27">
        <f t="shared" ref="BF36" si="277">+BE36</f>
        <v>135</v>
      </c>
      <c r="BG36" s="27">
        <f t="shared" ref="BG36" si="278">+BF36</f>
        <v>135</v>
      </c>
      <c r="BH36" s="27">
        <f t="shared" ref="BH36" si="279">+BG36</f>
        <v>135</v>
      </c>
      <c r="BI36" s="27">
        <f t="shared" ref="BI36" si="280">+BH36</f>
        <v>135</v>
      </c>
      <c r="BJ36" s="27">
        <f t="shared" ref="BJ36" si="281">+BI36</f>
        <v>135</v>
      </c>
      <c r="BK36" s="335">
        <f t="shared" ref="BK36" si="282">+BJ36</f>
        <v>135</v>
      </c>
      <c r="BL36" s="27">
        <f t="shared" ref="BL36" si="283">+BK36</f>
        <v>135</v>
      </c>
      <c r="BM36" s="27">
        <f t="shared" ref="BM36" si="284">+BL36</f>
        <v>135</v>
      </c>
      <c r="BN36" s="27">
        <f t="shared" ref="BN36" si="285">+BM36</f>
        <v>135</v>
      </c>
      <c r="BO36" s="27">
        <f t="shared" ref="BO36" si="286">+BN36</f>
        <v>135</v>
      </c>
      <c r="BP36" s="27">
        <f t="shared" ref="BP36" si="287">+BO36</f>
        <v>135</v>
      </c>
      <c r="BQ36" s="27">
        <f t="shared" ref="BQ36" si="288">+BP36</f>
        <v>135</v>
      </c>
      <c r="BR36" s="27">
        <f t="shared" ref="BR36" si="289">+BQ36</f>
        <v>135</v>
      </c>
      <c r="BS36" s="27">
        <f t="shared" ref="BS36" si="290">+BR36</f>
        <v>135</v>
      </c>
      <c r="BT36" s="27">
        <f t="shared" ref="BT36" si="291">+BS36</f>
        <v>135</v>
      </c>
      <c r="BU36" s="27">
        <f t="shared" ref="BU36" si="292">+BT36</f>
        <v>135</v>
      </c>
      <c r="BV36" s="27">
        <f t="shared" ref="BV36" si="293">+BU36</f>
        <v>135</v>
      </c>
      <c r="BW36" s="335">
        <f t="shared" ref="BW36" si="294">+BV36</f>
        <v>135</v>
      </c>
      <c r="BX36" s="27">
        <f t="shared" ref="BX36" si="295">+BW36</f>
        <v>135</v>
      </c>
      <c r="BY36" s="27">
        <f t="shared" ref="BY36" si="296">+BX36</f>
        <v>135</v>
      </c>
      <c r="BZ36" s="27">
        <f t="shared" ref="BZ36" si="297">+BY36</f>
        <v>135</v>
      </c>
      <c r="CA36" s="27">
        <f t="shared" ref="CA36" si="298">+BZ36</f>
        <v>135</v>
      </c>
      <c r="CB36" s="27">
        <f t="shared" ref="CB36" si="299">+CA36</f>
        <v>135</v>
      </c>
      <c r="CC36" s="27">
        <f t="shared" ref="CC36" si="300">+CB36</f>
        <v>135</v>
      </c>
      <c r="CD36" s="27">
        <f t="shared" ref="CD36" si="301">+CC36</f>
        <v>135</v>
      </c>
      <c r="CE36" s="27">
        <f t="shared" ref="CE36" si="302">+CD36</f>
        <v>135</v>
      </c>
      <c r="CF36" s="27">
        <f t="shared" ref="CF36" si="303">+CE36</f>
        <v>135</v>
      </c>
      <c r="CG36" s="27">
        <f t="shared" ref="CG36" si="304">+CF36</f>
        <v>135</v>
      </c>
      <c r="CH36" s="27">
        <f t="shared" ref="CH36" si="305">+CG36</f>
        <v>135</v>
      </c>
      <c r="CI36" s="335">
        <f t="shared" ref="CI36" si="306">+CH36</f>
        <v>135</v>
      </c>
      <c r="CJ36" s="27">
        <f t="shared" ref="CJ36" si="307">+CI36</f>
        <v>135</v>
      </c>
      <c r="CK36" s="27">
        <f t="shared" ref="CK36" si="308">+CJ36</f>
        <v>135</v>
      </c>
      <c r="CL36" s="27">
        <f t="shared" ref="CL36" si="309">+CK36</f>
        <v>135</v>
      </c>
      <c r="CM36" s="27">
        <f t="shared" ref="CM36" si="310">+CL36</f>
        <v>135</v>
      </c>
      <c r="CN36" s="27">
        <f t="shared" ref="CN36" si="311">+CM36</f>
        <v>135</v>
      </c>
      <c r="CO36" s="27">
        <f t="shared" ref="CO36" si="312">+CN36</f>
        <v>135</v>
      </c>
      <c r="CP36" s="27">
        <f t="shared" ref="CP36" si="313">+CO36</f>
        <v>135</v>
      </c>
      <c r="CQ36" s="27">
        <f t="shared" ref="CQ36" si="314">+CP36</f>
        <v>135</v>
      </c>
      <c r="CR36" s="27">
        <f t="shared" ref="CR36" si="315">+CQ36</f>
        <v>135</v>
      </c>
      <c r="CS36" s="27">
        <f t="shared" ref="CS36" si="316">+CR36</f>
        <v>135</v>
      </c>
      <c r="CT36" s="27">
        <f t="shared" ref="CT36" si="317">+CS36</f>
        <v>135</v>
      </c>
      <c r="CU36" s="335">
        <f t="shared" ref="CU36" si="318">+CT36</f>
        <v>135</v>
      </c>
      <c r="CV36" s="27">
        <f t="shared" ref="CV36" si="319">+CU36</f>
        <v>135</v>
      </c>
      <c r="CW36" s="27">
        <f t="shared" ref="CW36" si="320">+CV36</f>
        <v>135</v>
      </c>
      <c r="CX36" s="27">
        <f t="shared" ref="CX36" si="321">+CW36</f>
        <v>135</v>
      </c>
      <c r="CY36" s="27">
        <f t="shared" ref="CY36" si="322">+CX36</f>
        <v>135</v>
      </c>
      <c r="CZ36" s="27">
        <f t="shared" ref="CZ36" si="323">+CY36</f>
        <v>135</v>
      </c>
      <c r="DA36" s="27">
        <f t="shared" ref="DA36" si="324">+CZ36</f>
        <v>135</v>
      </c>
      <c r="DB36" s="27">
        <f t="shared" ref="DB36" si="325">+DA36</f>
        <v>135</v>
      </c>
      <c r="DC36" s="27">
        <f t="shared" ref="DC36" si="326">+DB36</f>
        <v>135</v>
      </c>
      <c r="DD36" s="27">
        <f t="shared" ref="DD36" si="327">+DC36</f>
        <v>135</v>
      </c>
      <c r="DE36" s="27">
        <f t="shared" ref="DE36" si="328">+DD36</f>
        <v>135</v>
      </c>
      <c r="DF36" s="27">
        <f t="shared" ref="DF36" si="329">+DE36</f>
        <v>135</v>
      </c>
      <c r="DG36" s="28">
        <f t="shared" ref="DG36" si="330">+DF36</f>
        <v>135</v>
      </c>
    </row>
    <row r="37" spans="1:111" ht="18.75" x14ac:dyDescent="0.25">
      <c r="A37" s="36"/>
      <c r="B37" s="36"/>
      <c r="C37" s="496" t="s">
        <v>297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>
        <f>IFERROR(P10/P31, 0)</f>
        <v>50</v>
      </c>
      <c r="Q37" s="26">
        <f t="shared" ref="Q37:AD37" si="331">IFERROR(Q10/Q31, 0)</f>
        <v>0</v>
      </c>
      <c r="R37" s="26">
        <f t="shared" si="331"/>
        <v>0</v>
      </c>
      <c r="S37" s="26">
        <f t="shared" si="331"/>
        <v>44.91</v>
      </c>
      <c r="T37" s="26">
        <f t="shared" si="331"/>
        <v>0</v>
      </c>
      <c r="U37" s="26">
        <f t="shared" si="331"/>
        <v>60</v>
      </c>
      <c r="V37" s="26">
        <f t="shared" si="331"/>
        <v>57.241379310344826</v>
      </c>
      <c r="W37" s="26">
        <f t="shared" si="331"/>
        <v>59.074074074074076</v>
      </c>
      <c r="X37" s="26">
        <f t="shared" si="331"/>
        <v>59.447513812154696</v>
      </c>
      <c r="Y37" s="26">
        <f t="shared" si="331"/>
        <v>60</v>
      </c>
      <c r="Z37" s="26">
        <f t="shared" si="331"/>
        <v>60</v>
      </c>
      <c r="AA37" s="532">
        <f>IFERROR(AA10/AA31, 0)</f>
        <v>60</v>
      </c>
      <c r="AB37" s="26">
        <f t="shared" si="331"/>
        <v>60</v>
      </c>
      <c r="AC37" s="26">
        <f t="shared" si="331"/>
        <v>33.333333333333336</v>
      </c>
      <c r="AD37" s="26">
        <f t="shared" si="331"/>
        <v>37.5</v>
      </c>
      <c r="AE37" s="26">
        <f t="shared" ref="AE37:AJ37" si="332">IFERROR(AE10/AE31, 0)</f>
        <v>60</v>
      </c>
      <c r="AF37" s="26">
        <f>IFERROR(AF10/AF31, 0)</f>
        <v>0</v>
      </c>
      <c r="AG37" s="477">
        <f t="shared" si="332"/>
        <v>85.3125</v>
      </c>
      <c r="AH37" s="477">
        <f t="shared" si="332"/>
        <v>67.355769230769226</v>
      </c>
      <c r="AI37" s="477">
        <f t="shared" si="332"/>
        <v>67.36363636363636</v>
      </c>
      <c r="AJ37" s="477">
        <f t="shared" si="332"/>
        <v>69.567901234567898</v>
      </c>
      <c r="AK37" s="477">
        <f t="shared" ref="AK37:AL37" si="333">IFERROR(AK10/AK31, 0)</f>
        <v>86.182539682539684</v>
      </c>
      <c r="AL37" s="477">
        <f t="shared" si="333"/>
        <v>83.118279569892479</v>
      </c>
      <c r="AM37" s="533">
        <f t="shared" ref="AM37:AN37" si="334">IFERROR(AM10/AM31, 0)</f>
        <v>96.428571428571431</v>
      </c>
      <c r="AN37" s="477">
        <f t="shared" si="334"/>
        <v>73.702531645569621</v>
      </c>
      <c r="AO37" s="477">
        <f t="shared" ref="AO37:AP37" si="335">IFERROR(AO10/AO31, 0)</f>
        <v>97.142857142857139</v>
      </c>
      <c r="AP37" s="477">
        <f t="shared" si="335"/>
        <v>108.69565217391305</v>
      </c>
      <c r="AQ37" s="477">
        <f t="shared" ref="AQ37:AR37" si="336">IFERROR(AQ10/AQ31, 0)</f>
        <v>123.68421052631579</v>
      </c>
      <c r="AR37" s="477">
        <f t="shared" si="336"/>
        <v>133.33333333333334</v>
      </c>
      <c r="AS37" s="477">
        <f t="shared" ref="AS37:AT37" si="337">IFERROR(AS10/AS31, 0)</f>
        <v>137.91666666666666</v>
      </c>
      <c r="AT37" s="477">
        <f t="shared" si="337"/>
        <v>138.7295081967213</v>
      </c>
      <c r="AU37" s="477">
        <f t="shared" ref="AU37:AV37" si="338">IFERROR(AU10/AU31, 0)</f>
        <v>143.47432024169186</v>
      </c>
      <c r="AV37" s="477">
        <f t="shared" si="338"/>
        <v>140.10660980810235</v>
      </c>
      <c r="AW37" s="598">
        <f t="shared" ref="AW37" si="339">IFERROR(AW10/AW31, 0)</f>
        <v>146.24096385542168</v>
      </c>
      <c r="AX37" s="720">
        <v>135</v>
      </c>
      <c r="AY37" s="28">
        <f t="shared" si="192"/>
        <v>135</v>
      </c>
      <c r="AZ37" s="27">
        <f t="shared" si="193"/>
        <v>135</v>
      </c>
      <c r="BA37" s="27">
        <f t="shared" si="194"/>
        <v>135</v>
      </c>
      <c r="BB37" s="27">
        <f t="shared" si="195"/>
        <v>135</v>
      </c>
      <c r="BC37" s="27">
        <f t="shared" si="196"/>
        <v>135</v>
      </c>
      <c r="BD37" s="27">
        <f t="shared" si="197"/>
        <v>135</v>
      </c>
      <c r="BE37" s="27">
        <f t="shared" si="198"/>
        <v>135</v>
      </c>
      <c r="BF37" s="27">
        <f t="shared" si="199"/>
        <v>135</v>
      </c>
      <c r="BG37" s="27">
        <f t="shared" si="200"/>
        <v>135</v>
      </c>
      <c r="BH37" s="27">
        <f t="shared" si="201"/>
        <v>135</v>
      </c>
      <c r="BI37" s="27">
        <f t="shared" si="202"/>
        <v>135</v>
      </c>
      <c r="BJ37" s="27">
        <f t="shared" si="203"/>
        <v>135</v>
      </c>
      <c r="BK37" s="335">
        <f t="shared" si="204"/>
        <v>135</v>
      </c>
      <c r="BL37" s="27">
        <f t="shared" si="205"/>
        <v>135</v>
      </c>
      <c r="BM37" s="27">
        <f t="shared" si="206"/>
        <v>135</v>
      </c>
      <c r="BN37" s="27">
        <f t="shared" si="207"/>
        <v>135</v>
      </c>
      <c r="BO37" s="27">
        <f t="shared" si="208"/>
        <v>135</v>
      </c>
      <c r="BP37" s="27">
        <f t="shared" si="209"/>
        <v>135</v>
      </c>
      <c r="BQ37" s="27">
        <f t="shared" si="210"/>
        <v>135</v>
      </c>
      <c r="BR37" s="27">
        <f t="shared" si="211"/>
        <v>135</v>
      </c>
      <c r="BS37" s="27">
        <f t="shared" si="212"/>
        <v>135</v>
      </c>
      <c r="BT37" s="27">
        <f t="shared" si="213"/>
        <v>135</v>
      </c>
      <c r="BU37" s="27">
        <f t="shared" si="214"/>
        <v>135</v>
      </c>
      <c r="BV37" s="27">
        <f t="shared" si="215"/>
        <v>135</v>
      </c>
      <c r="BW37" s="335">
        <f t="shared" si="216"/>
        <v>135</v>
      </c>
      <c r="BX37" s="27">
        <f t="shared" si="217"/>
        <v>135</v>
      </c>
      <c r="BY37" s="27">
        <f t="shared" si="218"/>
        <v>135</v>
      </c>
      <c r="BZ37" s="27">
        <f t="shared" si="219"/>
        <v>135</v>
      </c>
      <c r="CA37" s="27">
        <f t="shared" si="220"/>
        <v>135</v>
      </c>
      <c r="CB37" s="27">
        <f t="shared" si="221"/>
        <v>135</v>
      </c>
      <c r="CC37" s="27">
        <f t="shared" si="222"/>
        <v>135</v>
      </c>
      <c r="CD37" s="27">
        <f t="shared" si="223"/>
        <v>135</v>
      </c>
      <c r="CE37" s="27">
        <f t="shared" si="224"/>
        <v>135</v>
      </c>
      <c r="CF37" s="27">
        <f t="shared" si="225"/>
        <v>135</v>
      </c>
      <c r="CG37" s="27">
        <f t="shared" si="226"/>
        <v>135</v>
      </c>
      <c r="CH37" s="27">
        <f t="shared" si="227"/>
        <v>135</v>
      </c>
      <c r="CI37" s="335">
        <f t="shared" si="228"/>
        <v>135</v>
      </c>
      <c r="CJ37" s="27">
        <f t="shared" si="229"/>
        <v>135</v>
      </c>
      <c r="CK37" s="27">
        <f t="shared" si="230"/>
        <v>135</v>
      </c>
      <c r="CL37" s="27">
        <f t="shared" si="231"/>
        <v>135</v>
      </c>
      <c r="CM37" s="27">
        <f t="shared" si="232"/>
        <v>135</v>
      </c>
      <c r="CN37" s="27">
        <f t="shared" si="233"/>
        <v>135</v>
      </c>
      <c r="CO37" s="27">
        <f t="shared" si="234"/>
        <v>135</v>
      </c>
      <c r="CP37" s="27">
        <f t="shared" si="235"/>
        <v>135</v>
      </c>
      <c r="CQ37" s="27">
        <f t="shared" si="236"/>
        <v>135</v>
      </c>
      <c r="CR37" s="27">
        <f t="shared" si="237"/>
        <v>135</v>
      </c>
      <c r="CS37" s="27">
        <f t="shared" si="238"/>
        <v>135</v>
      </c>
      <c r="CT37" s="27">
        <f t="shared" si="239"/>
        <v>135</v>
      </c>
      <c r="CU37" s="335">
        <f t="shared" si="240"/>
        <v>135</v>
      </c>
      <c r="CV37" s="27">
        <f t="shared" si="241"/>
        <v>135</v>
      </c>
      <c r="CW37" s="27">
        <f t="shared" si="242"/>
        <v>135</v>
      </c>
      <c r="CX37" s="27">
        <f t="shared" si="243"/>
        <v>135</v>
      </c>
      <c r="CY37" s="27">
        <f t="shared" si="244"/>
        <v>135</v>
      </c>
      <c r="CZ37" s="27">
        <f t="shared" si="245"/>
        <v>135</v>
      </c>
      <c r="DA37" s="27">
        <f t="shared" si="246"/>
        <v>135</v>
      </c>
      <c r="DB37" s="27">
        <f t="shared" si="247"/>
        <v>135</v>
      </c>
      <c r="DC37" s="27">
        <f t="shared" si="248"/>
        <v>135</v>
      </c>
      <c r="DD37" s="27">
        <f t="shared" si="249"/>
        <v>135</v>
      </c>
      <c r="DE37" s="27">
        <f t="shared" si="250"/>
        <v>135</v>
      </c>
      <c r="DF37" s="27">
        <f t="shared" si="251"/>
        <v>135</v>
      </c>
      <c r="DG37" s="28">
        <f t="shared" si="251"/>
        <v>135</v>
      </c>
    </row>
    <row r="38" spans="1:111" ht="18.75" x14ac:dyDescent="0.25">
      <c r="A38" s="36"/>
      <c r="B38" s="36"/>
      <c r="C38" s="496" t="s">
        <v>287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>
        <f>+IFERROR((P32*60)/P32, 0)</f>
        <v>60.000000000000007</v>
      </c>
      <c r="Q38" s="26">
        <f t="shared" ref="Q38:AD38" si="340">+IFERROR((Q32*60)/Q32, 0)</f>
        <v>60</v>
      </c>
      <c r="R38" s="26">
        <f t="shared" si="340"/>
        <v>60</v>
      </c>
      <c r="S38" s="26">
        <f t="shared" si="340"/>
        <v>60</v>
      </c>
      <c r="T38" s="26">
        <f t="shared" si="340"/>
        <v>60</v>
      </c>
      <c r="U38" s="26">
        <f t="shared" si="340"/>
        <v>0</v>
      </c>
      <c r="V38" s="26">
        <f t="shared" si="340"/>
        <v>0</v>
      </c>
      <c r="W38" s="26">
        <f t="shared" si="340"/>
        <v>0</v>
      </c>
      <c r="X38" s="26">
        <f t="shared" si="340"/>
        <v>0</v>
      </c>
      <c r="Y38" s="26">
        <f t="shared" si="340"/>
        <v>0</v>
      </c>
      <c r="Z38" s="26">
        <f t="shared" si="340"/>
        <v>60</v>
      </c>
      <c r="AA38" s="532">
        <f t="shared" si="340"/>
        <v>60</v>
      </c>
      <c r="AB38" s="26">
        <f t="shared" si="340"/>
        <v>60</v>
      </c>
      <c r="AC38" s="26">
        <f t="shared" si="340"/>
        <v>60</v>
      </c>
      <c r="AD38" s="26">
        <f t="shared" si="340"/>
        <v>60</v>
      </c>
      <c r="AE38" s="26">
        <f t="shared" ref="AE38" si="341">+IFERROR((AE32*60)/AE32, 0)</f>
        <v>60</v>
      </c>
      <c r="AF38" s="26">
        <f>+IFERROR((AF32*60)/AF32, 0)</f>
        <v>0</v>
      </c>
      <c r="AG38" s="26">
        <f t="shared" ref="AG38:AH38" si="342">+IFERROR((AG32*60)/AG32, 0)</f>
        <v>60</v>
      </c>
      <c r="AH38" s="26">
        <f t="shared" si="342"/>
        <v>0</v>
      </c>
      <c r="AI38" s="26">
        <f t="shared" ref="AI38:AJ38" si="343">+IFERROR((AI32*60)/AI32, 0)</f>
        <v>0</v>
      </c>
      <c r="AJ38" s="26">
        <f t="shared" si="343"/>
        <v>0</v>
      </c>
      <c r="AK38" s="26">
        <f t="shared" ref="AK38:AL38" si="344">+IFERROR((AK32*60)/AK32, 0)</f>
        <v>0</v>
      </c>
      <c r="AL38" s="26">
        <f t="shared" si="344"/>
        <v>0</v>
      </c>
      <c r="AM38" s="532">
        <f t="shared" ref="AM38:AN38" si="345">+IFERROR((AM32*60)/AM32, 0)</f>
        <v>0</v>
      </c>
      <c r="AN38" s="26">
        <f t="shared" si="345"/>
        <v>60</v>
      </c>
      <c r="AO38" s="26">
        <f t="shared" ref="AO38:AP38" si="346">+IFERROR((AO32*60)/AO32, 0)</f>
        <v>60</v>
      </c>
      <c r="AP38" s="26">
        <f t="shared" si="346"/>
        <v>0</v>
      </c>
      <c r="AQ38" s="26">
        <f t="shared" ref="AQ38:AR38" si="347">+IFERROR((AQ32*60)/AQ32, 0)</f>
        <v>60</v>
      </c>
      <c r="AR38" s="26">
        <f t="shared" si="347"/>
        <v>0</v>
      </c>
      <c r="AS38" s="26">
        <f t="shared" ref="AS38:AT38" si="348">+IFERROR((AS32*60)/AS32, 0)</f>
        <v>0</v>
      </c>
      <c r="AT38" s="26">
        <f t="shared" si="348"/>
        <v>0</v>
      </c>
      <c r="AU38" s="26">
        <f t="shared" ref="AU38:AV38" si="349">+IFERROR((AU32*60)/AU32, 0)</f>
        <v>0</v>
      </c>
      <c r="AV38" s="26">
        <f t="shared" si="349"/>
        <v>0</v>
      </c>
      <c r="AW38" s="597">
        <f t="shared" ref="AW38" si="350">+IFERROR((AW32*60)/AW32, 0)</f>
        <v>0</v>
      </c>
      <c r="AX38" s="720">
        <v>60</v>
      </c>
      <c r="AY38" s="28">
        <f t="shared" ref="AY38" si="351">+AX38</f>
        <v>60</v>
      </c>
      <c r="AZ38" s="27">
        <f t="shared" ref="AZ38" si="352">+AY38</f>
        <v>60</v>
      </c>
      <c r="BA38" s="27">
        <f t="shared" ref="BA38" si="353">+AZ38</f>
        <v>60</v>
      </c>
      <c r="BB38" s="27">
        <f t="shared" ref="BB38" si="354">+BA38</f>
        <v>60</v>
      </c>
      <c r="BC38" s="27">
        <f t="shared" ref="BC38" si="355">+BB38</f>
        <v>60</v>
      </c>
      <c r="BD38" s="27">
        <f t="shared" ref="BD38" si="356">+BC38</f>
        <v>60</v>
      </c>
      <c r="BE38" s="27">
        <f t="shared" ref="BE38" si="357">+BD38</f>
        <v>60</v>
      </c>
      <c r="BF38" s="27">
        <f t="shared" ref="BF38" si="358">+BE38</f>
        <v>60</v>
      </c>
      <c r="BG38" s="27">
        <f t="shared" ref="BG38" si="359">+BF38</f>
        <v>60</v>
      </c>
      <c r="BH38" s="27">
        <f t="shared" ref="BH38" si="360">+BG38</f>
        <v>60</v>
      </c>
      <c r="BI38" s="27">
        <f t="shared" ref="BI38" si="361">+BH38</f>
        <v>60</v>
      </c>
      <c r="BJ38" s="27">
        <f t="shared" ref="BJ38" si="362">+BI38</f>
        <v>60</v>
      </c>
      <c r="BK38" s="335">
        <f t="shared" ref="BK38" si="363">+BJ38</f>
        <v>60</v>
      </c>
      <c r="BL38" s="27">
        <f t="shared" ref="BL38" si="364">+BK38</f>
        <v>60</v>
      </c>
      <c r="BM38" s="27">
        <f t="shared" ref="BM38" si="365">+BL38</f>
        <v>60</v>
      </c>
      <c r="BN38" s="27">
        <f t="shared" ref="BN38" si="366">+BM38</f>
        <v>60</v>
      </c>
      <c r="BO38" s="27">
        <f t="shared" ref="BO38" si="367">+BN38</f>
        <v>60</v>
      </c>
      <c r="BP38" s="27">
        <f t="shared" ref="BP38" si="368">+BO38</f>
        <v>60</v>
      </c>
      <c r="BQ38" s="27">
        <f t="shared" ref="BQ38" si="369">+BP38</f>
        <v>60</v>
      </c>
      <c r="BR38" s="27">
        <f t="shared" ref="BR38" si="370">+BQ38</f>
        <v>60</v>
      </c>
      <c r="BS38" s="27">
        <f t="shared" ref="BS38" si="371">+BR38</f>
        <v>60</v>
      </c>
      <c r="BT38" s="27">
        <f t="shared" ref="BT38" si="372">+BS38</f>
        <v>60</v>
      </c>
      <c r="BU38" s="27">
        <f t="shared" ref="BU38" si="373">+BT38</f>
        <v>60</v>
      </c>
      <c r="BV38" s="27">
        <f t="shared" ref="BV38" si="374">+BU38</f>
        <v>60</v>
      </c>
      <c r="BW38" s="335">
        <f t="shared" ref="BW38" si="375">+BV38</f>
        <v>60</v>
      </c>
      <c r="BX38" s="27">
        <f t="shared" ref="BX38" si="376">+BW38</f>
        <v>60</v>
      </c>
      <c r="BY38" s="27">
        <f t="shared" ref="BY38" si="377">+BX38</f>
        <v>60</v>
      </c>
      <c r="BZ38" s="27">
        <f t="shared" ref="BZ38" si="378">+BY38</f>
        <v>60</v>
      </c>
      <c r="CA38" s="27">
        <f t="shared" ref="CA38" si="379">+BZ38</f>
        <v>60</v>
      </c>
      <c r="CB38" s="27">
        <f t="shared" ref="CB38" si="380">+CA38</f>
        <v>60</v>
      </c>
      <c r="CC38" s="27">
        <f t="shared" ref="CC38" si="381">+CB38</f>
        <v>60</v>
      </c>
      <c r="CD38" s="27">
        <f t="shared" ref="CD38" si="382">+CC38</f>
        <v>60</v>
      </c>
      <c r="CE38" s="27">
        <f t="shared" ref="CE38" si="383">+CD38</f>
        <v>60</v>
      </c>
      <c r="CF38" s="27">
        <f t="shared" ref="CF38" si="384">+CE38</f>
        <v>60</v>
      </c>
      <c r="CG38" s="27">
        <f t="shared" ref="CG38" si="385">+CF38</f>
        <v>60</v>
      </c>
      <c r="CH38" s="27">
        <f t="shared" ref="CH38" si="386">+CG38</f>
        <v>60</v>
      </c>
      <c r="CI38" s="335">
        <f t="shared" ref="CI38" si="387">+CH38</f>
        <v>60</v>
      </c>
      <c r="CJ38" s="27">
        <f t="shared" ref="CJ38" si="388">+CI38</f>
        <v>60</v>
      </c>
      <c r="CK38" s="27">
        <f t="shared" ref="CK38" si="389">+CJ38</f>
        <v>60</v>
      </c>
      <c r="CL38" s="27">
        <f t="shared" ref="CL38" si="390">+CK38</f>
        <v>60</v>
      </c>
      <c r="CM38" s="27">
        <f t="shared" ref="CM38" si="391">+CL38</f>
        <v>60</v>
      </c>
      <c r="CN38" s="27">
        <f t="shared" ref="CN38" si="392">+CM38</f>
        <v>60</v>
      </c>
      <c r="CO38" s="27">
        <f t="shared" ref="CO38" si="393">+CN38</f>
        <v>60</v>
      </c>
      <c r="CP38" s="27">
        <f t="shared" ref="CP38" si="394">+CO38</f>
        <v>60</v>
      </c>
      <c r="CQ38" s="27">
        <f t="shared" ref="CQ38" si="395">+CP38</f>
        <v>60</v>
      </c>
      <c r="CR38" s="27">
        <f t="shared" ref="CR38" si="396">+CQ38</f>
        <v>60</v>
      </c>
      <c r="CS38" s="27">
        <f t="shared" ref="CS38" si="397">+CR38</f>
        <v>60</v>
      </c>
      <c r="CT38" s="27">
        <f t="shared" ref="CT38" si="398">+CS38</f>
        <v>60</v>
      </c>
      <c r="CU38" s="335">
        <f t="shared" ref="CU38" si="399">+CT38</f>
        <v>60</v>
      </c>
      <c r="CV38" s="27">
        <f t="shared" ref="CV38" si="400">+CU38</f>
        <v>60</v>
      </c>
      <c r="CW38" s="27">
        <f t="shared" ref="CW38" si="401">+CV38</f>
        <v>60</v>
      </c>
      <c r="CX38" s="27">
        <f t="shared" ref="CX38" si="402">+CW38</f>
        <v>60</v>
      </c>
      <c r="CY38" s="27">
        <f t="shared" ref="CY38" si="403">+CX38</f>
        <v>60</v>
      </c>
      <c r="CZ38" s="27">
        <f t="shared" ref="CZ38" si="404">+CY38</f>
        <v>60</v>
      </c>
      <c r="DA38" s="27">
        <f t="shared" ref="DA38" si="405">+CZ38</f>
        <v>60</v>
      </c>
      <c r="DB38" s="27">
        <f t="shared" ref="DB38" si="406">+DA38</f>
        <v>60</v>
      </c>
      <c r="DC38" s="27">
        <f t="shared" ref="DC38" si="407">+DB38</f>
        <v>60</v>
      </c>
      <c r="DD38" s="27">
        <f t="shared" ref="DD38" si="408">+DC38</f>
        <v>60</v>
      </c>
      <c r="DE38" s="27">
        <f t="shared" ref="DE38" si="409">+DD38</f>
        <v>60</v>
      </c>
      <c r="DF38" s="27">
        <f t="shared" ref="DF38" si="410">+DE38</f>
        <v>60</v>
      </c>
      <c r="DG38" s="28">
        <f t="shared" ref="DG38" si="411">+DF38</f>
        <v>60</v>
      </c>
    </row>
    <row r="39" spans="1:111" ht="18.75" x14ac:dyDescent="0.25">
      <c r="A39" s="36"/>
      <c r="B39" s="36"/>
      <c r="C39" s="49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532"/>
      <c r="AB39" s="26"/>
      <c r="AC39" s="26"/>
      <c r="AD39" s="26"/>
      <c r="AE39" s="26"/>
      <c r="AF39" s="26"/>
      <c r="AG39" s="26"/>
      <c r="AH39" s="26"/>
      <c r="AI39" s="26"/>
      <c r="AJ39" s="500"/>
      <c r="AK39" s="500"/>
      <c r="AL39" s="500"/>
      <c r="AM39" s="535"/>
      <c r="AN39" s="500"/>
      <c r="AO39" s="500"/>
      <c r="AP39" s="500"/>
      <c r="AQ39" s="500"/>
      <c r="AR39" s="500"/>
      <c r="AS39" s="500"/>
      <c r="AT39" s="500"/>
      <c r="AU39" s="500"/>
      <c r="AV39" s="500"/>
      <c r="AW39" s="600"/>
      <c r="AX39" s="27"/>
      <c r="AY39" s="28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335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335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335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335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8"/>
    </row>
    <row r="40" spans="1:111" ht="18.75" x14ac:dyDescent="0.25">
      <c r="A40" s="36"/>
      <c r="B40" s="36"/>
      <c r="C40" s="496" t="s">
        <v>237</v>
      </c>
      <c r="D40" s="26"/>
      <c r="E40" s="26"/>
      <c r="F40" s="26"/>
      <c r="G40" s="26"/>
      <c r="H40" s="26"/>
      <c r="I40" s="170"/>
      <c r="J40" s="170"/>
      <c r="K40" s="170"/>
      <c r="L40" s="170">
        <f t="shared" ref="L40:AF40" si="412">+AVERAGE(F21:L21)/AVERAGE(F17:L17)</f>
        <v>-0.20634920634920637</v>
      </c>
      <c r="M40" s="170">
        <f t="shared" si="412"/>
        <v>-0.125</v>
      </c>
      <c r="N40" s="170">
        <f t="shared" si="412"/>
        <v>-0.18421052631578946</v>
      </c>
      <c r="O40" s="170">
        <f t="shared" si="412"/>
        <v>-0.24657534246575344</v>
      </c>
      <c r="P40" s="169">
        <f t="shared" si="412"/>
        <v>-0.25</v>
      </c>
      <c r="Q40" s="169">
        <f t="shared" si="412"/>
        <v>-0.28169014084507044</v>
      </c>
      <c r="R40" s="169">
        <f t="shared" si="412"/>
        <v>-0.21052631578947367</v>
      </c>
      <c r="S40" s="169">
        <f t="shared" si="412"/>
        <v>-0.29729729729729731</v>
      </c>
      <c r="T40" s="169">
        <f t="shared" si="412"/>
        <v>-0.39393939393939392</v>
      </c>
      <c r="U40" s="169">
        <f t="shared" si="412"/>
        <v>-0.3970588235294118</v>
      </c>
      <c r="V40" s="169">
        <f t="shared" si="412"/>
        <v>-0.46376811594202894</v>
      </c>
      <c r="W40" s="169">
        <f t="shared" si="412"/>
        <v>-0.43421052631578949</v>
      </c>
      <c r="X40" s="169">
        <f t="shared" si="412"/>
        <v>-0.33684210526315789</v>
      </c>
      <c r="Y40" s="169">
        <f t="shared" si="412"/>
        <v>-0.29914529914529914</v>
      </c>
      <c r="Z40" s="169">
        <f>+AVERAGE(T21:Z21)/AVERAGE(T17:Z17)</f>
        <v>-0.30281690140845074</v>
      </c>
      <c r="AA40" s="536">
        <f t="shared" si="412"/>
        <v>-0.37499999999999994</v>
      </c>
      <c r="AB40" s="169">
        <f t="shared" si="412"/>
        <v>-0.36774193548387096</v>
      </c>
      <c r="AC40" s="169">
        <f t="shared" si="412"/>
        <v>-0.32098765432098769</v>
      </c>
      <c r="AD40" s="169">
        <f t="shared" si="412"/>
        <v>-0.32515337423312884</v>
      </c>
      <c r="AE40" s="169">
        <f t="shared" si="412"/>
        <v>-0.38410596026490068</v>
      </c>
      <c r="AF40" s="169">
        <f t="shared" si="412"/>
        <v>-0.40287769784172661</v>
      </c>
      <c r="AG40" s="169">
        <f t="shared" ref="AG40:AW40" si="413">+AVERAGE(AA21:AG21)/AVERAGE(AA17:AG17)</f>
        <v>-0.40458015267175568</v>
      </c>
      <c r="AH40" s="169">
        <f t="shared" si="413"/>
        <v>-0.25352112676056343</v>
      </c>
      <c r="AI40" s="169">
        <f t="shared" si="413"/>
        <v>-0.18902439024390247</v>
      </c>
      <c r="AJ40" s="169">
        <f t="shared" si="413"/>
        <v>-0.17277486910994766</v>
      </c>
      <c r="AK40" s="169">
        <f t="shared" si="413"/>
        <v>-0.15525114155251141</v>
      </c>
      <c r="AL40" s="169">
        <f t="shared" si="413"/>
        <v>-0.14634146341463414</v>
      </c>
      <c r="AM40" s="536">
        <f t="shared" si="413"/>
        <v>-0.23694779116465867</v>
      </c>
      <c r="AN40" s="169">
        <f t="shared" si="413"/>
        <v>-0.23694779116465867</v>
      </c>
      <c r="AO40" s="169">
        <f t="shared" si="413"/>
        <v>-0.26315789473684215</v>
      </c>
      <c r="AP40" s="169">
        <f t="shared" si="413"/>
        <v>-0.30472103004291845</v>
      </c>
      <c r="AQ40" s="169">
        <f t="shared" si="413"/>
        <v>-0.33177570093457942</v>
      </c>
      <c r="AR40" s="169">
        <f t="shared" si="413"/>
        <v>-0.39784946236559138</v>
      </c>
      <c r="AS40" s="169">
        <f t="shared" si="413"/>
        <v>-0.41916167664670656</v>
      </c>
      <c r="AT40" s="169">
        <f t="shared" si="413"/>
        <v>-0.25698324022346364</v>
      </c>
      <c r="AU40" s="169">
        <f t="shared" si="413"/>
        <v>-0.18226600985221675</v>
      </c>
      <c r="AV40" s="169">
        <f t="shared" si="413"/>
        <v>-0.15517241379310345</v>
      </c>
      <c r="AW40" s="601">
        <f t="shared" si="413"/>
        <v>-0.12363636363636363</v>
      </c>
      <c r="AX40" s="178">
        <f>+AL40</f>
        <v>-0.14634146341463414</v>
      </c>
      <c r="AY40" s="179">
        <f t="shared" ref="AY40:BG40" si="414">+AM40</f>
        <v>-0.23694779116465867</v>
      </c>
      <c r="AZ40" s="178">
        <f t="shared" si="414"/>
        <v>-0.23694779116465867</v>
      </c>
      <c r="BA40" s="178">
        <f t="shared" si="414"/>
        <v>-0.26315789473684215</v>
      </c>
      <c r="BB40" s="178">
        <f t="shared" si="414"/>
        <v>-0.30472103004291845</v>
      </c>
      <c r="BC40" s="178">
        <f t="shared" si="414"/>
        <v>-0.33177570093457942</v>
      </c>
      <c r="BD40" s="178">
        <f t="shared" si="414"/>
        <v>-0.39784946236559138</v>
      </c>
      <c r="BE40" s="178">
        <f t="shared" si="414"/>
        <v>-0.41916167664670656</v>
      </c>
      <c r="BF40" s="178">
        <f t="shared" si="414"/>
        <v>-0.25698324022346364</v>
      </c>
      <c r="BG40" s="178">
        <f t="shared" si="414"/>
        <v>-0.18226600985221675</v>
      </c>
      <c r="BH40" s="178">
        <f t="shared" ref="BH40:CT40" si="415">+AV40</f>
        <v>-0.15517241379310345</v>
      </c>
      <c r="BI40" s="178">
        <f t="shared" si="415"/>
        <v>-0.12363636363636363</v>
      </c>
      <c r="BJ40" s="178">
        <f t="shared" si="415"/>
        <v>-0.14634146341463414</v>
      </c>
      <c r="BK40" s="336">
        <f t="shared" si="415"/>
        <v>-0.23694779116465867</v>
      </c>
      <c r="BL40" s="178">
        <f t="shared" si="415"/>
        <v>-0.23694779116465867</v>
      </c>
      <c r="BM40" s="178">
        <f t="shared" si="415"/>
        <v>-0.26315789473684215</v>
      </c>
      <c r="BN40" s="178">
        <f t="shared" si="415"/>
        <v>-0.30472103004291845</v>
      </c>
      <c r="BO40" s="178">
        <f t="shared" si="415"/>
        <v>-0.33177570093457942</v>
      </c>
      <c r="BP40" s="178">
        <f t="shared" si="415"/>
        <v>-0.39784946236559138</v>
      </c>
      <c r="BQ40" s="178">
        <f t="shared" si="415"/>
        <v>-0.41916167664670656</v>
      </c>
      <c r="BR40" s="178">
        <f t="shared" si="415"/>
        <v>-0.25698324022346364</v>
      </c>
      <c r="BS40" s="178">
        <f t="shared" si="415"/>
        <v>-0.18226600985221675</v>
      </c>
      <c r="BT40" s="178">
        <f t="shared" si="415"/>
        <v>-0.15517241379310345</v>
      </c>
      <c r="BU40" s="178">
        <f t="shared" si="415"/>
        <v>-0.12363636363636363</v>
      </c>
      <c r="BV40" s="178">
        <f t="shared" si="415"/>
        <v>-0.14634146341463414</v>
      </c>
      <c r="BW40" s="336">
        <f t="shared" si="415"/>
        <v>-0.23694779116465867</v>
      </c>
      <c r="BX40" s="178">
        <f t="shared" si="415"/>
        <v>-0.23694779116465867</v>
      </c>
      <c r="BY40" s="178">
        <f t="shared" si="415"/>
        <v>-0.26315789473684215</v>
      </c>
      <c r="BZ40" s="178">
        <f t="shared" si="415"/>
        <v>-0.30472103004291845</v>
      </c>
      <c r="CA40" s="178">
        <f t="shared" si="415"/>
        <v>-0.33177570093457942</v>
      </c>
      <c r="CB40" s="178">
        <f t="shared" si="415"/>
        <v>-0.39784946236559138</v>
      </c>
      <c r="CC40" s="178">
        <f t="shared" si="415"/>
        <v>-0.41916167664670656</v>
      </c>
      <c r="CD40" s="178">
        <f t="shared" si="415"/>
        <v>-0.25698324022346364</v>
      </c>
      <c r="CE40" s="178">
        <f t="shared" si="415"/>
        <v>-0.18226600985221675</v>
      </c>
      <c r="CF40" s="178">
        <f t="shared" si="415"/>
        <v>-0.15517241379310345</v>
      </c>
      <c r="CG40" s="178">
        <f t="shared" si="415"/>
        <v>-0.12363636363636363</v>
      </c>
      <c r="CH40" s="178">
        <f t="shared" si="415"/>
        <v>-0.14634146341463414</v>
      </c>
      <c r="CI40" s="336">
        <f t="shared" si="415"/>
        <v>-0.23694779116465867</v>
      </c>
      <c r="CJ40" s="178">
        <f t="shared" si="415"/>
        <v>-0.23694779116465867</v>
      </c>
      <c r="CK40" s="178">
        <f t="shared" si="415"/>
        <v>-0.26315789473684215</v>
      </c>
      <c r="CL40" s="178">
        <f t="shared" si="415"/>
        <v>-0.30472103004291845</v>
      </c>
      <c r="CM40" s="178">
        <f t="shared" si="415"/>
        <v>-0.33177570093457942</v>
      </c>
      <c r="CN40" s="178">
        <f t="shared" si="415"/>
        <v>-0.39784946236559138</v>
      </c>
      <c r="CO40" s="178">
        <f t="shared" si="415"/>
        <v>-0.41916167664670656</v>
      </c>
      <c r="CP40" s="178">
        <f t="shared" si="415"/>
        <v>-0.25698324022346364</v>
      </c>
      <c r="CQ40" s="178">
        <f t="shared" si="415"/>
        <v>-0.18226600985221675</v>
      </c>
      <c r="CR40" s="178">
        <f t="shared" si="415"/>
        <v>-0.15517241379310345</v>
      </c>
      <c r="CS40" s="178">
        <f t="shared" si="415"/>
        <v>-0.12363636363636363</v>
      </c>
      <c r="CT40" s="178">
        <f t="shared" si="415"/>
        <v>-0.14634146341463414</v>
      </c>
      <c r="CU40" s="336">
        <f t="shared" ref="CU40:DG40" si="416">+CI40</f>
        <v>-0.23694779116465867</v>
      </c>
      <c r="CV40" s="178">
        <f t="shared" si="416"/>
        <v>-0.23694779116465867</v>
      </c>
      <c r="CW40" s="178">
        <f t="shared" si="416"/>
        <v>-0.26315789473684215</v>
      </c>
      <c r="CX40" s="178">
        <f t="shared" si="416"/>
        <v>-0.30472103004291845</v>
      </c>
      <c r="CY40" s="178">
        <f t="shared" si="416"/>
        <v>-0.33177570093457942</v>
      </c>
      <c r="CZ40" s="178">
        <f t="shared" si="416"/>
        <v>-0.39784946236559138</v>
      </c>
      <c r="DA40" s="178">
        <f t="shared" si="416"/>
        <v>-0.41916167664670656</v>
      </c>
      <c r="DB40" s="178">
        <f t="shared" si="416"/>
        <v>-0.25698324022346364</v>
      </c>
      <c r="DC40" s="178">
        <f t="shared" si="416"/>
        <v>-0.18226600985221675</v>
      </c>
      <c r="DD40" s="178">
        <f t="shared" si="416"/>
        <v>-0.15517241379310345</v>
      </c>
      <c r="DE40" s="178">
        <f t="shared" si="416"/>
        <v>-0.12363636363636363</v>
      </c>
      <c r="DF40" s="178">
        <f t="shared" si="416"/>
        <v>-0.14634146341463414</v>
      </c>
      <c r="DG40" s="179">
        <f t="shared" si="416"/>
        <v>-0.23694779116465867</v>
      </c>
    </row>
    <row r="41" spans="1:111" ht="18.75" x14ac:dyDescent="0.25">
      <c r="A41" s="36"/>
      <c r="B41" s="36"/>
      <c r="C41" s="496" t="s">
        <v>229</v>
      </c>
      <c r="D41" s="26"/>
      <c r="E41" s="26"/>
      <c r="F41" s="26"/>
      <c r="G41" s="26"/>
      <c r="H41" s="26"/>
      <c r="I41" s="175"/>
      <c r="J41" s="175"/>
      <c r="K41" s="175"/>
      <c r="L41" s="175">
        <f t="shared" ref="L41:Q41" si="417">1/-L40</f>
        <v>4.8461538461538458</v>
      </c>
      <c r="M41" s="175">
        <f t="shared" si="417"/>
        <v>8</v>
      </c>
      <c r="N41" s="175">
        <f t="shared" si="417"/>
        <v>5.4285714285714288</v>
      </c>
      <c r="O41" s="175">
        <f t="shared" si="417"/>
        <v>4.0555555555555554</v>
      </c>
      <c r="P41" s="175">
        <f t="shared" si="417"/>
        <v>4</v>
      </c>
      <c r="Q41" s="175">
        <f t="shared" si="417"/>
        <v>3.55</v>
      </c>
      <c r="R41" s="175">
        <f t="shared" ref="R41:CC41" si="418">1/-R40</f>
        <v>4.75</v>
      </c>
      <c r="S41" s="175">
        <f>1/-S40</f>
        <v>3.3636363636363633</v>
      </c>
      <c r="T41" s="175">
        <f>1/-T40</f>
        <v>2.5384615384615388</v>
      </c>
      <c r="U41" s="175">
        <f>1/-U40</f>
        <v>2.5185185185185182</v>
      </c>
      <c r="V41" s="175">
        <f t="shared" si="418"/>
        <v>2.1562500000000004</v>
      </c>
      <c r="W41" s="175">
        <f t="shared" ref="W41:AB41" si="419">1/-W40</f>
        <v>2.3030303030303028</v>
      </c>
      <c r="X41" s="175">
        <f t="shared" si="419"/>
        <v>2.96875</v>
      </c>
      <c r="Y41" s="175">
        <f t="shared" si="419"/>
        <v>3.342857142857143</v>
      </c>
      <c r="Z41" s="175">
        <f t="shared" si="419"/>
        <v>3.3023255813953485</v>
      </c>
      <c r="AA41" s="537">
        <f t="shared" si="419"/>
        <v>2.666666666666667</v>
      </c>
      <c r="AB41" s="175">
        <f t="shared" si="419"/>
        <v>2.7192982456140351</v>
      </c>
      <c r="AC41" s="175">
        <f t="shared" ref="AC41:AD41" si="420">1/-AC40</f>
        <v>3.115384615384615</v>
      </c>
      <c r="AD41" s="175">
        <f t="shared" si="420"/>
        <v>3.0754716981132075</v>
      </c>
      <c r="AE41" s="175">
        <f t="shared" ref="AE41" si="421">1/-AE40</f>
        <v>2.603448275862069</v>
      </c>
      <c r="AF41" s="175">
        <f t="shared" ref="AF41" si="422">1/-AF40</f>
        <v>2.4821428571428572</v>
      </c>
      <c r="AG41" s="175">
        <f t="shared" ref="AG41:AL41" si="423">1/-AG40</f>
        <v>2.4716981132075473</v>
      </c>
      <c r="AH41" s="175">
        <f t="shared" si="423"/>
        <v>3.9444444444444438</v>
      </c>
      <c r="AI41" s="175">
        <f t="shared" si="423"/>
        <v>5.2903225806451601</v>
      </c>
      <c r="AJ41" s="175">
        <f t="shared" si="423"/>
        <v>5.7878787878787872</v>
      </c>
      <c r="AK41" s="175">
        <f t="shared" si="423"/>
        <v>6.4411764705882355</v>
      </c>
      <c r="AL41" s="175">
        <f t="shared" si="423"/>
        <v>6.8333333333333339</v>
      </c>
      <c r="AM41" s="537">
        <f t="shared" ref="AM41:AN41" si="424">1/-AM40</f>
        <v>4.2203389830508469</v>
      </c>
      <c r="AN41" s="175">
        <f t="shared" si="424"/>
        <v>4.2203389830508469</v>
      </c>
      <c r="AO41" s="175">
        <f t="shared" ref="AO41:AP41" si="425">1/-AO40</f>
        <v>3.7999999999999994</v>
      </c>
      <c r="AP41" s="175">
        <f t="shared" si="425"/>
        <v>3.2816901408450705</v>
      </c>
      <c r="AQ41" s="175">
        <f t="shared" ref="AQ41:AR41" si="426">1/-AQ40</f>
        <v>3.0140845070422535</v>
      </c>
      <c r="AR41" s="175">
        <f t="shared" si="426"/>
        <v>2.5135135135135136</v>
      </c>
      <c r="AS41" s="175">
        <f t="shared" ref="AS41:AT41" si="427">1/-AS40</f>
        <v>2.3857142857142857</v>
      </c>
      <c r="AT41" s="175">
        <f t="shared" si="427"/>
        <v>3.8913043478260878</v>
      </c>
      <c r="AU41" s="175">
        <f t="shared" ref="AU41:AV41" si="428">1/-AU40</f>
        <v>5.4864864864864868</v>
      </c>
      <c r="AV41" s="175">
        <f t="shared" si="428"/>
        <v>6.4444444444444446</v>
      </c>
      <c r="AW41" s="729">
        <f t="shared" ref="AW41" si="429">1/-AW40</f>
        <v>8.0882352941176485</v>
      </c>
      <c r="AX41" s="176">
        <f t="shared" ref="AX41" si="430">1/-AX40</f>
        <v>6.8333333333333339</v>
      </c>
      <c r="AY41" s="177">
        <f t="shared" si="418"/>
        <v>4.2203389830508469</v>
      </c>
      <c r="AZ41" s="176">
        <f t="shared" si="418"/>
        <v>4.2203389830508469</v>
      </c>
      <c r="BA41" s="176">
        <f t="shared" si="418"/>
        <v>3.7999999999999994</v>
      </c>
      <c r="BB41" s="176">
        <f t="shared" si="418"/>
        <v>3.2816901408450705</v>
      </c>
      <c r="BC41" s="176">
        <f t="shared" si="418"/>
        <v>3.0140845070422535</v>
      </c>
      <c r="BD41" s="176">
        <f t="shared" si="418"/>
        <v>2.5135135135135136</v>
      </c>
      <c r="BE41" s="176">
        <f t="shared" si="418"/>
        <v>2.3857142857142857</v>
      </c>
      <c r="BF41" s="176">
        <f t="shared" si="418"/>
        <v>3.8913043478260878</v>
      </c>
      <c r="BG41" s="176">
        <f t="shared" si="418"/>
        <v>5.4864864864864868</v>
      </c>
      <c r="BH41" s="176">
        <f t="shared" si="418"/>
        <v>6.4444444444444446</v>
      </c>
      <c r="BI41" s="176">
        <f t="shared" si="418"/>
        <v>8.0882352941176485</v>
      </c>
      <c r="BJ41" s="176">
        <f t="shared" si="418"/>
        <v>6.8333333333333339</v>
      </c>
      <c r="BK41" s="337">
        <f t="shared" si="418"/>
        <v>4.2203389830508469</v>
      </c>
      <c r="BL41" s="176">
        <f t="shared" si="418"/>
        <v>4.2203389830508469</v>
      </c>
      <c r="BM41" s="176">
        <f t="shared" si="418"/>
        <v>3.7999999999999994</v>
      </c>
      <c r="BN41" s="176">
        <f t="shared" si="418"/>
        <v>3.2816901408450705</v>
      </c>
      <c r="BO41" s="176">
        <f t="shared" si="418"/>
        <v>3.0140845070422535</v>
      </c>
      <c r="BP41" s="176">
        <f t="shared" si="418"/>
        <v>2.5135135135135136</v>
      </c>
      <c r="BQ41" s="176">
        <f t="shared" si="418"/>
        <v>2.3857142857142857</v>
      </c>
      <c r="BR41" s="176">
        <f t="shared" si="418"/>
        <v>3.8913043478260878</v>
      </c>
      <c r="BS41" s="176">
        <f t="shared" si="418"/>
        <v>5.4864864864864868</v>
      </c>
      <c r="BT41" s="176">
        <f t="shared" si="418"/>
        <v>6.4444444444444446</v>
      </c>
      <c r="BU41" s="176">
        <f t="shared" si="418"/>
        <v>8.0882352941176485</v>
      </c>
      <c r="BV41" s="176">
        <f t="shared" si="418"/>
        <v>6.8333333333333339</v>
      </c>
      <c r="BW41" s="337">
        <f t="shared" si="418"/>
        <v>4.2203389830508469</v>
      </c>
      <c r="BX41" s="176">
        <f t="shared" si="418"/>
        <v>4.2203389830508469</v>
      </c>
      <c r="BY41" s="176">
        <f t="shared" si="418"/>
        <v>3.7999999999999994</v>
      </c>
      <c r="BZ41" s="176">
        <f t="shared" si="418"/>
        <v>3.2816901408450705</v>
      </c>
      <c r="CA41" s="176">
        <f t="shared" si="418"/>
        <v>3.0140845070422535</v>
      </c>
      <c r="CB41" s="176">
        <f t="shared" si="418"/>
        <v>2.5135135135135136</v>
      </c>
      <c r="CC41" s="176">
        <f t="shared" si="418"/>
        <v>2.3857142857142857</v>
      </c>
      <c r="CD41" s="176">
        <f t="shared" ref="CD41:DG41" si="431">1/-CD40</f>
        <v>3.8913043478260878</v>
      </c>
      <c r="CE41" s="176">
        <f t="shared" si="431"/>
        <v>5.4864864864864868</v>
      </c>
      <c r="CF41" s="176">
        <f t="shared" si="431"/>
        <v>6.4444444444444446</v>
      </c>
      <c r="CG41" s="176">
        <f t="shared" si="431"/>
        <v>8.0882352941176485</v>
      </c>
      <c r="CH41" s="176">
        <f t="shared" si="431"/>
        <v>6.8333333333333339</v>
      </c>
      <c r="CI41" s="337">
        <f t="shared" si="431"/>
        <v>4.2203389830508469</v>
      </c>
      <c r="CJ41" s="176">
        <f t="shared" si="431"/>
        <v>4.2203389830508469</v>
      </c>
      <c r="CK41" s="176">
        <f t="shared" si="431"/>
        <v>3.7999999999999994</v>
      </c>
      <c r="CL41" s="176">
        <f t="shared" si="431"/>
        <v>3.2816901408450705</v>
      </c>
      <c r="CM41" s="176">
        <f t="shared" si="431"/>
        <v>3.0140845070422535</v>
      </c>
      <c r="CN41" s="176">
        <f t="shared" si="431"/>
        <v>2.5135135135135136</v>
      </c>
      <c r="CO41" s="176">
        <f t="shared" si="431"/>
        <v>2.3857142857142857</v>
      </c>
      <c r="CP41" s="176">
        <f t="shared" si="431"/>
        <v>3.8913043478260878</v>
      </c>
      <c r="CQ41" s="176">
        <f t="shared" si="431"/>
        <v>5.4864864864864868</v>
      </c>
      <c r="CR41" s="176">
        <f t="shared" si="431"/>
        <v>6.4444444444444446</v>
      </c>
      <c r="CS41" s="176">
        <f t="shared" si="431"/>
        <v>8.0882352941176485</v>
      </c>
      <c r="CT41" s="176">
        <f t="shared" si="431"/>
        <v>6.8333333333333339</v>
      </c>
      <c r="CU41" s="337">
        <f t="shared" si="431"/>
        <v>4.2203389830508469</v>
      </c>
      <c r="CV41" s="176">
        <f t="shared" si="431"/>
        <v>4.2203389830508469</v>
      </c>
      <c r="CW41" s="176">
        <f t="shared" si="431"/>
        <v>3.7999999999999994</v>
      </c>
      <c r="CX41" s="176">
        <f t="shared" si="431"/>
        <v>3.2816901408450705</v>
      </c>
      <c r="CY41" s="176">
        <f t="shared" si="431"/>
        <v>3.0140845070422535</v>
      </c>
      <c r="CZ41" s="176">
        <f t="shared" si="431"/>
        <v>2.5135135135135136</v>
      </c>
      <c r="DA41" s="176">
        <f t="shared" si="431"/>
        <v>2.3857142857142857</v>
      </c>
      <c r="DB41" s="176">
        <f t="shared" si="431"/>
        <v>3.8913043478260878</v>
      </c>
      <c r="DC41" s="176">
        <f t="shared" si="431"/>
        <v>5.4864864864864868</v>
      </c>
      <c r="DD41" s="176">
        <f t="shared" si="431"/>
        <v>6.4444444444444446</v>
      </c>
      <c r="DE41" s="176">
        <f t="shared" si="431"/>
        <v>8.0882352941176485</v>
      </c>
      <c r="DF41" s="176">
        <f t="shared" si="431"/>
        <v>6.8333333333333339</v>
      </c>
      <c r="DG41" s="177">
        <f t="shared" si="431"/>
        <v>4.2203389830508469</v>
      </c>
    </row>
    <row r="42" spans="1:111" ht="18.75" x14ac:dyDescent="0.25">
      <c r="A42" s="36"/>
      <c r="B42" s="36"/>
      <c r="C42" s="496" t="s">
        <v>230</v>
      </c>
      <c r="D42" s="26"/>
      <c r="E42" s="26"/>
      <c r="F42" s="26"/>
      <c r="G42" s="26"/>
      <c r="H42" s="26"/>
      <c r="I42" s="26"/>
      <c r="J42" s="26"/>
      <c r="K42" s="26"/>
      <c r="L42" s="26">
        <f t="shared" ref="L42:AU42" si="432">+L14/AVERAGE(G17:L17)</f>
        <v>117.27272727272728</v>
      </c>
      <c r="M42" s="26">
        <f t="shared" si="432"/>
        <v>347.53846153846155</v>
      </c>
      <c r="N42" s="26">
        <f t="shared" si="432"/>
        <v>190</v>
      </c>
      <c r="O42" s="26">
        <f t="shared" si="432"/>
        <v>203.25</v>
      </c>
      <c r="P42" s="26">
        <f t="shared" si="432"/>
        <v>152.06459016393444</v>
      </c>
      <c r="Q42" s="26">
        <f t="shared" si="432"/>
        <v>114.15909090909091</v>
      </c>
      <c r="R42" s="26">
        <f t="shared" si="432"/>
        <v>108.06716417910448</v>
      </c>
      <c r="S42" s="26">
        <f t="shared" si="432"/>
        <v>206.04315789473685</v>
      </c>
      <c r="T42" s="26">
        <f t="shared" si="432"/>
        <v>271.30145454545453</v>
      </c>
      <c r="U42" s="26">
        <f t="shared" si="432"/>
        <v>200.99311475409837</v>
      </c>
      <c r="V42" s="26">
        <f t="shared" si="432"/>
        <v>298.4736842105263</v>
      </c>
      <c r="W42" s="26">
        <f t="shared" si="432"/>
        <v>643.51454545454544</v>
      </c>
      <c r="X42" s="26">
        <f t="shared" si="432"/>
        <v>618.07694117647065</v>
      </c>
      <c r="Y42" s="26">
        <f t="shared" si="432"/>
        <v>447.07472727272733</v>
      </c>
      <c r="Z42" s="26">
        <f t="shared" si="432"/>
        <v>222.77233082706766</v>
      </c>
      <c r="AA42" s="532">
        <f t="shared" si="432"/>
        <v>92.568345323740999</v>
      </c>
      <c r="AB42" s="26">
        <f t="shared" si="432"/>
        <v>122.53061224489795</v>
      </c>
      <c r="AC42" s="26">
        <f t="shared" si="432"/>
        <v>182.83216783216784</v>
      </c>
      <c r="AD42" s="26">
        <f t="shared" si="432"/>
        <v>155.79850746268659</v>
      </c>
      <c r="AE42" s="26">
        <f t="shared" si="432"/>
        <v>202.58823529411765</v>
      </c>
      <c r="AF42" s="26">
        <f t="shared" si="432"/>
        <v>303.92971962616826</v>
      </c>
      <c r="AG42" s="26">
        <f t="shared" si="432"/>
        <v>230.79964285714286</v>
      </c>
      <c r="AH42" s="26">
        <f t="shared" si="432"/>
        <v>431.47095238095244</v>
      </c>
      <c r="AI42" s="26">
        <f t="shared" si="432"/>
        <v>568.23865771812086</v>
      </c>
      <c r="AJ42" s="26">
        <f t="shared" si="432"/>
        <v>347.28070175438597</v>
      </c>
      <c r="AK42" s="26">
        <f t="shared" si="432"/>
        <v>517.00247524752479</v>
      </c>
      <c r="AL42" s="26">
        <f t="shared" si="432"/>
        <v>254.1637168141593</v>
      </c>
      <c r="AM42" s="532">
        <f t="shared" si="432"/>
        <v>138.50666666666666</v>
      </c>
      <c r="AN42" s="26">
        <f t="shared" si="432"/>
        <v>180.42465753424656</v>
      </c>
      <c r="AO42" s="26">
        <f t="shared" si="432"/>
        <v>232.88382775119615</v>
      </c>
      <c r="AP42" s="26">
        <f t="shared" si="432"/>
        <v>241.3309947643979</v>
      </c>
      <c r="AQ42" s="26">
        <f t="shared" si="432"/>
        <v>135.76807228915663</v>
      </c>
      <c r="AR42" s="26">
        <f t="shared" si="432"/>
        <v>255.40140845070422</v>
      </c>
      <c r="AS42" s="26">
        <f t="shared" si="432"/>
        <v>288.16666666666669</v>
      </c>
      <c r="AT42" s="26">
        <f t="shared" si="432"/>
        <v>577.9354838709678</v>
      </c>
      <c r="AU42" s="26">
        <f t="shared" si="432"/>
        <v>701.38285714285712</v>
      </c>
      <c r="AV42" s="26">
        <f>+AV14/AVERAGE(AQ17:AV17)</f>
        <v>816.5625</v>
      </c>
      <c r="AW42" s="597">
        <f>+AW14/AVERAGE(AR17:AW17)</f>
        <v>937.21738095238106</v>
      </c>
      <c r="AX42" s="27">
        <f t="shared" ref="AX42:DG42" si="433">+AX14/AVERAGE(AS17:AX17)</f>
        <v>260.86197879666429</v>
      </c>
      <c r="AY42" s="28">
        <f t="shared" si="433"/>
        <v>331.48293816254557</v>
      </c>
      <c r="AZ42" s="27">
        <f t="shared" si="433"/>
        <v>368.36912211515573</v>
      </c>
      <c r="BA42" s="27">
        <f t="shared" si="433"/>
        <v>332.13691512519171</v>
      </c>
      <c r="BB42" s="27">
        <f t="shared" si="433"/>
        <v>337.38996643741245</v>
      </c>
      <c r="BC42" s="27">
        <f t="shared" si="433"/>
        <v>155.00120707421661</v>
      </c>
      <c r="BD42" s="27">
        <f t="shared" si="433"/>
        <v>273.2767400062495</v>
      </c>
      <c r="BE42" s="27">
        <f t="shared" si="433"/>
        <v>240.55047712671995</v>
      </c>
      <c r="BF42" s="27">
        <f t="shared" si="433"/>
        <v>376.07003129477823</v>
      </c>
      <c r="BG42" s="27">
        <f t="shared" si="433"/>
        <v>418.43875214131424</v>
      </c>
      <c r="BH42" s="27">
        <f t="shared" si="433"/>
        <v>576.98644843558918</v>
      </c>
      <c r="BI42" s="27">
        <f t="shared" si="433"/>
        <v>637.12874383147062</v>
      </c>
      <c r="BJ42" s="27">
        <f t="shared" si="433"/>
        <v>277.40717226215713</v>
      </c>
      <c r="BK42" s="335">
        <f t="shared" si="433"/>
        <v>364.51041950994278</v>
      </c>
      <c r="BL42" s="27">
        <f t="shared" si="433"/>
        <v>376.33309698802765</v>
      </c>
      <c r="BM42" s="27">
        <f t="shared" si="433"/>
        <v>371.2841314613168</v>
      </c>
      <c r="BN42" s="27">
        <f t="shared" si="433"/>
        <v>396.50269415280917</v>
      </c>
      <c r="BO42" s="27">
        <f t="shared" si="433"/>
        <v>171.10791304106814</v>
      </c>
      <c r="BP42" s="27">
        <f t="shared" si="433"/>
        <v>299.82304011826892</v>
      </c>
      <c r="BQ42" s="27">
        <f t="shared" si="433"/>
        <v>257.44023491168048</v>
      </c>
      <c r="BR42" s="27">
        <f t="shared" si="433"/>
        <v>374.92286135296712</v>
      </c>
      <c r="BS42" s="27">
        <f t="shared" si="433"/>
        <v>447.94249272726444</v>
      </c>
      <c r="BT42" s="27">
        <f t="shared" si="433"/>
        <v>582.6809735553594</v>
      </c>
      <c r="BU42" s="27">
        <f t="shared" si="433"/>
        <v>609.77017062749997</v>
      </c>
      <c r="BV42" s="27">
        <f t="shared" si="433"/>
        <v>292.37894209537615</v>
      </c>
      <c r="BW42" s="335">
        <f t="shared" si="433"/>
        <v>366.20440242174311</v>
      </c>
      <c r="BX42" s="27">
        <f t="shared" si="433"/>
        <v>379.01924130478432</v>
      </c>
      <c r="BY42" s="27">
        <f t="shared" si="433"/>
        <v>390.02976187083385</v>
      </c>
      <c r="BZ42" s="27">
        <f t="shared" si="433"/>
        <v>397.50962329338336</v>
      </c>
      <c r="CA42" s="27">
        <f t="shared" si="433"/>
        <v>156.48512320725186</v>
      </c>
      <c r="CB42" s="27">
        <f t="shared" si="433"/>
        <v>328.80542839759744</v>
      </c>
      <c r="CC42" s="27">
        <f t="shared" si="433"/>
        <v>255.19412590908314</v>
      </c>
      <c r="CD42" s="27">
        <f t="shared" si="433"/>
        <v>359.41057382887334</v>
      </c>
      <c r="CE42" s="27">
        <f t="shared" si="433"/>
        <v>468.76536987595028</v>
      </c>
      <c r="CF42" s="27">
        <f t="shared" si="433"/>
        <v>555.07513072398581</v>
      </c>
      <c r="CG42" s="27">
        <f t="shared" si="433"/>
        <v>636.82506393598715</v>
      </c>
      <c r="CH42" s="27">
        <f t="shared" si="433"/>
        <v>291.40833735698595</v>
      </c>
      <c r="CI42" s="335">
        <f t="shared" si="433"/>
        <v>334.42576394043965</v>
      </c>
      <c r="CJ42" s="27">
        <f t="shared" si="433"/>
        <v>417.60657357275807</v>
      </c>
      <c r="CK42" s="27">
        <f t="shared" si="433"/>
        <v>373.65121305054709</v>
      </c>
      <c r="CL42" s="27">
        <f t="shared" si="433"/>
        <v>381.18802299810005</v>
      </c>
      <c r="CM42" s="27">
        <f t="shared" si="433"/>
        <v>164.73253510560519</v>
      </c>
      <c r="CN42" s="27">
        <f t="shared" si="433"/>
        <v>328.33750804189623</v>
      </c>
      <c r="CO42" s="27">
        <f t="shared" si="433"/>
        <v>245.12874331375892</v>
      </c>
      <c r="CP42" s="27">
        <f t="shared" si="433"/>
        <v>376.48557874762901</v>
      </c>
      <c r="CQ42" s="27">
        <f t="shared" si="433"/>
        <v>470.17104933272248</v>
      </c>
      <c r="CR42" s="27">
        <f t="shared" si="433"/>
        <v>531.67438935000223</v>
      </c>
      <c r="CS42" s="27">
        <f t="shared" si="433"/>
        <v>671.0682747430709</v>
      </c>
      <c r="CT42" s="27">
        <f t="shared" si="433"/>
        <v>293.97280880198156</v>
      </c>
      <c r="CU42" s="335">
        <f t="shared" si="433"/>
        <v>336.27742884413311</v>
      </c>
      <c r="CV42" s="27">
        <f t="shared" si="433"/>
        <v>416.75686426062242</v>
      </c>
      <c r="CW42" s="27">
        <f t="shared" si="433"/>
        <v>371.8134994703866</v>
      </c>
      <c r="CX42" s="27">
        <f t="shared" si="433"/>
        <v>361.44376526067578</v>
      </c>
      <c r="CY42" s="27">
        <f t="shared" si="433"/>
        <v>171.32230712624579</v>
      </c>
      <c r="CZ42" s="27">
        <f t="shared" si="433"/>
        <v>326.99771324713004</v>
      </c>
      <c r="DA42" s="27">
        <f t="shared" si="433"/>
        <v>232.72274869249972</v>
      </c>
      <c r="DB42" s="27">
        <f t="shared" si="433"/>
        <v>393.99980145535278</v>
      </c>
      <c r="DC42" s="27">
        <f t="shared" si="433"/>
        <v>450.30972638492767</v>
      </c>
      <c r="DD42" s="27">
        <f t="shared" si="433"/>
        <v>558.03484758658055</v>
      </c>
      <c r="DE42" s="27">
        <f t="shared" si="433"/>
        <v>670.14786673141009</v>
      </c>
      <c r="DF42" s="27">
        <f t="shared" si="433"/>
        <v>279.59846316761013</v>
      </c>
      <c r="DG42" s="28">
        <f t="shared" si="433"/>
        <v>351.0035313060398</v>
      </c>
    </row>
    <row r="43" spans="1:111" ht="18.75" x14ac:dyDescent="0.25">
      <c r="A43" s="36"/>
      <c r="B43" s="36"/>
      <c r="C43" s="496" t="s">
        <v>231</v>
      </c>
      <c r="D43" s="26"/>
      <c r="E43" s="26"/>
      <c r="F43" s="26"/>
      <c r="G43" s="26"/>
      <c r="H43" s="26"/>
      <c r="I43" s="26"/>
      <c r="J43" s="26"/>
      <c r="K43" s="26"/>
      <c r="L43" s="26">
        <f t="shared" ref="L43:Q43" si="434">+L42*L41</f>
        <v>568.32167832167829</v>
      </c>
      <c r="M43" s="26">
        <f t="shared" si="434"/>
        <v>2780.3076923076924</v>
      </c>
      <c r="N43" s="26">
        <f t="shared" si="434"/>
        <v>1031.4285714285716</v>
      </c>
      <c r="O43" s="26">
        <f t="shared" si="434"/>
        <v>824.29166666666663</v>
      </c>
      <c r="P43" s="26">
        <f t="shared" si="434"/>
        <v>608.25836065573776</v>
      </c>
      <c r="Q43" s="26">
        <f t="shared" si="434"/>
        <v>405.26477272727271</v>
      </c>
      <c r="R43" s="26">
        <f t="shared" ref="R43:CC43" si="435">+R42*R41</f>
        <v>513.31902985074623</v>
      </c>
      <c r="S43" s="26">
        <f t="shared" si="435"/>
        <v>693.0542583732057</v>
      </c>
      <c r="T43" s="26">
        <f t="shared" si="435"/>
        <v>688.68830769230772</v>
      </c>
      <c r="U43" s="26">
        <f t="shared" si="435"/>
        <v>506.20488160291433</v>
      </c>
      <c r="V43" s="26">
        <f t="shared" si="435"/>
        <v>643.58388157894751</v>
      </c>
      <c r="W43" s="26">
        <f t="shared" si="435"/>
        <v>1482.0334986225894</v>
      </c>
      <c r="X43" s="26">
        <f t="shared" ref="X43" si="436">+X42*X41</f>
        <v>1834.9159191176473</v>
      </c>
      <c r="Y43" s="26">
        <f t="shared" ref="Y43:AC43" si="437">+Y42*Y41</f>
        <v>1494.5069454545458</v>
      </c>
      <c r="Z43" s="26">
        <f t="shared" si="437"/>
        <v>735.6667669172931</v>
      </c>
      <c r="AA43" s="532">
        <f t="shared" si="437"/>
        <v>246.84892086330936</v>
      </c>
      <c r="AB43" s="26">
        <f>+AB42*AB41</f>
        <v>333.19727891156458</v>
      </c>
      <c r="AC43" s="26">
        <f t="shared" si="437"/>
        <v>569.59252286175354</v>
      </c>
      <c r="AD43" s="26">
        <f t="shared" ref="AD43:AI43" si="438">+AD42*AD41</f>
        <v>479.15390030977193</v>
      </c>
      <c r="AE43" s="26">
        <f t="shared" si="438"/>
        <v>527.4279918864097</v>
      </c>
      <c r="AF43" s="26">
        <f t="shared" si="438"/>
        <v>754.39698264352478</v>
      </c>
      <c r="AG43" s="26">
        <f t="shared" si="438"/>
        <v>570.46704177897573</v>
      </c>
      <c r="AH43" s="26">
        <f t="shared" si="438"/>
        <v>1701.9132010582009</v>
      </c>
      <c r="AI43" s="26">
        <f t="shared" si="438"/>
        <v>3006.1658021216708</v>
      </c>
      <c r="AJ43" s="26">
        <f t="shared" ref="AJ43:AK43" si="439">+AJ42*AJ41</f>
        <v>2010.0186071238702</v>
      </c>
      <c r="AK43" s="26">
        <f t="shared" si="439"/>
        <v>3330.1041788002331</v>
      </c>
      <c r="AL43" s="26">
        <f t="shared" ref="AL43:AM43" si="440">+AL42*AL41</f>
        <v>1736.7853982300887</v>
      </c>
      <c r="AM43" s="532">
        <f t="shared" si="440"/>
        <v>584.54508474576255</v>
      </c>
      <c r="AN43" s="26">
        <f t="shared" ref="AN43:AO43" si="441">+AN42*AN41</f>
        <v>761.45321569537941</v>
      </c>
      <c r="AO43" s="26">
        <f t="shared" si="441"/>
        <v>884.95854545454517</v>
      </c>
      <c r="AP43" s="26">
        <f t="shared" ref="AP43" si="442">+AP42*AP41</f>
        <v>791.97354619865791</v>
      </c>
      <c r="AQ43" s="26">
        <f t="shared" ref="AQ43:AU43" si="443">+AQ42*AQ41</f>
        <v>409.21644323773972</v>
      </c>
      <c r="AR43" s="26">
        <f t="shared" si="443"/>
        <v>641.95489151122956</v>
      </c>
      <c r="AS43" s="26">
        <f t="shared" si="443"/>
        <v>687.48333333333335</v>
      </c>
      <c r="AT43" s="26">
        <f t="shared" si="443"/>
        <v>2248.9228611500707</v>
      </c>
      <c r="AU43" s="26">
        <f t="shared" si="443"/>
        <v>3848.1275675675679</v>
      </c>
      <c r="AV43" s="26">
        <f>+AV42*AV41</f>
        <v>5262.291666666667</v>
      </c>
      <c r="AW43" s="730">
        <f>+AW42*AW41</f>
        <v>7580.4346988795542</v>
      </c>
      <c r="AX43" s="27">
        <f t="shared" ref="AX43" si="444">+AX42*AX41</f>
        <v>1782.5568551105396</v>
      </c>
      <c r="AY43" s="28">
        <f t="shared" si="435"/>
        <v>1398.9703661436242</v>
      </c>
      <c r="AZ43" s="27">
        <f t="shared" si="435"/>
        <v>1554.6425662148097</v>
      </c>
      <c r="BA43" s="27">
        <f t="shared" si="435"/>
        <v>1262.1202774757282</v>
      </c>
      <c r="BB43" s="27">
        <f t="shared" si="435"/>
        <v>1107.2093264777056</v>
      </c>
      <c r="BC43" s="27">
        <f t="shared" si="435"/>
        <v>467.18673681524444</v>
      </c>
      <c r="BD43" s="27">
        <f t="shared" si="435"/>
        <v>686.88477893462709</v>
      </c>
      <c r="BE43" s="27">
        <f t="shared" si="435"/>
        <v>573.88470971660331</v>
      </c>
      <c r="BF43" s="27">
        <f t="shared" si="435"/>
        <v>1463.4029478644634</v>
      </c>
      <c r="BG43" s="27">
        <f t="shared" si="435"/>
        <v>2295.7585590455892</v>
      </c>
      <c r="BH43" s="27">
        <f t="shared" si="435"/>
        <v>3718.3571121404639</v>
      </c>
      <c r="BI43" s="27">
        <f t="shared" si="435"/>
        <v>5153.247192754543</v>
      </c>
      <c r="BJ43" s="27">
        <f t="shared" si="435"/>
        <v>1895.6156771247406</v>
      </c>
      <c r="BK43" s="335">
        <f t="shared" si="435"/>
        <v>1538.3575331860295</v>
      </c>
      <c r="BL43" s="27">
        <f t="shared" si="435"/>
        <v>1588.2532398308283</v>
      </c>
      <c r="BM43" s="27">
        <f t="shared" si="435"/>
        <v>1410.8796995530035</v>
      </c>
      <c r="BN43" s="27">
        <f t="shared" si="435"/>
        <v>1301.1989822197822</v>
      </c>
      <c r="BO43" s="27">
        <f t="shared" si="435"/>
        <v>515.73370972941666</v>
      </c>
      <c r="BP43" s="27">
        <f t="shared" si="435"/>
        <v>753.60926299997323</v>
      </c>
      <c r="BQ43" s="27">
        <f t="shared" si="435"/>
        <v>614.17884614643765</v>
      </c>
      <c r="BR43" s="27">
        <f t="shared" si="435"/>
        <v>1458.9389604821984</v>
      </c>
      <c r="BS43" s="27">
        <f t="shared" si="435"/>
        <v>2457.6304330712078</v>
      </c>
      <c r="BT43" s="27">
        <f t="shared" si="435"/>
        <v>3755.0551629123161</v>
      </c>
      <c r="BU43" s="27">
        <f t="shared" si="435"/>
        <v>4931.9646153694857</v>
      </c>
      <c r="BV43" s="27">
        <f t="shared" si="435"/>
        <v>1997.9227709850704</v>
      </c>
      <c r="BW43" s="335">
        <f t="shared" si="435"/>
        <v>1545.5067153053224</v>
      </c>
      <c r="BX43" s="27">
        <f t="shared" si="435"/>
        <v>1599.589679404937</v>
      </c>
      <c r="BY43" s="27">
        <f t="shared" si="435"/>
        <v>1482.1130951091684</v>
      </c>
      <c r="BZ43" s="27">
        <f t="shared" si="435"/>
        <v>1304.5034116529341</v>
      </c>
      <c r="CA43" s="27">
        <f t="shared" si="435"/>
        <v>471.65938544157603</v>
      </c>
      <c r="CB43" s="27">
        <f t="shared" si="435"/>
        <v>826.45688759396114</v>
      </c>
      <c r="CC43" s="27">
        <f t="shared" si="435"/>
        <v>608.82027181166973</v>
      </c>
      <c r="CD43" s="27">
        <f t="shared" ref="CD43:DG43" si="445">+CD42*CD41</f>
        <v>1398.5759285949639</v>
      </c>
      <c r="CE43" s="27">
        <f t="shared" si="445"/>
        <v>2571.8748671572407</v>
      </c>
      <c r="CF43" s="27">
        <f t="shared" si="445"/>
        <v>3577.1508424434642</v>
      </c>
      <c r="CG43" s="27">
        <f t="shared" si="445"/>
        <v>5150.790958305779</v>
      </c>
      <c r="CH43" s="27">
        <f t="shared" si="445"/>
        <v>1991.2903052727374</v>
      </c>
      <c r="CI43" s="335">
        <f t="shared" si="445"/>
        <v>1411.3900884943976</v>
      </c>
      <c r="CJ43" s="27">
        <f t="shared" si="445"/>
        <v>1762.4413020274023</v>
      </c>
      <c r="CK43" s="27">
        <f t="shared" si="445"/>
        <v>1419.8746095920787</v>
      </c>
      <c r="CL43" s="27">
        <f t="shared" si="445"/>
        <v>1250.940976881089</v>
      </c>
      <c r="CM43" s="27">
        <f t="shared" si="445"/>
        <v>496.51778186759873</v>
      </c>
      <c r="CN43" s="27">
        <f t="shared" si="445"/>
        <v>825.28076345665806</v>
      </c>
      <c r="CO43" s="27">
        <f t="shared" si="445"/>
        <v>584.80714476282481</v>
      </c>
      <c r="CP43" s="27">
        <f t="shared" si="445"/>
        <v>1465.0199694744697</v>
      </c>
      <c r="CQ43" s="27">
        <f t="shared" si="445"/>
        <v>2579.5871085011531</v>
      </c>
      <c r="CR43" s="27">
        <f t="shared" si="445"/>
        <v>3426.3460647000143</v>
      </c>
      <c r="CS43" s="27">
        <f t="shared" si="445"/>
        <v>5427.7581045395455</v>
      </c>
      <c r="CT43" s="27">
        <f t="shared" si="445"/>
        <v>2008.8141934802075</v>
      </c>
      <c r="CU43" s="335">
        <f t="shared" si="445"/>
        <v>1419.2047420710023</v>
      </c>
      <c r="CV43" s="27">
        <f t="shared" si="445"/>
        <v>1758.8552406931351</v>
      </c>
      <c r="CW43" s="27">
        <f t="shared" si="445"/>
        <v>1412.8912979874688</v>
      </c>
      <c r="CX43" s="27">
        <f t="shared" si="445"/>
        <v>1186.1464409258797</v>
      </c>
      <c r="CY43" s="27">
        <f t="shared" si="445"/>
        <v>516.37991161995205</v>
      </c>
      <c r="CZ43" s="27">
        <f t="shared" si="445"/>
        <v>821.91317113467824</v>
      </c>
      <c r="DA43" s="27">
        <f t="shared" si="445"/>
        <v>555.20998616639213</v>
      </c>
      <c r="DB43" s="27">
        <f t="shared" si="445"/>
        <v>1533.1731404458296</v>
      </c>
      <c r="DC43" s="27">
        <f t="shared" si="445"/>
        <v>2470.6182285443329</v>
      </c>
      <c r="DD43" s="27">
        <f t="shared" si="445"/>
        <v>3596.2245733357413</v>
      </c>
      <c r="DE43" s="27">
        <f t="shared" si="445"/>
        <v>5420.3136279746413</v>
      </c>
      <c r="DF43" s="27">
        <f t="shared" si="445"/>
        <v>1910.5894983120027</v>
      </c>
      <c r="DG43" s="28">
        <f t="shared" si="445"/>
        <v>1481.3538863593881</v>
      </c>
    </row>
    <row r="44" spans="1:111" s="285" customFormat="1" ht="18.75" x14ac:dyDescent="0.25">
      <c r="A44" s="36"/>
      <c r="B44" s="36"/>
      <c r="C44" s="496" t="s">
        <v>232</v>
      </c>
      <c r="D44" s="375"/>
      <c r="E44" s="375"/>
      <c r="F44" s="375"/>
      <c r="G44" s="375"/>
      <c r="H44" s="375"/>
      <c r="I44" s="376"/>
      <c r="J44" s="376"/>
      <c r="K44" s="376"/>
      <c r="L44" s="376">
        <f t="shared" ref="L44:AM44" si="446">+L97/L14</f>
        <v>0.97488372093023257</v>
      </c>
      <c r="M44" s="376">
        <f t="shared" si="446"/>
        <v>0.52279946879150074</v>
      </c>
      <c r="N44" s="376">
        <f t="shared" si="446"/>
        <v>0.77405263157894733</v>
      </c>
      <c r="O44" s="376">
        <f t="shared" si="446"/>
        <v>0.92024600246002464</v>
      </c>
      <c r="P44" s="377">
        <f t="shared" si="446"/>
        <v>0.84790975362065735</v>
      </c>
      <c r="Q44" s="377">
        <f t="shared" si="446"/>
        <v>0.87755524586900258</v>
      </c>
      <c r="R44" s="377">
        <f t="shared" si="446"/>
        <v>0.91269111249223134</v>
      </c>
      <c r="S44" s="377">
        <f t="shared" si="446"/>
        <v>0.86061172672051334</v>
      </c>
      <c r="T44" s="377">
        <f t="shared" si="446"/>
        <v>0.7784416931719027</v>
      </c>
      <c r="U44" s="377">
        <f t="shared" si="446"/>
        <v>0.68324826394836136</v>
      </c>
      <c r="V44" s="377">
        <f t="shared" si="446"/>
        <v>0.84737788749779575</v>
      </c>
      <c r="W44" s="377">
        <f t="shared" si="446"/>
        <v>0.8796453000991713</v>
      </c>
      <c r="X44" s="377">
        <f t="shared" si="446"/>
        <v>0.81197543652475013</v>
      </c>
      <c r="Y44" s="377">
        <f t="shared" si="446"/>
        <v>0.83560161388517107</v>
      </c>
      <c r="Z44" s="377">
        <f t="shared" si="446"/>
        <v>0.81644228977829614</v>
      </c>
      <c r="AA44" s="538">
        <f t="shared" si="446"/>
        <v>0.62813243180228495</v>
      </c>
      <c r="AB44" s="377">
        <f t="shared" si="446"/>
        <v>0.86101265822784823</v>
      </c>
      <c r="AC44" s="377">
        <f t="shared" si="446"/>
        <v>0.62926907630522089</v>
      </c>
      <c r="AD44" s="377">
        <f t="shared" si="446"/>
        <v>0.72897542750395183</v>
      </c>
      <c r="AE44" s="377">
        <f t="shared" si="446"/>
        <v>0.30741662518665996</v>
      </c>
      <c r="AF44" s="377">
        <f t="shared" si="446"/>
        <v>0.87270483092500484</v>
      </c>
      <c r="AG44" s="377">
        <f t="shared" si="446"/>
        <v>0.6333972415778063</v>
      </c>
      <c r="AH44" s="377">
        <f t="shared" si="446"/>
        <v>0.69685538617067422</v>
      </c>
      <c r="AI44" s="377">
        <f t="shared" si="446"/>
        <v>0.83443576264628394</v>
      </c>
      <c r="AJ44" s="377">
        <f t="shared" si="446"/>
        <v>0.82862945188178838</v>
      </c>
      <c r="AK44" s="377">
        <f t="shared" si="446"/>
        <v>0.85531390488775272</v>
      </c>
      <c r="AL44" s="377">
        <f t="shared" si="446"/>
        <v>0.76915339217632006</v>
      </c>
      <c r="AM44" s="538">
        <f t="shared" si="446"/>
        <v>0.76526569118213328</v>
      </c>
      <c r="AN44" s="377">
        <f t="shared" ref="AN44:AU44" si="447">+AN64/AN14</f>
        <v>1</v>
      </c>
      <c r="AO44" s="377">
        <f t="shared" si="447"/>
        <v>0.94452744781881925</v>
      </c>
      <c r="AP44" s="377">
        <f t="shared" si="447"/>
        <v>1</v>
      </c>
      <c r="AQ44" s="377">
        <f t="shared" si="447"/>
        <v>1</v>
      </c>
      <c r="AR44" s="377">
        <f t="shared" si="447"/>
        <v>0.95533129291091079</v>
      </c>
      <c r="AS44" s="377">
        <f t="shared" si="447"/>
        <v>1</v>
      </c>
      <c r="AT44" s="377">
        <f t="shared" si="447"/>
        <v>0.89400535833891492</v>
      </c>
      <c r="AU44" s="377">
        <f t="shared" si="447"/>
        <v>0.96656401231852174</v>
      </c>
      <c r="AV44" s="377">
        <f>+AV64/AV14</f>
        <v>0.85598374988960513</v>
      </c>
      <c r="AW44" s="602">
        <f>+AW64/AW14</f>
        <v>0.8410949535771165</v>
      </c>
      <c r="AX44" s="378">
        <f t="shared" ref="AX44" si="448">+AX64/AX14</f>
        <v>1</v>
      </c>
      <c r="AY44" s="380">
        <f t="shared" ref="AY44:DG44" si="449">+AY64/AY14</f>
        <v>0.9467984336940225</v>
      </c>
      <c r="AZ44" s="378">
        <f t="shared" si="449"/>
        <v>0.8674252598487141</v>
      </c>
      <c r="BA44" s="378">
        <f t="shared" si="449"/>
        <v>0.75920303604282291</v>
      </c>
      <c r="BB44" s="378">
        <f t="shared" si="449"/>
        <v>0.65232182721635046</v>
      </c>
      <c r="BC44" s="378">
        <f t="shared" si="449"/>
        <v>0.7951594450203654</v>
      </c>
      <c r="BD44" s="378">
        <f t="shared" si="449"/>
        <v>0.59483992616419412</v>
      </c>
      <c r="BE44" s="378">
        <f t="shared" si="449"/>
        <v>0.95710768620158471</v>
      </c>
      <c r="BF44" s="378">
        <f t="shared" si="449"/>
        <v>0.87045263453877331</v>
      </c>
      <c r="BG44" s="378">
        <f t="shared" si="449"/>
        <v>0.88969616520815709</v>
      </c>
      <c r="BH44" s="378">
        <f t="shared" si="449"/>
        <v>0.86384156374623733</v>
      </c>
      <c r="BI44" s="378">
        <f t="shared" si="449"/>
        <v>0.9717994433797934</v>
      </c>
      <c r="BJ44" s="378">
        <f t="shared" si="449"/>
        <v>1</v>
      </c>
      <c r="BK44" s="379">
        <f t="shared" si="449"/>
        <v>0.9223138482080141</v>
      </c>
      <c r="BL44" s="378">
        <f t="shared" si="449"/>
        <v>0.85518146689499308</v>
      </c>
      <c r="BM44" s="378">
        <f t="shared" si="449"/>
        <v>0.73305179803357434</v>
      </c>
      <c r="BN44" s="378">
        <f t="shared" si="449"/>
        <v>0.6211950413395283</v>
      </c>
      <c r="BO44" s="378">
        <f t="shared" si="449"/>
        <v>0.72831391870376749</v>
      </c>
      <c r="BP44" s="378">
        <f t="shared" si="449"/>
        <v>0.54938541505963701</v>
      </c>
      <c r="BQ44" s="378">
        <f t="shared" si="449"/>
        <v>0.90253540533327647</v>
      </c>
      <c r="BR44" s="378">
        <f t="shared" si="449"/>
        <v>0.83864504495624614</v>
      </c>
      <c r="BS44" s="378">
        <f t="shared" si="449"/>
        <v>0.85246872965032727</v>
      </c>
      <c r="BT44" s="378">
        <f t="shared" si="449"/>
        <v>0.83988187077290666</v>
      </c>
      <c r="BU44" s="378">
        <f t="shared" si="449"/>
        <v>0.9534860105613121</v>
      </c>
      <c r="BV44" s="378">
        <f t="shared" si="449"/>
        <v>0.99732559145593169</v>
      </c>
      <c r="BW44" s="379">
        <f t="shared" si="449"/>
        <v>0.89005236148365185</v>
      </c>
      <c r="BX44" s="378">
        <f t="shared" si="449"/>
        <v>0.82530420423325801</v>
      </c>
      <c r="BY44" s="378">
        <f t="shared" si="449"/>
        <v>0.69971242547158075</v>
      </c>
      <c r="BZ44" s="378">
        <f t="shared" si="449"/>
        <v>0.59552351859796016</v>
      </c>
      <c r="CA44" s="378">
        <f t="shared" si="449"/>
        <v>0.68332569425194378</v>
      </c>
      <c r="CB44" s="378">
        <f t="shared" si="449"/>
        <v>0.50681053159318734</v>
      </c>
      <c r="CC44" s="378">
        <f t="shared" si="449"/>
        <v>0.86299129814376785</v>
      </c>
      <c r="CD44" s="378">
        <f t="shared" si="449"/>
        <v>0.81369458357027358</v>
      </c>
      <c r="CE44" s="378">
        <f t="shared" si="449"/>
        <v>0.8261243685223939</v>
      </c>
      <c r="CF44" s="378">
        <f t="shared" si="449"/>
        <v>0.82434944673273569</v>
      </c>
      <c r="CG44" s="378">
        <f t="shared" si="449"/>
        <v>0.93565738727272052</v>
      </c>
      <c r="CH44" s="378">
        <f t="shared" si="449"/>
        <v>0.99551343743975562</v>
      </c>
      <c r="CI44" s="379">
        <f t="shared" si="449"/>
        <v>0.8724294836885893</v>
      </c>
      <c r="CJ44" s="378">
        <f t="shared" si="449"/>
        <v>0.79920049488696909</v>
      </c>
      <c r="CK44" s="378">
        <f t="shared" si="449"/>
        <v>0.68146660958366534</v>
      </c>
      <c r="CL44" s="378">
        <f t="shared" si="449"/>
        <v>0.56987250346206586</v>
      </c>
      <c r="CM44" s="378">
        <f t="shared" si="449"/>
        <v>0.63129750753874703</v>
      </c>
      <c r="CN44" s="378">
        <f t="shared" si="449"/>
        <v>0.48401197439200927</v>
      </c>
      <c r="CO44" s="378">
        <f t="shared" si="449"/>
        <v>0.83639469825294555</v>
      </c>
      <c r="CP44" s="378">
        <f t="shared" si="449"/>
        <v>0.79016682827090501</v>
      </c>
      <c r="CQ44" s="378">
        <f t="shared" si="449"/>
        <v>0.80962271044620582</v>
      </c>
      <c r="CR44" s="378">
        <f t="shared" si="449"/>
        <v>0.81225815632209086</v>
      </c>
      <c r="CS44" s="378">
        <f t="shared" si="449"/>
        <v>0.92289143705409615</v>
      </c>
      <c r="CT44" s="378">
        <f t="shared" si="449"/>
        <v>0.9752236311074729</v>
      </c>
      <c r="CU44" s="379">
        <f t="shared" si="449"/>
        <v>0.8532029602807305</v>
      </c>
      <c r="CV44" s="378">
        <f t="shared" si="449"/>
        <v>0.78489827690131442</v>
      </c>
      <c r="CW44" s="378">
        <f t="shared" si="449"/>
        <v>0.66568848253780133</v>
      </c>
      <c r="CX44" s="378">
        <f t="shared" si="449"/>
        <v>0.52652520395365188</v>
      </c>
      <c r="CY44" s="378">
        <f t="shared" si="449"/>
        <v>0.59602545864222078</v>
      </c>
      <c r="CZ44" s="378">
        <f t="shared" si="449"/>
        <v>0.46750049130951665</v>
      </c>
      <c r="DA44" s="378">
        <f t="shared" si="449"/>
        <v>0.81710565662370438</v>
      </c>
      <c r="DB44" s="378">
        <f t="shared" si="449"/>
        <v>0.77409466021903672</v>
      </c>
      <c r="DC44" s="378">
        <f t="shared" si="449"/>
        <v>0.79919179882981228</v>
      </c>
      <c r="DD44" s="378">
        <f t="shared" si="449"/>
        <v>0.80104769997159553</v>
      </c>
      <c r="DE44" s="378">
        <f t="shared" si="449"/>
        <v>0.91533039540256933</v>
      </c>
      <c r="DF44" s="378">
        <f t="shared" si="449"/>
        <v>0.96068538886739874</v>
      </c>
      <c r="DG44" s="380">
        <f t="shared" si="449"/>
        <v>0.8388689267421342</v>
      </c>
    </row>
    <row r="45" spans="1:111" ht="18.75" x14ac:dyDescent="0.25">
      <c r="A45" s="36"/>
      <c r="B45" s="36"/>
      <c r="C45" s="496" t="s">
        <v>236</v>
      </c>
      <c r="D45" s="26"/>
      <c r="E45" s="26"/>
      <c r="F45" s="26"/>
      <c r="G45" s="26"/>
      <c r="H45" s="26"/>
      <c r="I45" s="26"/>
      <c r="J45" s="26"/>
      <c r="K45" s="26"/>
      <c r="L45" s="26">
        <f t="shared" ref="L45:AP45" si="450">+AVERAGE(L44*L43,K44*K43, J44*J43)</f>
        <v>184.68251748251748</v>
      </c>
      <c r="M45" s="26">
        <f t="shared" si="450"/>
        <v>669.19697902097914</v>
      </c>
      <c r="N45" s="26">
        <f t="shared" si="450"/>
        <v>935.32364568764569</v>
      </c>
      <c r="O45" s="26">
        <f t="shared" si="450"/>
        <v>1003.4914985754987</v>
      </c>
      <c r="P45" s="26">
        <f t="shared" si="450"/>
        <v>690.89310261080755</v>
      </c>
      <c r="Q45" s="26">
        <f t="shared" si="450"/>
        <v>543.31384503504989</v>
      </c>
      <c r="R45" s="26">
        <f t="shared" si="450"/>
        <v>446.63071347064971</v>
      </c>
      <c r="S45" s="26">
        <f t="shared" si="450"/>
        <v>473.53152190006904</v>
      </c>
      <c r="T45" s="26">
        <f t="shared" si="450"/>
        <v>533.68534357839076</v>
      </c>
      <c r="U45" s="26">
        <f t="shared" si="450"/>
        <v>492.80597362487953</v>
      </c>
      <c r="V45" s="26">
        <f t="shared" si="450"/>
        <v>475.77534962168983</v>
      </c>
      <c r="W45" s="26">
        <f t="shared" si="450"/>
        <v>731.62871940342313</v>
      </c>
      <c r="X45" s="26">
        <f t="shared" si="450"/>
        <v>1112.9764020215525</v>
      </c>
      <c r="Y45" s="26">
        <f t="shared" si="450"/>
        <v>1347.4609572163574</v>
      </c>
      <c r="Z45" s="26">
        <f t="shared" si="450"/>
        <v>1113.1161765639772</v>
      </c>
      <c r="AA45" s="532">
        <f t="shared" si="450"/>
        <v>668.16522940993559</v>
      </c>
      <c r="AB45" s="26">
        <f t="shared" si="450"/>
        <v>347.52344915844105</v>
      </c>
      <c r="AC45" s="26">
        <f t="shared" si="450"/>
        <v>266.78928283704948</v>
      </c>
      <c r="AD45" s="26">
        <f t="shared" si="450"/>
        <v>331.53515162666997</v>
      </c>
      <c r="AE45" s="26">
        <f t="shared" si="450"/>
        <v>289.95283778159171</v>
      </c>
      <c r="AF45" s="26">
        <f t="shared" si="450"/>
        <v>389.93248126715008</v>
      </c>
      <c r="AG45" s="26">
        <f t="shared" si="450"/>
        <v>393.94609171893421</v>
      </c>
      <c r="AH45" s="26">
        <f t="shared" si="450"/>
        <v>735.22850760482879</v>
      </c>
      <c r="AI45" s="26">
        <f t="shared" si="450"/>
        <v>1351.9239617869366</v>
      </c>
      <c r="AJ45" s="26">
        <f t="shared" si="450"/>
        <v>1786.6667504600675</v>
      </c>
      <c r="AK45" s="26">
        <f t="shared" si="450"/>
        <v>2340.7657597601574</v>
      </c>
      <c r="AL45" s="26">
        <f t="shared" si="450"/>
        <v>1949.899802025624</v>
      </c>
      <c r="AM45" s="532">
        <f t="shared" si="450"/>
        <v>1543.8236958962361</v>
      </c>
      <c r="AN45" s="26">
        <f t="shared" si="450"/>
        <v>848.21329817714593</v>
      </c>
      <c r="AO45" s="26">
        <f t="shared" si="450"/>
        <v>681.55105012136676</v>
      </c>
      <c r="AP45" s="26">
        <f t="shared" si="450"/>
        <v>796.4314660858912</v>
      </c>
      <c r="AQ45" s="26">
        <f t="shared" ref="AQ45:AU45" si="451">+AVERAGE(AQ44*AQ43,AP44*AP43, AO44*AO43)</f>
        <v>679.01920860001121</v>
      </c>
      <c r="AR45" s="26">
        <f t="shared" si="451"/>
        <v>604.82319531143469</v>
      </c>
      <c r="AS45" s="26">
        <f t="shared" si="451"/>
        <v>569.99312435632646</v>
      </c>
      <c r="AT45" s="26">
        <f t="shared" si="451"/>
        <v>1103.7706727300954</v>
      </c>
      <c r="AU45" s="26">
        <f t="shared" si="451"/>
        <v>2139.1646811046671</v>
      </c>
      <c r="AV45" s="26">
        <f>+AVERAGE(AV44*AV43,AU44*AU43, AT44*AT43)</f>
        <v>3411.4822879422741</v>
      </c>
      <c r="AW45" s="597">
        <f>+AVERAGE(AW44*AW43,AV44*AV43, AU44*AU43)</f>
        <v>4866.5877155387452</v>
      </c>
      <c r="AX45" s="27">
        <f t="shared" ref="AX45" si="452">+AVERAGE(AX44*AX43,AW44*AW43, AV44*AV43)</f>
        <v>4220.9527933683848</v>
      </c>
      <c r="AY45" s="28">
        <f t="shared" ref="AY45:BW45" si="453">+AVERAGE(AY44*AY43,AX44*AX43, AW44*AW43)</f>
        <v>3160.9883925693794</v>
      </c>
      <c r="AZ45" s="27">
        <f t="shared" si="453"/>
        <v>1485.2120128434765</v>
      </c>
      <c r="BA45" s="27">
        <f t="shared" si="453"/>
        <v>1210.4282433102242</v>
      </c>
      <c r="BB45" s="27">
        <f t="shared" si="453"/>
        <v>1009.6661964801525</v>
      </c>
      <c r="BC45" s="27">
        <f t="shared" si="453"/>
        <v>683.98343461219656</v>
      </c>
      <c r="BD45" s="27">
        <f t="shared" si="453"/>
        <v>500.77708283686314</v>
      </c>
      <c r="BE45" s="27">
        <f t="shared" si="453"/>
        <v>443.11463473833129</v>
      </c>
      <c r="BF45" s="27">
        <f t="shared" si="453"/>
        <v>743.89296973617923</v>
      </c>
      <c r="BG45" s="27">
        <f t="shared" si="453"/>
        <v>1288.5400014168069</v>
      </c>
      <c r="BH45" s="27">
        <f t="shared" si="453"/>
        <v>2176.1406533018185</v>
      </c>
      <c r="BI45" s="27">
        <f t="shared" si="453"/>
        <v>3420.8405873541246</v>
      </c>
      <c r="BJ45" s="27">
        <f t="shared" si="453"/>
        <v>3371.8699509868165</v>
      </c>
      <c r="BK45" s="335">
        <f t="shared" si="453"/>
        <v>2774.1289623315606</v>
      </c>
      <c r="BL45" s="27">
        <f t="shared" si="453"/>
        <v>1557.5696229721962</v>
      </c>
      <c r="BM45" s="27">
        <f t="shared" si="453"/>
        <v>1270.447030786082</v>
      </c>
      <c r="BN45" s="27">
        <f t="shared" si="453"/>
        <v>1066.9303305188737</v>
      </c>
      <c r="BO45" s="27">
        <f t="shared" si="453"/>
        <v>739.387431752677</v>
      </c>
      <c r="BP45" s="27">
        <f t="shared" si="453"/>
        <v>532.6454441458867</v>
      </c>
      <c r="BQ45" s="27">
        <f t="shared" si="453"/>
        <v>447.98537691352976</v>
      </c>
      <c r="BR45" s="27">
        <f t="shared" si="453"/>
        <v>730.62400723397968</v>
      </c>
      <c r="BS45" s="27">
        <f t="shared" si="453"/>
        <v>1290.9677257287026</v>
      </c>
      <c r="BT45" s="27">
        <f t="shared" si="453"/>
        <v>2157.4625928048222</v>
      </c>
      <c r="BU45" s="27">
        <f t="shared" si="453"/>
        <v>3317.1383712168877</v>
      </c>
      <c r="BV45" s="27">
        <f t="shared" si="453"/>
        <v>3282.9805098921411</v>
      </c>
      <c r="BW45" s="335">
        <f t="shared" si="453"/>
        <v>2690.2402254135036</v>
      </c>
      <c r="BX45" s="27">
        <f t="shared" ref="BX45:DC45" si="454">+AVERAGE(BX44*BX43,BW44*BW43, BV44*BV43)</f>
        <v>1562.7698327877758</v>
      </c>
      <c r="BY45" s="27">
        <f t="shared" si="454"/>
        <v>1244.2609792364653</v>
      </c>
      <c r="BZ45" s="27">
        <f t="shared" si="454"/>
        <v>1044.6878325978835</v>
      </c>
      <c r="CA45" s="27">
        <f t="shared" si="454"/>
        <v>712.07079577997877</v>
      </c>
      <c r="CB45" s="27">
        <f t="shared" si="454"/>
        <v>506.0054977594184</v>
      </c>
      <c r="CC45" s="27">
        <f t="shared" si="454"/>
        <v>422.18687608488364</v>
      </c>
      <c r="CD45" s="27">
        <f t="shared" si="454"/>
        <v>694.0924363522762</v>
      </c>
      <c r="CE45" s="27">
        <f t="shared" si="454"/>
        <v>1262.7029183551247</v>
      </c>
      <c r="CF45" s="27">
        <f t="shared" si="454"/>
        <v>2070.5081587353961</v>
      </c>
      <c r="CG45" s="27">
        <f t="shared" si="454"/>
        <v>3297.6288096110125</v>
      </c>
      <c r="CH45" s="27">
        <f t="shared" si="454"/>
        <v>3250.1847283422235</v>
      </c>
      <c r="CI45" s="335">
        <f t="shared" si="454"/>
        <v>2677.69006445574</v>
      </c>
      <c r="CJ45" s="27">
        <f t="shared" si="454"/>
        <v>1540.7461812401389</v>
      </c>
      <c r="CK45" s="27">
        <f t="shared" si="454"/>
        <v>1202.4931410701795</v>
      </c>
      <c r="CL45" s="27">
        <f t="shared" si="454"/>
        <v>1029.672654400229</v>
      </c>
      <c r="CM45" s="27">
        <f t="shared" si="454"/>
        <v>664.64148018427841</v>
      </c>
      <c r="CN45" s="27">
        <f t="shared" si="454"/>
        <v>475.25769202286421</v>
      </c>
      <c r="CO45" s="27">
        <f t="shared" si="454"/>
        <v>400.67526842338452</v>
      </c>
      <c r="CP45" s="27">
        <f t="shared" si="454"/>
        <v>682.06184992055034</v>
      </c>
      <c r="CQ45" s="27">
        <f t="shared" si="454"/>
        <v>1245.0773615433479</v>
      </c>
      <c r="CR45" s="27">
        <f t="shared" si="454"/>
        <v>2009.7266755615528</v>
      </c>
      <c r="CS45" s="27">
        <f t="shared" si="454"/>
        <v>3293.6004403773327</v>
      </c>
      <c r="CT45" s="27">
        <f t="shared" si="454"/>
        <v>3250.4506955003999</v>
      </c>
      <c r="CU45" s="335">
        <f t="shared" si="454"/>
        <v>2726.381412081982</v>
      </c>
      <c r="CV45" s="27">
        <f t="shared" si="454"/>
        <v>1516.811735634772</v>
      </c>
      <c r="CW45" s="27">
        <f t="shared" si="454"/>
        <v>1177.3125330221535</v>
      </c>
      <c r="CX45" s="27">
        <f t="shared" si="454"/>
        <v>981.86796953814257</v>
      </c>
      <c r="CY45" s="27">
        <f t="shared" si="454"/>
        <v>624.28567817748365</v>
      </c>
      <c r="CZ45" s="27">
        <f t="shared" si="454"/>
        <v>438.8521272345111</v>
      </c>
      <c r="DA45" s="27">
        <f t="shared" si="454"/>
        <v>381.89520176222135</v>
      </c>
      <c r="DB45" s="27">
        <f t="shared" si="454"/>
        <v>674.91039094670691</v>
      </c>
      <c r="DC45" s="27">
        <f t="shared" si="454"/>
        <v>1204.9947292709885</v>
      </c>
      <c r="DD45" s="27">
        <f t="shared" ref="DD45:DG45" si="455">+AVERAGE(DD44*DD43,DC44*DC43, DB44*DB43)</f>
        <v>2014.0221301847887</v>
      </c>
      <c r="DE45" s="27">
        <f t="shared" si="455"/>
        <v>3272.2076885479873</v>
      </c>
      <c r="DF45" s="27">
        <f t="shared" si="455"/>
        <v>3225.8668848345751</v>
      </c>
      <c r="DG45" s="28">
        <f t="shared" si="455"/>
        <v>2679.8383254091291</v>
      </c>
    </row>
    <row r="46" spans="1:111" ht="18.75" x14ac:dyDescent="0.25">
      <c r="A46" s="36"/>
      <c r="B46" s="36"/>
      <c r="C46" s="496" t="s">
        <v>235</v>
      </c>
      <c r="D46" s="26"/>
      <c r="E46" s="26"/>
      <c r="F46" s="26"/>
      <c r="G46" s="26"/>
      <c r="H46" s="26"/>
      <c r="I46" s="26"/>
      <c r="J46" s="26"/>
      <c r="K46" s="26"/>
      <c r="L46" s="381">
        <f t="shared" ref="L46:AU46" si="456">+AVERAGE(J100:L100)</f>
        <v>12</v>
      </c>
      <c r="M46" s="26">
        <f t="shared" si="456"/>
        <v>155.03</v>
      </c>
      <c r="N46" s="26">
        <f t="shared" si="456"/>
        <v>142.43</v>
      </c>
      <c r="O46" s="26">
        <f t="shared" si="456"/>
        <v>149.90666666666667</v>
      </c>
      <c r="P46" s="26">
        <f t="shared" si="456"/>
        <v>93.929999999999993</v>
      </c>
      <c r="Q46" s="26">
        <f t="shared" si="456"/>
        <v>71.106666666666669</v>
      </c>
      <c r="R46" s="26">
        <f t="shared" si="456"/>
        <v>84.75</v>
      </c>
      <c r="S46" s="26">
        <f t="shared" si="456"/>
        <v>96.65666666666668</v>
      </c>
      <c r="T46" s="26">
        <f t="shared" si="456"/>
        <v>122.36333333333333</v>
      </c>
      <c r="U46" s="26">
        <f t="shared" si="456"/>
        <v>158.40333333333334</v>
      </c>
      <c r="V46" s="26">
        <f t="shared" si="456"/>
        <v>112.85333333333334</v>
      </c>
      <c r="W46" s="26">
        <f t="shared" si="456"/>
        <v>86.146666666666661</v>
      </c>
      <c r="X46" s="26">
        <f t="shared" si="456"/>
        <v>121.39333333333333</v>
      </c>
      <c r="Y46" s="26">
        <f t="shared" si="456"/>
        <v>238.96333333333337</v>
      </c>
      <c r="Z46" s="26">
        <f t="shared" si="456"/>
        <v>243.01333333333335</v>
      </c>
      <c r="AA46" s="532">
        <f t="shared" si="456"/>
        <v>156.24333333333337</v>
      </c>
      <c r="AB46" s="26">
        <f t="shared" si="456"/>
        <v>55.243333333333332</v>
      </c>
      <c r="AC46" s="26">
        <f t="shared" si="456"/>
        <v>438.72333333333336</v>
      </c>
      <c r="AD46" s="26">
        <f t="shared" si="456"/>
        <v>458.40000000000009</v>
      </c>
      <c r="AE46" s="26">
        <f t="shared" si="456"/>
        <v>1237.6133333333335</v>
      </c>
      <c r="AF46" s="26">
        <f t="shared" si="456"/>
        <v>887.48666666666668</v>
      </c>
      <c r="AG46" s="26">
        <f t="shared" si="456"/>
        <v>1183.3999999999999</v>
      </c>
      <c r="AH46" s="26">
        <f t="shared" si="456"/>
        <v>1005.46</v>
      </c>
      <c r="AI46" s="26">
        <f t="shared" si="456"/>
        <v>1254.4066666666665</v>
      </c>
      <c r="AJ46" s="26">
        <f t="shared" si="456"/>
        <v>1227.2633333333333</v>
      </c>
      <c r="AK46" s="26">
        <f t="shared" si="456"/>
        <v>952.12333333333333</v>
      </c>
      <c r="AL46" s="26">
        <f t="shared" si="456"/>
        <v>740.65666666666664</v>
      </c>
      <c r="AM46" s="532">
        <f t="shared" si="456"/>
        <v>678.18</v>
      </c>
      <c r="AN46" s="26">
        <f t="shared" si="456"/>
        <v>398.46666666666664</v>
      </c>
      <c r="AO46" s="26">
        <f t="shared" si="456"/>
        <v>497.87333333333328</v>
      </c>
      <c r="AP46" s="26">
        <f t="shared" si="456"/>
        <v>319.20333333333332</v>
      </c>
      <c r="AQ46" s="26">
        <f t="shared" si="456"/>
        <v>369.82666666666665</v>
      </c>
      <c r="AR46" s="26">
        <f t="shared" si="456"/>
        <v>503.26333333333332</v>
      </c>
      <c r="AS46" s="26">
        <f t="shared" si="456"/>
        <v>766.68333333333339</v>
      </c>
      <c r="AT46" s="26">
        <f t="shared" si="456"/>
        <v>1496.26</v>
      </c>
      <c r="AU46" s="26">
        <f t="shared" si="456"/>
        <v>1894.3433333333335</v>
      </c>
      <c r="AV46" s="26">
        <f>+AVERAGE(AT100:AV100)</f>
        <v>3564.4966666666674</v>
      </c>
      <c r="AW46" s="597">
        <f>+AVERAGE(AU100:AW100)</f>
        <v>5592.7466666666669</v>
      </c>
      <c r="AX46" s="27">
        <f t="shared" ref="AX46" si="457">+AVERAGE(AV100:AX100)</f>
        <v>5175.7025374935956</v>
      </c>
      <c r="AY46" s="28">
        <f t="shared" ref="AY46:BW46" si="458">+AVERAGE(AW100:AY100)</f>
        <v>3855.353692971375</v>
      </c>
      <c r="AZ46" s="27">
        <f t="shared" si="458"/>
        <v>2410.5449169288408</v>
      </c>
      <c r="BA46" s="27">
        <f t="shared" si="458"/>
        <v>4201.5973554146431</v>
      </c>
      <c r="BB46" s="27">
        <f t="shared" si="458"/>
        <v>6402.283216013423</v>
      </c>
      <c r="BC46" s="27">
        <f t="shared" si="458"/>
        <v>5972.0242489078528</v>
      </c>
      <c r="BD46" s="27">
        <f t="shared" si="458"/>
        <v>6450.5117684255465</v>
      </c>
      <c r="BE46" s="27">
        <f t="shared" si="458"/>
        <v>4192.0973713396552</v>
      </c>
      <c r="BF46" s="27">
        <f t="shared" si="458"/>
        <v>4545.5906538777026</v>
      </c>
      <c r="BG46" s="27">
        <f t="shared" si="458"/>
        <v>3276.7801731999207</v>
      </c>
      <c r="BH46" s="27">
        <f t="shared" si="458"/>
        <v>4630.8507470719678</v>
      </c>
      <c r="BI46" s="27">
        <f t="shared" si="458"/>
        <v>4214.6222468973256</v>
      </c>
      <c r="BJ46" s="27">
        <f t="shared" si="458"/>
        <v>3350.991747936097</v>
      </c>
      <c r="BK46" s="335">
        <f t="shared" si="458"/>
        <v>2446.0713266845246</v>
      </c>
      <c r="BL46" s="27">
        <f t="shared" si="458"/>
        <v>3201.7057104190844</v>
      </c>
      <c r="BM46" s="27">
        <f t="shared" si="458"/>
        <v>5551.6049832722265</v>
      </c>
      <c r="BN46" s="27">
        <f t="shared" si="458"/>
        <v>8567.1455528033675</v>
      </c>
      <c r="BO46" s="27">
        <f t="shared" si="458"/>
        <v>8403.617943618885</v>
      </c>
      <c r="BP46" s="27">
        <f t="shared" si="458"/>
        <v>9390.6297127052021</v>
      </c>
      <c r="BQ46" s="27">
        <f t="shared" si="458"/>
        <v>6416.0747874550607</v>
      </c>
      <c r="BR46" s="27">
        <f t="shared" si="458"/>
        <v>6899.9892865510001</v>
      </c>
      <c r="BS46" s="27">
        <f t="shared" si="458"/>
        <v>5303.7550439792894</v>
      </c>
      <c r="BT46" s="27">
        <f t="shared" si="458"/>
        <v>7180.3592824498919</v>
      </c>
      <c r="BU46" s="27">
        <f t="shared" si="458"/>
        <v>6628.4526638839625</v>
      </c>
      <c r="BV46" s="27">
        <f t="shared" si="458"/>
        <v>5004.6738556441542</v>
      </c>
      <c r="BW46" s="335">
        <f t="shared" si="458"/>
        <v>3747.3410689647922</v>
      </c>
      <c r="BX46" s="27">
        <f t="shared" ref="BX46" si="459">+AVERAGE(BV100:BX100)</f>
        <v>4897.9804231830312</v>
      </c>
      <c r="BY46" s="27">
        <f t="shared" ref="BY46:DG46" si="460">+AVERAGE(BW100:BY100)</f>
        <v>8714.4240908594056</v>
      </c>
      <c r="BZ46" s="27">
        <f t="shared" si="460"/>
        <v>12929.220990817319</v>
      </c>
      <c r="CA46" s="27">
        <f t="shared" si="460"/>
        <v>12451.278146152808</v>
      </c>
      <c r="CB46" s="27">
        <f t="shared" si="460"/>
        <v>14203.796426770607</v>
      </c>
      <c r="CC46" s="27">
        <f t="shared" si="460"/>
        <v>10044.407114886642</v>
      </c>
      <c r="CD46" s="27">
        <f t="shared" si="460"/>
        <v>10835.291520714944</v>
      </c>
      <c r="CE46" s="27">
        <f t="shared" si="460"/>
        <v>8196.3821252803045</v>
      </c>
      <c r="CF46" s="27">
        <f t="shared" si="460"/>
        <v>10609.832424374177</v>
      </c>
      <c r="CG46" s="27">
        <f t="shared" si="460"/>
        <v>10108.677500489666</v>
      </c>
      <c r="CH46" s="27">
        <f t="shared" si="460"/>
        <v>7323.8459853158138</v>
      </c>
      <c r="CI46" s="335">
        <f t="shared" si="460"/>
        <v>5503.2988939084426</v>
      </c>
      <c r="CJ46" s="27">
        <f t="shared" si="460"/>
        <v>7395.6656036986942</v>
      </c>
      <c r="CK46" s="27">
        <f t="shared" si="460"/>
        <v>12768.718756065937</v>
      </c>
      <c r="CL46" s="27">
        <f t="shared" si="460"/>
        <v>18724.661608153943</v>
      </c>
      <c r="CM46" s="27">
        <f t="shared" si="460"/>
        <v>17823.148479608342</v>
      </c>
      <c r="CN46" s="27">
        <f t="shared" si="460"/>
        <v>20577.6748439523</v>
      </c>
      <c r="CO46" s="27">
        <f t="shared" si="460"/>
        <v>14874.906213815246</v>
      </c>
      <c r="CP46" s="27">
        <f t="shared" si="460"/>
        <v>16055.304478494387</v>
      </c>
      <c r="CQ46" s="27">
        <f t="shared" si="460"/>
        <v>12398.19380874044</v>
      </c>
      <c r="CR46" s="27">
        <f t="shared" si="460"/>
        <v>15653.358231087832</v>
      </c>
      <c r="CS46" s="27">
        <f t="shared" si="460"/>
        <v>14963.886383222534</v>
      </c>
      <c r="CT46" s="27">
        <f t="shared" si="460"/>
        <v>10993.723672954833</v>
      </c>
      <c r="CU46" s="335">
        <f t="shared" si="460"/>
        <v>8742.3098847269048</v>
      </c>
      <c r="CV46" s="27">
        <f t="shared" si="460"/>
        <v>11190.709231738198</v>
      </c>
      <c r="CW46" s="27">
        <f t="shared" si="460"/>
        <v>18830.585590243278</v>
      </c>
      <c r="CX46" s="27">
        <f t="shared" si="460"/>
        <v>27338.51457036415</v>
      </c>
      <c r="CY46" s="27">
        <f t="shared" si="460"/>
        <v>26273.964583791134</v>
      </c>
      <c r="CZ46" s="27">
        <f t="shared" si="460"/>
        <v>30112.976258370516</v>
      </c>
      <c r="DA46" s="27">
        <f t="shared" si="460"/>
        <v>21705.582665645798</v>
      </c>
      <c r="DB46" s="27">
        <f t="shared" si="460"/>
        <v>23475.795196952939</v>
      </c>
      <c r="DC46" s="27">
        <f t="shared" si="460"/>
        <v>17994.789189573476</v>
      </c>
      <c r="DD46" s="27">
        <f t="shared" si="460"/>
        <v>23237.615980264334</v>
      </c>
      <c r="DE46" s="27">
        <f t="shared" si="460"/>
        <v>21918.971138657831</v>
      </c>
      <c r="DF46" s="27">
        <f t="shared" si="460"/>
        <v>16541.468527817229</v>
      </c>
      <c r="DG46" s="28">
        <f t="shared" si="460"/>
        <v>13145.46759897373</v>
      </c>
    </row>
    <row r="47" spans="1:111" ht="18.75" x14ac:dyDescent="0.25">
      <c r="A47" s="36"/>
      <c r="B47" s="36"/>
      <c r="C47" s="496" t="s">
        <v>233</v>
      </c>
      <c r="D47" s="26"/>
      <c r="E47" s="26"/>
      <c r="F47" s="26"/>
      <c r="G47" s="26"/>
      <c r="H47" s="26"/>
      <c r="I47" s="26"/>
      <c r="J47" s="26"/>
      <c r="K47" s="180"/>
      <c r="L47" s="180">
        <f t="shared" ref="L47:T47" si="461">+L45/L46</f>
        <v>15.39020979020979</v>
      </c>
      <c r="M47" s="180">
        <f t="shared" si="461"/>
        <v>4.3165644005739479</v>
      </c>
      <c r="N47" s="180">
        <f t="shared" si="461"/>
        <v>6.5669005524653912</v>
      </c>
      <c r="O47" s="180">
        <f t="shared" si="461"/>
        <v>6.6941085469325268</v>
      </c>
      <c r="P47" s="180">
        <f t="shared" si="461"/>
        <v>7.3554040520686428</v>
      </c>
      <c r="Q47" s="180">
        <f t="shared" si="461"/>
        <v>7.6408284975864884</v>
      </c>
      <c r="R47" s="180">
        <f t="shared" si="461"/>
        <v>5.2699789200076665</v>
      </c>
      <c r="S47" s="180">
        <f t="shared" si="461"/>
        <v>4.8991087550443391</v>
      </c>
      <c r="T47" s="180">
        <f t="shared" si="461"/>
        <v>4.3614809194888782</v>
      </c>
      <c r="U47" s="181">
        <f t="shared" ref="U47:CF47" si="462">+U45/U46</f>
        <v>3.1110833544635814</v>
      </c>
      <c r="V47" s="181">
        <f t="shared" si="462"/>
        <v>4.2158732539729131</v>
      </c>
      <c r="W47" s="181">
        <f t="shared" si="462"/>
        <v>8.4928268000706915</v>
      </c>
      <c r="X47" s="181">
        <f t="shared" ref="X47:Y47" si="463">+X45/X46</f>
        <v>9.168348635467785</v>
      </c>
      <c r="Y47" s="181">
        <f t="shared" si="463"/>
        <v>5.6387770392236911</v>
      </c>
      <c r="Z47" s="181">
        <f t="shared" ref="Z47:AA47" si="464">+Z45/Z46</f>
        <v>4.5804736772905894</v>
      </c>
      <c r="AA47" s="539">
        <f t="shared" si="464"/>
        <v>4.2764399296605857</v>
      </c>
      <c r="AB47" s="181">
        <f t="shared" ref="AB47" si="465">+AB45/AB46</f>
        <v>6.290776247362114</v>
      </c>
      <c r="AC47" s="181">
        <f t="shared" ref="AC47:AD47" si="466">+AC45/AC46</f>
        <v>0.60810370127806312</v>
      </c>
      <c r="AD47" s="181">
        <f t="shared" si="466"/>
        <v>0.72324422257126941</v>
      </c>
      <c r="AE47" s="181">
        <f t="shared" ref="AE47" si="467">+AE45/AE46</f>
        <v>0.23428386715958002</v>
      </c>
      <c r="AF47" s="181">
        <f t="shared" ref="AF47" si="468">+AF45/AF46</f>
        <v>0.43936714309377428</v>
      </c>
      <c r="AG47" s="181">
        <f t="shared" ref="AG47:AL47" si="469">+AG45/AG46</f>
        <v>0.3328934356252613</v>
      </c>
      <c r="AH47" s="181">
        <f t="shared" si="469"/>
        <v>0.73123595926722973</v>
      </c>
      <c r="AI47" s="181">
        <f t="shared" si="469"/>
        <v>1.0777397774673845</v>
      </c>
      <c r="AJ47" s="181">
        <f t="shared" si="469"/>
        <v>1.4558136806771169</v>
      </c>
      <c r="AK47" s="181">
        <f t="shared" si="469"/>
        <v>2.4584690636298769</v>
      </c>
      <c r="AL47" s="181">
        <f t="shared" si="469"/>
        <v>2.6326635400463876</v>
      </c>
      <c r="AM47" s="539">
        <f t="shared" ref="AM47:AN47" si="470">+AM45/AM46</f>
        <v>2.2764217403878559</v>
      </c>
      <c r="AN47" s="181">
        <f t="shared" si="470"/>
        <v>2.1286932361815611</v>
      </c>
      <c r="AO47" s="181">
        <f t="shared" ref="AO47:AP47" si="471">+AO45/AO46</f>
        <v>1.3689245928442981</v>
      </c>
      <c r="AP47" s="181">
        <f t="shared" si="471"/>
        <v>2.4950599912883886</v>
      </c>
      <c r="AQ47" s="181">
        <f t="shared" ref="AQ47:AR47" si="472">+AQ45/AQ46</f>
        <v>1.8360471804809764</v>
      </c>
      <c r="AR47" s="181">
        <f t="shared" si="472"/>
        <v>1.2018026254871896</v>
      </c>
      <c r="AS47" s="181">
        <f t="shared" ref="AS47:AT47" si="473">+AS45/AS46</f>
        <v>0.74345313061410812</v>
      </c>
      <c r="AT47" s="181">
        <f t="shared" si="473"/>
        <v>0.737686413277168</v>
      </c>
      <c r="AU47" s="181">
        <f t="shared" ref="AU47" si="474">+AU45/AU46</f>
        <v>1.1292381077196496</v>
      </c>
      <c r="AV47" s="181">
        <f>+AV45/AV46</f>
        <v>0.95707265484204129</v>
      </c>
      <c r="AW47" s="603">
        <f>+AW45/AW46</f>
        <v>0.87016058577158484</v>
      </c>
      <c r="AX47" s="182">
        <f t="shared" ref="AX47" si="475">+AX45/AX46</f>
        <v>0.81553233841998163</v>
      </c>
      <c r="AY47" s="183">
        <f t="shared" si="462"/>
        <v>0.81989582391159588</v>
      </c>
      <c r="AZ47" s="182">
        <f t="shared" si="462"/>
        <v>0.61613123340415232</v>
      </c>
      <c r="BA47" s="182">
        <f t="shared" si="462"/>
        <v>0.28808763451603292</v>
      </c>
      <c r="BB47" s="182">
        <f t="shared" si="462"/>
        <v>0.15770408187422424</v>
      </c>
      <c r="BC47" s="182">
        <f t="shared" si="462"/>
        <v>0.11453125541767208</v>
      </c>
      <c r="BD47" s="182">
        <f t="shared" si="462"/>
        <v>7.7633698040534507E-2</v>
      </c>
      <c r="BE47" s="182">
        <f t="shared" si="462"/>
        <v>0.1057023717454174</v>
      </c>
      <c r="BF47" s="182">
        <f t="shared" si="462"/>
        <v>0.16365155298389819</v>
      </c>
      <c r="BG47" s="182">
        <f t="shared" si="462"/>
        <v>0.39323358092663591</v>
      </c>
      <c r="BH47" s="182">
        <f t="shared" si="462"/>
        <v>0.46992243372943221</v>
      </c>
      <c r="BI47" s="182">
        <f t="shared" si="462"/>
        <v>0.81166006986093275</v>
      </c>
      <c r="BJ47" s="182">
        <f t="shared" si="462"/>
        <v>1.0062304549283294</v>
      </c>
      <c r="BK47" s="338">
        <f t="shared" si="462"/>
        <v>1.1341161363809023</v>
      </c>
      <c r="BL47" s="182">
        <f t="shared" si="462"/>
        <v>0.48648119591488609</v>
      </c>
      <c r="BM47" s="182">
        <f t="shared" si="462"/>
        <v>0.22884319662766339</v>
      </c>
      <c r="BN47" s="182">
        <f t="shared" si="462"/>
        <v>0.12453743477834919</v>
      </c>
      <c r="BO47" s="182">
        <f t="shared" si="462"/>
        <v>8.798441774880017E-2</v>
      </c>
      <c r="BP47" s="182">
        <f t="shared" si="462"/>
        <v>5.6720950611569274E-2</v>
      </c>
      <c r="BQ47" s="182">
        <f t="shared" si="462"/>
        <v>6.982234337253157E-2</v>
      </c>
      <c r="BR47" s="182">
        <f t="shared" si="462"/>
        <v>0.10588770168934369</v>
      </c>
      <c r="BS47" s="182">
        <f t="shared" si="462"/>
        <v>0.24340636304351609</v>
      </c>
      <c r="BT47" s="182">
        <f t="shared" si="462"/>
        <v>0.30046722008438415</v>
      </c>
      <c r="BU47" s="182">
        <f t="shared" si="462"/>
        <v>0.50043932414132986</v>
      </c>
      <c r="BV47" s="182">
        <f t="shared" si="462"/>
        <v>0.65598290809493454</v>
      </c>
      <c r="BW47" s="338">
        <f t="shared" si="462"/>
        <v>0.7179064237557341</v>
      </c>
      <c r="BX47" s="182">
        <f t="shared" si="462"/>
        <v>0.31906412393787903</v>
      </c>
      <c r="BY47" s="182">
        <f t="shared" si="462"/>
        <v>0.14278177952592136</v>
      </c>
      <c r="BZ47" s="182">
        <f t="shared" si="462"/>
        <v>8.0800524125919801E-2</v>
      </c>
      <c r="CA47" s="182">
        <f t="shared" si="462"/>
        <v>5.7188570315569905E-2</v>
      </c>
      <c r="CB47" s="182">
        <f t="shared" si="462"/>
        <v>3.5624665586288219E-2</v>
      </c>
      <c r="CC47" s="182">
        <f t="shared" si="462"/>
        <v>4.2032035465703867E-2</v>
      </c>
      <c r="CD47" s="182">
        <f t="shared" si="462"/>
        <v>6.4058492106585985E-2</v>
      </c>
      <c r="CE47" s="182">
        <f t="shared" si="462"/>
        <v>0.15405613099229948</v>
      </c>
      <c r="CF47" s="182">
        <f t="shared" si="462"/>
        <v>0.19514993978404191</v>
      </c>
      <c r="CG47" s="182">
        <f t="shared" ref="CG47:DG47" si="476">+CG45/CG46</f>
        <v>0.32621762930425613</v>
      </c>
      <c r="CH47" s="182">
        <f t="shared" si="476"/>
        <v>0.44378114106424255</v>
      </c>
      <c r="CI47" s="338">
        <f t="shared" si="476"/>
        <v>0.48656090030284449</v>
      </c>
      <c r="CJ47" s="182">
        <f t="shared" si="476"/>
        <v>0.2083309689488376</v>
      </c>
      <c r="CK47" s="182">
        <f t="shared" si="476"/>
        <v>9.417492577310628E-2</v>
      </c>
      <c r="CL47" s="182">
        <f t="shared" si="476"/>
        <v>5.4990187590457824E-2</v>
      </c>
      <c r="CM47" s="182">
        <f t="shared" si="476"/>
        <v>3.7290913047417065E-2</v>
      </c>
      <c r="CN47" s="182">
        <f t="shared" si="476"/>
        <v>2.3095791707610766E-2</v>
      </c>
      <c r="CO47" s="182">
        <f t="shared" si="476"/>
        <v>2.693632233131343E-2</v>
      </c>
      <c r="CP47" s="182">
        <f t="shared" si="476"/>
        <v>4.2482025229365929E-2</v>
      </c>
      <c r="CQ47" s="182">
        <f t="shared" si="476"/>
        <v>0.10042409247269528</v>
      </c>
      <c r="CR47" s="182">
        <f t="shared" si="476"/>
        <v>0.12838948971155609</v>
      </c>
      <c r="CS47" s="182">
        <f t="shared" si="476"/>
        <v>0.22010327772002519</v>
      </c>
      <c r="CT47" s="182">
        <f t="shared" si="476"/>
        <v>0.29566421643802893</v>
      </c>
      <c r="CU47" s="338">
        <f t="shared" si="476"/>
        <v>0.31186053205973147</v>
      </c>
      <c r="CV47" s="182">
        <f t="shared" si="476"/>
        <v>0.13554205584512119</v>
      </c>
      <c r="CW47" s="182">
        <f t="shared" si="476"/>
        <v>6.2521291617832445E-2</v>
      </c>
      <c r="CX47" s="182">
        <f t="shared" si="476"/>
        <v>3.5915190893455483E-2</v>
      </c>
      <c r="CY47" s="182">
        <f t="shared" si="476"/>
        <v>2.3760619612108954E-2</v>
      </c>
      <c r="CZ47" s="182">
        <f t="shared" si="476"/>
        <v>1.4573522174266093E-2</v>
      </c>
      <c r="DA47" s="182">
        <f t="shared" si="476"/>
        <v>1.7594330806270434E-2</v>
      </c>
      <c r="DB47" s="182">
        <f t="shared" si="476"/>
        <v>2.874920254178685E-2</v>
      </c>
      <c r="DC47" s="182">
        <f t="shared" si="476"/>
        <v>6.6963536864837817E-2</v>
      </c>
      <c r="DD47" s="182">
        <f t="shared" si="476"/>
        <v>8.6670772591099454E-2</v>
      </c>
      <c r="DE47" s="182">
        <f t="shared" si="476"/>
        <v>0.14928655491392537</v>
      </c>
      <c r="DF47" s="182">
        <f t="shared" si="476"/>
        <v>0.19501695870652255</v>
      </c>
      <c r="DG47" s="183">
        <f t="shared" si="476"/>
        <v>0.20386025108900233</v>
      </c>
    </row>
    <row r="48" spans="1:111" ht="15.75" thickBot="1" x14ac:dyDescent="0.3">
      <c r="A48" s="35"/>
      <c r="B48" s="35"/>
      <c r="C48" s="496" t="s">
        <v>234</v>
      </c>
      <c r="D48" s="26"/>
      <c r="E48" s="26"/>
      <c r="F48" s="26"/>
      <c r="G48" s="26"/>
      <c r="H48" s="26"/>
      <c r="I48" s="26"/>
      <c r="J48" s="26"/>
      <c r="K48" s="731"/>
      <c r="L48" s="731">
        <f t="shared" ref="L48:AG48" si="477">+L46/(L42*L44)</f>
        <v>0.10496183206106868</v>
      </c>
      <c r="M48" s="731">
        <f t="shared" si="477"/>
        <v>0.85325282556197934</v>
      </c>
      <c r="N48" s="731">
        <f t="shared" si="477"/>
        <v>0.9684503977697696</v>
      </c>
      <c r="O48" s="731">
        <f t="shared" si="477"/>
        <v>0.80146849158825195</v>
      </c>
      <c r="P48" s="731">
        <f t="shared" si="477"/>
        <v>0.728495033794608</v>
      </c>
      <c r="Q48" s="731">
        <f t="shared" si="477"/>
        <v>0.7097826054077927</v>
      </c>
      <c r="R48" s="731">
        <f t="shared" si="477"/>
        <v>0.85925512307175456</v>
      </c>
      <c r="S48" s="731">
        <f t="shared" si="477"/>
        <v>0.5450876682674709</v>
      </c>
      <c r="T48" s="731">
        <f t="shared" si="477"/>
        <v>0.57939279255390885</v>
      </c>
      <c r="U48" s="731">
        <f t="shared" si="477"/>
        <v>1.1534654726064082</v>
      </c>
      <c r="V48" s="731">
        <f t="shared" si="477"/>
        <v>0.44620169750645799</v>
      </c>
      <c r="W48" s="731">
        <f t="shared" si="477"/>
        <v>0.15218523639824777</v>
      </c>
      <c r="X48" s="731">
        <f t="shared" si="477"/>
        <v>0.24188525990282175</v>
      </c>
      <c r="Y48" s="731">
        <f t="shared" si="477"/>
        <v>0.63966395252441188</v>
      </c>
      <c r="Z48" s="731">
        <f t="shared" si="477"/>
        <v>1.3361135294518072</v>
      </c>
      <c r="AA48" s="732">
        <f t="shared" si="477"/>
        <v>2.6871244309497362</v>
      </c>
      <c r="AB48" s="731">
        <f t="shared" si="477"/>
        <v>0.52363146546165462</v>
      </c>
      <c r="AC48" s="731">
        <f t="shared" si="477"/>
        <v>3.8133066784016441</v>
      </c>
      <c r="AD48" s="731">
        <f t="shared" si="477"/>
        <v>4.0361604907607811</v>
      </c>
      <c r="AE48" s="731">
        <f>+AE46/(AE42*AE44)</f>
        <v>19.872083693149115</v>
      </c>
      <c r="AF48" s="731">
        <f t="shared" si="477"/>
        <v>3.3459641818629833</v>
      </c>
      <c r="AG48" s="731">
        <f t="shared" si="477"/>
        <v>8.0950635923444878</v>
      </c>
      <c r="AH48" s="731">
        <f t="shared" ref="AH48" si="478">+AH46/(AH42*AH44)</f>
        <v>3.3440331447087717</v>
      </c>
      <c r="AI48" s="731">
        <f t="shared" ref="AI48:AJ48" si="479">+AI46/(AI42*AI44)</f>
        <v>2.6455420485275409</v>
      </c>
      <c r="AJ48" s="731">
        <f t="shared" si="479"/>
        <v>4.2647810850883268</v>
      </c>
      <c r="AK48" s="731">
        <f t="shared" ref="AK48:AL48" si="480">+AK46/(AK42*AK44)</f>
        <v>2.1531538046915495</v>
      </c>
      <c r="AL48" s="731">
        <f t="shared" si="480"/>
        <v>3.7887017946351222</v>
      </c>
      <c r="AM48" s="732">
        <f t="shared" ref="AM48:AN48" si="481">+AM46/(AM42*AM44)</f>
        <v>6.3982625497196075</v>
      </c>
      <c r="AN48" s="731">
        <f t="shared" si="481"/>
        <v>2.2084934072330626</v>
      </c>
      <c r="AO48" s="731">
        <f t="shared" ref="AO48:AP48" si="482">+AO46/(AO42*AO44)</f>
        <v>2.2634189725268956</v>
      </c>
      <c r="AP48" s="731">
        <f t="shared" si="482"/>
        <v>1.3226785628798288</v>
      </c>
      <c r="AQ48" s="731">
        <f t="shared" ref="AQ48:AV48" si="483">+AQ46/(AQ42*AQ44)</f>
        <v>2.7239590312442221</v>
      </c>
      <c r="AR48" s="731">
        <f t="shared" si="483"/>
        <v>2.0626141753494771</v>
      </c>
      <c r="AS48" s="731">
        <f t="shared" si="483"/>
        <v>2.6605552342394447</v>
      </c>
      <c r="AT48" s="731">
        <f t="shared" si="483"/>
        <v>2.8959268277455199</v>
      </c>
      <c r="AU48" s="731">
        <f t="shared" si="483"/>
        <v>2.7942993251178656</v>
      </c>
      <c r="AV48" s="731">
        <f t="shared" si="483"/>
        <v>5.0996839462640802</v>
      </c>
      <c r="AW48" s="733">
        <f t="shared" ref="AW48" si="484">+AW46/(AW42*AW44)</f>
        <v>7.0947939373199267</v>
      </c>
      <c r="AX48" s="184">
        <f t="shared" ref="AX48" si="485">+AX46/(AX42*AX44)</f>
        <v>19.840770055370669</v>
      </c>
      <c r="AY48" s="185">
        <f t="shared" ref="AY48:BW48" si="486">+AY46/(AY42*AY44)</f>
        <v>12.284161465730282</v>
      </c>
      <c r="AZ48" s="184">
        <f t="shared" si="486"/>
        <v>7.543969855702394</v>
      </c>
      <c r="BA48" s="184">
        <f t="shared" si="486"/>
        <v>16.662468724705896</v>
      </c>
      <c r="BB48" s="184">
        <f t="shared" si="486"/>
        <v>29.08980488670543</v>
      </c>
      <c r="BC48" s="184">
        <f t="shared" si="486"/>
        <v>48.454292906011666</v>
      </c>
      <c r="BD48" s="184">
        <f t="shared" si="486"/>
        <v>39.681802626418857</v>
      </c>
      <c r="BE48" s="184">
        <f t="shared" si="486"/>
        <v>18.208087638049076</v>
      </c>
      <c r="BF48" s="184">
        <f t="shared" si="486"/>
        <v>13.885977369132062</v>
      </c>
      <c r="BG48" s="184">
        <f t="shared" si="486"/>
        <v>8.8018444699004146</v>
      </c>
      <c r="BH48" s="184">
        <f t="shared" si="486"/>
        <v>9.2909703572156328</v>
      </c>
      <c r="BI48" s="184">
        <f t="shared" si="486"/>
        <v>6.8069852684500463</v>
      </c>
      <c r="BJ48" s="184">
        <f t="shared" si="486"/>
        <v>12.079686767324533</v>
      </c>
      <c r="BK48" s="339">
        <f t="shared" si="486"/>
        <v>7.2757947680102326</v>
      </c>
      <c r="BL48" s="184">
        <f t="shared" si="486"/>
        <v>9.9483422017964447</v>
      </c>
      <c r="BM48" s="184">
        <f t="shared" si="486"/>
        <v>20.397526477821547</v>
      </c>
      <c r="BN48" s="184">
        <f t="shared" si="486"/>
        <v>34.782598409043331</v>
      </c>
      <c r="BO48" s="184">
        <f t="shared" si="486"/>
        <v>67.433794107707257</v>
      </c>
      <c r="BP48" s="184">
        <f t="shared" si="486"/>
        <v>57.010202917713691</v>
      </c>
      <c r="BQ48" s="184">
        <f t="shared" si="486"/>
        <v>27.613963519364024</v>
      </c>
      <c r="BR48" s="184">
        <f t="shared" si="486"/>
        <v>21.944632297802567</v>
      </c>
      <c r="BS48" s="184">
        <f t="shared" si="486"/>
        <v>13.889376107199988</v>
      </c>
      <c r="BT48" s="184">
        <f t="shared" si="486"/>
        <v>14.672263955737584</v>
      </c>
      <c r="BU48" s="184">
        <f t="shared" si="486"/>
        <v>11.400703692685649</v>
      </c>
      <c r="BV48" s="184">
        <f t="shared" si="486"/>
        <v>17.162981211728415</v>
      </c>
      <c r="BW48" s="339">
        <f t="shared" si="486"/>
        <v>11.496988712348964</v>
      </c>
      <c r="BX48" s="184">
        <f t="shared" ref="BX48:DG48" si="487">+BX46/(BX42*BX44)</f>
        <v>15.658196163382714</v>
      </c>
      <c r="BY48" s="184">
        <f t="shared" si="487"/>
        <v>31.931649767647151</v>
      </c>
      <c r="BZ48" s="184">
        <f t="shared" si="487"/>
        <v>54.616742531042973</v>
      </c>
      <c r="CA48" s="184">
        <f t="shared" si="487"/>
        <v>116.4429306835905</v>
      </c>
      <c r="CB48" s="184">
        <f t="shared" si="487"/>
        <v>85.235365800539299</v>
      </c>
      <c r="CC48" s="184">
        <f t="shared" si="487"/>
        <v>45.608649940264954</v>
      </c>
      <c r="CD48" s="184">
        <f t="shared" si="487"/>
        <v>37.050009650745054</v>
      </c>
      <c r="CE48" s="184">
        <f t="shared" si="487"/>
        <v>21.165144799725898</v>
      </c>
      <c r="CF48" s="184">
        <f t="shared" si="487"/>
        <v>23.187044946691682</v>
      </c>
      <c r="CG48" s="184">
        <f t="shared" si="487"/>
        <v>16.965135890064182</v>
      </c>
      <c r="CH48" s="184">
        <f t="shared" si="487"/>
        <v>25.24585615195921</v>
      </c>
      <c r="CI48" s="339">
        <f t="shared" si="487"/>
        <v>18.862230114479132</v>
      </c>
      <c r="CJ48" s="184">
        <f t="shared" si="487"/>
        <v>22.159206046648642</v>
      </c>
      <c r="CK48" s="184">
        <f t="shared" si="487"/>
        <v>50.146005456329057</v>
      </c>
      <c r="CL48" s="184">
        <f t="shared" si="487"/>
        <v>86.197968128133837</v>
      </c>
      <c r="CM48" s="184">
        <f t="shared" si="487"/>
        <v>171.38427375500771</v>
      </c>
      <c r="CN48" s="184">
        <f t="shared" si="487"/>
        <v>129.48507020256906</v>
      </c>
      <c r="CO48" s="184">
        <f t="shared" si="487"/>
        <v>72.551889290985287</v>
      </c>
      <c r="CP48" s="184">
        <f t="shared" si="487"/>
        <v>53.96987436714187</v>
      </c>
      <c r="CQ48" s="184">
        <f t="shared" si="487"/>
        <v>32.570157224417258</v>
      </c>
      <c r="CR48" s="184">
        <f t="shared" si="487"/>
        <v>36.246635651486997</v>
      </c>
      <c r="CS48" s="184">
        <f t="shared" si="487"/>
        <v>24.161677202525002</v>
      </c>
      <c r="CT48" s="184">
        <f t="shared" si="487"/>
        <v>38.347180573064492</v>
      </c>
      <c r="CU48" s="339">
        <f t="shared" si="487"/>
        <v>30.470257533960748</v>
      </c>
      <c r="CV48" s="184">
        <f t="shared" si="487"/>
        <v>34.210661692640954</v>
      </c>
      <c r="CW48" s="184">
        <f t="shared" si="487"/>
        <v>76.079496388548662</v>
      </c>
      <c r="CX48" s="184">
        <f t="shared" si="487"/>
        <v>143.65310278516034</v>
      </c>
      <c r="CY48" s="184">
        <f t="shared" si="487"/>
        <v>257.30420594994933</v>
      </c>
      <c r="CZ48" s="184">
        <f t="shared" si="487"/>
        <v>196.98215962282512</v>
      </c>
      <c r="DA48" s="184">
        <f t="shared" si="487"/>
        <v>114.14434328851254</v>
      </c>
      <c r="DB48" s="184">
        <f t="shared" si="487"/>
        <v>76.971550932614718</v>
      </c>
      <c r="DC48" s="184">
        <f t="shared" si="487"/>
        <v>50.001659359215736</v>
      </c>
      <c r="DD48" s="184">
        <f t="shared" si="487"/>
        <v>51.984260753931601</v>
      </c>
      <c r="DE48" s="184">
        <f t="shared" si="487"/>
        <v>35.733177866839505</v>
      </c>
      <c r="DF48" s="184">
        <f t="shared" si="487"/>
        <v>61.582610881261722</v>
      </c>
      <c r="DG48" s="185">
        <f t="shared" si="487"/>
        <v>44.644755173017266</v>
      </c>
    </row>
    <row r="49" spans="1:111" s="3" customFormat="1" ht="15.75" thickBot="1" x14ac:dyDescent="0.3">
      <c r="A49" s="141"/>
      <c r="B49" s="141"/>
      <c r="C49" s="734" t="s">
        <v>65</v>
      </c>
      <c r="D49" s="735"/>
      <c r="E49" s="721">
        <f t="shared" ref="E49:AG49" si="488">+E25/8</f>
        <v>5.4824561403508769E-4</v>
      </c>
      <c r="F49" s="721">
        <f t="shared" si="488"/>
        <v>6.793478260869565E-4</v>
      </c>
      <c r="G49" s="721">
        <f t="shared" si="488"/>
        <v>8.5034013605442174E-4</v>
      </c>
      <c r="H49" s="721">
        <f t="shared" si="488"/>
        <v>5.9523809523809518E-4</v>
      </c>
      <c r="I49" s="721">
        <f t="shared" si="488"/>
        <v>4.3706293706293706E-4</v>
      </c>
      <c r="J49" s="721">
        <f t="shared" si="488"/>
        <v>5.6818181818181826E-4</v>
      </c>
      <c r="K49" s="721">
        <f t="shared" si="488"/>
        <v>8.152173913043478E-3</v>
      </c>
      <c r="L49" s="721">
        <f t="shared" si="488"/>
        <v>1.3558201058201057E-2</v>
      </c>
      <c r="M49" s="721">
        <f t="shared" si="488"/>
        <v>2.0045518207282915E-2</v>
      </c>
      <c r="N49" s="721">
        <f t="shared" si="488"/>
        <v>1.6774891774891776E-2</v>
      </c>
      <c r="O49" s="721">
        <f t="shared" si="488"/>
        <v>1.2755102040816327E-2</v>
      </c>
      <c r="P49" s="721">
        <f t="shared" si="488"/>
        <v>1.3060515873015871E-2</v>
      </c>
      <c r="Q49" s="721">
        <f t="shared" si="488"/>
        <v>1.3980263157894737E-2</v>
      </c>
      <c r="R49" s="721">
        <f t="shared" si="488"/>
        <v>1.141304347826087E-2</v>
      </c>
      <c r="S49" s="721">
        <f t="shared" si="488"/>
        <v>1.6294642857142858E-2</v>
      </c>
      <c r="T49" s="721">
        <f t="shared" si="488"/>
        <v>2.6672979797979796E-2</v>
      </c>
      <c r="U49" s="721">
        <f t="shared" si="488"/>
        <v>1.8356643356643356E-2</v>
      </c>
      <c r="V49" s="721">
        <f t="shared" si="488"/>
        <v>2.4804687499999999E-2</v>
      </c>
      <c r="W49" s="721">
        <f t="shared" si="488"/>
        <v>2.4098970251716246E-2</v>
      </c>
      <c r="X49" s="721">
        <f t="shared" si="488"/>
        <v>2.8125000000000001E-2</v>
      </c>
      <c r="Y49" s="721">
        <f t="shared" si="488"/>
        <v>2.4192116477272728E-2</v>
      </c>
      <c r="Z49" s="721">
        <f t="shared" si="488"/>
        <v>1.6406250000000001E-2</v>
      </c>
      <c r="AA49" s="736">
        <f t="shared" si="488"/>
        <v>1.1945983379501385E-2</v>
      </c>
      <c r="AB49" s="721">
        <f t="shared" si="488"/>
        <v>1.5980113636363636E-2</v>
      </c>
      <c r="AC49" s="721">
        <f t="shared" si="488"/>
        <v>2.9563492063492063E-2</v>
      </c>
      <c r="AD49" s="721">
        <f t="shared" si="488"/>
        <v>1.7931547619047618E-2</v>
      </c>
      <c r="AE49" s="721">
        <f t="shared" si="488"/>
        <v>2.3312165775401069E-2</v>
      </c>
      <c r="AF49" s="721">
        <f t="shared" si="488"/>
        <v>2.4320652173913042E-2</v>
      </c>
      <c r="AG49" s="721">
        <f t="shared" si="488"/>
        <v>1.5494791666666667E-2</v>
      </c>
      <c r="AH49" s="721">
        <f t="shared" ref="AH49" si="489">+AH25/8</f>
        <v>2.5710227272727273E-2</v>
      </c>
      <c r="AI49" s="721">
        <f t="shared" ref="AI49:AJ49" si="490">+AI25/8</f>
        <v>3.3156399521531099E-2</v>
      </c>
      <c r="AJ49" s="721">
        <f t="shared" si="490"/>
        <v>2.0301870748299318E-2</v>
      </c>
      <c r="AK49" s="721">
        <f t="shared" ref="AK49:AL49" si="491">+AK25/8</f>
        <v>2.3975317028985508E-2</v>
      </c>
      <c r="AL49" s="721">
        <f t="shared" si="491"/>
        <v>1.775568181818182E-2</v>
      </c>
      <c r="AM49" s="736">
        <f t="shared" ref="AM49" si="492">+AM25/8</f>
        <v>1.7949084668192221E-2</v>
      </c>
      <c r="AN49" s="721">
        <f t="shared" ref="AN49" si="493">+AN25/8</f>
        <v>2.1173007246376812E-2</v>
      </c>
      <c r="AO49" s="721">
        <f t="shared" ref="AO49:AP49" si="494">+AO25/8</f>
        <v>2.2544642857142857E-2</v>
      </c>
      <c r="AP49" s="721">
        <f t="shared" si="494"/>
        <v>2.4925595238095236E-2</v>
      </c>
      <c r="AQ49" s="721">
        <f t="shared" ref="AQ49:AR49" si="495">+AQ25/8</f>
        <v>1.179594861660079E-2</v>
      </c>
      <c r="AR49" s="721">
        <f t="shared" si="495"/>
        <v>2.1519886363636366E-2</v>
      </c>
      <c r="AS49" s="721">
        <f t="shared" ref="AS49:AT49" si="496">+AS25/8</f>
        <v>1.4999999999999999E-2</v>
      </c>
      <c r="AT49" s="721">
        <f t="shared" si="496"/>
        <v>2.2686688311688314E-2</v>
      </c>
      <c r="AU49" s="721">
        <f t="shared" ref="AU49:AV49" si="497">+AU25/8</f>
        <v>2.2879464285714288E-2</v>
      </c>
      <c r="AV49" s="721">
        <f t="shared" si="497"/>
        <v>2.5842304625199361E-2</v>
      </c>
      <c r="AW49" s="737">
        <f t="shared" ref="AW49" si="498">+AW25/8</f>
        <v>2.4983776768332255E-2</v>
      </c>
      <c r="AX49" s="721">
        <f t="shared" ref="AX49" si="499">+AX25/8</f>
        <v>1.775568181818182E-2</v>
      </c>
      <c r="AY49" s="736">
        <f t="shared" ref="AY49:BP49" si="500">+AY25/8</f>
        <v>1.7949084668192221E-2</v>
      </c>
      <c r="AZ49" s="721">
        <f t="shared" si="500"/>
        <v>2.1173007246376812E-2</v>
      </c>
      <c r="BA49" s="721">
        <f t="shared" si="500"/>
        <v>2.2544642857142857E-2</v>
      </c>
      <c r="BB49" s="721">
        <f t="shared" si="500"/>
        <v>2.4925595238095236E-2</v>
      </c>
      <c r="BC49" s="721">
        <f t="shared" si="500"/>
        <v>1.179594861660079E-2</v>
      </c>
      <c r="BD49" s="721">
        <f t="shared" si="500"/>
        <v>2.1519886363636366E-2</v>
      </c>
      <c r="BE49" s="721">
        <f t="shared" si="500"/>
        <v>1.4999999999999999E-2</v>
      </c>
      <c r="BF49" s="721">
        <f t="shared" si="500"/>
        <v>2.2686688311688314E-2</v>
      </c>
      <c r="BG49" s="721">
        <f t="shared" si="500"/>
        <v>2.2879464285714288E-2</v>
      </c>
      <c r="BH49" s="721">
        <f t="shared" si="500"/>
        <v>2.5842304625199361E-2</v>
      </c>
      <c r="BI49" s="721">
        <f t="shared" si="500"/>
        <v>2.4983776768332255E-2</v>
      </c>
      <c r="BJ49" s="721">
        <f t="shared" si="500"/>
        <v>1.775568181818182E-2</v>
      </c>
      <c r="BK49" s="737">
        <f t="shared" si="500"/>
        <v>1.7949084668192221E-2</v>
      </c>
      <c r="BL49" s="721">
        <f t="shared" si="500"/>
        <v>2.1173007246376812E-2</v>
      </c>
      <c r="BM49" s="721">
        <f t="shared" si="500"/>
        <v>2.2544642857142857E-2</v>
      </c>
      <c r="BN49" s="721">
        <f t="shared" si="500"/>
        <v>2.4925595238095236E-2</v>
      </c>
      <c r="BO49" s="721">
        <f t="shared" si="500"/>
        <v>1.179594861660079E-2</v>
      </c>
      <c r="BP49" s="721">
        <f t="shared" si="500"/>
        <v>2.1519886363636366E-2</v>
      </c>
      <c r="BQ49" s="721">
        <f t="shared" ref="BQ49:CV49" si="501">+BQ25/8</f>
        <v>1.4999999999999999E-2</v>
      </c>
      <c r="BR49" s="721">
        <f t="shared" si="501"/>
        <v>2.2686688311688314E-2</v>
      </c>
      <c r="BS49" s="721">
        <f t="shared" si="501"/>
        <v>2.2879464285714288E-2</v>
      </c>
      <c r="BT49" s="721">
        <f t="shared" si="501"/>
        <v>2.5842304625199361E-2</v>
      </c>
      <c r="BU49" s="721">
        <f t="shared" si="501"/>
        <v>2.4983776768332255E-2</v>
      </c>
      <c r="BV49" s="721">
        <f t="shared" si="501"/>
        <v>1.775568181818182E-2</v>
      </c>
      <c r="BW49" s="737">
        <f t="shared" si="501"/>
        <v>1.7949084668192221E-2</v>
      </c>
      <c r="BX49" s="721">
        <f t="shared" si="501"/>
        <v>2.1173007246376812E-2</v>
      </c>
      <c r="BY49" s="721">
        <f t="shared" si="501"/>
        <v>2.2544642857142857E-2</v>
      </c>
      <c r="BZ49" s="721">
        <f t="shared" si="501"/>
        <v>2.4925595238095236E-2</v>
      </c>
      <c r="CA49" s="721">
        <f t="shared" si="501"/>
        <v>1.179594861660079E-2</v>
      </c>
      <c r="CB49" s="721">
        <f t="shared" si="501"/>
        <v>2.1519886363636366E-2</v>
      </c>
      <c r="CC49" s="721">
        <f t="shared" si="501"/>
        <v>1.4999999999999999E-2</v>
      </c>
      <c r="CD49" s="721">
        <f t="shared" si="501"/>
        <v>2.2686688311688314E-2</v>
      </c>
      <c r="CE49" s="721">
        <f t="shared" si="501"/>
        <v>2.2879464285714288E-2</v>
      </c>
      <c r="CF49" s="721">
        <f t="shared" si="501"/>
        <v>2.5842304625199361E-2</v>
      </c>
      <c r="CG49" s="721">
        <f t="shared" si="501"/>
        <v>2.4983776768332255E-2</v>
      </c>
      <c r="CH49" s="721">
        <f t="shared" si="501"/>
        <v>1.775568181818182E-2</v>
      </c>
      <c r="CI49" s="737">
        <f t="shared" si="501"/>
        <v>1.7949084668192221E-2</v>
      </c>
      <c r="CJ49" s="721">
        <f t="shared" si="501"/>
        <v>2.1173007246376812E-2</v>
      </c>
      <c r="CK49" s="721">
        <f t="shared" si="501"/>
        <v>2.2544642857142857E-2</v>
      </c>
      <c r="CL49" s="721">
        <f t="shared" si="501"/>
        <v>2.4925595238095236E-2</v>
      </c>
      <c r="CM49" s="721">
        <f t="shared" si="501"/>
        <v>1.179594861660079E-2</v>
      </c>
      <c r="CN49" s="721">
        <f t="shared" si="501"/>
        <v>2.1519886363636366E-2</v>
      </c>
      <c r="CO49" s="721">
        <f t="shared" si="501"/>
        <v>1.4999999999999999E-2</v>
      </c>
      <c r="CP49" s="721">
        <f t="shared" si="501"/>
        <v>2.2686688311688314E-2</v>
      </c>
      <c r="CQ49" s="721">
        <f t="shared" si="501"/>
        <v>2.2879464285714288E-2</v>
      </c>
      <c r="CR49" s="721">
        <f t="shared" si="501"/>
        <v>2.5842304625199361E-2</v>
      </c>
      <c r="CS49" s="721">
        <f t="shared" si="501"/>
        <v>2.4983776768332255E-2</v>
      </c>
      <c r="CT49" s="721">
        <f t="shared" si="501"/>
        <v>1.775568181818182E-2</v>
      </c>
      <c r="CU49" s="737">
        <f t="shared" si="501"/>
        <v>1.7949084668192221E-2</v>
      </c>
      <c r="CV49" s="721">
        <f t="shared" si="501"/>
        <v>2.1173007246376812E-2</v>
      </c>
      <c r="CW49" s="721">
        <f t="shared" ref="CW49:DG49" si="502">+CW25/8</f>
        <v>2.2544642857142857E-2</v>
      </c>
      <c r="CX49" s="721">
        <f t="shared" si="502"/>
        <v>2.4925595238095236E-2</v>
      </c>
      <c r="CY49" s="721">
        <f t="shared" si="502"/>
        <v>1.179594861660079E-2</v>
      </c>
      <c r="CZ49" s="721">
        <f t="shared" si="502"/>
        <v>2.1519886363636366E-2</v>
      </c>
      <c r="DA49" s="721">
        <f t="shared" si="502"/>
        <v>1.4999999999999999E-2</v>
      </c>
      <c r="DB49" s="721">
        <f t="shared" si="502"/>
        <v>2.2686688311688314E-2</v>
      </c>
      <c r="DC49" s="721">
        <f t="shared" si="502"/>
        <v>2.2879464285714288E-2</v>
      </c>
      <c r="DD49" s="721">
        <f t="shared" si="502"/>
        <v>2.5842304625199361E-2</v>
      </c>
      <c r="DE49" s="721">
        <f t="shared" si="502"/>
        <v>2.4983776768332255E-2</v>
      </c>
      <c r="DF49" s="721">
        <f t="shared" si="502"/>
        <v>1.775568181818182E-2</v>
      </c>
      <c r="DG49" s="736">
        <f t="shared" si="502"/>
        <v>1.7949084668192221E-2</v>
      </c>
    </row>
    <row r="50" spans="1:111" x14ac:dyDescent="0.25">
      <c r="B50" s="1"/>
      <c r="C50" s="1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23"/>
      <c r="AN50" s="57"/>
      <c r="AO50" s="57"/>
      <c r="AP50" s="57"/>
      <c r="AQ50" s="57"/>
      <c r="AR50" s="57"/>
      <c r="AS50" s="57"/>
      <c r="AT50" s="57"/>
      <c r="AU50" s="57"/>
      <c r="AV50" s="57"/>
      <c r="AW50" s="313"/>
      <c r="AX50" s="57"/>
      <c r="AY50" s="313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313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313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313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313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</row>
    <row r="51" spans="1:111" hidden="1" x14ac:dyDescent="0.25">
      <c r="B51" s="1"/>
      <c r="C51" s="1"/>
      <c r="D51" s="57"/>
      <c r="F51">
        <v>2022</v>
      </c>
      <c r="G51">
        <v>2023</v>
      </c>
      <c r="H51">
        <v>2024</v>
      </c>
      <c r="I51">
        <v>2025</v>
      </c>
      <c r="J51">
        <v>2026</v>
      </c>
      <c r="K51">
        <v>2027</v>
      </c>
      <c r="L51">
        <v>2028</v>
      </c>
      <c r="M51">
        <v>2029</v>
      </c>
      <c r="N51">
        <v>2030</v>
      </c>
      <c r="O51" s="57"/>
      <c r="Q51">
        <v>2022</v>
      </c>
      <c r="R51">
        <v>2023</v>
      </c>
      <c r="S51">
        <v>2024</v>
      </c>
      <c r="T51">
        <v>2025</v>
      </c>
      <c r="U51">
        <v>2026</v>
      </c>
      <c r="V51">
        <v>2027</v>
      </c>
      <c r="W51">
        <v>2028</v>
      </c>
      <c r="X51">
        <v>2028</v>
      </c>
      <c r="Y51">
        <v>2028</v>
      </c>
      <c r="Z51">
        <v>2029</v>
      </c>
      <c r="AA51">
        <v>2029</v>
      </c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23"/>
      <c r="AN51" s="57"/>
      <c r="AO51" s="57"/>
      <c r="AP51" s="57"/>
      <c r="AQ51" s="57"/>
      <c r="AR51" s="57"/>
      <c r="AS51" s="57"/>
      <c r="AT51" s="57"/>
      <c r="AU51" s="57"/>
      <c r="AV51" s="57"/>
      <c r="AW51" s="313"/>
      <c r="AX51" s="57"/>
      <c r="AY51" s="313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313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313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313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313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</row>
    <row r="52" spans="1:111" hidden="1" x14ac:dyDescent="0.25">
      <c r="B52" s="1"/>
      <c r="C52" s="1"/>
      <c r="D52" s="57"/>
      <c r="E52" t="s">
        <v>208</v>
      </c>
      <c r="F52">
        <f>ROUNDUP(AVERAGE(F53:F55), 0)</f>
        <v>3</v>
      </c>
      <c r="G52">
        <f t="shared" ref="G52:N52" si="503">ROUNDUP(AVERAGE(G53:G55), 0)</f>
        <v>4</v>
      </c>
      <c r="H52">
        <f t="shared" si="503"/>
        <v>7</v>
      </c>
      <c r="I52">
        <f t="shared" si="503"/>
        <v>10</v>
      </c>
      <c r="J52">
        <f t="shared" si="503"/>
        <v>14</v>
      </c>
      <c r="K52">
        <f t="shared" si="503"/>
        <v>20</v>
      </c>
      <c r="L52">
        <f t="shared" si="503"/>
        <v>27</v>
      </c>
      <c r="M52">
        <f t="shared" si="503"/>
        <v>38</v>
      </c>
      <c r="N52">
        <f t="shared" si="503"/>
        <v>53</v>
      </c>
      <c r="O52" s="57"/>
      <c r="P52" t="s">
        <v>208</v>
      </c>
      <c r="Q52">
        <f>ROUNDUP(AVERAGE(Q53:Q55), 0)</f>
        <v>1</v>
      </c>
      <c r="R52">
        <f t="shared" ref="R52:W52" si="504">ROUNDUP(AVERAGE(R53:R55), 0)</f>
        <v>1</v>
      </c>
      <c r="S52">
        <f t="shared" si="504"/>
        <v>1</v>
      </c>
      <c r="T52">
        <f t="shared" si="504"/>
        <v>1</v>
      </c>
      <c r="U52">
        <f t="shared" si="504"/>
        <v>1</v>
      </c>
      <c r="V52">
        <f t="shared" si="504"/>
        <v>1</v>
      </c>
      <c r="W52">
        <f t="shared" si="504"/>
        <v>1</v>
      </c>
      <c r="X52">
        <f t="shared" ref="X52:Y52" si="505">ROUNDUP(AVERAGE(X53:X55), 0)</f>
        <v>1</v>
      </c>
      <c r="Y52">
        <f t="shared" si="505"/>
        <v>1</v>
      </c>
      <c r="Z52">
        <f t="shared" ref="Z52:AA52" si="506">ROUNDUP(AVERAGE(Z53:Z55), 0)</f>
        <v>1</v>
      </c>
      <c r="AA52">
        <f t="shared" si="506"/>
        <v>1</v>
      </c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23"/>
      <c r="AN52" s="57"/>
      <c r="AO52" s="57"/>
      <c r="AP52" s="57"/>
      <c r="AQ52" s="57"/>
      <c r="AR52" s="57"/>
      <c r="AS52" s="57"/>
      <c r="AT52" s="57"/>
      <c r="AU52" s="57"/>
      <c r="AV52" s="57"/>
      <c r="AW52" s="313"/>
      <c r="AX52" s="57"/>
      <c r="AY52" s="313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313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313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313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313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</row>
    <row r="53" spans="1:111" hidden="1" x14ac:dyDescent="0.25">
      <c r="B53" s="1"/>
      <c r="C53" s="1"/>
      <c r="D53" s="57"/>
      <c r="E53" t="s">
        <v>205</v>
      </c>
      <c r="F53" s="201">
        <v>3</v>
      </c>
      <c r="G53" s="201">
        <v>3</v>
      </c>
      <c r="H53" s="201">
        <v>10</v>
      </c>
      <c r="I53" s="329">
        <f>+H53*1.4</f>
        <v>14</v>
      </c>
      <c r="J53" s="329">
        <f t="shared" ref="J53:N53" si="507">+I53*1.4</f>
        <v>19.599999999999998</v>
      </c>
      <c r="K53" s="329">
        <f t="shared" si="507"/>
        <v>27.439999999999994</v>
      </c>
      <c r="L53" s="329">
        <f t="shared" si="507"/>
        <v>38.41599999999999</v>
      </c>
      <c r="M53" s="329">
        <f t="shared" si="507"/>
        <v>53.782399999999981</v>
      </c>
      <c r="N53" s="329">
        <f t="shared" si="507"/>
        <v>75.295359999999974</v>
      </c>
      <c r="O53" s="57"/>
      <c r="P53" t="s">
        <v>205</v>
      </c>
      <c r="Q53" s="174">
        <f t="shared" ref="Q53:AA53" si="508">AVERAGEIFS($E$25:$DG$25, $H$2:$DJ$2,$E$53, $H$1:$DJ$1, Q51)</f>
        <v>4.3859649122807015E-3</v>
      </c>
      <c r="R53" s="174">
        <f t="shared" si="508"/>
        <v>0.14732707351128405</v>
      </c>
      <c r="S53" s="174">
        <f t="shared" si="508"/>
        <v>0.17455576268715656</v>
      </c>
      <c r="T53" s="174">
        <f t="shared" si="508"/>
        <v>0.14178585544889893</v>
      </c>
      <c r="U53" s="174">
        <f t="shared" si="508"/>
        <v>0.14178585544889893</v>
      </c>
      <c r="V53" s="174">
        <f t="shared" si="508"/>
        <v>0.14178585544889893</v>
      </c>
      <c r="W53" s="174">
        <f t="shared" si="508"/>
        <v>0.14178585544889893</v>
      </c>
      <c r="X53" s="174">
        <f t="shared" si="508"/>
        <v>0.14178585544889893</v>
      </c>
      <c r="Y53" s="174">
        <f t="shared" si="508"/>
        <v>0.14178585544889893</v>
      </c>
      <c r="Z53" s="174">
        <f t="shared" si="508"/>
        <v>0.14178585544889893</v>
      </c>
      <c r="AA53" s="174">
        <f t="shared" si="508"/>
        <v>0.14178585544889893</v>
      </c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23"/>
      <c r="AN53" s="57"/>
      <c r="AO53" s="57"/>
      <c r="AP53" s="57"/>
      <c r="AQ53" s="57"/>
      <c r="AR53" s="57"/>
      <c r="AS53" s="57"/>
      <c r="AT53" s="57"/>
      <c r="AU53" s="57"/>
      <c r="AV53" s="57"/>
      <c r="AW53" s="313"/>
      <c r="AX53" s="57"/>
      <c r="AY53" s="313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313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313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313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313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</row>
    <row r="54" spans="1:111" hidden="1" x14ac:dyDescent="0.25">
      <c r="B54" s="1"/>
      <c r="C54" s="1"/>
      <c r="D54" s="57"/>
      <c r="E54" t="s">
        <v>207</v>
      </c>
      <c r="F54" s="201">
        <v>5</v>
      </c>
      <c r="G54" s="201">
        <f>+F54+1</f>
        <v>6</v>
      </c>
      <c r="H54" s="201">
        <v>7</v>
      </c>
      <c r="I54" s="329">
        <f t="shared" ref="I54:N54" si="509">+H54*1.4</f>
        <v>9.7999999999999989</v>
      </c>
      <c r="J54" s="329">
        <f t="shared" si="509"/>
        <v>13.719999999999997</v>
      </c>
      <c r="K54" s="329">
        <f t="shared" si="509"/>
        <v>19.207999999999995</v>
      </c>
      <c r="L54" s="329">
        <f t="shared" si="509"/>
        <v>26.891199999999991</v>
      </c>
      <c r="M54" s="329">
        <f t="shared" si="509"/>
        <v>37.647679999999987</v>
      </c>
      <c r="N54" s="329">
        <f t="shared" si="509"/>
        <v>52.70675199999998</v>
      </c>
      <c r="O54" s="57"/>
      <c r="P54" t="s">
        <v>207</v>
      </c>
      <c r="Q54" s="174">
        <f t="shared" ref="Q54:AA54" si="510">+AVERAGEIFS($E$25:$DG$25, $H$2:$DJ$2,$E$54, $H$1:$DJ$1, Q51)</f>
        <v>2.5749014040939506E-2</v>
      </c>
      <c r="R54" s="174">
        <f t="shared" si="510"/>
        <v>0.13132618735900156</v>
      </c>
      <c r="S54" s="174">
        <f t="shared" si="510"/>
        <v>0.15321598141586021</v>
      </c>
      <c r="T54" s="174">
        <f t="shared" si="510"/>
        <v>0.17713550798934094</v>
      </c>
      <c r="U54" s="174">
        <f t="shared" si="510"/>
        <v>0.17874904357229573</v>
      </c>
      <c r="V54" s="174">
        <f t="shared" si="510"/>
        <v>0.17874904357229573</v>
      </c>
      <c r="W54" s="174">
        <f t="shared" si="510"/>
        <v>0.17874904357229573</v>
      </c>
      <c r="X54" s="174">
        <f t="shared" si="510"/>
        <v>0.17874904357229573</v>
      </c>
      <c r="Y54" s="174">
        <f t="shared" si="510"/>
        <v>0.17874904357229573</v>
      </c>
      <c r="Z54" s="174">
        <f t="shared" si="510"/>
        <v>0.17874904357229573</v>
      </c>
      <c r="AA54" s="174">
        <f t="shared" si="510"/>
        <v>0.17874904357229573</v>
      </c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23"/>
      <c r="AN54" s="57"/>
      <c r="AO54" s="57"/>
      <c r="AP54" s="57"/>
      <c r="AQ54" s="57"/>
      <c r="AR54" s="57"/>
      <c r="AS54" s="57"/>
      <c r="AT54" s="57"/>
      <c r="AU54" s="57"/>
      <c r="AV54" s="57"/>
      <c r="AW54" s="313"/>
      <c r="AX54" s="57"/>
      <c r="AY54" s="313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313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313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313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313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</row>
    <row r="55" spans="1:111" hidden="1" x14ac:dyDescent="0.25">
      <c r="B55" s="1"/>
      <c r="C55" s="1"/>
      <c r="D55" s="57"/>
      <c r="E55" t="s">
        <v>206</v>
      </c>
      <c r="F55" s="201">
        <v>1</v>
      </c>
      <c r="G55" s="201">
        <v>1</v>
      </c>
      <c r="H55" s="201">
        <v>4</v>
      </c>
      <c r="I55" s="329">
        <f t="shared" ref="I55:N55" si="511">+H55*1.4</f>
        <v>5.6</v>
      </c>
      <c r="J55" s="329">
        <f t="shared" si="511"/>
        <v>7.839999999999999</v>
      </c>
      <c r="K55" s="329">
        <f t="shared" si="511"/>
        <v>10.975999999999997</v>
      </c>
      <c r="L55" s="329">
        <f t="shared" si="511"/>
        <v>15.366399999999995</v>
      </c>
      <c r="M55" s="329">
        <f t="shared" si="511"/>
        <v>21.512959999999993</v>
      </c>
      <c r="N55" s="329">
        <f t="shared" si="511"/>
        <v>30.118143999999987</v>
      </c>
      <c r="O55" s="57"/>
      <c r="P55" t="s">
        <v>206</v>
      </c>
      <c r="Q55" s="174">
        <f t="shared" ref="Q55:AA55" si="512">AVERAGEIFS($E$25:$DG$25, $H$2:$DJ$2,$E$55, $H$1:$DJ$1, Q51)</f>
        <v>3.4989648033126292E-2</v>
      </c>
      <c r="R55" s="174">
        <f t="shared" si="512"/>
        <v>0.20889588100686499</v>
      </c>
      <c r="S55" s="174">
        <f t="shared" si="512"/>
        <v>0.21383308107932167</v>
      </c>
      <c r="T55" s="174">
        <f t="shared" si="512"/>
        <v>0.19488707564365459</v>
      </c>
      <c r="U55" s="174">
        <f t="shared" si="512"/>
        <v>0.19488707564365459</v>
      </c>
      <c r="V55" s="174">
        <f t="shared" si="512"/>
        <v>0.19488707564365459</v>
      </c>
      <c r="W55" s="174">
        <f t="shared" si="512"/>
        <v>0.19488707564365459</v>
      </c>
      <c r="X55" s="174">
        <f t="shared" si="512"/>
        <v>0.19488707564365459</v>
      </c>
      <c r="Y55" s="174">
        <f t="shared" si="512"/>
        <v>0.19488707564365459</v>
      </c>
      <c r="Z55" s="174">
        <f t="shared" si="512"/>
        <v>0.19488707564365459</v>
      </c>
      <c r="AA55" s="174">
        <f t="shared" si="512"/>
        <v>0.19488707564365459</v>
      </c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23"/>
      <c r="AN55" s="57"/>
      <c r="AO55" s="57"/>
      <c r="AP55" s="57"/>
      <c r="AQ55" s="57"/>
      <c r="AR55" s="57"/>
      <c r="AS55" s="57"/>
      <c r="AT55" s="57"/>
      <c r="AU55" s="57"/>
      <c r="AV55" s="57"/>
      <c r="AW55" s="313"/>
      <c r="AX55" s="57"/>
      <c r="AY55" s="313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313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313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313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313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</row>
    <row r="56" spans="1:111" hidden="1" x14ac:dyDescent="0.25">
      <c r="B56" s="1"/>
      <c r="C56" s="1"/>
      <c r="D56" s="57"/>
      <c r="E56" t="s">
        <v>206</v>
      </c>
      <c r="F56" s="131">
        <f>F55/F52-1</f>
        <v>-0.66666666666666674</v>
      </c>
      <c r="G56" s="131">
        <f t="shared" ref="G56:N56" si="513">G55/G52-1</f>
        <v>-0.75</v>
      </c>
      <c r="H56" s="131">
        <f t="shared" si="513"/>
        <v>-0.4285714285714286</v>
      </c>
      <c r="I56" s="131">
        <f t="shared" si="513"/>
        <v>-0.44000000000000006</v>
      </c>
      <c r="J56" s="131">
        <f t="shared" si="513"/>
        <v>-0.44000000000000006</v>
      </c>
      <c r="K56" s="131">
        <f t="shared" si="513"/>
        <v>-0.45120000000000016</v>
      </c>
      <c r="L56" s="131">
        <f t="shared" si="513"/>
        <v>-0.4308740740740743</v>
      </c>
      <c r="M56" s="131">
        <f t="shared" si="513"/>
        <v>-0.43386947368421069</v>
      </c>
      <c r="N56" s="131">
        <f t="shared" si="513"/>
        <v>-0.43173313207547193</v>
      </c>
      <c r="O56" s="57"/>
      <c r="P56" t="s">
        <v>206</v>
      </c>
      <c r="Q56" s="173">
        <f>Q55/Q52-1</f>
        <v>-0.96501035196687368</v>
      </c>
      <c r="R56" s="173">
        <f t="shared" ref="R56:W56" si="514">R55/R52-1</f>
        <v>-0.79110411899313504</v>
      </c>
      <c r="S56" s="173">
        <f t="shared" si="514"/>
        <v>-0.78616691892067836</v>
      </c>
      <c r="T56" s="173">
        <f t="shared" si="514"/>
        <v>-0.80511292435634541</v>
      </c>
      <c r="U56" s="173">
        <f t="shared" si="514"/>
        <v>-0.80511292435634541</v>
      </c>
      <c r="V56" s="173">
        <f t="shared" si="514"/>
        <v>-0.80511292435634541</v>
      </c>
      <c r="W56" s="202">
        <f t="shared" si="514"/>
        <v>-0.80511292435634541</v>
      </c>
      <c r="X56" s="202">
        <f t="shared" ref="X56:Y56" si="515">X55/X52-1</f>
        <v>-0.80511292435634541</v>
      </c>
      <c r="Y56" s="202">
        <f t="shared" si="515"/>
        <v>-0.80511292435634541</v>
      </c>
      <c r="Z56" s="202">
        <f t="shared" ref="Z56:AA56" si="516">Z55/Z52-1</f>
        <v>-0.80511292435634541</v>
      </c>
      <c r="AA56" s="202">
        <f t="shared" si="516"/>
        <v>-0.80511292435634541</v>
      </c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23"/>
      <c r="AN56" s="57"/>
      <c r="AO56" s="57"/>
      <c r="AP56" s="57"/>
      <c r="AQ56" s="57"/>
      <c r="AR56" s="57"/>
      <c r="AS56" s="57"/>
      <c r="AT56" s="57"/>
      <c r="AU56" s="57"/>
      <c r="AV56" s="57"/>
      <c r="AW56" s="313"/>
      <c r="AX56" s="57"/>
      <c r="AY56" s="313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313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313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313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313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</row>
    <row r="57" spans="1:111" hidden="1" x14ac:dyDescent="0.25">
      <c r="B57" s="1"/>
      <c r="C57" s="1"/>
      <c r="D57" s="57"/>
      <c r="E57" t="s">
        <v>207</v>
      </c>
      <c r="F57" s="131">
        <f>F54/F52-1</f>
        <v>0.66666666666666674</v>
      </c>
      <c r="G57" s="131">
        <f t="shared" ref="G57:N57" si="517">G54/G52-1</f>
        <v>0.5</v>
      </c>
      <c r="H57" s="131">
        <f t="shared" si="517"/>
        <v>0</v>
      </c>
      <c r="I57" s="131">
        <f t="shared" si="517"/>
        <v>-2.0000000000000129E-2</v>
      </c>
      <c r="J57" s="131">
        <f t="shared" si="517"/>
        <v>-2.000000000000024E-2</v>
      </c>
      <c r="K57" s="131">
        <f t="shared" si="517"/>
        <v>-3.9600000000000302E-2</v>
      </c>
      <c r="L57" s="131">
        <f t="shared" si="517"/>
        <v>-4.0296296296299383E-3</v>
      </c>
      <c r="M57" s="131">
        <f t="shared" si="517"/>
        <v>-9.2715789473687416E-3</v>
      </c>
      <c r="N57" s="131">
        <f t="shared" si="517"/>
        <v>-5.5329811320758981E-3</v>
      </c>
      <c r="O57" s="57"/>
      <c r="P57" t="s">
        <v>207</v>
      </c>
      <c r="Q57" s="173">
        <f>Q54/Q52-1</f>
        <v>-0.97425098595906046</v>
      </c>
      <c r="R57" s="173">
        <f t="shared" ref="R57:W57" si="518">R54/R52-1</f>
        <v>-0.86867381264099841</v>
      </c>
      <c r="S57" s="173">
        <f t="shared" si="518"/>
        <v>-0.84678401858413976</v>
      </c>
      <c r="T57" s="173">
        <f t="shared" si="518"/>
        <v>-0.82286449201065903</v>
      </c>
      <c r="U57" s="173">
        <f t="shared" si="518"/>
        <v>-0.82125095642770429</v>
      </c>
      <c r="V57" s="173">
        <f t="shared" si="518"/>
        <v>-0.82125095642770429</v>
      </c>
      <c r="W57" s="202">
        <f t="shared" si="518"/>
        <v>-0.82125095642770429</v>
      </c>
      <c r="X57" s="202">
        <f t="shared" ref="X57:Y57" si="519">X54/X52-1</f>
        <v>-0.82125095642770429</v>
      </c>
      <c r="Y57" s="202">
        <f t="shared" si="519"/>
        <v>-0.82125095642770429</v>
      </c>
      <c r="Z57" s="202">
        <f t="shared" ref="Z57:AA57" si="520">Z54/Z52-1</f>
        <v>-0.82125095642770429</v>
      </c>
      <c r="AA57" s="202">
        <f t="shared" si="520"/>
        <v>-0.82125095642770429</v>
      </c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23"/>
      <c r="AN57" s="57"/>
      <c r="AO57" s="57"/>
      <c r="AP57" s="57"/>
      <c r="AQ57" s="57"/>
      <c r="AR57" s="57"/>
      <c r="AS57" s="57"/>
      <c r="AT57" s="57"/>
      <c r="AU57" s="57"/>
      <c r="AV57" s="57"/>
      <c r="AW57" s="313"/>
      <c r="AX57" s="57"/>
      <c r="AY57" s="313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313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313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313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313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</row>
    <row r="58" spans="1:111" hidden="1" x14ac:dyDescent="0.25">
      <c r="B58" s="1"/>
      <c r="C58" s="1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23"/>
      <c r="AN58" s="57"/>
      <c r="AO58" s="57"/>
      <c r="AP58" s="57"/>
      <c r="AQ58" s="57"/>
      <c r="AR58" s="57"/>
      <c r="AS58" s="57"/>
      <c r="AT58" s="57"/>
      <c r="AU58" s="57"/>
      <c r="AV58" s="57"/>
      <c r="AW58" s="313"/>
      <c r="AX58" s="57"/>
      <c r="AY58" s="313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313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313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313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313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</row>
    <row r="59" spans="1:111" ht="1.9" customHeight="1" x14ac:dyDescent="0.25">
      <c r="B59" s="1"/>
      <c r="C59" s="1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23"/>
      <c r="AN59" s="57"/>
      <c r="AO59" s="57"/>
      <c r="AP59" s="57"/>
      <c r="AQ59" s="57"/>
      <c r="AR59" s="57"/>
      <c r="AS59" s="57"/>
      <c r="AT59" s="57"/>
      <c r="AU59" s="57"/>
      <c r="AV59" s="57"/>
      <c r="AW59" s="313"/>
      <c r="AX59" s="57"/>
      <c r="AY59" s="313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313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313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313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313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</row>
    <row r="60" spans="1:111" x14ac:dyDescent="0.25">
      <c r="B60" s="1" t="s">
        <v>320</v>
      </c>
      <c r="C60" s="1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23"/>
      <c r="AN60" s="57"/>
      <c r="AO60" s="57"/>
      <c r="AP60" s="57"/>
      <c r="AQ60" s="57"/>
      <c r="AR60" s="57"/>
      <c r="AS60" s="57"/>
      <c r="AT60" s="115"/>
      <c r="AU60" s="115"/>
      <c r="AV60" s="115"/>
      <c r="AW60" s="187"/>
      <c r="AX60" s="57"/>
      <c r="AY60" s="313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313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313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313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313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</row>
    <row r="61" spans="1:111" s="57" customFormat="1" x14ac:dyDescent="0.25">
      <c r="A61"/>
      <c r="B61" s="1" t="s">
        <v>319</v>
      </c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/>
      <c r="AC61" s="115"/>
      <c r="AD61" s="115"/>
      <c r="AE61" s="115"/>
      <c r="AF61" s="115"/>
      <c r="AG61" s="115"/>
      <c r="AH61" s="115">
        <v>150</v>
      </c>
      <c r="AI61" s="115">
        <v>740</v>
      </c>
      <c r="AJ61" s="115">
        <v>817.5</v>
      </c>
      <c r="AK61" s="115">
        <v>937.5</v>
      </c>
      <c r="AL61" s="115">
        <v>170</v>
      </c>
      <c r="AM61" s="520"/>
      <c r="AN61" s="115">
        <v>0</v>
      </c>
      <c r="AO61" s="115">
        <v>450</v>
      </c>
      <c r="AP61" s="115">
        <v>0</v>
      </c>
      <c r="AQ61" s="115">
        <v>0</v>
      </c>
      <c r="AR61" s="115">
        <v>270</v>
      </c>
      <c r="AS61" s="115">
        <v>0</v>
      </c>
      <c r="AT61" s="115">
        <v>1042.5</v>
      </c>
      <c r="AU61" s="115">
        <v>450</v>
      </c>
      <c r="AV61" s="115">
        <f>3989.94</f>
        <v>3989.94</v>
      </c>
      <c r="AW61" s="187">
        <f>6135</f>
        <v>6135</v>
      </c>
      <c r="AX61" s="722">
        <f>+'People Plan'!Y19</f>
        <v>0</v>
      </c>
      <c r="AY61" s="435">
        <f>+'People Plan'!Z19</f>
        <v>959.95423340961133</v>
      </c>
      <c r="AZ61" s="436">
        <f>+'People Plan'!AA19</f>
        <v>2840.0018115942025</v>
      </c>
      <c r="BA61" s="434">
        <f>+'People Plan'!AB19</f>
        <v>4849.8392857142862</v>
      </c>
      <c r="BB61" s="434">
        <f>+'People Plan'!AC19</f>
        <v>7164.8749999999991</v>
      </c>
      <c r="BC61" s="434">
        <f>+'People Plan'!AD19</f>
        <v>1872.4347826086955</v>
      </c>
      <c r="BD61" s="434">
        <f>+'People Plan'!AE19</f>
        <v>6399.6636363636362</v>
      </c>
      <c r="BE61" s="434">
        <f>+'People Plan'!AF19</f>
        <v>577.58857142857073</v>
      </c>
      <c r="BF61" s="434">
        <f>+'People Plan'!AG19</f>
        <v>2637.6402597402575</v>
      </c>
      <c r="BG61" s="434">
        <f>+'People Plan'!AH19</f>
        <v>2429.3124999999982</v>
      </c>
      <c r="BH61" s="434">
        <f>+'People Plan'!AI19</f>
        <v>4185.2368421052606</v>
      </c>
      <c r="BI61" s="434">
        <f>+'People Plan'!AJ19</f>
        <v>995.63270603504088</v>
      </c>
      <c r="BJ61" s="434">
        <f>+'People Plan'!AK19</f>
        <v>0</v>
      </c>
      <c r="BK61" s="435">
        <f>+'People Plan'!AL19</f>
        <v>1702.6315789473656</v>
      </c>
      <c r="BL61" s="436">
        <f>+'People Plan'!AM19</f>
        <v>3465.9097826086927</v>
      </c>
      <c r="BM61" s="434">
        <f>+'People Plan'!AN19</f>
        <v>6710.2571428571391</v>
      </c>
      <c r="BN61" s="434">
        <f>+'People Plan'!AO19</f>
        <v>10500.585714285708</v>
      </c>
      <c r="BO61" s="434">
        <f>+'People Plan'!AP19</f>
        <v>3286.7999999999965</v>
      </c>
      <c r="BP61" s="434">
        <f>+'People Plan'!AQ19</f>
        <v>9762.6609090909042</v>
      </c>
      <c r="BQ61" s="434">
        <f>+'People Plan'!AR19</f>
        <v>1816.0754285714254</v>
      </c>
      <c r="BR61" s="434">
        <f>+'People Plan'!AS19</f>
        <v>4347.7828571428536</v>
      </c>
      <c r="BS61" s="434">
        <f>+'People Plan'!AT19</f>
        <v>4704.8488095238054</v>
      </c>
      <c r="BT61" s="434">
        <f>+'People Plan'!AU19</f>
        <v>6815.9631578947319</v>
      </c>
      <c r="BU61" s="434">
        <f>+'People Plan'!AV19</f>
        <v>2172.1778066190764</v>
      </c>
      <c r="BV61" s="434">
        <f>+'People Plan'!AW19</f>
        <v>62.063157894736733</v>
      </c>
      <c r="BW61" s="435">
        <f>+'People Plan'!AX19</f>
        <v>3359.999999999995</v>
      </c>
      <c r="BX61" s="434">
        <f>+'People Plan'!AY19</f>
        <v>5855.8307608695613</v>
      </c>
      <c r="BY61" s="434">
        <f>+'People Plan'!AZ19</f>
        <v>11039.490499999993</v>
      </c>
      <c r="BZ61" s="434">
        <f>+'People Plan'!BA19</f>
        <v>15673.712857142846</v>
      </c>
      <c r="CA61" s="434">
        <f>+'People Plan'!BB19</f>
        <v>4897.1920948616544</v>
      </c>
      <c r="CB61" s="434">
        <f>+'People Plan'!BC19</f>
        <v>16389.960363636357</v>
      </c>
      <c r="CC61" s="434">
        <f>+'People Plan'!BD19</f>
        <v>3536.1284571428528</v>
      </c>
      <c r="CD61" s="434">
        <f>+'People Plan'!BE19</f>
        <v>6726.618909090902</v>
      </c>
      <c r="CE61" s="434">
        <f>+'People Plan'!BF19</f>
        <v>8118.9541269841193</v>
      </c>
      <c r="CF61" s="434">
        <f>+'People Plan'!BG19</f>
        <v>9962.9677511961654</v>
      </c>
      <c r="CG61" s="434">
        <f>+'People Plan'!BH19</f>
        <v>4381.2970798182978</v>
      </c>
      <c r="CH61" s="434">
        <f>+'People Plan'!BI19</f>
        <v>144.67789473684195</v>
      </c>
      <c r="CI61" s="435">
        <f>+'People Plan'!BJ19</f>
        <v>4968.9839816933581</v>
      </c>
      <c r="CJ61" s="434">
        <f>+'People Plan'!BK19</f>
        <v>10355.12799999999</v>
      </c>
      <c r="CK61" s="434">
        <f>+'People Plan'!BL19</f>
        <v>15678.939714285692</v>
      </c>
      <c r="CL61" s="434">
        <f>+'People Plan'!BM19</f>
        <v>22355.901619047585</v>
      </c>
      <c r="CM61" s="434">
        <f>+'People Plan'!BN19</f>
        <v>8407.6549881422798</v>
      </c>
      <c r="CN61" s="434">
        <f>+'People Plan'!BO19</f>
        <v>24013.158145454519</v>
      </c>
      <c r="CO61" s="434">
        <f>+'People Plan'!BP19</f>
        <v>5698.7571199999857</v>
      </c>
      <c r="CP61" s="434">
        <f>+'People Plan'!BQ19</f>
        <v>11150.460114285692</v>
      </c>
      <c r="CQ61" s="434">
        <f>+'People Plan'!BR19</f>
        <v>12533.91474603172</v>
      </c>
      <c r="CR61" s="434">
        <f>+'People Plan'!BS19</f>
        <v>14366.979330143513</v>
      </c>
      <c r="CS61" s="434">
        <f>+'People Plan'!BT19</f>
        <v>7813.6799999999857</v>
      </c>
      <c r="CT61" s="434">
        <f>+'People Plan'!BU19</f>
        <v>1142.5204210526254</v>
      </c>
      <c r="CU61" s="435">
        <f>+'People Plan'!BV19</f>
        <v>8163.2137299770975</v>
      </c>
      <c r="CV61" s="436">
        <f>+'People Plan'!BW19</f>
        <v>15734.825033333304</v>
      </c>
      <c r="CW61" s="434">
        <f>+'People Plan'!BX19</f>
        <v>23277.515599999955</v>
      </c>
      <c r="CX61" s="434">
        <f>+'People Plan'!BY19</f>
        <v>33142.524966666599</v>
      </c>
      <c r="CY61" s="434">
        <f>+'People Plan'!BZ19</f>
        <v>13581.546156521708</v>
      </c>
      <c r="CZ61" s="434">
        <f>+'People Plan'!CA19</f>
        <v>34902.044130909017</v>
      </c>
      <c r="DA61" s="434">
        <f>+'People Plan'!CB19</f>
        <v>8534.4761599999729</v>
      </c>
      <c r="DB61" s="434">
        <f>+'People Plan'!CC19</f>
        <v>17713.379933506447</v>
      </c>
      <c r="DC61" s="434">
        <f>+'People Plan'!CD19</f>
        <v>17845.208625396779</v>
      </c>
      <c r="DD61" s="434">
        <f>+'People Plan'!CE19</f>
        <v>22512.964399999953</v>
      </c>
      <c r="DE61" s="434">
        <f>+'People Plan'!CF19</f>
        <v>12069.480358208926</v>
      </c>
      <c r="DF61" s="434">
        <f>+'People Plan'!CG19</f>
        <v>2426.8903282296537</v>
      </c>
      <c r="DG61" s="434">
        <f>+'People Plan'!CH19</f>
        <v>13154.483112128108</v>
      </c>
    </row>
    <row r="62" spans="1:111" s="57" customFormat="1" x14ac:dyDescent="0.25">
      <c r="A62"/>
      <c r="B62" s="1" t="s">
        <v>318</v>
      </c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/>
      <c r="AC62" s="115"/>
      <c r="AD62" s="115"/>
      <c r="AE62" s="115"/>
      <c r="AF62" s="115"/>
      <c r="AG62" s="115"/>
      <c r="AH62" s="115">
        <v>450</v>
      </c>
      <c r="AI62" s="115">
        <v>150</v>
      </c>
      <c r="AJ62" s="115"/>
      <c r="AK62" s="115"/>
      <c r="AL62" s="115"/>
      <c r="AM62" s="520">
        <v>599</v>
      </c>
      <c r="AN62" s="115">
        <v>0</v>
      </c>
      <c r="AO62" s="115">
        <v>0</v>
      </c>
      <c r="AP62" s="115">
        <v>0</v>
      </c>
      <c r="AQ62" s="115">
        <v>0</v>
      </c>
      <c r="AR62" s="115">
        <v>0</v>
      </c>
      <c r="AS62" s="115">
        <v>0</v>
      </c>
      <c r="AT62" s="115">
        <v>540</v>
      </c>
      <c r="AU62" s="115">
        <v>234</v>
      </c>
      <c r="AV62" s="115">
        <f>86.8</f>
        <v>86.8</v>
      </c>
      <c r="AW62" s="187">
        <f>120</f>
        <v>120</v>
      </c>
      <c r="AX62" s="722">
        <f>+'People Plan'!Y7</f>
        <v>0</v>
      </c>
      <c r="AY62" s="435">
        <f>+'People Plan'!Z7</f>
        <v>0</v>
      </c>
      <c r="AZ62" s="436">
        <f>+'People Plan'!AA7</f>
        <v>0</v>
      </c>
      <c r="BA62" s="434">
        <f>+'People Plan'!AB7</f>
        <v>0</v>
      </c>
      <c r="BB62" s="434">
        <f>+'People Plan'!AC7</f>
        <v>0</v>
      </c>
      <c r="BC62" s="434">
        <f>+'People Plan'!AD7</f>
        <v>0</v>
      </c>
      <c r="BD62" s="434">
        <f>+'People Plan'!AE7</f>
        <v>0</v>
      </c>
      <c r="BE62" s="434">
        <f>+'People Plan'!AF7</f>
        <v>0</v>
      </c>
      <c r="BF62" s="434">
        <f>+'People Plan'!AG7</f>
        <v>0</v>
      </c>
      <c r="BG62" s="434">
        <f>+'People Plan'!AH7</f>
        <v>0</v>
      </c>
      <c r="BH62" s="434">
        <f>+'People Plan'!AI7</f>
        <v>0</v>
      </c>
      <c r="BI62" s="434">
        <f>+'People Plan'!AJ7</f>
        <v>0</v>
      </c>
      <c r="BJ62" s="434">
        <f>+'People Plan'!AK7</f>
        <v>0</v>
      </c>
      <c r="BK62" s="435">
        <f>+'People Plan'!AL7</f>
        <v>0</v>
      </c>
      <c r="BL62" s="436">
        <f>+'People Plan'!AM7</f>
        <v>0</v>
      </c>
      <c r="BM62" s="434">
        <f>+'People Plan'!AN7</f>
        <v>0</v>
      </c>
      <c r="BN62" s="434">
        <f>+'People Plan'!AO7</f>
        <v>0</v>
      </c>
      <c r="BO62" s="434">
        <f>+'People Plan'!AP7</f>
        <v>0</v>
      </c>
      <c r="BP62" s="434">
        <f>+'People Plan'!AQ7</f>
        <v>0</v>
      </c>
      <c r="BQ62" s="434">
        <f>+'People Plan'!AR7</f>
        <v>0</v>
      </c>
      <c r="BR62" s="434">
        <f>+'People Plan'!AS7</f>
        <v>0</v>
      </c>
      <c r="BS62" s="434">
        <f>+'People Plan'!AT7</f>
        <v>0</v>
      </c>
      <c r="BT62" s="434">
        <f>+'People Plan'!AU7</f>
        <v>0</v>
      </c>
      <c r="BU62" s="434">
        <f>+'People Plan'!AV7</f>
        <v>0</v>
      </c>
      <c r="BV62" s="434">
        <f>+'People Plan'!AW7</f>
        <v>0</v>
      </c>
      <c r="BW62" s="435">
        <f>+'People Plan'!AX7</f>
        <v>0</v>
      </c>
      <c r="BX62" s="434">
        <f>+'People Plan'!AY7</f>
        <v>0</v>
      </c>
      <c r="BY62" s="434">
        <f>+'People Plan'!AZ7</f>
        <v>0</v>
      </c>
      <c r="BZ62" s="434">
        <f>+'People Plan'!BA7</f>
        <v>0</v>
      </c>
      <c r="CA62" s="434">
        <f>+'People Plan'!BB7</f>
        <v>0</v>
      </c>
      <c r="CB62" s="434">
        <f>+'People Plan'!BC7</f>
        <v>0</v>
      </c>
      <c r="CC62" s="434">
        <f>+'People Plan'!BD7</f>
        <v>0</v>
      </c>
      <c r="CD62" s="434">
        <f>+'People Plan'!BE7</f>
        <v>0</v>
      </c>
      <c r="CE62" s="434">
        <f>+'People Plan'!BF7</f>
        <v>0</v>
      </c>
      <c r="CF62" s="434">
        <f>+'People Plan'!BG7</f>
        <v>0</v>
      </c>
      <c r="CG62" s="434">
        <f>+'People Plan'!BH7</f>
        <v>0</v>
      </c>
      <c r="CH62" s="434">
        <f>+'People Plan'!BI7</f>
        <v>0</v>
      </c>
      <c r="CI62" s="435">
        <f>+'People Plan'!BJ7</f>
        <v>0</v>
      </c>
      <c r="CJ62" s="434">
        <f>+'People Plan'!BK7</f>
        <v>0</v>
      </c>
      <c r="CK62" s="434">
        <f>+'People Plan'!BL7</f>
        <v>0</v>
      </c>
      <c r="CL62" s="434">
        <f>+'People Plan'!BM7</f>
        <v>0</v>
      </c>
      <c r="CM62" s="434">
        <f>+'People Plan'!BN7</f>
        <v>0</v>
      </c>
      <c r="CN62" s="434">
        <f>+'People Plan'!BO7</f>
        <v>0</v>
      </c>
      <c r="CO62" s="434">
        <f>+'People Plan'!BP7</f>
        <v>0</v>
      </c>
      <c r="CP62" s="434">
        <f>+'People Plan'!BQ7</f>
        <v>0</v>
      </c>
      <c r="CQ62" s="434">
        <f>+'People Plan'!BR7</f>
        <v>0</v>
      </c>
      <c r="CR62" s="434">
        <f>+'People Plan'!BS7</f>
        <v>0</v>
      </c>
      <c r="CS62" s="434">
        <f>+'People Plan'!BT7</f>
        <v>0</v>
      </c>
      <c r="CT62" s="434">
        <f>+'People Plan'!BU7</f>
        <v>0</v>
      </c>
      <c r="CU62" s="435">
        <f>+'People Plan'!BV7</f>
        <v>0</v>
      </c>
      <c r="CV62" s="436">
        <f>+'People Plan'!BW7</f>
        <v>0</v>
      </c>
      <c r="CW62" s="434">
        <f>+'People Plan'!BX7</f>
        <v>0</v>
      </c>
      <c r="CX62" s="434">
        <f>+'People Plan'!BY7</f>
        <v>0</v>
      </c>
      <c r="CY62" s="434">
        <f>+'People Plan'!BZ7</f>
        <v>0</v>
      </c>
      <c r="CZ62" s="434">
        <f>+'People Plan'!CA7</f>
        <v>0</v>
      </c>
      <c r="DA62" s="434">
        <f>+'People Plan'!CB7</f>
        <v>0</v>
      </c>
      <c r="DB62" s="434">
        <f>+'People Plan'!CC7</f>
        <v>0</v>
      </c>
      <c r="DC62" s="434">
        <f>+'People Plan'!CD7</f>
        <v>0</v>
      </c>
      <c r="DD62" s="434">
        <f>+'People Plan'!CE7</f>
        <v>0</v>
      </c>
      <c r="DE62" s="434">
        <f>+'People Plan'!CF7</f>
        <v>0</v>
      </c>
      <c r="DF62" s="434">
        <f>+'People Plan'!CG7</f>
        <v>0</v>
      </c>
      <c r="DG62" s="434">
        <f>+'People Plan'!CH7</f>
        <v>0</v>
      </c>
    </row>
    <row r="63" spans="1:111" s="55" customFormat="1" x14ac:dyDescent="0.25">
      <c r="A63" s="3"/>
      <c r="B63" s="4" t="s">
        <v>317</v>
      </c>
      <c r="C63" s="4"/>
      <c r="AB63" s="55">
        <f>SUM(AB61:AB62)</f>
        <v>0</v>
      </c>
      <c r="AC63" s="55">
        <f t="shared" ref="AC63:CN63" si="521">SUM(AC61:AC62)</f>
        <v>0</v>
      </c>
      <c r="AD63" s="55">
        <f t="shared" si="521"/>
        <v>0</v>
      </c>
      <c r="AE63" s="55">
        <f t="shared" si="521"/>
        <v>0</v>
      </c>
      <c r="AF63" s="55">
        <f t="shared" si="521"/>
        <v>0</v>
      </c>
      <c r="AG63" s="55">
        <f t="shared" si="521"/>
        <v>0</v>
      </c>
      <c r="AH63" s="55">
        <f t="shared" si="521"/>
        <v>600</v>
      </c>
      <c r="AI63" s="55">
        <f t="shared" ref="AI63:AJ63" si="522">SUM(AI61:AI62)</f>
        <v>890</v>
      </c>
      <c r="AJ63" s="55">
        <f t="shared" si="522"/>
        <v>817.5</v>
      </c>
      <c r="AK63" s="55">
        <f t="shared" ref="AK63" si="523">SUM(AK61:AK62)</f>
        <v>937.5</v>
      </c>
      <c r="AL63" s="55">
        <f t="shared" ref="AL63" si="524">SUM(AL61:AL62)</f>
        <v>170</v>
      </c>
      <c r="AM63" s="521">
        <f t="shared" si="521"/>
        <v>599</v>
      </c>
      <c r="AN63" s="55">
        <f t="shared" si="521"/>
        <v>0</v>
      </c>
      <c r="AO63" s="55">
        <f t="shared" ref="AO63:AP63" si="525">SUM(AO61:AO62)</f>
        <v>450</v>
      </c>
      <c r="AP63" s="55">
        <f t="shared" si="525"/>
        <v>0</v>
      </c>
      <c r="AQ63" s="55">
        <f t="shared" ref="AQ63:AR63" si="526">SUM(AQ61:AQ62)</f>
        <v>0</v>
      </c>
      <c r="AR63" s="55">
        <f t="shared" si="526"/>
        <v>270</v>
      </c>
      <c r="AS63" s="55">
        <f t="shared" ref="AS63" si="527">SUM(AS61:AS62)</f>
        <v>0</v>
      </c>
      <c r="AT63" s="55">
        <f>SUM(AT60:AT62)</f>
        <v>1582.5</v>
      </c>
      <c r="AU63" s="55">
        <f>SUM(AU60:AU62)</f>
        <v>684</v>
      </c>
      <c r="AV63" s="55">
        <f>SUM(AV60:AV62)</f>
        <v>4076.7400000000002</v>
      </c>
      <c r="AW63" s="312">
        <f>SUM(AW60:AW62)</f>
        <v>6255</v>
      </c>
      <c r="AX63" s="55">
        <f t="shared" ref="AX63" si="528">SUM(AX61:AX62)</f>
        <v>0</v>
      </c>
      <c r="AY63" s="312">
        <f t="shared" si="521"/>
        <v>959.95423340961133</v>
      </c>
      <c r="AZ63" s="55">
        <f t="shared" si="521"/>
        <v>2840.0018115942025</v>
      </c>
      <c r="BA63" s="55">
        <f t="shared" si="521"/>
        <v>4849.8392857142862</v>
      </c>
      <c r="BB63" s="55">
        <f t="shared" si="521"/>
        <v>7164.8749999999991</v>
      </c>
      <c r="BC63" s="55">
        <f t="shared" si="521"/>
        <v>1872.4347826086955</v>
      </c>
      <c r="BD63" s="55">
        <f t="shared" si="521"/>
        <v>6399.6636363636362</v>
      </c>
      <c r="BE63" s="55">
        <f t="shared" si="521"/>
        <v>577.58857142857073</v>
      </c>
      <c r="BF63" s="55">
        <f t="shared" si="521"/>
        <v>2637.6402597402575</v>
      </c>
      <c r="BG63" s="55">
        <f t="shared" si="521"/>
        <v>2429.3124999999982</v>
      </c>
      <c r="BH63" s="55">
        <f t="shared" si="521"/>
        <v>4185.2368421052606</v>
      </c>
      <c r="BI63" s="55">
        <f t="shared" si="521"/>
        <v>995.63270603504088</v>
      </c>
      <c r="BJ63" s="55">
        <f t="shared" si="521"/>
        <v>0</v>
      </c>
      <c r="BK63" s="312">
        <f t="shared" si="521"/>
        <v>1702.6315789473656</v>
      </c>
      <c r="BL63" s="55">
        <f t="shared" si="521"/>
        <v>3465.9097826086927</v>
      </c>
      <c r="BM63" s="55">
        <f t="shared" si="521"/>
        <v>6710.2571428571391</v>
      </c>
      <c r="BN63" s="55">
        <f t="shared" si="521"/>
        <v>10500.585714285708</v>
      </c>
      <c r="BO63" s="55">
        <f t="shared" si="521"/>
        <v>3286.7999999999965</v>
      </c>
      <c r="BP63" s="55">
        <f t="shared" si="521"/>
        <v>9762.6609090909042</v>
      </c>
      <c r="BQ63" s="55">
        <f t="shared" si="521"/>
        <v>1816.0754285714254</v>
      </c>
      <c r="BR63" s="55">
        <f t="shared" si="521"/>
        <v>4347.7828571428536</v>
      </c>
      <c r="BS63" s="55">
        <f t="shared" si="521"/>
        <v>4704.8488095238054</v>
      </c>
      <c r="BT63" s="55">
        <f t="shared" si="521"/>
        <v>6815.9631578947319</v>
      </c>
      <c r="BU63" s="55">
        <f t="shared" si="521"/>
        <v>2172.1778066190764</v>
      </c>
      <c r="BV63" s="55">
        <f t="shared" si="521"/>
        <v>62.063157894736733</v>
      </c>
      <c r="BW63" s="312">
        <f t="shared" si="521"/>
        <v>3359.999999999995</v>
      </c>
      <c r="BX63" s="55">
        <f t="shared" si="521"/>
        <v>5855.8307608695613</v>
      </c>
      <c r="BY63" s="55">
        <f t="shared" si="521"/>
        <v>11039.490499999993</v>
      </c>
      <c r="BZ63" s="55">
        <f t="shared" si="521"/>
        <v>15673.712857142846</v>
      </c>
      <c r="CA63" s="55">
        <f t="shared" si="521"/>
        <v>4897.1920948616544</v>
      </c>
      <c r="CB63" s="55">
        <f t="shared" si="521"/>
        <v>16389.960363636357</v>
      </c>
      <c r="CC63" s="55">
        <f t="shared" si="521"/>
        <v>3536.1284571428528</v>
      </c>
      <c r="CD63" s="55">
        <f t="shared" si="521"/>
        <v>6726.618909090902</v>
      </c>
      <c r="CE63" s="55">
        <f t="shared" si="521"/>
        <v>8118.9541269841193</v>
      </c>
      <c r="CF63" s="55">
        <f t="shared" si="521"/>
        <v>9962.9677511961654</v>
      </c>
      <c r="CG63" s="55">
        <f t="shared" si="521"/>
        <v>4381.2970798182978</v>
      </c>
      <c r="CH63" s="55">
        <f t="shared" si="521"/>
        <v>144.67789473684195</v>
      </c>
      <c r="CI63" s="312">
        <f t="shared" si="521"/>
        <v>4968.9839816933581</v>
      </c>
      <c r="CJ63" s="55">
        <f t="shared" si="521"/>
        <v>10355.12799999999</v>
      </c>
      <c r="CK63" s="55">
        <f t="shared" si="521"/>
        <v>15678.939714285692</v>
      </c>
      <c r="CL63" s="55">
        <f t="shared" si="521"/>
        <v>22355.901619047585</v>
      </c>
      <c r="CM63" s="55">
        <f t="shared" si="521"/>
        <v>8407.6549881422798</v>
      </c>
      <c r="CN63" s="55">
        <f t="shared" si="521"/>
        <v>24013.158145454519</v>
      </c>
      <c r="CO63" s="55">
        <f t="shared" ref="CO63:DG63" si="529">SUM(CO61:CO62)</f>
        <v>5698.7571199999857</v>
      </c>
      <c r="CP63" s="55">
        <f t="shared" si="529"/>
        <v>11150.460114285692</v>
      </c>
      <c r="CQ63" s="55">
        <f t="shared" si="529"/>
        <v>12533.91474603172</v>
      </c>
      <c r="CR63" s="55">
        <f t="shared" si="529"/>
        <v>14366.979330143513</v>
      </c>
      <c r="CS63" s="55">
        <f t="shared" si="529"/>
        <v>7813.6799999999857</v>
      </c>
      <c r="CT63" s="55">
        <f t="shared" si="529"/>
        <v>1142.5204210526254</v>
      </c>
      <c r="CU63" s="312">
        <f t="shared" si="529"/>
        <v>8163.2137299770975</v>
      </c>
      <c r="CV63" s="55">
        <f t="shared" si="529"/>
        <v>15734.825033333304</v>
      </c>
      <c r="CW63" s="55">
        <f t="shared" si="529"/>
        <v>23277.515599999955</v>
      </c>
      <c r="CX63" s="55">
        <f t="shared" si="529"/>
        <v>33142.524966666599</v>
      </c>
      <c r="CY63" s="55">
        <f t="shared" si="529"/>
        <v>13581.546156521708</v>
      </c>
      <c r="CZ63" s="55">
        <f t="shared" si="529"/>
        <v>34902.044130909017</v>
      </c>
      <c r="DA63" s="55">
        <f t="shared" si="529"/>
        <v>8534.4761599999729</v>
      </c>
      <c r="DB63" s="55">
        <f t="shared" si="529"/>
        <v>17713.379933506447</v>
      </c>
      <c r="DC63" s="55">
        <f t="shared" si="529"/>
        <v>17845.208625396779</v>
      </c>
      <c r="DD63" s="55">
        <f t="shared" si="529"/>
        <v>22512.964399999953</v>
      </c>
      <c r="DE63" s="55">
        <f t="shared" si="529"/>
        <v>12069.480358208926</v>
      </c>
      <c r="DF63" s="55">
        <f t="shared" si="529"/>
        <v>2426.8903282296537</v>
      </c>
      <c r="DG63" s="55">
        <f t="shared" si="529"/>
        <v>13154.483112128108</v>
      </c>
    </row>
    <row r="64" spans="1:111" s="55" customFormat="1" x14ac:dyDescent="0.25">
      <c r="A64" s="3"/>
      <c r="B64" s="4" t="s">
        <v>8</v>
      </c>
      <c r="C64" s="4"/>
      <c r="D64" s="55">
        <f t="shared" ref="D64:J64" si="530">(D14)-(0)</f>
        <v>0</v>
      </c>
      <c r="E64" s="55">
        <f t="shared" si="530"/>
        <v>0</v>
      </c>
      <c r="F64" s="55">
        <f t="shared" si="530"/>
        <v>0</v>
      </c>
      <c r="G64" s="55">
        <f t="shared" si="530"/>
        <v>0</v>
      </c>
      <c r="H64" s="55">
        <f t="shared" si="530"/>
        <v>0</v>
      </c>
      <c r="I64" s="55">
        <f t="shared" si="530"/>
        <v>0</v>
      </c>
      <c r="J64" s="55">
        <f t="shared" si="530"/>
        <v>0</v>
      </c>
      <c r="K64" s="55">
        <f t="shared" ref="K64:AA64" si="531">K14</f>
        <v>375</v>
      </c>
      <c r="L64" s="55">
        <f t="shared" si="531"/>
        <v>1075</v>
      </c>
      <c r="M64" s="55">
        <f t="shared" si="531"/>
        <v>3765</v>
      </c>
      <c r="N64" s="55">
        <f t="shared" si="531"/>
        <v>2090</v>
      </c>
      <c r="O64" s="55">
        <f t="shared" si="531"/>
        <v>2032.5</v>
      </c>
      <c r="P64" s="55">
        <f t="shared" si="531"/>
        <v>1545.99</v>
      </c>
      <c r="Q64" s="55">
        <f t="shared" si="531"/>
        <v>1255.75</v>
      </c>
      <c r="R64" s="55">
        <f t="shared" si="531"/>
        <v>1206.75</v>
      </c>
      <c r="S64" s="55">
        <f t="shared" si="531"/>
        <v>1957.41</v>
      </c>
      <c r="T64" s="55">
        <f t="shared" si="531"/>
        <v>2486.9299999999998</v>
      </c>
      <c r="U64" s="55">
        <f t="shared" si="531"/>
        <v>2043.43</v>
      </c>
      <c r="V64" s="55">
        <f t="shared" si="531"/>
        <v>2835.5</v>
      </c>
      <c r="W64" s="55">
        <f t="shared" si="531"/>
        <v>7078.66</v>
      </c>
      <c r="X64" s="55">
        <f t="shared" si="531"/>
        <v>8756.09</v>
      </c>
      <c r="Y64" s="55">
        <f t="shared" si="531"/>
        <v>8196.3700000000008</v>
      </c>
      <c r="Z64" s="55">
        <f t="shared" si="531"/>
        <v>4938.12</v>
      </c>
      <c r="AA64" s="55">
        <f t="shared" si="531"/>
        <v>2144.5</v>
      </c>
      <c r="AB64" s="55">
        <f>AB14-AB63</f>
        <v>3002</v>
      </c>
      <c r="AC64" s="55">
        <f t="shared" ref="AC64:CN64" si="532">AC14-AC63</f>
        <v>4357.5</v>
      </c>
      <c r="AD64" s="55">
        <f t="shared" si="532"/>
        <v>3479.5</v>
      </c>
      <c r="AE64" s="55">
        <f t="shared" si="532"/>
        <v>4018</v>
      </c>
      <c r="AF64" s="55">
        <f t="shared" si="532"/>
        <v>5420.08</v>
      </c>
      <c r="AG64" s="55">
        <f t="shared" si="532"/>
        <v>4308.26</v>
      </c>
      <c r="AH64" s="55">
        <f t="shared" si="532"/>
        <v>8460.8900000000012</v>
      </c>
      <c r="AI64" s="55">
        <f t="shared" ref="AI64:AJ64" si="533">AI14-AI63</f>
        <v>13221.26</v>
      </c>
      <c r="AJ64" s="55">
        <f t="shared" si="533"/>
        <v>9080</v>
      </c>
      <c r="AK64" s="55">
        <f t="shared" ref="AK64" si="534">AK14-AK63</f>
        <v>16468.25</v>
      </c>
      <c r="AL64" s="55">
        <f t="shared" ref="AL64" si="535">AL14-AL63</f>
        <v>9403.5</v>
      </c>
      <c r="AM64" s="521">
        <f t="shared" si="532"/>
        <v>4595</v>
      </c>
      <c r="AN64" s="55">
        <f t="shared" si="532"/>
        <v>6585.5</v>
      </c>
      <c r="AO64" s="55">
        <f t="shared" ref="AO64:AP64" si="536">AO14-AO63</f>
        <v>7662.12</v>
      </c>
      <c r="AP64" s="55">
        <f t="shared" si="536"/>
        <v>7682.37</v>
      </c>
      <c r="AQ64" s="55">
        <f t="shared" ref="AQ64:AR64" si="537">AQ14-AQ63</f>
        <v>3756.25</v>
      </c>
      <c r="AR64" s="55">
        <f t="shared" si="537"/>
        <v>5774.5</v>
      </c>
      <c r="AS64" s="55">
        <f t="shared" ref="AS64:AT64" si="538">AS14-AS63</f>
        <v>6916</v>
      </c>
      <c r="AT64" s="55">
        <f t="shared" si="538"/>
        <v>13347.5</v>
      </c>
      <c r="AU64" s="55">
        <f t="shared" ref="AU64:AV64" si="539">AU14-AU63</f>
        <v>19773</v>
      </c>
      <c r="AV64" s="55">
        <f t="shared" si="539"/>
        <v>24230.76</v>
      </c>
      <c r="AW64" s="312">
        <f t="shared" ref="AW64" si="540">AW14-AW63</f>
        <v>33108.130000000005</v>
      </c>
      <c r="AX64" s="55">
        <f t="shared" ref="AX64" si="541">AX14-AX63</f>
        <v>12782.236961036549</v>
      </c>
      <c r="AY64" s="312">
        <f t="shared" si="532"/>
        <v>17083.767033904955</v>
      </c>
      <c r="AZ64" s="55">
        <f t="shared" si="532"/>
        <v>18581.890536475821</v>
      </c>
      <c r="BA64" s="55">
        <f t="shared" si="532"/>
        <v>15290.943247477342</v>
      </c>
      <c r="BB64" s="55">
        <f t="shared" si="532"/>
        <v>13442.90414999715</v>
      </c>
      <c r="BC64" s="55">
        <f t="shared" si="532"/>
        <v>7268.503069248105</v>
      </c>
      <c r="BD64" s="55">
        <f t="shared" si="532"/>
        <v>9395.7319359975882</v>
      </c>
      <c r="BE64" s="55">
        <f t="shared" si="532"/>
        <v>12888.427138125211</v>
      </c>
      <c r="BF64" s="55">
        <f t="shared" si="532"/>
        <v>17722.79123455903</v>
      </c>
      <c r="BG64" s="55">
        <f t="shared" si="532"/>
        <v>19594.513821037835</v>
      </c>
      <c r="BH64" s="55">
        <f t="shared" si="532"/>
        <v>26552.754554220017</v>
      </c>
      <c r="BI64" s="55">
        <f t="shared" si="532"/>
        <v>34309.794752146176</v>
      </c>
      <c r="BJ64" s="55">
        <f t="shared" si="532"/>
        <v>15884.334683731113</v>
      </c>
      <c r="BK64" s="312">
        <f t="shared" si="532"/>
        <v>20214.164911453783</v>
      </c>
      <c r="BL64" s="55">
        <f t="shared" si="532"/>
        <v>20466.868075979255</v>
      </c>
      <c r="BM64" s="55">
        <f t="shared" si="532"/>
        <v>18426.668648091232</v>
      </c>
      <c r="BN64" s="55">
        <f t="shared" si="532"/>
        <v>17219.710639325473</v>
      </c>
      <c r="BO64" s="55">
        <f t="shared" si="532"/>
        <v>8810.985739771626</v>
      </c>
      <c r="BP64" s="55">
        <f t="shared" si="532"/>
        <v>11902.551969855198</v>
      </c>
      <c r="BQ64" s="55">
        <f t="shared" si="532"/>
        <v>16817.105520689445</v>
      </c>
      <c r="BR64" s="55">
        <f t="shared" si="532"/>
        <v>22597.673239720647</v>
      </c>
      <c r="BS64" s="55">
        <f t="shared" si="532"/>
        <v>27185.67038937255</v>
      </c>
      <c r="BT64" s="55">
        <f t="shared" si="532"/>
        <v>35752.37804616557</v>
      </c>
      <c r="BU64" s="55">
        <f t="shared" si="532"/>
        <v>44527.273967611523</v>
      </c>
      <c r="BV64" s="55">
        <f t="shared" si="532"/>
        <v>23144.248395509985</v>
      </c>
      <c r="BW64" s="312">
        <f t="shared" si="532"/>
        <v>27200.001518362729</v>
      </c>
      <c r="BX64" s="55">
        <f t="shared" si="532"/>
        <v>27664.327724732502</v>
      </c>
      <c r="BY64" s="55">
        <f t="shared" si="532"/>
        <v>25723.570766643301</v>
      </c>
      <c r="BZ64" s="55">
        <f t="shared" si="532"/>
        <v>23076.903254856894</v>
      </c>
      <c r="CA64" s="55">
        <f t="shared" si="532"/>
        <v>10567.251991605608</v>
      </c>
      <c r="CB64" s="55">
        <f t="shared" si="532"/>
        <v>16842.623488127731</v>
      </c>
      <c r="CC64" s="55">
        <f t="shared" si="532"/>
        <v>22273.388816098897</v>
      </c>
      <c r="CD64" s="55">
        <f t="shared" si="532"/>
        <v>29378.713066741118</v>
      </c>
      <c r="CE64" s="55">
        <f t="shared" si="532"/>
        <v>38575.076876605832</v>
      </c>
      <c r="CF64" s="55">
        <f t="shared" si="532"/>
        <v>46757.421486842999</v>
      </c>
      <c r="CG64" s="55">
        <f t="shared" si="532"/>
        <v>63711.944616609544</v>
      </c>
      <c r="CH64" s="55">
        <f t="shared" si="532"/>
        <v>32102.25788162736</v>
      </c>
      <c r="CI64" s="312">
        <f t="shared" si="532"/>
        <v>33981.896875162631</v>
      </c>
      <c r="CJ64" s="55">
        <f t="shared" si="532"/>
        <v>41214.361646755082</v>
      </c>
      <c r="CK64" s="55">
        <f t="shared" si="532"/>
        <v>33543.340228776957</v>
      </c>
      <c r="CL64" s="55">
        <f t="shared" si="532"/>
        <v>29619.156471840946</v>
      </c>
      <c r="CM64" s="55">
        <f t="shared" si="532"/>
        <v>14395.703166605865</v>
      </c>
      <c r="CN64" s="55">
        <f t="shared" si="532"/>
        <v>22525.050017728568</v>
      </c>
      <c r="CO64" s="55">
        <f t="shared" ref="CO64:DG64" si="542">CO14-CO63</f>
        <v>29133.59280476391</v>
      </c>
      <c r="CP64" s="55">
        <f t="shared" si="542"/>
        <v>41989.184215551184</v>
      </c>
      <c r="CQ64" s="55">
        <f t="shared" si="542"/>
        <v>53303.322328877141</v>
      </c>
      <c r="CR64" s="55">
        <f t="shared" si="542"/>
        <v>62158.20572552034</v>
      </c>
      <c r="CS64" s="55">
        <f t="shared" si="542"/>
        <v>93519.812694990746</v>
      </c>
      <c r="CT64" s="55">
        <f t="shared" si="542"/>
        <v>44970.791259466852</v>
      </c>
      <c r="CU64" s="312">
        <f t="shared" si="542"/>
        <v>47445.630600863631</v>
      </c>
      <c r="CV64" s="55">
        <f t="shared" si="542"/>
        <v>57415.797875040116</v>
      </c>
      <c r="CW64" s="55">
        <f t="shared" si="542"/>
        <v>46350.703543338401</v>
      </c>
      <c r="CX64" s="55">
        <f t="shared" si="542"/>
        <v>36855.973883570616</v>
      </c>
      <c r="CY64" s="55">
        <f t="shared" si="542"/>
        <v>20038.260950315849</v>
      </c>
      <c r="CZ64" s="55">
        <f t="shared" si="542"/>
        <v>30641.761189662495</v>
      </c>
      <c r="DA64" s="55">
        <f t="shared" si="542"/>
        <v>38128.947117344011</v>
      </c>
      <c r="DB64" s="55">
        <f t="shared" si="542"/>
        <v>60697.249716422382</v>
      </c>
      <c r="DC64" s="55">
        <f t="shared" si="542"/>
        <v>71021.722712097311</v>
      </c>
      <c r="DD64" s="55">
        <f t="shared" si="542"/>
        <v>90644.633661373387</v>
      </c>
      <c r="DE64" s="55">
        <f t="shared" si="542"/>
        <v>130478.4908481569</v>
      </c>
      <c r="DF64" s="55">
        <f t="shared" si="542"/>
        <v>59303.093978220139</v>
      </c>
      <c r="DG64" s="55">
        <f t="shared" si="542"/>
        <v>68483.917515144785</v>
      </c>
    </row>
    <row r="65" spans="1:111" s="3" customFormat="1" x14ac:dyDescent="0.25">
      <c r="A65" s="385"/>
      <c r="B65" s="391"/>
      <c r="C65" s="392" t="s">
        <v>323</v>
      </c>
      <c r="D65" s="393"/>
      <c r="E65" s="394">
        <f t="shared" ref="E65:O65" si="543">+E51/8</f>
        <v>0</v>
      </c>
      <c r="F65" s="394">
        <f t="shared" si="543"/>
        <v>252.75</v>
      </c>
      <c r="G65" s="394">
        <f t="shared" si="543"/>
        <v>252.875</v>
      </c>
      <c r="H65" s="394">
        <f t="shared" si="543"/>
        <v>253</v>
      </c>
      <c r="I65" s="394">
        <f t="shared" si="543"/>
        <v>253.125</v>
      </c>
      <c r="J65" s="394">
        <f t="shared" si="543"/>
        <v>253.25</v>
      </c>
      <c r="K65" s="394">
        <f t="shared" si="543"/>
        <v>253.375</v>
      </c>
      <c r="L65" s="394">
        <f t="shared" si="543"/>
        <v>253.5</v>
      </c>
      <c r="M65" s="394">
        <f t="shared" si="543"/>
        <v>253.625</v>
      </c>
      <c r="N65" s="394">
        <f t="shared" si="543"/>
        <v>253.75</v>
      </c>
      <c r="O65" s="394">
        <f t="shared" si="543"/>
        <v>0</v>
      </c>
      <c r="P65" s="394" t="e">
        <f>+P64/#REF!</f>
        <v>#REF!</v>
      </c>
      <c r="Q65" s="394" t="e">
        <f>+Q64/#REF!</f>
        <v>#REF!</v>
      </c>
      <c r="R65" s="394" t="e">
        <f>+R64/#REF!</f>
        <v>#REF!</v>
      </c>
      <c r="S65" s="394" t="e">
        <f>+S64/#REF!</f>
        <v>#REF!</v>
      </c>
      <c r="T65" s="394" t="e">
        <f>+T64/#REF!</f>
        <v>#REF!</v>
      </c>
      <c r="U65" s="394" t="e">
        <f>+U64/#REF!</f>
        <v>#REF!</v>
      </c>
      <c r="V65" s="394" t="e">
        <f>+V64/#REF!</f>
        <v>#REF!</v>
      </c>
      <c r="W65" s="394" t="e">
        <f>+W64/#REF!</f>
        <v>#REF!</v>
      </c>
      <c r="X65" s="394" t="e">
        <f>+X64/#REF!</f>
        <v>#REF!</v>
      </c>
      <c r="Y65" s="394" t="e">
        <f>+Y64/#REF!</f>
        <v>#REF!</v>
      </c>
      <c r="Z65" s="394" t="e">
        <f>+Z64/#REF!</f>
        <v>#REF!</v>
      </c>
      <c r="AA65" s="394" t="e">
        <f>+AA64/#REF!</f>
        <v>#REF!</v>
      </c>
      <c r="AB65" s="394">
        <f>+AB64/AB14</f>
        <v>1</v>
      </c>
      <c r="AC65" s="394">
        <f t="shared" ref="AC65:CN65" si="544">+AC64/AC14</f>
        <v>1</v>
      </c>
      <c r="AD65" s="394">
        <f t="shared" si="544"/>
        <v>1</v>
      </c>
      <c r="AE65" s="394">
        <f t="shared" si="544"/>
        <v>1</v>
      </c>
      <c r="AF65" s="394">
        <f t="shared" si="544"/>
        <v>1</v>
      </c>
      <c r="AG65" s="394">
        <f t="shared" si="544"/>
        <v>1</v>
      </c>
      <c r="AH65" s="394">
        <f t="shared" si="544"/>
        <v>0.93378133936070296</v>
      </c>
      <c r="AI65" s="394">
        <f t="shared" ref="AI65:AJ65" si="545">+AI64/AI14</f>
        <v>0.93692979932337717</v>
      </c>
      <c r="AJ65" s="394">
        <f t="shared" si="545"/>
        <v>0.91740338469310434</v>
      </c>
      <c r="AK65" s="394">
        <f t="shared" ref="AK65" si="546">+AK64/AK14</f>
        <v>0.94613848871780881</v>
      </c>
      <c r="AL65" s="394">
        <f t="shared" ref="AL65" si="547">+AL64/AL14</f>
        <v>0.9822426489789523</v>
      </c>
      <c r="AM65" s="417">
        <f t="shared" si="544"/>
        <v>0.8846746245668079</v>
      </c>
      <c r="AN65" s="394">
        <f t="shared" si="544"/>
        <v>1</v>
      </c>
      <c r="AO65" s="394">
        <f t="shared" ref="AO65:AP65" si="548">+AO64/AO14</f>
        <v>0.94452744781881925</v>
      </c>
      <c r="AP65" s="394">
        <f t="shared" si="548"/>
        <v>1</v>
      </c>
      <c r="AQ65" s="394">
        <f t="shared" ref="AQ65:AR65" si="549">+AQ64/AQ14</f>
        <v>1</v>
      </c>
      <c r="AR65" s="394">
        <f t="shared" si="549"/>
        <v>0.95533129291091079</v>
      </c>
      <c r="AS65" s="394">
        <f t="shared" ref="AS65:AT65" si="550">+AS64/AS14</f>
        <v>1</v>
      </c>
      <c r="AT65" s="394">
        <f t="shared" si="550"/>
        <v>0.89400535833891492</v>
      </c>
      <c r="AU65" s="394">
        <f t="shared" ref="AU65:AV65" si="551">+AU64/AU14</f>
        <v>0.96656401231852174</v>
      </c>
      <c r="AV65" s="394">
        <f t="shared" si="551"/>
        <v>0.85598374988960513</v>
      </c>
      <c r="AW65" s="396">
        <f t="shared" ref="AW65" si="552">+AW64/AW14</f>
        <v>0.8410949535771165</v>
      </c>
      <c r="AX65" s="394">
        <f t="shared" ref="AX65" si="553">+AX64/AX14</f>
        <v>1</v>
      </c>
      <c r="AY65" s="396">
        <f t="shared" si="544"/>
        <v>0.9467984336940225</v>
      </c>
      <c r="AZ65" s="394">
        <f t="shared" si="544"/>
        <v>0.8674252598487141</v>
      </c>
      <c r="BA65" s="394">
        <f t="shared" si="544"/>
        <v>0.75920303604282291</v>
      </c>
      <c r="BB65" s="394">
        <f t="shared" si="544"/>
        <v>0.65232182721635046</v>
      </c>
      <c r="BC65" s="394">
        <f t="shared" si="544"/>
        <v>0.7951594450203654</v>
      </c>
      <c r="BD65" s="394">
        <f t="shared" si="544"/>
        <v>0.59483992616419412</v>
      </c>
      <c r="BE65" s="394">
        <f t="shared" si="544"/>
        <v>0.95710768620158471</v>
      </c>
      <c r="BF65" s="394">
        <f t="shared" si="544"/>
        <v>0.87045263453877331</v>
      </c>
      <c r="BG65" s="394">
        <f t="shared" si="544"/>
        <v>0.88969616520815709</v>
      </c>
      <c r="BH65" s="394">
        <f t="shared" si="544"/>
        <v>0.86384156374623733</v>
      </c>
      <c r="BI65" s="394">
        <f t="shared" si="544"/>
        <v>0.9717994433797934</v>
      </c>
      <c r="BJ65" s="394">
        <f t="shared" si="544"/>
        <v>1</v>
      </c>
      <c r="BK65" s="396">
        <f t="shared" si="544"/>
        <v>0.9223138482080141</v>
      </c>
      <c r="BL65" s="394">
        <f t="shared" si="544"/>
        <v>0.85518146689499308</v>
      </c>
      <c r="BM65" s="394">
        <f t="shared" si="544"/>
        <v>0.73305179803357434</v>
      </c>
      <c r="BN65" s="394">
        <f t="shared" si="544"/>
        <v>0.6211950413395283</v>
      </c>
      <c r="BO65" s="394">
        <f t="shared" si="544"/>
        <v>0.72831391870376749</v>
      </c>
      <c r="BP65" s="394">
        <f t="shared" si="544"/>
        <v>0.54938541505963701</v>
      </c>
      <c r="BQ65" s="394">
        <f t="shared" si="544"/>
        <v>0.90253540533327647</v>
      </c>
      <c r="BR65" s="394">
        <f t="shared" si="544"/>
        <v>0.83864504495624614</v>
      </c>
      <c r="BS65" s="394">
        <f t="shared" si="544"/>
        <v>0.85246872965032727</v>
      </c>
      <c r="BT65" s="394">
        <f t="shared" si="544"/>
        <v>0.83988187077290666</v>
      </c>
      <c r="BU65" s="394">
        <f t="shared" si="544"/>
        <v>0.9534860105613121</v>
      </c>
      <c r="BV65" s="394">
        <f t="shared" si="544"/>
        <v>0.99732559145593169</v>
      </c>
      <c r="BW65" s="396">
        <f t="shared" si="544"/>
        <v>0.89005236148365185</v>
      </c>
      <c r="BX65" s="394">
        <f t="shared" si="544"/>
        <v>0.82530420423325801</v>
      </c>
      <c r="BY65" s="394">
        <f t="shared" si="544"/>
        <v>0.69971242547158075</v>
      </c>
      <c r="BZ65" s="394">
        <f t="shared" si="544"/>
        <v>0.59552351859796016</v>
      </c>
      <c r="CA65" s="394">
        <f t="shared" si="544"/>
        <v>0.68332569425194378</v>
      </c>
      <c r="CB65" s="394">
        <f t="shared" si="544"/>
        <v>0.50681053159318734</v>
      </c>
      <c r="CC65" s="394">
        <f t="shared" si="544"/>
        <v>0.86299129814376785</v>
      </c>
      <c r="CD65" s="394">
        <f t="shared" si="544"/>
        <v>0.81369458357027358</v>
      </c>
      <c r="CE65" s="394">
        <f t="shared" si="544"/>
        <v>0.8261243685223939</v>
      </c>
      <c r="CF65" s="394">
        <f t="shared" si="544"/>
        <v>0.82434944673273569</v>
      </c>
      <c r="CG65" s="394">
        <f t="shared" si="544"/>
        <v>0.93565738727272052</v>
      </c>
      <c r="CH65" s="394">
        <f t="shared" si="544"/>
        <v>0.99551343743975562</v>
      </c>
      <c r="CI65" s="396">
        <f t="shared" si="544"/>
        <v>0.8724294836885893</v>
      </c>
      <c r="CJ65" s="394">
        <f t="shared" si="544"/>
        <v>0.79920049488696909</v>
      </c>
      <c r="CK65" s="394">
        <f t="shared" si="544"/>
        <v>0.68146660958366534</v>
      </c>
      <c r="CL65" s="394">
        <f t="shared" si="544"/>
        <v>0.56987250346206586</v>
      </c>
      <c r="CM65" s="394">
        <f t="shared" si="544"/>
        <v>0.63129750753874703</v>
      </c>
      <c r="CN65" s="394">
        <f t="shared" si="544"/>
        <v>0.48401197439200927</v>
      </c>
      <c r="CO65" s="394">
        <f t="shared" ref="CO65:DG65" si="554">+CO64/CO14</f>
        <v>0.83639469825294555</v>
      </c>
      <c r="CP65" s="394">
        <f t="shared" si="554"/>
        <v>0.79016682827090501</v>
      </c>
      <c r="CQ65" s="394">
        <f t="shared" si="554"/>
        <v>0.80962271044620582</v>
      </c>
      <c r="CR65" s="394">
        <f t="shared" si="554"/>
        <v>0.81225815632209086</v>
      </c>
      <c r="CS65" s="394">
        <f t="shared" si="554"/>
        <v>0.92289143705409615</v>
      </c>
      <c r="CT65" s="394">
        <f t="shared" si="554"/>
        <v>0.9752236311074729</v>
      </c>
      <c r="CU65" s="396">
        <f t="shared" si="554"/>
        <v>0.8532029602807305</v>
      </c>
      <c r="CV65" s="394">
        <f t="shared" si="554"/>
        <v>0.78489827690131442</v>
      </c>
      <c r="CW65" s="394">
        <f t="shared" si="554"/>
        <v>0.66568848253780133</v>
      </c>
      <c r="CX65" s="394">
        <f t="shared" si="554"/>
        <v>0.52652520395365188</v>
      </c>
      <c r="CY65" s="394">
        <f t="shared" si="554"/>
        <v>0.59602545864222078</v>
      </c>
      <c r="CZ65" s="394">
        <f t="shared" si="554"/>
        <v>0.46750049130951665</v>
      </c>
      <c r="DA65" s="394">
        <f t="shared" si="554"/>
        <v>0.81710565662370438</v>
      </c>
      <c r="DB65" s="394">
        <f t="shared" si="554"/>
        <v>0.77409466021903672</v>
      </c>
      <c r="DC65" s="394">
        <f t="shared" si="554"/>
        <v>0.79919179882981228</v>
      </c>
      <c r="DD65" s="394">
        <f t="shared" si="554"/>
        <v>0.80104769997159553</v>
      </c>
      <c r="DE65" s="394">
        <f t="shared" si="554"/>
        <v>0.91533039540256933</v>
      </c>
      <c r="DF65" s="394">
        <f t="shared" si="554"/>
        <v>0.96068538886739874</v>
      </c>
      <c r="DG65" s="417">
        <f t="shared" si="554"/>
        <v>0.8388689267421342</v>
      </c>
    </row>
    <row r="66" spans="1:111" s="55" customFormat="1" x14ac:dyDescent="0.25">
      <c r="A66"/>
      <c r="B66" s="1"/>
      <c r="C66" s="1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23"/>
      <c r="AN66" s="57"/>
      <c r="AO66" s="57"/>
      <c r="AP66" s="57"/>
      <c r="AQ66" s="57"/>
      <c r="AR66" s="57"/>
      <c r="AS66" s="57"/>
      <c r="AT66" s="57"/>
      <c r="AU66" s="57"/>
      <c r="AV66" s="57"/>
      <c r="AW66" s="313"/>
      <c r="AX66" s="57"/>
      <c r="AY66" s="313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313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313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313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313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</row>
    <row r="67" spans="1:111" s="55" customFormat="1" x14ac:dyDescent="0.25">
      <c r="A67"/>
      <c r="B67" s="1" t="s">
        <v>9</v>
      </c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/>
      <c r="AC67"/>
      <c r="AD67"/>
      <c r="AE67"/>
      <c r="AF67"/>
      <c r="AG67"/>
      <c r="AH67"/>
      <c r="AI67" s="499"/>
      <c r="AJ67" s="499"/>
      <c r="AK67" s="516"/>
      <c r="AL67" s="516"/>
      <c r="AM67" s="97"/>
      <c r="AN67"/>
      <c r="AO67"/>
      <c r="AP67"/>
      <c r="AQ67"/>
      <c r="AR67"/>
      <c r="AS67"/>
      <c r="AT67"/>
      <c r="AU67"/>
      <c r="AV67"/>
      <c r="AW67" s="186"/>
      <c r="AX67"/>
      <c r="AY67" s="186"/>
      <c r="AZ67"/>
      <c r="BA67"/>
      <c r="BB67"/>
      <c r="BC67"/>
      <c r="BD67"/>
      <c r="BE67"/>
      <c r="BF67"/>
      <c r="BG67"/>
      <c r="BH67"/>
      <c r="BI67"/>
      <c r="BJ67"/>
      <c r="BK67" s="186"/>
      <c r="BL67"/>
      <c r="BM67"/>
      <c r="BN67"/>
      <c r="BO67"/>
      <c r="BP67"/>
      <c r="BQ67"/>
      <c r="BR67"/>
      <c r="BS67"/>
      <c r="BT67"/>
      <c r="BU67"/>
      <c r="BV67"/>
      <c r="BW67" s="186"/>
      <c r="BX67"/>
      <c r="BY67"/>
      <c r="BZ67"/>
      <c r="CA67"/>
      <c r="CB67"/>
      <c r="CC67"/>
      <c r="CD67"/>
      <c r="CE67"/>
      <c r="CF67"/>
      <c r="CG67"/>
      <c r="CH67"/>
      <c r="CI67" s="186"/>
      <c r="CJ67"/>
      <c r="CK67"/>
      <c r="CL67"/>
      <c r="CM67"/>
      <c r="CN67"/>
      <c r="CO67"/>
      <c r="CP67"/>
      <c r="CQ67"/>
      <c r="CR67"/>
      <c r="CS67"/>
      <c r="CT67"/>
      <c r="CU67" s="186"/>
      <c r="CV67"/>
      <c r="CW67"/>
      <c r="CX67"/>
      <c r="CY67"/>
      <c r="CZ67"/>
      <c r="DA67"/>
      <c r="DB67"/>
      <c r="DC67"/>
      <c r="DD67"/>
      <c r="DE67"/>
      <c r="DF67"/>
      <c r="DG67"/>
    </row>
    <row r="68" spans="1:111" s="57" customFormat="1" x14ac:dyDescent="0.25">
      <c r="A68"/>
      <c r="B68" s="1" t="s">
        <v>270</v>
      </c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/>
      <c r="AC68"/>
      <c r="AD68"/>
      <c r="AE68"/>
      <c r="AF68"/>
      <c r="AG68"/>
      <c r="AH68"/>
      <c r="AI68"/>
      <c r="AJ68"/>
      <c r="AK68"/>
      <c r="AL68"/>
      <c r="AM68" s="97"/>
      <c r="AN68"/>
      <c r="AO68"/>
      <c r="AP68"/>
      <c r="AQ68"/>
      <c r="AR68"/>
      <c r="AS68"/>
      <c r="AT68"/>
      <c r="AU68"/>
      <c r="AV68"/>
      <c r="AW68" s="186"/>
      <c r="AX68"/>
      <c r="AY68" s="186"/>
      <c r="AZ68"/>
      <c r="BA68"/>
      <c r="BB68"/>
      <c r="BC68"/>
      <c r="BD68"/>
      <c r="BE68"/>
      <c r="BF68"/>
      <c r="BG68"/>
      <c r="BH68"/>
      <c r="BI68"/>
      <c r="BJ68"/>
      <c r="BK68" s="186"/>
      <c r="BL68"/>
      <c r="BM68"/>
      <c r="BN68"/>
      <c r="BO68"/>
      <c r="BP68"/>
      <c r="BQ68"/>
      <c r="BR68"/>
      <c r="BS68"/>
      <c r="BT68"/>
      <c r="BU68"/>
      <c r="BV68"/>
      <c r="BW68" s="186"/>
      <c r="BX68"/>
      <c r="BY68"/>
      <c r="BZ68"/>
      <c r="CA68"/>
      <c r="CB68"/>
      <c r="CC68"/>
      <c r="CD68"/>
      <c r="CE68"/>
      <c r="CF68"/>
      <c r="CG68"/>
      <c r="CH68"/>
      <c r="CI68" s="186"/>
      <c r="CJ68"/>
      <c r="CK68"/>
      <c r="CL68"/>
      <c r="CM68"/>
      <c r="CN68"/>
      <c r="CO68"/>
      <c r="CP68"/>
      <c r="CQ68"/>
      <c r="CR68"/>
      <c r="CS68"/>
      <c r="CT68"/>
      <c r="CU68" s="186"/>
      <c r="CV68"/>
      <c r="CW68"/>
      <c r="CX68"/>
      <c r="CY68"/>
      <c r="CZ68"/>
      <c r="DA68"/>
      <c r="DB68"/>
      <c r="DC68"/>
      <c r="DD68"/>
      <c r="DE68"/>
      <c r="DF68"/>
      <c r="DG68"/>
    </row>
    <row r="69" spans="1:111" s="57" customFormat="1" x14ac:dyDescent="0.25">
      <c r="A69"/>
      <c r="B69" s="1" t="s">
        <v>269</v>
      </c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/>
      <c r="AC69" s="115">
        <v>1179.44</v>
      </c>
      <c r="AD69" s="115"/>
      <c r="AE69" s="115">
        <v>2400</v>
      </c>
      <c r="AF69" s="115"/>
      <c r="AG69" s="115">
        <v>665.56</v>
      </c>
      <c r="AH69" s="115">
        <v>0</v>
      </c>
      <c r="AI69" s="115">
        <v>0</v>
      </c>
      <c r="AJ69" s="115">
        <v>0</v>
      </c>
      <c r="AK69" s="115">
        <v>0</v>
      </c>
      <c r="AL69" s="115">
        <v>0</v>
      </c>
      <c r="AM69" s="520">
        <v>0</v>
      </c>
      <c r="AN69" s="115">
        <v>0</v>
      </c>
      <c r="AO69" s="115">
        <v>0</v>
      </c>
      <c r="AP69" s="115">
        <v>0</v>
      </c>
      <c r="AQ69" s="115">
        <v>0</v>
      </c>
      <c r="AR69" s="115">
        <v>0</v>
      </c>
      <c r="AS69" s="115">
        <v>0</v>
      </c>
      <c r="AT69" s="115">
        <v>0</v>
      </c>
      <c r="AU69" s="115">
        <v>0</v>
      </c>
      <c r="AV69" s="115">
        <v>0</v>
      </c>
      <c r="AW69" s="187">
        <v>0</v>
      </c>
      <c r="AX69" s="115">
        <f t="shared" ref="AX69" si="555">+IF(AX3&lt;&gt;AW3, SUM(AU69:AW69), 0)*1.1</f>
        <v>0</v>
      </c>
      <c r="AY69" s="187">
        <f t="shared" ref="AY69:BT69" si="556">+IF(AY3&lt;&gt;AX3, SUM(AV69:AX69), 0)*1.1</f>
        <v>0</v>
      </c>
      <c r="AZ69" s="369">
        <f t="shared" si="556"/>
        <v>0</v>
      </c>
      <c r="BA69" s="113">
        <f t="shared" si="556"/>
        <v>0</v>
      </c>
      <c r="BB69" s="113">
        <f t="shared" si="556"/>
        <v>0</v>
      </c>
      <c r="BC69" s="113">
        <f t="shared" si="556"/>
        <v>0</v>
      </c>
      <c r="BD69" s="113">
        <f t="shared" si="556"/>
        <v>0</v>
      </c>
      <c r="BE69" s="113">
        <f t="shared" si="556"/>
        <v>0</v>
      </c>
      <c r="BF69" s="113">
        <f t="shared" si="556"/>
        <v>0</v>
      </c>
      <c r="BG69" s="113">
        <f t="shared" si="556"/>
        <v>0</v>
      </c>
      <c r="BH69" s="113">
        <f t="shared" si="556"/>
        <v>0</v>
      </c>
      <c r="BI69" s="113">
        <f t="shared" si="556"/>
        <v>0</v>
      </c>
      <c r="BJ69" s="113">
        <f t="shared" si="556"/>
        <v>0</v>
      </c>
      <c r="BK69" s="187">
        <f t="shared" si="556"/>
        <v>0</v>
      </c>
      <c r="BL69" s="369">
        <f t="shared" si="556"/>
        <v>0</v>
      </c>
      <c r="BM69" s="113">
        <f t="shared" si="556"/>
        <v>0</v>
      </c>
      <c r="BN69" s="113">
        <f t="shared" si="556"/>
        <v>0</v>
      </c>
      <c r="BO69" s="113">
        <f t="shared" si="556"/>
        <v>0</v>
      </c>
      <c r="BP69" s="113">
        <f t="shared" si="556"/>
        <v>0</v>
      </c>
      <c r="BQ69" s="113">
        <f t="shared" si="556"/>
        <v>0</v>
      </c>
      <c r="BR69" s="113">
        <f t="shared" si="556"/>
        <v>0</v>
      </c>
      <c r="BS69" s="113">
        <f t="shared" si="556"/>
        <v>0</v>
      </c>
      <c r="BT69" s="113">
        <f t="shared" si="556"/>
        <v>0</v>
      </c>
      <c r="BU69" s="113">
        <f t="shared" ref="BU69:CZ69" si="557">+IF(BU3&lt;&gt;BT3, SUM(BR69:BT69), 0)*1.1</f>
        <v>0</v>
      </c>
      <c r="BV69" s="113">
        <f t="shared" si="557"/>
        <v>0</v>
      </c>
      <c r="BW69" s="187">
        <f t="shared" si="557"/>
        <v>0</v>
      </c>
      <c r="BX69" s="113">
        <f t="shared" si="557"/>
        <v>0</v>
      </c>
      <c r="BY69" s="113">
        <f t="shared" si="557"/>
        <v>0</v>
      </c>
      <c r="BZ69" s="113">
        <f t="shared" si="557"/>
        <v>0</v>
      </c>
      <c r="CA69" s="113">
        <f t="shared" si="557"/>
        <v>0</v>
      </c>
      <c r="CB69" s="113">
        <f t="shared" si="557"/>
        <v>0</v>
      </c>
      <c r="CC69" s="113">
        <f t="shared" si="557"/>
        <v>0</v>
      </c>
      <c r="CD69" s="113">
        <f t="shared" si="557"/>
        <v>0</v>
      </c>
      <c r="CE69" s="113">
        <f t="shared" si="557"/>
        <v>0</v>
      </c>
      <c r="CF69" s="113">
        <f t="shared" si="557"/>
        <v>0</v>
      </c>
      <c r="CG69" s="113">
        <f t="shared" si="557"/>
        <v>0</v>
      </c>
      <c r="CH69" s="113">
        <f t="shared" si="557"/>
        <v>0</v>
      </c>
      <c r="CI69" s="187">
        <f t="shared" si="557"/>
        <v>0</v>
      </c>
      <c r="CJ69" s="113">
        <f t="shared" si="557"/>
        <v>0</v>
      </c>
      <c r="CK69" s="113">
        <f t="shared" si="557"/>
        <v>0</v>
      </c>
      <c r="CL69" s="113">
        <f t="shared" si="557"/>
        <v>0</v>
      </c>
      <c r="CM69" s="113">
        <f t="shared" si="557"/>
        <v>0</v>
      </c>
      <c r="CN69" s="113">
        <f t="shared" si="557"/>
        <v>0</v>
      </c>
      <c r="CO69" s="113">
        <f t="shared" si="557"/>
        <v>0</v>
      </c>
      <c r="CP69" s="113">
        <f t="shared" si="557"/>
        <v>0</v>
      </c>
      <c r="CQ69" s="113">
        <f t="shared" si="557"/>
        <v>0</v>
      </c>
      <c r="CR69" s="113">
        <f t="shared" si="557"/>
        <v>0</v>
      </c>
      <c r="CS69" s="113">
        <f t="shared" si="557"/>
        <v>0</v>
      </c>
      <c r="CT69" s="113">
        <f t="shared" si="557"/>
        <v>0</v>
      </c>
      <c r="CU69" s="187">
        <f t="shared" si="557"/>
        <v>0</v>
      </c>
      <c r="CV69" s="369">
        <f t="shared" si="557"/>
        <v>0</v>
      </c>
      <c r="CW69" s="113">
        <f t="shared" si="557"/>
        <v>0</v>
      </c>
      <c r="CX69" s="113">
        <f t="shared" si="557"/>
        <v>0</v>
      </c>
      <c r="CY69" s="113">
        <f t="shared" si="557"/>
        <v>0</v>
      </c>
      <c r="CZ69" s="113">
        <f t="shared" si="557"/>
        <v>0</v>
      </c>
      <c r="DA69" s="113">
        <f t="shared" ref="DA69:DG69" si="558">+IF(DA3&lt;&gt;CZ3, SUM(CX69:CZ69), 0)*1.1</f>
        <v>0</v>
      </c>
      <c r="DB69" s="113">
        <f t="shared" si="558"/>
        <v>0</v>
      </c>
      <c r="DC69" s="113">
        <f t="shared" si="558"/>
        <v>0</v>
      </c>
      <c r="DD69" s="113">
        <f t="shared" si="558"/>
        <v>0</v>
      </c>
      <c r="DE69" s="113">
        <f t="shared" si="558"/>
        <v>0</v>
      </c>
      <c r="DF69" s="113">
        <f t="shared" si="558"/>
        <v>0</v>
      </c>
      <c r="DG69" s="113">
        <f t="shared" si="558"/>
        <v>0</v>
      </c>
    </row>
    <row r="70" spans="1:111" x14ac:dyDescent="0.25">
      <c r="B70" s="1" t="s">
        <v>271</v>
      </c>
      <c r="C70" s="1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>
        <f>SUM(P69)</f>
        <v>0</v>
      </c>
      <c r="Q70" s="55">
        <f t="shared" ref="Q70:CB70" si="559">SUM(Q69)</f>
        <v>0</v>
      </c>
      <c r="R70" s="55">
        <f t="shared" si="559"/>
        <v>0</v>
      </c>
      <c r="S70" s="55">
        <f t="shared" si="559"/>
        <v>0</v>
      </c>
      <c r="T70" s="55">
        <f t="shared" si="559"/>
        <v>0</v>
      </c>
      <c r="U70" s="55">
        <f t="shared" si="559"/>
        <v>0</v>
      </c>
      <c r="V70" s="55">
        <f t="shared" si="559"/>
        <v>0</v>
      </c>
      <c r="W70" s="55">
        <f t="shared" si="559"/>
        <v>0</v>
      </c>
      <c r="X70" s="55">
        <f t="shared" si="559"/>
        <v>0</v>
      </c>
      <c r="Y70" s="55">
        <f t="shared" si="559"/>
        <v>0</v>
      </c>
      <c r="Z70" s="55">
        <f t="shared" si="559"/>
        <v>0</v>
      </c>
      <c r="AA70" s="55">
        <f t="shared" si="559"/>
        <v>0</v>
      </c>
      <c r="AB70" s="55">
        <f t="shared" si="559"/>
        <v>0</v>
      </c>
      <c r="AC70" s="55">
        <f t="shared" si="559"/>
        <v>1179.44</v>
      </c>
      <c r="AD70" s="55">
        <f t="shared" ref="AD70" si="560">SUM(AD69)</f>
        <v>0</v>
      </c>
      <c r="AE70" s="55">
        <f t="shared" ref="AE70" si="561">SUM(AE69)</f>
        <v>2400</v>
      </c>
      <c r="AF70" s="55">
        <f t="shared" ref="AF70:AG70" si="562">SUM(AF69)</f>
        <v>0</v>
      </c>
      <c r="AG70" s="55">
        <f t="shared" si="562"/>
        <v>665.56</v>
      </c>
      <c r="AH70" s="55">
        <f t="shared" ref="AH70" si="563">SUM(AH69)</f>
        <v>0</v>
      </c>
      <c r="AI70" s="55">
        <f t="shared" ref="AI70" si="564">SUM(AI69)</f>
        <v>0</v>
      </c>
      <c r="AJ70" s="55">
        <f t="shared" ref="AJ70" si="565">SUM(AJ69)</f>
        <v>0</v>
      </c>
      <c r="AK70" s="55">
        <f t="shared" si="559"/>
        <v>0</v>
      </c>
      <c r="AL70" s="55">
        <f t="shared" ref="AL70:AM70" si="566">SUM(AL69)</f>
        <v>0</v>
      </c>
      <c r="AM70" s="521">
        <f t="shared" si="566"/>
        <v>0</v>
      </c>
      <c r="AN70" s="55">
        <f t="shared" ref="AN70:AO70" si="567">SUM(AN69)</f>
        <v>0</v>
      </c>
      <c r="AO70" s="55">
        <f t="shared" si="567"/>
        <v>0</v>
      </c>
      <c r="AP70" s="55">
        <f t="shared" ref="AP70:AQ70" si="568">SUM(AP69)</f>
        <v>0</v>
      </c>
      <c r="AQ70" s="55">
        <f t="shared" si="568"/>
        <v>0</v>
      </c>
      <c r="AR70" s="55">
        <f t="shared" ref="AR70:AS70" si="569">SUM(AR69)</f>
        <v>0</v>
      </c>
      <c r="AS70" s="55">
        <f t="shared" si="569"/>
        <v>0</v>
      </c>
      <c r="AT70" s="55">
        <f t="shared" ref="AT70:AU70" si="570">SUM(AT69)</f>
        <v>0</v>
      </c>
      <c r="AU70" s="55">
        <f t="shared" si="570"/>
        <v>0</v>
      </c>
      <c r="AV70" s="55">
        <f t="shared" ref="AV70:AW70" si="571">SUM(AV69)</f>
        <v>0</v>
      </c>
      <c r="AW70" s="312">
        <f t="shared" si="571"/>
        <v>0</v>
      </c>
      <c r="AX70" s="55">
        <f t="shared" ref="AX70" si="572">SUM(AX69)</f>
        <v>0</v>
      </c>
      <c r="AY70" s="312">
        <f t="shared" si="559"/>
        <v>0</v>
      </c>
      <c r="AZ70" s="55">
        <f t="shared" si="559"/>
        <v>0</v>
      </c>
      <c r="BA70" s="55">
        <f t="shared" si="559"/>
        <v>0</v>
      </c>
      <c r="BB70" s="55">
        <f t="shared" si="559"/>
        <v>0</v>
      </c>
      <c r="BC70" s="55">
        <f t="shared" si="559"/>
        <v>0</v>
      </c>
      <c r="BD70" s="55">
        <f t="shared" si="559"/>
        <v>0</v>
      </c>
      <c r="BE70" s="55">
        <f t="shared" si="559"/>
        <v>0</v>
      </c>
      <c r="BF70" s="55">
        <f t="shared" si="559"/>
        <v>0</v>
      </c>
      <c r="BG70" s="55">
        <f t="shared" si="559"/>
        <v>0</v>
      </c>
      <c r="BH70" s="55">
        <f t="shared" si="559"/>
        <v>0</v>
      </c>
      <c r="BI70" s="55">
        <f t="shared" si="559"/>
        <v>0</v>
      </c>
      <c r="BJ70" s="55">
        <f t="shared" si="559"/>
        <v>0</v>
      </c>
      <c r="BK70" s="312">
        <f t="shared" si="559"/>
        <v>0</v>
      </c>
      <c r="BL70" s="55">
        <f t="shared" si="559"/>
        <v>0</v>
      </c>
      <c r="BM70" s="55">
        <f t="shared" si="559"/>
        <v>0</v>
      </c>
      <c r="BN70" s="55">
        <f t="shared" si="559"/>
        <v>0</v>
      </c>
      <c r="BO70" s="55">
        <f t="shared" si="559"/>
        <v>0</v>
      </c>
      <c r="BP70" s="55">
        <f t="shared" si="559"/>
        <v>0</v>
      </c>
      <c r="BQ70" s="55">
        <f t="shared" si="559"/>
        <v>0</v>
      </c>
      <c r="BR70" s="55">
        <f t="shared" si="559"/>
        <v>0</v>
      </c>
      <c r="BS70" s="55">
        <f t="shared" si="559"/>
        <v>0</v>
      </c>
      <c r="BT70" s="55">
        <f t="shared" si="559"/>
        <v>0</v>
      </c>
      <c r="BU70" s="55">
        <f t="shared" si="559"/>
        <v>0</v>
      </c>
      <c r="BV70" s="55">
        <f t="shared" si="559"/>
        <v>0</v>
      </c>
      <c r="BW70" s="312">
        <f t="shared" si="559"/>
        <v>0</v>
      </c>
      <c r="BX70" s="55">
        <f t="shared" si="559"/>
        <v>0</v>
      </c>
      <c r="BY70" s="55">
        <f t="shared" si="559"/>
        <v>0</v>
      </c>
      <c r="BZ70" s="55">
        <f t="shared" si="559"/>
        <v>0</v>
      </c>
      <c r="CA70" s="55">
        <f t="shared" si="559"/>
        <v>0</v>
      </c>
      <c r="CB70" s="55">
        <f t="shared" si="559"/>
        <v>0</v>
      </c>
      <c r="CC70" s="55">
        <f t="shared" ref="CC70:DG70" si="573">SUM(CC69)</f>
        <v>0</v>
      </c>
      <c r="CD70" s="55">
        <f t="shared" si="573"/>
        <v>0</v>
      </c>
      <c r="CE70" s="55">
        <f t="shared" si="573"/>
        <v>0</v>
      </c>
      <c r="CF70" s="55">
        <f t="shared" si="573"/>
        <v>0</v>
      </c>
      <c r="CG70" s="55">
        <f t="shared" si="573"/>
        <v>0</v>
      </c>
      <c r="CH70" s="55">
        <f t="shared" si="573"/>
        <v>0</v>
      </c>
      <c r="CI70" s="312">
        <f t="shared" si="573"/>
        <v>0</v>
      </c>
      <c r="CJ70" s="55">
        <f t="shared" si="573"/>
        <v>0</v>
      </c>
      <c r="CK70" s="55">
        <f t="shared" si="573"/>
        <v>0</v>
      </c>
      <c r="CL70" s="55">
        <f t="shared" si="573"/>
        <v>0</v>
      </c>
      <c r="CM70" s="55">
        <f t="shared" si="573"/>
        <v>0</v>
      </c>
      <c r="CN70" s="55">
        <f t="shared" si="573"/>
        <v>0</v>
      </c>
      <c r="CO70" s="55">
        <f t="shared" si="573"/>
        <v>0</v>
      </c>
      <c r="CP70" s="55">
        <f t="shared" si="573"/>
        <v>0</v>
      </c>
      <c r="CQ70" s="55">
        <f t="shared" si="573"/>
        <v>0</v>
      </c>
      <c r="CR70" s="55">
        <f t="shared" si="573"/>
        <v>0</v>
      </c>
      <c r="CS70" s="55">
        <f t="shared" si="573"/>
        <v>0</v>
      </c>
      <c r="CT70" s="55">
        <f t="shared" si="573"/>
        <v>0</v>
      </c>
      <c r="CU70" s="312">
        <f t="shared" si="573"/>
        <v>0</v>
      </c>
      <c r="CV70" s="55">
        <f t="shared" si="573"/>
        <v>0</v>
      </c>
      <c r="CW70" s="55">
        <f t="shared" si="573"/>
        <v>0</v>
      </c>
      <c r="CX70" s="55">
        <f t="shared" si="573"/>
        <v>0</v>
      </c>
      <c r="CY70" s="55">
        <f t="shared" si="573"/>
        <v>0</v>
      </c>
      <c r="CZ70" s="55">
        <f t="shared" si="573"/>
        <v>0</v>
      </c>
      <c r="DA70" s="55">
        <f t="shared" si="573"/>
        <v>0</v>
      </c>
      <c r="DB70" s="55">
        <f t="shared" si="573"/>
        <v>0</v>
      </c>
      <c r="DC70" s="55">
        <f t="shared" si="573"/>
        <v>0</v>
      </c>
      <c r="DD70" s="55">
        <f t="shared" si="573"/>
        <v>0</v>
      </c>
      <c r="DE70" s="55">
        <f t="shared" si="573"/>
        <v>0</v>
      </c>
      <c r="DF70" s="55">
        <f t="shared" si="573"/>
        <v>0</v>
      </c>
      <c r="DG70" s="55">
        <f t="shared" si="573"/>
        <v>0</v>
      </c>
    </row>
    <row r="71" spans="1:111" s="57" customFormat="1" x14ac:dyDescent="0.25">
      <c r="A7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/>
      <c r="AC71"/>
      <c r="AD71"/>
      <c r="AE71"/>
      <c r="AF71"/>
      <c r="AG71"/>
      <c r="AH71"/>
      <c r="AI71"/>
      <c r="AJ71"/>
      <c r="AK71"/>
      <c r="AL71"/>
      <c r="AM71" s="97"/>
      <c r="AN71"/>
      <c r="AO71"/>
      <c r="AP71"/>
      <c r="AQ71"/>
      <c r="AR71"/>
      <c r="AS71"/>
      <c r="AT71"/>
      <c r="AU71"/>
      <c r="AV71"/>
      <c r="AW71" s="186"/>
      <c r="AX71"/>
      <c r="AY71" s="186"/>
      <c r="AZ71"/>
      <c r="BA71"/>
      <c r="BB71"/>
      <c r="BC71"/>
      <c r="BD71"/>
      <c r="BE71"/>
      <c r="BF71"/>
      <c r="BG71"/>
      <c r="BH71"/>
      <c r="BI71"/>
      <c r="BJ71"/>
      <c r="BK71" s="186"/>
      <c r="BL71"/>
      <c r="BM71"/>
      <c r="BN71"/>
      <c r="BO71"/>
      <c r="BP71"/>
      <c r="BQ71"/>
      <c r="BR71"/>
      <c r="BS71"/>
      <c r="BT71"/>
      <c r="BU71"/>
      <c r="BV71"/>
      <c r="BW71" s="186"/>
      <c r="BX71"/>
      <c r="BY71"/>
      <c r="BZ71"/>
      <c r="CA71"/>
      <c r="CB71"/>
      <c r="CC71"/>
      <c r="CD71"/>
      <c r="CE71"/>
      <c r="CF71"/>
      <c r="CG71"/>
      <c r="CH71"/>
      <c r="CI71" s="186"/>
      <c r="CJ71"/>
      <c r="CK71"/>
      <c r="CL71"/>
      <c r="CM71"/>
      <c r="CN71"/>
      <c r="CO71"/>
      <c r="CP71"/>
      <c r="CQ71"/>
      <c r="CR71"/>
      <c r="CS71"/>
      <c r="CT71"/>
      <c r="CU71" s="186"/>
      <c r="CV71"/>
      <c r="CW71"/>
      <c r="CX71"/>
      <c r="CY71"/>
      <c r="CZ71"/>
      <c r="DA71"/>
      <c r="DB71"/>
      <c r="DC71"/>
      <c r="DD71"/>
      <c r="DE71"/>
      <c r="DF71"/>
      <c r="DG71"/>
    </row>
    <row r="72" spans="1:111" s="57" customFormat="1" x14ac:dyDescent="0.25">
      <c r="A72"/>
      <c r="B72" s="1" t="s">
        <v>268</v>
      </c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/>
      <c r="AC72"/>
      <c r="AD72"/>
      <c r="AE72"/>
      <c r="AF72"/>
      <c r="AG72"/>
      <c r="AH72"/>
      <c r="AI72"/>
      <c r="AJ72"/>
      <c r="AK72"/>
      <c r="AL72"/>
      <c r="AM72" s="97"/>
      <c r="AN72"/>
      <c r="AO72"/>
      <c r="AP72"/>
      <c r="AQ72"/>
      <c r="AR72"/>
      <c r="AS72"/>
      <c r="AT72"/>
      <c r="AU72"/>
      <c r="AV72"/>
      <c r="AW72" s="186"/>
      <c r="AX72"/>
      <c r="AY72" s="186"/>
      <c r="AZ72"/>
      <c r="BA72"/>
      <c r="BB72"/>
      <c r="BC72"/>
      <c r="BD72"/>
      <c r="BE72"/>
      <c r="BF72"/>
      <c r="BG72"/>
      <c r="BH72"/>
      <c r="BI72"/>
      <c r="BJ72"/>
      <c r="BK72" s="186"/>
      <c r="BL72"/>
      <c r="BM72"/>
      <c r="BN72"/>
      <c r="BO72"/>
      <c r="BP72"/>
      <c r="BQ72"/>
      <c r="BR72"/>
      <c r="BS72"/>
      <c r="BT72"/>
      <c r="BU72"/>
      <c r="BV72"/>
      <c r="BW72" s="186"/>
      <c r="BX72"/>
      <c r="BY72"/>
      <c r="BZ72"/>
      <c r="CA72"/>
      <c r="CB72"/>
      <c r="CC72"/>
      <c r="CD72"/>
      <c r="CE72"/>
      <c r="CF72"/>
      <c r="CG72"/>
      <c r="CH72"/>
      <c r="CI72" s="186"/>
      <c r="CJ72"/>
      <c r="CK72"/>
      <c r="CL72"/>
      <c r="CM72"/>
      <c r="CN72"/>
      <c r="CO72"/>
      <c r="CP72"/>
      <c r="CQ72"/>
      <c r="CR72"/>
      <c r="CS72"/>
      <c r="CT72"/>
      <c r="CU72" s="186"/>
      <c r="CV72"/>
      <c r="CW72"/>
      <c r="CX72"/>
      <c r="CY72"/>
      <c r="CZ72"/>
      <c r="DA72"/>
      <c r="DB72"/>
      <c r="DC72"/>
      <c r="DD72"/>
      <c r="DE72"/>
      <c r="DF72"/>
      <c r="DG72"/>
    </row>
    <row r="73" spans="1:111" s="57" customFormat="1" x14ac:dyDescent="0.25">
      <c r="A73"/>
      <c r="B73" s="1" t="s">
        <v>356</v>
      </c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/>
      <c r="AC73"/>
      <c r="AD73"/>
      <c r="AE73"/>
      <c r="AF73"/>
      <c r="AG73"/>
      <c r="AH73"/>
      <c r="AI73"/>
      <c r="AJ73"/>
      <c r="AK73"/>
      <c r="AL73"/>
      <c r="AM73" s="97"/>
      <c r="AN73"/>
      <c r="AO73" s="2"/>
      <c r="AP73" s="2"/>
      <c r="AQ73" s="2"/>
      <c r="AR73" s="2"/>
      <c r="AS73" s="2"/>
      <c r="AT73" s="2"/>
      <c r="AU73" s="2"/>
      <c r="AV73" s="2"/>
      <c r="AW73" s="604"/>
      <c r="AX73"/>
      <c r="AY73" s="186"/>
      <c r="AZ73"/>
      <c r="BA73"/>
      <c r="BB73"/>
      <c r="BC73"/>
      <c r="BD73"/>
      <c r="BE73"/>
      <c r="BF73"/>
      <c r="BG73"/>
      <c r="BH73"/>
      <c r="BI73"/>
      <c r="BJ73"/>
      <c r="BK73" s="186"/>
      <c r="BL73"/>
      <c r="BM73"/>
      <c r="BN73"/>
      <c r="BO73"/>
      <c r="BP73"/>
      <c r="BQ73"/>
      <c r="BR73"/>
      <c r="BS73"/>
      <c r="BT73"/>
      <c r="BU73"/>
      <c r="BV73"/>
      <c r="BW73" s="186"/>
      <c r="BX73"/>
      <c r="BY73"/>
      <c r="BZ73"/>
      <c r="CA73"/>
      <c r="CB73"/>
      <c r="CC73"/>
      <c r="CD73"/>
      <c r="CE73"/>
      <c r="CF73"/>
      <c r="CG73"/>
      <c r="CH73"/>
      <c r="CI73" s="186"/>
      <c r="CJ73"/>
      <c r="CK73"/>
      <c r="CL73"/>
      <c r="CM73"/>
      <c r="CN73"/>
      <c r="CO73"/>
      <c r="CP73"/>
      <c r="CQ73"/>
      <c r="CR73"/>
      <c r="CS73"/>
      <c r="CT73"/>
      <c r="CU73" s="186"/>
      <c r="CV73"/>
      <c r="CW73"/>
      <c r="CX73"/>
      <c r="CY73"/>
      <c r="CZ73"/>
      <c r="DA73"/>
      <c r="DB73"/>
      <c r="DC73"/>
      <c r="DD73"/>
      <c r="DE73"/>
      <c r="DF73"/>
      <c r="DG73"/>
    </row>
    <row r="74" spans="1:111" s="57" customFormat="1" x14ac:dyDescent="0.25">
      <c r="A74"/>
      <c r="B74" s="1" t="s">
        <v>357</v>
      </c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/>
      <c r="AC74"/>
      <c r="AD74"/>
      <c r="AE74"/>
      <c r="AF74"/>
      <c r="AG74"/>
      <c r="AH74"/>
      <c r="AI74"/>
      <c r="AJ74"/>
      <c r="AK74"/>
      <c r="AL74"/>
      <c r="AM74" s="97"/>
      <c r="AN74" s="113">
        <v>1275</v>
      </c>
      <c r="AO74" s="115">
        <v>4005</v>
      </c>
      <c r="AP74" s="115">
        <v>4410</v>
      </c>
      <c r="AQ74" s="115">
        <v>2450</v>
      </c>
      <c r="AR74" s="115">
        <v>1960</v>
      </c>
      <c r="AS74" s="115">
        <v>2450</v>
      </c>
      <c r="AT74" s="115">
        <v>7280</v>
      </c>
      <c r="AU74" s="115">
        <v>14252.7</v>
      </c>
      <c r="AV74" s="115">
        <f>9800</f>
        <v>9800</v>
      </c>
      <c r="AW74" s="187">
        <f>14350</f>
        <v>14350</v>
      </c>
      <c r="AX74" s="723">
        <f>+'People Plan'!Z18</f>
        <v>11900</v>
      </c>
      <c r="AY74" s="541">
        <f>+'People Plan'!AA18</f>
        <v>11900</v>
      </c>
      <c r="AZ74" s="540">
        <f>+'People Plan'!AB18</f>
        <v>11900</v>
      </c>
      <c r="BA74" s="540">
        <f>+'People Plan'!AC18</f>
        <v>11900</v>
      </c>
      <c r="BB74" s="540">
        <f>+'People Plan'!AD18</f>
        <v>11900</v>
      </c>
      <c r="BC74" s="540">
        <f>+'People Plan'!AE18</f>
        <v>11900</v>
      </c>
      <c r="BD74" s="540">
        <f>+'People Plan'!AF18</f>
        <v>11900</v>
      </c>
      <c r="BE74" s="540">
        <f>+'People Plan'!AG18</f>
        <v>11900</v>
      </c>
      <c r="BF74" s="540">
        <f>+'People Plan'!AH18</f>
        <v>11900</v>
      </c>
      <c r="BG74" s="540">
        <f>+'People Plan'!AI18</f>
        <v>11900</v>
      </c>
      <c r="BH74" s="540">
        <f>+'People Plan'!AJ18</f>
        <v>11900</v>
      </c>
      <c r="BI74" s="540">
        <f>+'People Plan'!AK18</f>
        <v>11900</v>
      </c>
      <c r="BJ74" s="540">
        <f>+'People Plan'!AL18</f>
        <v>11900</v>
      </c>
      <c r="BK74" s="541">
        <f>+'People Plan'!AM18</f>
        <v>11900</v>
      </c>
      <c r="BL74" s="540">
        <f>+'People Plan'!AN18</f>
        <v>11900</v>
      </c>
      <c r="BM74" s="540">
        <f>+'People Plan'!AO18</f>
        <v>11900</v>
      </c>
      <c r="BN74" s="540">
        <f>+'People Plan'!AP18</f>
        <v>11900</v>
      </c>
      <c r="BO74" s="540">
        <f>+'People Plan'!AQ18</f>
        <v>11900</v>
      </c>
      <c r="BP74" s="540">
        <f>+'People Plan'!AR18</f>
        <v>11900</v>
      </c>
      <c r="BQ74" s="540">
        <f>+'People Plan'!AS18</f>
        <v>11900</v>
      </c>
      <c r="BR74" s="540">
        <f>+'People Plan'!AT18</f>
        <v>11900</v>
      </c>
      <c r="BS74" s="540">
        <f>+'People Plan'!AU18</f>
        <v>11900</v>
      </c>
      <c r="BT74" s="540">
        <f>+'People Plan'!AV18</f>
        <v>11900</v>
      </c>
      <c r="BU74" s="540">
        <f>+'People Plan'!AW18</f>
        <v>11900</v>
      </c>
      <c r="BV74" s="540">
        <f>+'People Plan'!AX18</f>
        <v>11900</v>
      </c>
      <c r="BW74" s="541">
        <f>+'People Plan'!AY18</f>
        <v>11900</v>
      </c>
      <c r="BX74" s="540">
        <f>+'People Plan'!AZ18</f>
        <v>11900</v>
      </c>
      <c r="BY74" s="540">
        <f>+'People Plan'!BA18</f>
        <v>11900</v>
      </c>
      <c r="BZ74" s="540">
        <f>+'People Plan'!BB18</f>
        <v>11900</v>
      </c>
      <c r="CA74" s="540">
        <f>+'People Plan'!BC18</f>
        <v>11900</v>
      </c>
      <c r="CB74" s="540">
        <f>+'People Plan'!BD18</f>
        <v>11900</v>
      </c>
      <c r="CC74" s="540">
        <f>+'People Plan'!BE18</f>
        <v>11900</v>
      </c>
      <c r="CD74" s="540">
        <f>+'People Plan'!BF18</f>
        <v>11900</v>
      </c>
      <c r="CE74" s="540">
        <f>+'People Plan'!BG18</f>
        <v>11900</v>
      </c>
      <c r="CF74" s="540">
        <f>+'People Plan'!BH18</f>
        <v>11900</v>
      </c>
      <c r="CG74" s="540">
        <f>+'People Plan'!BI18</f>
        <v>11900</v>
      </c>
      <c r="CH74" s="540">
        <f>+'People Plan'!BJ18</f>
        <v>11900</v>
      </c>
      <c r="CI74" s="541">
        <f>+'People Plan'!BK18</f>
        <v>11900</v>
      </c>
      <c r="CJ74" s="540">
        <f>+'People Plan'!BL18</f>
        <v>11900</v>
      </c>
      <c r="CK74" s="540">
        <f>+'People Plan'!BM18</f>
        <v>11900</v>
      </c>
      <c r="CL74" s="540">
        <f>+'People Plan'!BN18</f>
        <v>11900</v>
      </c>
      <c r="CM74" s="540">
        <f>+'People Plan'!BO18</f>
        <v>11900</v>
      </c>
      <c r="CN74" s="540">
        <f>+'People Plan'!BP18</f>
        <v>11900</v>
      </c>
      <c r="CO74" s="540">
        <f>+'People Plan'!BQ18</f>
        <v>11900</v>
      </c>
      <c r="CP74" s="540">
        <f>+'People Plan'!BR18</f>
        <v>11900</v>
      </c>
      <c r="CQ74" s="540">
        <f>+'People Plan'!BS18</f>
        <v>11900</v>
      </c>
      <c r="CR74" s="540">
        <f>+'People Plan'!BT18</f>
        <v>11900</v>
      </c>
      <c r="CS74" s="540">
        <f>+'People Plan'!BU18</f>
        <v>11900</v>
      </c>
      <c r="CT74" s="540">
        <f>+'People Plan'!BV18</f>
        <v>11900</v>
      </c>
      <c r="CU74" s="541">
        <f>+'People Plan'!BW18</f>
        <v>11900</v>
      </c>
      <c r="CV74" s="540">
        <f>+'People Plan'!BX18</f>
        <v>11900</v>
      </c>
      <c r="CW74" s="540">
        <f>+'People Plan'!BY18</f>
        <v>11900</v>
      </c>
      <c r="CX74" s="540">
        <f>+'People Plan'!BZ18</f>
        <v>11900</v>
      </c>
      <c r="CY74" s="540">
        <f>+'People Plan'!CA18</f>
        <v>11900</v>
      </c>
      <c r="CZ74" s="540">
        <f>+'People Plan'!CB18</f>
        <v>11900</v>
      </c>
      <c r="DA74" s="540">
        <f>+'People Plan'!CC18</f>
        <v>11900</v>
      </c>
      <c r="DB74" s="540">
        <f>+'People Plan'!CD18</f>
        <v>11900</v>
      </c>
      <c r="DC74" s="540">
        <f>+'People Plan'!CE18</f>
        <v>11900</v>
      </c>
      <c r="DD74" s="540">
        <f>+'People Plan'!CF18</f>
        <v>11900</v>
      </c>
      <c r="DE74" s="540">
        <f>+'People Plan'!CG18</f>
        <v>11900</v>
      </c>
      <c r="DF74" s="540">
        <f>+'People Plan'!CH18</f>
        <v>11900</v>
      </c>
      <c r="DG74" s="540">
        <f>+'People Plan'!CI18</f>
        <v>11900</v>
      </c>
    </row>
    <row r="75" spans="1:111" s="57" customFormat="1" x14ac:dyDescent="0.25">
      <c r="A75"/>
      <c r="B75" s="1" t="s">
        <v>358</v>
      </c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/>
      <c r="AC75"/>
      <c r="AD75"/>
      <c r="AE75"/>
      <c r="AF75"/>
      <c r="AG75"/>
      <c r="AH75"/>
      <c r="AI75"/>
      <c r="AJ75"/>
      <c r="AK75"/>
      <c r="AL75"/>
      <c r="AM75" s="97"/>
      <c r="AN75" s="113">
        <v>137.07</v>
      </c>
      <c r="AO75" s="115">
        <v>435.82</v>
      </c>
      <c r="AP75" s="115">
        <v>416.3</v>
      </c>
      <c r="AQ75" s="115">
        <v>187.43</v>
      </c>
      <c r="AR75" s="115">
        <v>149.94</v>
      </c>
      <c r="AS75" s="115">
        <v>187.42</v>
      </c>
      <c r="AT75" s="115">
        <v>150.77000000000001</v>
      </c>
      <c r="AU75" s="115">
        <v>833.44</v>
      </c>
      <c r="AV75" s="115">
        <f>749.7</f>
        <v>749.7</v>
      </c>
      <c r="AW75" s="187">
        <f>1097.77</f>
        <v>1097.77</v>
      </c>
      <c r="AX75" s="724">
        <f>+AX74*AX79</f>
        <v>910.35</v>
      </c>
      <c r="AY75" s="543">
        <f t="shared" ref="AY75:DA75" si="574">+AY74*AY79</f>
        <v>910.35</v>
      </c>
      <c r="AZ75" s="542">
        <f t="shared" si="574"/>
        <v>910.35</v>
      </c>
      <c r="BA75" s="542">
        <f t="shared" si="574"/>
        <v>910.35</v>
      </c>
      <c r="BB75" s="542">
        <f t="shared" si="574"/>
        <v>910.35</v>
      </c>
      <c r="BC75" s="542">
        <f t="shared" si="574"/>
        <v>910.35</v>
      </c>
      <c r="BD75" s="542">
        <f t="shared" si="574"/>
        <v>910.35</v>
      </c>
      <c r="BE75" s="542">
        <f t="shared" si="574"/>
        <v>910.35</v>
      </c>
      <c r="BF75" s="542">
        <f t="shared" si="574"/>
        <v>910.35</v>
      </c>
      <c r="BG75" s="542">
        <f t="shared" si="574"/>
        <v>910.35</v>
      </c>
      <c r="BH75" s="542">
        <f t="shared" si="574"/>
        <v>910.35</v>
      </c>
      <c r="BI75" s="542">
        <f t="shared" si="574"/>
        <v>910.35</v>
      </c>
      <c r="BJ75" s="542">
        <f t="shared" si="574"/>
        <v>910.35</v>
      </c>
      <c r="BK75" s="543">
        <f t="shared" si="574"/>
        <v>910.35</v>
      </c>
      <c r="BL75" s="542">
        <f t="shared" si="574"/>
        <v>910.35</v>
      </c>
      <c r="BM75" s="542">
        <f t="shared" si="574"/>
        <v>910.35</v>
      </c>
      <c r="BN75" s="542">
        <f t="shared" si="574"/>
        <v>910.35</v>
      </c>
      <c r="BO75" s="542">
        <f t="shared" si="574"/>
        <v>910.35</v>
      </c>
      <c r="BP75" s="542">
        <f t="shared" si="574"/>
        <v>910.35</v>
      </c>
      <c r="BQ75" s="542">
        <f t="shared" si="574"/>
        <v>910.35</v>
      </c>
      <c r="BR75" s="542">
        <f t="shared" si="574"/>
        <v>910.35</v>
      </c>
      <c r="BS75" s="542">
        <f t="shared" si="574"/>
        <v>910.35</v>
      </c>
      <c r="BT75" s="542">
        <f t="shared" si="574"/>
        <v>910.35</v>
      </c>
      <c r="BU75" s="542">
        <f t="shared" si="574"/>
        <v>910.35</v>
      </c>
      <c r="BV75" s="542">
        <f t="shared" si="574"/>
        <v>910.35</v>
      </c>
      <c r="BW75" s="543">
        <f t="shared" si="574"/>
        <v>910.35</v>
      </c>
      <c r="BX75" s="542">
        <f t="shared" si="574"/>
        <v>910.35</v>
      </c>
      <c r="BY75" s="542">
        <f t="shared" si="574"/>
        <v>910.35</v>
      </c>
      <c r="BZ75" s="542">
        <f t="shared" si="574"/>
        <v>910.35</v>
      </c>
      <c r="CA75" s="542">
        <f t="shared" si="574"/>
        <v>910.35</v>
      </c>
      <c r="CB75" s="542">
        <f t="shared" si="574"/>
        <v>910.35</v>
      </c>
      <c r="CC75" s="542">
        <f t="shared" si="574"/>
        <v>910.35</v>
      </c>
      <c r="CD75" s="542">
        <f t="shared" si="574"/>
        <v>910.35</v>
      </c>
      <c r="CE75" s="542">
        <f t="shared" si="574"/>
        <v>910.35</v>
      </c>
      <c r="CF75" s="542">
        <f t="shared" si="574"/>
        <v>910.35</v>
      </c>
      <c r="CG75" s="542">
        <f t="shared" si="574"/>
        <v>910.35</v>
      </c>
      <c r="CH75" s="542">
        <f t="shared" si="574"/>
        <v>910.35</v>
      </c>
      <c r="CI75" s="543">
        <f t="shared" si="574"/>
        <v>910.35</v>
      </c>
      <c r="CJ75" s="542">
        <f t="shared" si="574"/>
        <v>910.35</v>
      </c>
      <c r="CK75" s="542">
        <f t="shared" si="574"/>
        <v>910.35</v>
      </c>
      <c r="CL75" s="542">
        <f t="shared" si="574"/>
        <v>910.35</v>
      </c>
      <c r="CM75" s="542">
        <f t="shared" si="574"/>
        <v>910.35</v>
      </c>
      <c r="CN75" s="542">
        <f t="shared" si="574"/>
        <v>910.35</v>
      </c>
      <c r="CO75" s="542">
        <f t="shared" si="574"/>
        <v>910.35</v>
      </c>
      <c r="CP75" s="542">
        <f t="shared" si="574"/>
        <v>910.35</v>
      </c>
      <c r="CQ75" s="542">
        <f t="shared" si="574"/>
        <v>910.35</v>
      </c>
      <c r="CR75" s="542">
        <f t="shared" si="574"/>
        <v>910.35</v>
      </c>
      <c r="CS75" s="542">
        <f t="shared" si="574"/>
        <v>910.35</v>
      </c>
      <c r="CT75" s="542">
        <f t="shared" si="574"/>
        <v>910.35</v>
      </c>
      <c r="CU75" s="543">
        <f t="shared" si="574"/>
        <v>910.35</v>
      </c>
      <c r="CV75" s="542">
        <f t="shared" si="574"/>
        <v>910.35</v>
      </c>
      <c r="CW75" s="542">
        <f t="shared" si="574"/>
        <v>910.35</v>
      </c>
      <c r="CX75" s="542">
        <f t="shared" si="574"/>
        <v>910.35</v>
      </c>
      <c r="CY75" s="542">
        <f t="shared" si="574"/>
        <v>910.35</v>
      </c>
      <c r="CZ75" s="542">
        <f t="shared" si="574"/>
        <v>910.35</v>
      </c>
      <c r="DA75" s="542">
        <f t="shared" si="574"/>
        <v>910.35</v>
      </c>
      <c r="DB75" s="542">
        <f t="shared" ref="DB75:DG75" si="575">+DB74*DB79</f>
        <v>910.35</v>
      </c>
      <c r="DC75" s="542">
        <f t="shared" si="575"/>
        <v>910.35</v>
      </c>
      <c r="DD75" s="542">
        <f t="shared" si="575"/>
        <v>910.35</v>
      </c>
      <c r="DE75" s="542">
        <f t="shared" si="575"/>
        <v>910.35</v>
      </c>
      <c r="DF75" s="542">
        <f t="shared" si="575"/>
        <v>910.35</v>
      </c>
      <c r="DG75" s="542">
        <f t="shared" si="575"/>
        <v>910.35</v>
      </c>
    </row>
    <row r="76" spans="1:111" s="57" customFormat="1" x14ac:dyDescent="0.25">
      <c r="A76"/>
      <c r="B76" s="1" t="s">
        <v>359</v>
      </c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/>
      <c r="AC76"/>
      <c r="AD76"/>
      <c r="AE76"/>
      <c r="AF76"/>
      <c r="AG76"/>
      <c r="AH76"/>
      <c r="AI76"/>
      <c r="AJ76"/>
      <c r="AK76"/>
      <c r="AL76"/>
      <c r="AM76" s="97"/>
      <c r="AN76" s="113">
        <v>0</v>
      </c>
      <c r="AO76" s="115">
        <v>0</v>
      </c>
      <c r="AP76" s="115">
        <v>0</v>
      </c>
      <c r="AQ76" s="115">
        <v>0</v>
      </c>
      <c r="AR76" s="115">
        <v>0</v>
      </c>
      <c r="AS76" s="115">
        <v>0</v>
      </c>
      <c r="AT76" s="115">
        <v>0</v>
      </c>
      <c r="AU76" s="115">
        <v>0</v>
      </c>
      <c r="AV76" s="115">
        <v>0</v>
      </c>
      <c r="AW76" s="187">
        <v>0</v>
      </c>
      <c r="AX76" s="724">
        <f>+AX74*AX80</f>
        <v>0</v>
      </c>
      <c r="AY76" s="543">
        <f t="shared" ref="AY76:DA76" si="576">+AY74*AY80</f>
        <v>0</v>
      </c>
      <c r="AZ76" s="542">
        <f t="shared" si="576"/>
        <v>0</v>
      </c>
      <c r="BA76" s="542">
        <f t="shared" si="576"/>
        <v>0</v>
      </c>
      <c r="BB76" s="542">
        <f t="shared" si="576"/>
        <v>0</v>
      </c>
      <c r="BC76" s="542">
        <f t="shared" si="576"/>
        <v>0</v>
      </c>
      <c r="BD76" s="542">
        <f t="shared" si="576"/>
        <v>0</v>
      </c>
      <c r="BE76" s="542">
        <f t="shared" si="576"/>
        <v>0</v>
      </c>
      <c r="BF76" s="542">
        <f t="shared" si="576"/>
        <v>0</v>
      </c>
      <c r="BG76" s="542">
        <f t="shared" si="576"/>
        <v>0</v>
      </c>
      <c r="BH76" s="542">
        <f t="shared" si="576"/>
        <v>0</v>
      </c>
      <c r="BI76" s="542">
        <f t="shared" si="576"/>
        <v>0</v>
      </c>
      <c r="BJ76" s="542">
        <f t="shared" si="576"/>
        <v>0</v>
      </c>
      <c r="BK76" s="543">
        <f t="shared" si="576"/>
        <v>0</v>
      </c>
      <c r="BL76" s="542">
        <f t="shared" si="576"/>
        <v>0</v>
      </c>
      <c r="BM76" s="542">
        <f t="shared" si="576"/>
        <v>0</v>
      </c>
      <c r="BN76" s="542">
        <f t="shared" si="576"/>
        <v>0</v>
      </c>
      <c r="BO76" s="542">
        <f t="shared" si="576"/>
        <v>0</v>
      </c>
      <c r="BP76" s="542">
        <f t="shared" si="576"/>
        <v>0</v>
      </c>
      <c r="BQ76" s="542">
        <f t="shared" si="576"/>
        <v>0</v>
      </c>
      <c r="BR76" s="542">
        <f t="shared" si="576"/>
        <v>0</v>
      </c>
      <c r="BS76" s="542">
        <f t="shared" si="576"/>
        <v>0</v>
      </c>
      <c r="BT76" s="542">
        <f t="shared" si="576"/>
        <v>0</v>
      </c>
      <c r="BU76" s="542">
        <f t="shared" si="576"/>
        <v>0</v>
      </c>
      <c r="BV76" s="542">
        <f t="shared" si="576"/>
        <v>0</v>
      </c>
      <c r="BW76" s="543">
        <f t="shared" si="576"/>
        <v>0</v>
      </c>
      <c r="BX76" s="542">
        <f t="shared" si="576"/>
        <v>1785</v>
      </c>
      <c r="BY76" s="542">
        <f t="shared" si="576"/>
        <v>1785</v>
      </c>
      <c r="BZ76" s="542">
        <f t="shared" si="576"/>
        <v>1785</v>
      </c>
      <c r="CA76" s="542">
        <f t="shared" si="576"/>
        <v>1785</v>
      </c>
      <c r="CB76" s="542">
        <f t="shared" si="576"/>
        <v>1785</v>
      </c>
      <c r="CC76" s="542">
        <f t="shared" si="576"/>
        <v>1785</v>
      </c>
      <c r="CD76" s="542">
        <f t="shared" si="576"/>
        <v>1785</v>
      </c>
      <c r="CE76" s="542">
        <f t="shared" si="576"/>
        <v>1785</v>
      </c>
      <c r="CF76" s="542">
        <f t="shared" si="576"/>
        <v>1785</v>
      </c>
      <c r="CG76" s="542">
        <f t="shared" si="576"/>
        <v>1785</v>
      </c>
      <c r="CH76" s="542">
        <f t="shared" si="576"/>
        <v>1785</v>
      </c>
      <c r="CI76" s="543">
        <f t="shared" si="576"/>
        <v>1785</v>
      </c>
      <c r="CJ76" s="542">
        <f t="shared" si="576"/>
        <v>2380</v>
      </c>
      <c r="CK76" s="542">
        <f t="shared" si="576"/>
        <v>2380</v>
      </c>
      <c r="CL76" s="542">
        <f t="shared" si="576"/>
        <v>2380</v>
      </c>
      <c r="CM76" s="542">
        <f t="shared" si="576"/>
        <v>2380</v>
      </c>
      <c r="CN76" s="542">
        <f t="shared" si="576"/>
        <v>2380</v>
      </c>
      <c r="CO76" s="542">
        <f t="shared" si="576"/>
        <v>2380</v>
      </c>
      <c r="CP76" s="542">
        <f t="shared" si="576"/>
        <v>2380</v>
      </c>
      <c r="CQ76" s="542">
        <f t="shared" si="576"/>
        <v>2380</v>
      </c>
      <c r="CR76" s="542">
        <f t="shared" si="576"/>
        <v>2380</v>
      </c>
      <c r="CS76" s="542">
        <f t="shared" si="576"/>
        <v>2380</v>
      </c>
      <c r="CT76" s="542">
        <f t="shared" si="576"/>
        <v>2380</v>
      </c>
      <c r="CU76" s="543">
        <f t="shared" si="576"/>
        <v>2380</v>
      </c>
      <c r="CV76" s="542">
        <f t="shared" si="576"/>
        <v>2380</v>
      </c>
      <c r="CW76" s="542">
        <f t="shared" si="576"/>
        <v>2380</v>
      </c>
      <c r="CX76" s="542">
        <f t="shared" si="576"/>
        <v>2380</v>
      </c>
      <c r="CY76" s="542">
        <f t="shared" si="576"/>
        <v>2380</v>
      </c>
      <c r="CZ76" s="542">
        <f t="shared" si="576"/>
        <v>2380</v>
      </c>
      <c r="DA76" s="542">
        <f t="shared" si="576"/>
        <v>2380</v>
      </c>
      <c r="DB76" s="542">
        <f t="shared" ref="DB76:DG76" si="577">+DB74*DB80</f>
        <v>2380</v>
      </c>
      <c r="DC76" s="542">
        <f t="shared" si="577"/>
        <v>2380</v>
      </c>
      <c r="DD76" s="542">
        <f t="shared" si="577"/>
        <v>2380</v>
      </c>
      <c r="DE76" s="542">
        <f t="shared" si="577"/>
        <v>2380</v>
      </c>
      <c r="DF76" s="542">
        <f t="shared" si="577"/>
        <v>2380</v>
      </c>
      <c r="DG76" s="542">
        <f t="shared" si="577"/>
        <v>2380</v>
      </c>
    </row>
    <row r="77" spans="1:111" s="57" customFormat="1" x14ac:dyDescent="0.25">
      <c r="A77"/>
      <c r="B77" s="1" t="s">
        <v>366</v>
      </c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/>
      <c r="AC77"/>
      <c r="AD77"/>
      <c r="AE77"/>
      <c r="AF77"/>
      <c r="AG77"/>
      <c r="AH77"/>
      <c r="AI77"/>
      <c r="AJ77"/>
      <c r="AK77"/>
      <c r="AL77"/>
      <c r="AM77" s="97"/>
      <c r="AN77" s="113">
        <v>995.35</v>
      </c>
      <c r="AO77" s="115">
        <v>615</v>
      </c>
      <c r="AP77" s="115">
        <v>0</v>
      </c>
      <c r="AQ77" s="115">
        <v>0</v>
      </c>
      <c r="AR77" s="115">
        <v>0</v>
      </c>
      <c r="AS77" s="115">
        <v>0</v>
      </c>
      <c r="AT77" s="115">
        <v>0</v>
      </c>
      <c r="AU77" s="115">
        <v>0</v>
      </c>
      <c r="AV77" s="115">
        <v>0</v>
      </c>
      <c r="AW77" s="187">
        <v>0</v>
      </c>
      <c r="AX77" s="724">
        <v>0</v>
      </c>
      <c r="AY77" s="543">
        <f t="shared" ref="AY77:DB77" si="578">+AX77</f>
        <v>0</v>
      </c>
      <c r="AZ77" s="542">
        <f t="shared" si="578"/>
        <v>0</v>
      </c>
      <c r="BA77" s="542">
        <f t="shared" si="578"/>
        <v>0</v>
      </c>
      <c r="BB77" s="542">
        <f t="shared" si="578"/>
        <v>0</v>
      </c>
      <c r="BC77" s="542">
        <f t="shared" si="578"/>
        <v>0</v>
      </c>
      <c r="BD77" s="542">
        <f t="shared" si="578"/>
        <v>0</v>
      </c>
      <c r="BE77" s="542">
        <f t="shared" si="578"/>
        <v>0</v>
      </c>
      <c r="BF77" s="542">
        <f t="shared" si="578"/>
        <v>0</v>
      </c>
      <c r="BG77" s="542">
        <f t="shared" si="578"/>
        <v>0</v>
      </c>
      <c r="BH77" s="542">
        <f t="shared" si="578"/>
        <v>0</v>
      </c>
      <c r="BI77" s="542">
        <f t="shared" si="578"/>
        <v>0</v>
      </c>
      <c r="BJ77" s="542">
        <f t="shared" si="578"/>
        <v>0</v>
      </c>
      <c r="BK77" s="543">
        <f t="shared" si="578"/>
        <v>0</v>
      </c>
      <c r="BL77" s="542">
        <f t="shared" si="578"/>
        <v>0</v>
      </c>
      <c r="BM77" s="542">
        <f t="shared" si="578"/>
        <v>0</v>
      </c>
      <c r="BN77" s="542">
        <f t="shared" si="578"/>
        <v>0</v>
      </c>
      <c r="BO77" s="542">
        <f t="shared" si="578"/>
        <v>0</v>
      </c>
      <c r="BP77" s="542">
        <f t="shared" si="578"/>
        <v>0</v>
      </c>
      <c r="BQ77" s="542">
        <f t="shared" si="578"/>
        <v>0</v>
      </c>
      <c r="BR77" s="542">
        <f t="shared" si="578"/>
        <v>0</v>
      </c>
      <c r="BS77" s="542">
        <f t="shared" si="578"/>
        <v>0</v>
      </c>
      <c r="BT77" s="542">
        <f t="shared" si="578"/>
        <v>0</v>
      </c>
      <c r="BU77" s="542">
        <f t="shared" si="578"/>
        <v>0</v>
      </c>
      <c r="BV77" s="542">
        <f t="shared" si="578"/>
        <v>0</v>
      </c>
      <c r="BW77" s="543">
        <f t="shared" si="578"/>
        <v>0</v>
      </c>
      <c r="BX77" s="542">
        <f t="shared" si="578"/>
        <v>0</v>
      </c>
      <c r="BY77" s="542">
        <f t="shared" si="578"/>
        <v>0</v>
      </c>
      <c r="BZ77" s="542">
        <f t="shared" si="578"/>
        <v>0</v>
      </c>
      <c r="CA77" s="542">
        <f t="shared" si="578"/>
        <v>0</v>
      </c>
      <c r="CB77" s="542">
        <f t="shared" si="578"/>
        <v>0</v>
      </c>
      <c r="CC77" s="542">
        <f t="shared" si="578"/>
        <v>0</v>
      </c>
      <c r="CD77" s="542">
        <f t="shared" si="578"/>
        <v>0</v>
      </c>
      <c r="CE77" s="542">
        <f t="shared" si="578"/>
        <v>0</v>
      </c>
      <c r="CF77" s="542">
        <f t="shared" si="578"/>
        <v>0</v>
      </c>
      <c r="CG77" s="542">
        <f t="shared" si="578"/>
        <v>0</v>
      </c>
      <c r="CH77" s="542">
        <f t="shared" si="578"/>
        <v>0</v>
      </c>
      <c r="CI77" s="543">
        <f t="shared" si="578"/>
        <v>0</v>
      </c>
      <c r="CJ77" s="542">
        <f t="shared" si="578"/>
        <v>0</v>
      </c>
      <c r="CK77" s="542">
        <f t="shared" si="578"/>
        <v>0</v>
      </c>
      <c r="CL77" s="542">
        <f t="shared" si="578"/>
        <v>0</v>
      </c>
      <c r="CM77" s="542">
        <f t="shared" si="578"/>
        <v>0</v>
      </c>
      <c r="CN77" s="542">
        <f t="shared" si="578"/>
        <v>0</v>
      </c>
      <c r="CO77" s="542">
        <f t="shared" si="578"/>
        <v>0</v>
      </c>
      <c r="CP77" s="542">
        <f t="shared" si="578"/>
        <v>0</v>
      </c>
      <c r="CQ77" s="542">
        <f t="shared" si="578"/>
        <v>0</v>
      </c>
      <c r="CR77" s="542">
        <f t="shared" si="578"/>
        <v>0</v>
      </c>
      <c r="CS77" s="542">
        <f t="shared" si="578"/>
        <v>0</v>
      </c>
      <c r="CT77" s="542">
        <f t="shared" si="578"/>
        <v>0</v>
      </c>
      <c r="CU77" s="543">
        <f t="shared" si="578"/>
        <v>0</v>
      </c>
      <c r="CV77" s="542">
        <f t="shared" si="578"/>
        <v>0</v>
      </c>
      <c r="CW77" s="542">
        <f t="shared" si="578"/>
        <v>0</v>
      </c>
      <c r="CX77" s="542">
        <f t="shared" si="578"/>
        <v>0</v>
      </c>
      <c r="CY77" s="542">
        <f t="shared" si="578"/>
        <v>0</v>
      </c>
      <c r="CZ77" s="542">
        <f t="shared" si="578"/>
        <v>0</v>
      </c>
      <c r="DA77" s="542">
        <f t="shared" si="578"/>
        <v>0</v>
      </c>
      <c r="DB77" s="542">
        <f t="shared" si="578"/>
        <v>0</v>
      </c>
      <c r="DC77" s="542">
        <f t="shared" ref="DC77:DG77" si="579">+DB77</f>
        <v>0</v>
      </c>
      <c r="DD77" s="542">
        <f t="shared" si="579"/>
        <v>0</v>
      </c>
      <c r="DE77" s="542">
        <f t="shared" si="579"/>
        <v>0</v>
      </c>
      <c r="DF77" s="542">
        <f t="shared" si="579"/>
        <v>0</v>
      </c>
      <c r="DG77" s="542">
        <f t="shared" si="579"/>
        <v>0</v>
      </c>
    </row>
    <row r="78" spans="1:111" s="57" customFormat="1" x14ac:dyDescent="0.25">
      <c r="A78"/>
      <c r="B78" s="4" t="s">
        <v>360</v>
      </c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/>
      <c r="AC78"/>
      <c r="AD78"/>
      <c r="AE78"/>
      <c r="AF78"/>
      <c r="AG78"/>
      <c r="AH78" s="55">
        <f t="shared" ref="AH78:AM78" si="580">SUM(AH74:AH76)</f>
        <v>0</v>
      </c>
      <c r="AI78" s="55">
        <f t="shared" si="580"/>
        <v>0</v>
      </c>
      <c r="AJ78" s="55">
        <f t="shared" si="580"/>
        <v>0</v>
      </c>
      <c r="AK78" s="55">
        <f t="shared" si="580"/>
        <v>0</v>
      </c>
      <c r="AL78" s="55">
        <f t="shared" si="580"/>
        <v>0</v>
      </c>
      <c r="AM78" s="521">
        <f t="shared" si="580"/>
        <v>0</v>
      </c>
      <c r="AN78" s="55">
        <f t="shared" ref="AN78:AR78" si="581">SUM(AN74:AN77)</f>
        <v>2407.42</v>
      </c>
      <c r="AO78" s="55">
        <f t="shared" si="581"/>
        <v>5055.82</v>
      </c>
      <c r="AP78" s="55">
        <f t="shared" si="581"/>
        <v>4826.3</v>
      </c>
      <c r="AQ78" s="55">
        <f t="shared" si="581"/>
        <v>2637.43</v>
      </c>
      <c r="AR78" s="55">
        <f t="shared" si="581"/>
        <v>2109.94</v>
      </c>
      <c r="AS78" s="55">
        <f t="shared" ref="AS78:AT78" si="582">SUM(AS74:AS77)</f>
        <v>2637.42</v>
      </c>
      <c r="AT78" s="55">
        <f t="shared" si="582"/>
        <v>7430.77</v>
      </c>
      <c r="AU78" s="55">
        <f t="shared" ref="AU78:AV78" si="583">SUM(AU74:AU77)</f>
        <v>15086.140000000001</v>
      </c>
      <c r="AV78" s="55">
        <f t="shared" si="583"/>
        <v>10549.7</v>
      </c>
      <c r="AW78" s="312">
        <f t="shared" ref="AW78" si="584">SUM(AW74:AW77)</f>
        <v>15447.77</v>
      </c>
      <c r="AX78" s="55">
        <f t="shared" ref="AX78" si="585">SUM(AX74:AX77)</f>
        <v>12810.35</v>
      </c>
      <c r="AY78" s="312">
        <f t="shared" ref="AY78:DA78" si="586">SUM(AY74:AY77)</f>
        <v>12810.35</v>
      </c>
      <c r="AZ78" s="55">
        <f t="shared" si="586"/>
        <v>12810.35</v>
      </c>
      <c r="BA78" s="55">
        <f t="shared" si="586"/>
        <v>12810.35</v>
      </c>
      <c r="BB78" s="55">
        <f t="shared" si="586"/>
        <v>12810.35</v>
      </c>
      <c r="BC78" s="55">
        <f t="shared" si="586"/>
        <v>12810.35</v>
      </c>
      <c r="BD78" s="55">
        <f t="shared" si="586"/>
        <v>12810.35</v>
      </c>
      <c r="BE78" s="55">
        <f t="shared" si="586"/>
        <v>12810.35</v>
      </c>
      <c r="BF78" s="55">
        <f t="shared" si="586"/>
        <v>12810.35</v>
      </c>
      <c r="BG78" s="55">
        <f t="shared" si="586"/>
        <v>12810.35</v>
      </c>
      <c r="BH78" s="55">
        <f t="shared" si="586"/>
        <v>12810.35</v>
      </c>
      <c r="BI78" s="55">
        <f t="shared" si="586"/>
        <v>12810.35</v>
      </c>
      <c r="BJ78" s="55">
        <f t="shared" si="586"/>
        <v>12810.35</v>
      </c>
      <c r="BK78" s="312">
        <f t="shared" si="586"/>
        <v>12810.35</v>
      </c>
      <c r="BL78" s="55">
        <f t="shared" si="586"/>
        <v>12810.35</v>
      </c>
      <c r="BM78" s="55">
        <f t="shared" si="586"/>
        <v>12810.35</v>
      </c>
      <c r="BN78" s="55">
        <f t="shared" si="586"/>
        <v>12810.35</v>
      </c>
      <c r="BO78" s="55">
        <f t="shared" si="586"/>
        <v>12810.35</v>
      </c>
      <c r="BP78" s="55">
        <f t="shared" si="586"/>
        <v>12810.35</v>
      </c>
      <c r="BQ78" s="55">
        <f t="shared" si="586"/>
        <v>12810.35</v>
      </c>
      <c r="BR78" s="55">
        <f t="shared" si="586"/>
        <v>12810.35</v>
      </c>
      <c r="BS78" s="55">
        <f t="shared" si="586"/>
        <v>12810.35</v>
      </c>
      <c r="BT78" s="55">
        <f t="shared" si="586"/>
        <v>12810.35</v>
      </c>
      <c r="BU78" s="55">
        <f t="shared" si="586"/>
        <v>12810.35</v>
      </c>
      <c r="BV78" s="55">
        <f t="shared" si="586"/>
        <v>12810.35</v>
      </c>
      <c r="BW78" s="312">
        <f t="shared" si="586"/>
        <v>12810.35</v>
      </c>
      <c r="BX78" s="55">
        <f t="shared" si="586"/>
        <v>14595.35</v>
      </c>
      <c r="BY78" s="55">
        <f t="shared" si="586"/>
        <v>14595.35</v>
      </c>
      <c r="BZ78" s="55">
        <f t="shared" si="586"/>
        <v>14595.35</v>
      </c>
      <c r="CA78" s="55">
        <f t="shared" si="586"/>
        <v>14595.35</v>
      </c>
      <c r="CB78" s="55">
        <f t="shared" si="586"/>
        <v>14595.35</v>
      </c>
      <c r="CC78" s="55">
        <f t="shared" si="586"/>
        <v>14595.35</v>
      </c>
      <c r="CD78" s="55">
        <f t="shared" si="586"/>
        <v>14595.35</v>
      </c>
      <c r="CE78" s="55">
        <f t="shared" si="586"/>
        <v>14595.35</v>
      </c>
      <c r="CF78" s="55">
        <f t="shared" si="586"/>
        <v>14595.35</v>
      </c>
      <c r="CG78" s="55">
        <f t="shared" si="586"/>
        <v>14595.35</v>
      </c>
      <c r="CH78" s="55">
        <f t="shared" si="586"/>
        <v>14595.35</v>
      </c>
      <c r="CI78" s="312">
        <f t="shared" si="586"/>
        <v>14595.35</v>
      </c>
      <c r="CJ78" s="55">
        <f t="shared" si="586"/>
        <v>15190.35</v>
      </c>
      <c r="CK78" s="55">
        <f t="shared" si="586"/>
        <v>15190.35</v>
      </c>
      <c r="CL78" s="55">
        <f t="shared" si="586"/>
        <v>15190.35</v>
      </c>
      <c r="CM78" s="55">
        <f t="shared" si="586"/>
        <v>15190.35</v>
      </c>
      <c r="CN78" s="55">
        <f t="shared" si="586"/>
        <v>15190.35</v>
      </c>
      <c r="CO78" s="55">
        <f t="shared" si="586"/>
        <v>15190.35</v>
      </c>
      <c r="CP78" s="55">
        <f t="shared" si="586"/>
        <v>15190.35</v>
      </c>
      <c r="CQ78" s="55">
        <f t="shared" si="586"/>
        <v>15190.35</v>
      </c>
      <c r="CR78" s="55">
        <f t="shared" si="586"/>
        <v>15190.35</v>
      </c>
      <c r="CS78" s="55">
        <f t="shared" si="586"/>
        <v>15190.35</v>
      </c>
      <c r="CT78" s="55">
        <f t="shared" si="586"/>
        <v>15190.35</v>
      </c>
      <c r="CU78" s="312">
        <f t="shared" si="586"/>
        <v>15190.35</v>
      </c>
      <c r="CV78" s="55">
        <f t="shared" si="586"/>
        <v>15190.35</v>
      </c>
      <c r="CW78" s="55">
        <f t="shared" si="586"/>
        <v>15190.35</v>
      </c>
      <c r="CX78" s="55">
        <f t="shared" si="586"/>
        <v>15190.35</v>
      </c>
      <c r="CY78" s="55">
        <f t="shared" si="586"/>
        <v>15190.35</v>
      </c>
      <c r="CZ78" s="55">
        <f t="shared" si="586"/>
        <v>15190.35</v>
      </c>
      <c r="DA78" s="55">
        <f t="shared" si="586"/>
        <v>15190.35</v>
      </c>
      <c r="DB78" s="55">
        <f t="shared" ref="DB78:DG78" si="587">SUM(DB74:DB77)</f>
        <v>15190.35</v>
      </c>
      <c r="DC78" s="55">
        <f t="shared" si="587"/>
        <v>15190.35</v>
      </c>
      <c r="DD78" s="55">
        <f t="shared" si="587"/>
        <v>15190.35</v>
      </c>
      <c r="DE78" s="55">
        <f t="shared" si="587"/>
        <v>15190.35</v>
      </c>
      <c r="DF78" s="55">
        <f t="shared" si="587"/>
        <v>15190.35</v>
      </c>
      <c r="DG78" s="55">
        <f t="shared" si="587"/>
        <v>15190.35</v>
      </c>
    </row>
    <row r="79" spans="1:111" s="57" customFormat="1" x14ac:dyDescent="0.25">
      <c r="A79"/>
      <c r="B79" s="544"/>
      <c r="C79" s="544" t="s">
        <v>361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/>
      <c r="AC79"/>
      <c r="AD79"/>
      <c r="AE79"/>
      <c r="AF79"/>
      <c r="AG79"/>
      <c r="AH79" s="545"/>
      <c r="AI79" s="545"/>
      <c r="AJ79" s="545"/>
      <c r="AK79" s="545"/>
      <c r="AL79" s="545"/>
      <c r="AM79" s="571"/>
      <c r="AN79" s="545">
        <f t="shared" ref="AN79:AS79" si="588">+AN75/AN74</f>
        <v>0.10750588235294117</v>
      </c>
      <c r="AO79" s="545">
        <f t="shared" si="588"/>
        <v>0.10881897627965044</v>
      </c>
      <c r="AP79" s="545">
        <f t="shared" si="588"/>
        <v>9.4399092970521542E-2</v>
      </c>
      <c r="AQ79" s="545">
        <f t="shared" si="588"/>
        <v>7.6502040816326528E-2</v>
      </c>
      <c r="AR79" s="545">
        <f t="shared" si="588"/>
        <v>7.6499999999999999E-2</v>
      </c>
      <c r="AS79" s="545">
        <f t="shared" si="588"/>
        <v>7.649795918367347E-2</v>
      </c>
      <c r="AT79" s="545">
        <f t="shared" ref="AT79:AU79" si="589">+AT75/AT74</f>
        <v>2.0710164835164836E-2</v>
      </c>
      <c r="AU79" s="545">
        <f t="shared" si="589"/>
        <v>5.84759378924695E-2</v>
      </c>
      <c r="AV79" s="545">
        <f t="shared" ref="AV79:AW79" si="590">+AV75/AV74</f>
        <v>7.6499999999999999E-2</v>
      </c>
      <c r="AW79" s="546">
        <f t="shared" si="590"/>
        <v>7.6499651567944249E-2</v>
      </c>
      <c r="AX79" s="547">
        <v>7.6499999999999999E-2</v>
      </c>
      <c r="AY79" s="546">
        <f t="shared" ref="AY79:BE80" si="591">+AX79</f>
        <v>7.6499999999999999E-2</v>
      </c>
      <c r="AZ79" s="545">
        <f t="shared" si="591"/>
        <v>7.6499999999999999E-2</v>
      </c>
      <c r="BA79" s="545">
        <f t="shared" si="591"/>
        <v>7.6499999999999999E-2</v>
      </c>
      <c r="BB79" s="545">
        <f t="shared" si="591"/>
        <v>7.6499999999999999E-2</v>
      </c>
      <c r="BC79" s="545">
        <f t="shared" si="591"/>
        <v>7.6499999999999999E-2</v>
      </c>
      <c r="BD79" s="545">
        <f t="shared" si="591"/>
        <v>7.6499999999999999E-2</v>
      </c>
      <c r="BE79" s="545">
        <f t="shared" si="591"/>
        <v>7.6499999999999999E-2</v>
      </c>
      <c r="BF79" s="545">
        <f t="shared" ref="BF79:BU80" si="592">+BE79</f>
        <v>7.6499999999999999E-2</v>
      </c>
      <c r="BG79" s="545">
        <f t="shared" si="592"/>
        <v>7.6499999999999999E-2</v>
      </c>
      <c r="BH79" s="545">
        <f t="shared" si="592"/>
        <v>7.6499999999999999E-2</v>
      </c>
      <c r="BI79" s="545">
        <f t="shared" si="592"/>
        <v>7.6499999999999999E-2</v>
      </c>
      <c r="BJ79" s="545">
        <f t="shared" si="592"/>
        <v>7.6499999999999999E-2</v>
      </c>
      <c r="BK79" s="546">
        <f t="shared" si="592"/>
        <v>7.6499999999999999E-2</v>
      </c>
      <c r="BL79" s="545">
        <f t="shared" si="592"/>
        <v>7.6499999999999999E-2</v>
      </c>
      <c r="BM79" s="545">
        <f t="shared" si="592"/>
        <v>7.6499999999999999E-2</v>
      </c>
      <c r="BN79" s="545">
        <f t="shared" si="592"/>
        <v>7.6499999999999999E-2</v>
      </c>
      <c r="BO79" s="545">
        <f t="shared" si="592"/>
        <v>7.6499999999999999E-2</v>
      </c>
      <c r="BP79" s="545">
        <f t="shared" si="592"/>
        <v>7.6499999999999999E-2</v>
      </c>
      <c r="BQ79" s="545">
        <f t="shared" si="592"/>
        <v>7.6499999999999999E-2</v>
      </c>
      <c r="BR79" s="545">
        <f t="shared" si="592"/>
        <v>7.6499999999999999E-2</v>
      </c>
      <c r="BS79" s="545">
        <f t="shared" si="592"/>
        <v>7.6499999999999999E-2</v>
      </c>
      <c r="BT79" s="545">
        <f t="shared" si="592"/>
        <v>7.6499999999999999E-2</v>
      </c>
      <c r="BU79" s="545">
        <f t="shared" si="592"/>
        <v>7.6499999999999999E-2</v>
      </c>
      <c r="BV79" s="545">
        <f t="shared" ref="BV79:CK80" si="593">+BU79</f>
        <v>7.6499999999999999E-2</v>
      </c>
      <c r="BW79" s="546">
        <f t="shared" si="593"/>
        <v>7.6499999999999999E-2</v>
      </c>
      <c r="BX79" s="545">
        <f t="shared" si="593"/>
        <v>7.6499999999999999E-2</v>
      </c>
      <c r="BY79" s="545">
        <f t="shared" si="593"/>
        <v>7.6499999999999999E-2</v>
      </c>
      <c r="BZ79" s="545">
        <f t="shared" si="593"/>
        <v>7.6499999999999999E-2</v>
      </c>
      <c r="CA79" s="545">
        <f t="shared" si="593"/>
        <v>7.6499999999999999E-2</v>
      </c>
      <c r="CB79" s="545">
        <f t="shared" si="593"/>
        <v>7.6499999999999999E-2</v>
      </c>
      <c r="CC79" s="545">
        <f t="shared" si="593"/>
        <v>7.6499999999999999E-2</v>
      </c>
      <c r="CD79" s="545">
        <f t="shared" si="593"/>
        <v>7.6499999999999999E-2</v>
      </c>
      <c r="CE79" s="545">
        <f t="shared" si="593"/>
        <v>7.6499999999999999E-2</v>
      </c>
      <c r="CF79" s="545">
        <f t="shared" si="593"/>
        <v>7.6499999999999999E-2</v>
      </c>
      <c r="CG79" s="545">
        <f t="shared" si="593"/>
        <v>7.6499999999999999E-2</v>
      </c>
      <c r="CH79" s="545">
        <f t="shared" si="593"/>
        <v>7.6499999999999999E-2</v>
      </c>
      <c r="CI79" s="546">
        <f t="shared" si="593"/>
        <v>7.6499999999999999E-2</v>
      </c>
      <c r="CJ79" s="545">
        <f t="shared" si="593"/>
        <v>7.6499999999999999E-2</v>
      </c>
      <c r="CK79" s="545">
        <f t="shared" si="593"/>
        <v>7.6499999999999999E-2</v>
      </c>
      <c r="CL79" s="545">
        <f t="shared" ref="CL79:DA80" si="594">+CK79</f>
        <v>7.6499999999999999E-2</v>
      </c>
      <c r="CM79" s="545">
        <f t="shared" si="594"/>
        <v>7.6499999999999999E-2</v>
      </c>
      <c r="CN79" s="545">
        <f t="shared" si="594"/>
        <v>7.6499999999999999E-2</v>
      </c>
      <c r="CO79" s="545">
        <f t="shared" si="594"/>
        <v>7.6499999999999999E-2</v>
      </c>
      <c r="CP79" s="545">
        <f t="shared" si="594"/>
        <v>7.6499999999999999E-2</v>
      </c>
      <c r="CQ79" s="545">
        <f t="shared" si="594"/>
        <v>7.6499999999999999E-2</v>
      </c>
      <c r="CR79" s="545">
        <f t="shared" si="594"/>
        <v>7.6499999999999999E-2</v>
      </c>
      <c r="CS79" s="545">
        <f t="shared" si="594"/>
        <v>7.6499999999999999E-2</v>
      </c>
      <c r="CT79" s="545">
        <f t="shared" si="594"/>
        <v>7.6499999999999999E-2</v>
      </c>
      <c r="CU79" s="546">
        <f t="shared" si="594"/>
        <v>7.6499999999999999E-2</v>
      </c>
      <c r="CV79" s="545">
        <f t="shared" si="594"/>
        <v>7.6499999999999999E-2</v>
      </c>
      <c r="CW79" s="545">
        <f t="shared" si="594"/>
        <v>7.6499999999999999E-2</v>
      </c>
      <c r="CX79" s="545">
        <f t="shared" si="594"/>
        <v>7.6499999999999999E-2</v>
      </c>
      <c r="CY79" s="545">
        <f t="shared" si="594"/>
        <v>7.6499999999999999E-2</v>
      </c>
      <c r="CZ79" s="545">
        <f t="shared" si="594"/>
        <v>7.6499999999999999E-2</v>
      </c>
      <c r="DA79" s="545">
        <f t="shared" si="594"/>
        <v>7.6499999999999999E-2</v>
      </c>
      <c r="DB79" s="545">
        <f t="shared" ref="CX79:DG80" si="595">+DA79</f>
        <v>7.6499999999999999E-2</v>
      </c>
      <c r="DC79" s="545">
        <f t="shared" si="595"/>
        <v>7.6499999999999999E-2</v>
      </c>
      <c r="DD79" s="545">
        <f t="shared" si="595"/>
        <v>7.6499999999999999E-2</v>
      </c>
      <c r="DE79" s="545">
        <f t="shared" si="595"/>
        <v>7.6499999999999999E-2</v>
      </c>
      <c r="DF79" s="545">
        <f t="shared" si="595"/>
        <v>7.6499999999999999E-2</v>
      </c>
      <c r="DG79" s="545">
        <f t="shared" si="595"/>
        <v>7.6499999999999999E-2</v>
      </c>
    </row>
    <row r="80" spans="1:111" s="57" customFormat="1" x14ac:dyDescent="0.25">
      <c r="A80"/>
      <c r="B80" s="544"/>
      <c r="C80" s="544" t="s">
        <v>362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/>
      <c r="AC80"/>
      <c r="AD80"/>
      <c r="AE80"/>
      <c r="AF80"/>
      <c r="AG80"/>
      <c r="AH80" s="545"/>
      <c r="AI80" s="545"/>
      <c r="AJ80" s="545"/>
      <c r="AK80" s="545"/>
      <c r="AL80" s="545"/>
      <c r="AM80" s="571"/>
      <c r="AN80" s="545"/>
      <c r="AO80" s="545"/>
      <c r="AP80" s="545"/>
      <c r="AQ80" s="545"/>
      <c r="AR80" s="545"/>
      <c r="AS80" s="545"/>
      <c r="AT80" s="545"/>
      <c r="AU80" s="545"/>
      <c r="AV80" s="545"/>
      <c r="AW80" s="546"/>
      <c r="AX80" s="547">
        <v>0</v>
      </c>
      <c r="AY80" s="546">
        <f t="shared" si="591"/>
        <v>0</v>
      </c>
      <c r="AZ80" s="545">
        <f t="shared" si="591"/>
        <v>0</v>
      </c>
      <c r="BA80" s="545">
        <f t="shared" si="591"/>
        <v>0</v>
      </c>
      <c r="BB80" s="545">
        <f t="shared" si="591"/>
        <v>0</v>
      </c>
      <c r="BC80" s="545">
        <f t="shared" si="591"/>
        <v>0</v>
      </c>
      <c r="BD80" s="545">
        <f t="shared" si="591"/>
        <v>0</v>
      </c>
      <c r="BE80" s="545">
        <f t="shared" si="591"/>
        <v>0</v>
      </c>
      <c r="BF80" s="545">
        <f t="shared" si="592"/>
        <v>0</v>
      </c>
      <c r="BG80" s="545">
        <f t="shared" si="592"/>
        <v>0</v>
      </c>
      <c r="BH80" s="545">
        <f t="shared" si="592"/>
        <v>0</v>
      </c>
      <c r="BI80" s="545">
        <f t="shared" si="592"/>
        <v>0</v>
      </c>
      <c r="BJ80" s="545">
        <f t="shared" si="592"/>
        <v>0</v>
      </c>
      <c r="BK80" s="546">
        <f t="shared" si="592"/>
        <v>0</v>
      </c>
      <c r="BL80" s="545">
        <f t="shared" si="592"/>
        <v>0</v>
      </c>
      <c r="BM80" s="545">
        <f t="shared" si="592"/>
        <v>0</v>
      </c>
      <c r="BN80" s="545">
        <f t="shared" si="592"/>
        <v>0</v>
      </c>
      <c r="BO80" s="545">
        <f t="shared" si="592"/>
        <v>0</v>
      </c>
      <c r="BP80" s="545">
        <f t="shared" si="592"/>
        <v>0</v>
      </c>
      <c r="BQ80" s="545">
        <f t="shared" si="592"/>
        <v>0</v>
      </c>
      <c r="BR80" s="545">
        <f t="shared" si="592"/>
        <v>0</v>
      </c>
      <c r="BS80" s="545">
        <f t="shared" si="592"/>
        <v>0</v>
      </c>
      <c r="BT80" s="545">
        <f t="shared" si="592"/>
        <v>0</v>
      </c>
      <c r="BU80" s="545">
        <f t="shared" si="592"/>
        <v>0</v>
      </c>
      <c r="BV80" s="545">
        <f t="shared" si="593"/>
        <v>0</v>
      </c>
      <c r="BW80" s="546">
        <f t="shared" si="593"/>
        <v>0</v>
      </c>
      <c r="BX80" s="547">
        <v>0.15</v>
      </c>
      <c r="BY80" s="545">
        <f t="shared" si="593"/>
        <v>0.15</v>
      </c>
      <c r="BZ80" s="545">
        <f t="shared" si="593"/>
        <v>0.15</v>
      </c>
      <c r="CA80" s="545">
        <f t="shared" si="593"/>
        <v>0.15</v>
      </c>
      <c r="CB80" s="545">
        <f t="shared" si="593"/>
        <v>0.15</v>
      </c>
      <c r="CC80" s="545">
        <f t="shared" si="593"/>
        <v>0.15</v>
      </c>
      <c r="CD80" s="545">
        <f t="shared" si="593"/>
        <v>0.15</v>
      </c>
      <c r="CE80" s="545">
        <f t="shared" si="593"/>
        <v>0.15</v>
      </c>
      <c r="CF80" s="545">
        <f t="shared" si="593"/>
        <v>0.15</v>
      </c>
      <c r="CG80" s="545">
        <f t="shared" si="593"/>
        <v>0.15</v>
      </c>
      <c r="CH80" s="545">
        <f t="shared" si="593"/>
        <v>0.15</v>
      </c>
      <c r="CI80" s="546">
        <f t="shared" si="593"/>
        <v>0.15</v>
      </c>
      <c r="CJ80" s="547">
        <v>0.2</v>
      </c>
      <c r="CK80" s="545">
        <f t="shared" si="593"/>
        <v>0.2</v>
      </c>
      <c r="CL80" s="545">
        <f t="shared" si="594"/>
        <v>0.2</v>
      </c>
      <c r="CM80" s="545">
        <f t="shared" si="594"/>
        <v>0.2</v>
      </c>
      <c r="CN80" s="545">
        <f t="shared" si="594"/>
        <v>0.2</v>
      </c>
      <c r="CO80" s="545">
        <f t="shared" si="594"/>
        <v>0.2</v>
      </c>
      <c r="CP80" s="545">
        <f t="shared" si="594"/>
        <v>0.2</v>
      </c>
      <c r="CQ80" s="545">
        <f t="shared" si="594"/>
        <v>0.2</v>
      </c>
      <c r="CR80" s="545">
        <f t="shared" si="594"/>
        <v>0.2</v>
      </c>
      <c r="CS80" s="545">
        <f t="shared" si="594"/>
        <v>0.2</v>
      </c>
      <c r="CT80" s="545">
        <f t="shared" si="594"/>
        <v>0.2</v>
      </c>
      <c r="CU80" s="546">
        <f t="shared" si="594"/>
        <v>0.2</v>
      </c>
      <c r="CV80" s="545">
        <f t="shared" si="594"/>
        <v>0.2</v>
      </c>
      <c r="CW80" s="545">
        <f t="shared" si="594"/>
        <v>0.2</v>
      </c>
      <c r="CX80" s="545">
        <f t="shared" si="595"/>
        <v>0.2</v>
      </c>
      <c r="CY80" s="545">
        <f t="shared" si="595"/>
        <v>0.2</v>
      </c>
      <c r="CZ80" s="545">
        <f t="shared" si="595"/>
        <v>0.2</v>
      </c>
      <c r="DA80" s="545">
        <f t="shared" si="595"/>
        <v>0.2</v>
      </c>
      <c r="DB80" s="545">
        <f t="shared" si="595"/>
        <v>0.2</v>
      </c>
      <c r="DC80" s="545">
        <f t="shared" si="595"/>
        <v>0.2</v>
      </c>
      <c r="DD80" s="545">
        <f t="shared" si="595"/>
        <v>0.2</v>
      </c>
      <c r="DE80" s="545">
        <f t="shared" si="595"/>
        <v>0.2</v>
      </c>
      <c r="DF80" s="545">
        <f t="shared" si="595"/>
        <v>0.2</v>
      </c>
      <c r="DG80" s="545">
        <f t="shared" si="595"/>
        <v>0.2</v>
      </c>
    </row>
    <row r="81" spans="1:111" x14ac:dyDescent="0.25">
      <c r="B81" s="1" t="s">
        <v>332</v>
      </c>
      <c r="C81" s="1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>
        <v>300</v>
      </c>
      <c r="Z81" s="115"/>
      <c r="AA81" s="115">
        <v>300</v>
      </c>
      <c r="AB81" s="115"/>
      <c r="AC81" s="115"/>
      <c r="AD81" s="115"/>
      <c r="AE81" s="115"/>
      <c r="AF81" s="115"/>
      <c r="AG81" s="115"/>
      <c r="AH81" s="115"/>
      <c r="AI81" s="115">
        <v>0</v>
      </c>
      <c r="AJ81" s="115">
        <v>0</v>
      </c>
      <c r="AK81" s="115">
        <v>0</v>
      </c>
      <c r="AL81" s="115">
        <v>0</v>
      </c>
      <c r="AM81" s="520">
        <v>0</v>
      </c>
      <c r="AN81" s="115">
        <v>0</v>
      </c>
      <c r="AO81" s="115">
        <v>0</v>
      </c>
      <c r="AP81" s="115">
        <v>0</v>
      </c>
      <c r="AQ81" s="115">
        <v>0</v>
      </c>
      <c r="AR81" s="115">
        <v>0</v>
      </c>
      <c r="AS81" s="115">
        <v>0</v>
      </c>
      <c r="AT81" s="115">
        <v>0</v>
      </c>
      <c r="AU81" s="115">
        <v>0</v>
      </c>
      <c r="AV81" s="115">
        <v>0</v>
      </c>
      <c r="AW81" s="187">
        <v>0</v>
      </c>
      <c r="AX81" s="291">
        <v>0</v>
      </c>
      <c r="AY81" s="187">
        <f t="shared" ref="AY81" si="596">AX81</f>
        <v>0</v>
      </c>
      <c r="AZ81" s="291">
        <f>AVERAGE(AT81:AY81)*1.2</f>
        <v>0</v>
      </c>
      <c r="BA81" s="115">
        <f t="shared" ref="BA81" si="597">AZ81</f>
        <v>0</v>
      </c>
      <c r="BB81" s="115">
        <f t="shared" ref="BB81" si="598">BA81</f>
        <v>0</v>
      </c>
      <c r="BC81" s="115">
        <f t="shared" ref="BC81" si="599">BB81</f>
        <v>0</v>
      </c>
      <c r="BD81" s="115">
        <f t="shared" ref="BD81" si="600">BC81</f>
        <v>0</v>
      </c>
      <c r="BE81" s="115">
        <f t="shared" ref="BE81" si="601">BD81</f>
        <v>0</v>
      </c>
      <c r="BF81" s="115">
        <f t="shared" ref="BF81" si="602">BE81</f>
        <v>0</v>
      </c>
      <c r="BG81" s="115">
        <f t="shared" ref="BG81" si="603">BF81</f>
        <v>0</v>
      </c>
      <c r="BH81" s="115">
        <f t="shared" ref="BH81" si="604">BG81</f>
        <v>0</v>
      </c>
      <c r="BI81" s="115">
        <f t="shared" ref="BI81" si="605">BH81</f>
        <v>0</v>
      </c>
      <c r="BJ81" s="115">
        <f t="shared" ref="BJ81" si="606">BI81</f>
        <v>0</v>
      </c>
      <c r="BK81" s="187">
        <f t="shared" ref="BK81" si="607">BJ81</f>
        <v>0</v>
      </c>
      <c r="BL81" s="291">
        <f>AVERAGE(BF81:BK81)*1.2</f>
        <v>0</v>
      </c>
      <c r="BM81" s="115">
        <f t="shared" ref="BM81" si="608">BL81</f>
        <v>0</v>
      </c>
      <c r="BN81" s="115">
        <f t="shared" ref="BN81" si="609">BM81</f>
        <v>0</v>
      </c>
      <c r="BO81" s="115">
        <f t="shared" ref="BO81" si="610">BN81</f>
        <v>0</v>
      </c>
      <c r="BP81" s="115">
        <f t="shared" ref="BP81" si="611">BO81</f>
        <v>0</v>
      </c>
      <c r="BQ81" s="115">
        <f t="shared" ref="BQ81" si="612">BP81</f>
        <v>0</v>
      </c>
      <c r="BR81" s="115">
        <f t="shared" ref="BR81" si="613">BQ81</f>
        <v>0</v>
      </c>
      <c r="BS81" s="115">
        <f t="shared" ref="BS81" si="614">BR81</f>
        <v>0</v>
      </c>
      <c r="BT81" s="115">
        <f t="shared" ref="BT81" si="615">BS81</f>
        <v>0</v>
      </c>
      <c r="BU81" s="115">
        <f t="shared" ref="BU81" si="616">BT81</f>
        <v>0</v>
      </c>
      <c r="BV81" s="115">
        <f t="shared" ref="BV81" si="617">BU81</f>
        <v>0</v>
      </c>
      <c r="BW81" s="187">
        <f t="shared" ref="BW81" si="618">BV81</f>
        <v>0</v>
      </c>
      <c r="BX81" s="291">
        <f>AVERAGE(BR81:BW81)*1.2</f>
        <v>0</v>
      </c>
      <c r="BY81" s="115">
        <f t="shared" ref="BY81" si="619">BX81</f>
        <v>0</v>
      </c>
      <c r="BZ81" s="115">
        <f t="shared" ref="BZ81" si="620">BY81</f>
        <v>0</v>
      </c>
      <c r="CA81" s="115">
        <f t="shared" ref="CA81" si="621">BZ81</f>
        <v>0</v>
      </c>
      <c r="CB81" s="115">
        <f t="shared" ref="CB81" si="622">CA81</f>
        <v>0</v>
      </c>
      <c r="CC81" s="115">
        <f t="shared" ref="CC81" si="623">CB81</f>
        <v>0</v>
      </c>
      <c r="CD81" s="115">
        <f t="shared" ref="CD81" si="624">CC81</f>
        <v>0</v>
      </c>
      <c r="CE81" s="115">
        <f t="shared" ref="CE81" si="625">CD81</f>
        <v>0</v>
      </c>
      <c r="CF81" s="115">
        <f t="shared" ref="CF81" si="626">CE81</f>
        <v>0</v>
      </c>
      <c r="CG81" s="115">
        <f t="shared" ref="CG81" si="627">CF81</f>
        <v>0</v>
      </c>
      <c r="CH81" s="115">
        <f t="shared" ref="CH81" si="628">CG81</f>
        <v>0</v>
      </c>
      <c r="CI81" s="187">
        <f t="shared" ref="CI81" si="629">CH81</f>
        <v>0</v>
      </c>
      <c r="CJ81" s="291">
        <f>AVERAGE(CD81:CI81)*1.2</f>
        <v>0</v>
      </c>
      <c r="CK81" s="115">
        <f t="shared" ref="CK81" si="630">CJ81</f>
        <v>0</v>
      </c>
      <c r="CL81" s="115">
        <f t="shared" ref="CL81" si="631">CK81</f>
        <v>0</v>
      </c>
      <c r="CM81" s="115">
        <f t="shared" ref="CM81" si="632">CL81</f>
        <v>0</v>
      </c>
      <c r="CN81" s="115">
        <f t="shared" ref="CN81" si="633">CM81</f>
        <v>0</v>
      </c>
      <c r="CO81" s="115">
        <f t="shared" ref="CO81" si="634">CN81</f>
        <v>0</v>
      </c>
      <c r="CP81" s="115">
        <f t="shared" ref="CP81" si="635">CO81</f>
        <v>0</v>
      </c>
      <c r="CQ81" s="115">
        <f t="shared" ref="CQ81" si="636">CP81</f>
        <v>0</v>
      </c>
      <c r="CR81" s="115">
        <f t="shared" ref="CR81" si="637">CQ81</f>
        <v>0</v>
      </c>
      <c r="CS81" s="115">
        <f t="shared" ref="CS81" si="638">CR81</f>
        <v>0</v>
      </c>
      <c r="CT81" s="115">
        <f t="shared" ref="CT81" si="639">CS81</f>
        <v>0</v>
      </c>
      <c r="CU81" s="187">
        <f t="shared" ref="CU81" si="640">CT81</f>
        <v>0</v>
      </c>
      <c r="CV81" s="291">
        <f>AVERAGE(CP81:CU81)*1.2</f>
        <v>0</v>
      </c>
      <c r="CW81" s="115">
        <f t="shared" ref="CW81" si="641">CV81</f>
        <v>0</v>
      </c>
      <c r="CX81" s="115">
        <f t="shared" ref="CX81" si="642">CW81</f>
        <v>0</v>
      </c>
      <c r="CY81" s="115">
        <f t="shared" ref="CY81" si="643">CX81</f>
        <v>0</v>
      </c>
      <c r="CZ81" s="115">
        <f t="shared" ref="CZ81" si="644">CY81</f>
        <v>0</v>
      </c>
      <c r="DA81" s="115">
        <f t="shared" ref="DA81" si="645">CZ81</f>
        <v>0</v>
      </c>
      <c r="DB81" s="115">
        <f t="shared" ref="DB81" si="646">DA81</f>
        <v>0</v>
      </c>
      <c r="DC81" s="115">
        <f t="shared" ref="DC81" si="647">DB81</f>
        <v>0</v>
      </c>
      <c r="DD81" s="115">
        <f t="shared" ref="DD81" si="648">DC81</f>
        <v>0</v>
      </c>
      <c r="DE81" s="115">
        <f t="shared" ref="DE81" si="649">DD81</f>
        <v>0</v>
      </c>
      <c r="DF81" s="115">
        <f t="shared" ref="DF81" si="650">DE81</f>
        <v>0</v>
      </c>
      <c r="DG81" s="115">
        <f t="shared" ref="DG81" si="651">DF81</f>
        <v>0</v>
      </c>
    </row>
    <row r="82" spans="1:111" x14ac:dyDescent="0.25">
      <c r="B82" s="1" t="s">
        <v>330</v>
      </c>
      <c r="C82" s="1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>
        <v>13.59</v>
      </c>
      <c r="AI82" s="115">
        <v>15.71</v>
      </c>
      <c r="AJ82" s="115"/>
      <c r="AK82" s="115"/>
      <c r="AL82" s="115"/>
      <c r="AM82" s="520"/>
      <c r="AN82" s="115"/>
      <c r="AO82" s="115"/>
      <c r="AP82" s="115"/>
      <c r="AQ82" s="115"/>
      <c r="AR82" s="115">
        <v>44.17</v>
      </c>
      <c r="AS82" s="115">
        <v>49.63</v>
      </c>
      <c r="AT82" s="115">
        <v>126.3</v>
      </c>
      <c r="AU82" s="115">
        <v>417.97</v>
      </c>
      <c r="AV82" s="115">
        <v>0</v>
      </c>
      <c r="AW82" s="187">
        <f>222.44</f>
        <v>222.44</v>
      </c>
      <c r="AX82" s="291">
        <v>75</v>
      </c>
      <c r="AY82" s="187">
        <f t="shared" ref="AY82" si="652">AX82</f>
        <v>75</v>
      </c>
      <c r="AZ82" s="291">
        <f t="shared" ref="AZ82" si="653">AY82</f>
        <v>75</v>
      </c>
      <c r="BA82" s="115">
        <f t="shared" ref="BA82" si="654">AZ82</f>
        <v>75</v>
      </c>
      <c r="BB82" s="115">
        <f t="shared" ref="BB82" si="655">BA82</f>
        <v>75</v>
      </c>
      <c r="BC82" s="115">
        <f t="shared" ref="BC82" si="656">BB82</f>
        <v>75</v>
      </c>
      <c r="BD82" s="115">
        <f t="shared" ref="BD82" si="657">BC82</f>
        <v>75</v>
      </c>
      <c r="BE82" s="115">
        <f t="shared" ref="BE82" si="658">BD82</f>
        <v>75</v>
      </c>
      <c r="BF82" s="115">
        <f t="shared" ref="BF82" si="659">BE82</f>
        <v>75</v>
      </c>
      <c r="BG82" s="115">
        <f t="shared" ref="BG82" si="660">BF82</f>
        <v>75</v>
      </c>
      <c r="BH82" s="115">
        <f t="shared" ref="BH82" si="661">BG82</f>
        <v>75</v>
      </c>
      <c r="BI82" s="115">
        <f t="shared" ref="BI82" si="662">BH82</f>
        <v>75</v>
      </c>
      <c r="BJ82" s="115">
        <f t="shared" ref="BJ82" si="663">BI82</f>
        <v>75</v>
      </c>
      <c r="BK82" s="187">
        <f t="shared" ref="BK82" si="664">BJ82</f>
        <v>75</v>
      </c>
      <c r="BL82" s="291">
        <f t="shared" ref="BL82" si="665">BK82</f>
        <v>75</v>
      </c>
      <c r="BM82" s="115">
        <f t="shared" ref="BM82" si="666">BL82</f>
        <v>75</v>
      </c>
      <c r="BN82" s="115">
        <f t="shared" ref="BN82" si="667">BM82</f>
        <v>75</v>
      </c>
      <c r="BO82" s="115">
        <f t="shared" ref="BO82" si="668">BN82</f>
        <v>75</v>
      </c>
      <c r="BP82" s="115">
        <f t="shared" ref="BP82" si="669">BO82</f>
        <v>75</v>
      </c>
      <c r="BQ82" s="115">
        <f t="shared" ref="BQ82" si="670">BP82</f>
        <v>75</v>
      </c>
      <c r="BR82" s="115">
        <f t="shared" ref="BR82" si="671">BQ82</f>
        <v>75</v>
      </c>
      <c r="BS82" s="115">
        <f t="shared" ref="BS82" si="672">BR82</f>
        <v>75</v>
      </c>
      <c r="BT82" s="115">
        <f t="shared" ref="BT82" si="673">BS82</f>
        <v>75</v>
      </c>
      <c r="BU82" s="115">
        <f t="shared" ref="BU82" si="674">BT82</f>
        <v>75</v>
      </c>
      <c r="BV82" s="115">
        <f t="shared" ref="BV82" si="675">BU82</f>
        <v>75</v>
      </c>
      <c r="BW82" s="187">
        <f t="shared" ref="BW82" si="676">BV82</f>
        <v>75</v>
      </c>
      <c r="BX82" s="291">
        <f t="shared" ref="BX82" si="677">BW82</f>
        <v>75</v>
      </c>
      <c r="BY82" s="115">
        <f t="shared" ref="BY82" si="678">BX82</f>
        <v>75</v>
      </c>
      <c r="BZ82" s="115">
        <f t="shared" ref="BZ82" si="679">BY82</f>
        <v>75</v>
      </c>
      <c r="CA82" s="115">
        <f t="shared" ref="CA82" si="680">BZ82</f>
        <v>75</v>
      </c>
      <c r="CB82" s="115">
        <f t="shared" ref="CB82" si="681">CA82</f>
        <v>75</v>
      </c>
      <c r="CC82" s="115">
        <f t="shared" ref="CC82" si="682">CB82</f>
        <v>75</v>
      </c>
      <c r="CD82" s="115">
        <f t="shared" ref="CD82" si="683">CC82</f>
        <v>75</v>
      </c>
      <c r="CE82" s="115">
        <f t="shared" ref="CE82" si="684">CD82</f>
        <v>75</v>
      </c>
      <c r="CF82" s="115">
        <f t="shared" ref="CF82" si="685">CE82</f>
        <v>75</v>
      </c>
      <c r="CG82" s="115">
        <f t="shared" ref="CG82" si="686">CF82</f>
        <v>75</v>
      </c>
      <c r="CH82" s="115">
        <f t="shared" ref="CH82" si="687">CG82</f>
        <v>75</v>
      </c>
      <c r="CI82" s="187">
        <f t="shared" ref="CI82" si="688">CH82</f>
        <v>75</v>
      </c>
      <c r="CJ82" s="291">
        <f t="shared" ref="CJ82" si="689">CI82</f>
        <v>75</v>
      </c>
      <c r="CK82" s="115">
        <f t="shared" ref="CK82" si="690">CJ82</f>
        <v>75</v>
      </c>
      <c r="CL82" s="115">
        <f t="shared" ref="CL82" si="691">CK82</f>
        <v>75</v>
      </c>
      <c r="CM82" s="115">
        <f t="shared" ref="CM82" si="692">CL82</f>
        <v>75</v>
      </c>
      <c r="CN82" s="115">
        <f t="shared" ref="CN82" si="693">CM82</f>
        <v>75</v>
      </c>
      <c r="CO82" s="115">
        <f t="shared" ref="CO82" si="694">CN82</f>
        <v>75</v>
      </c>
      <c r="CP82" s="115">
        <f t="shared" ref="CP82" si="695">CO82</f>
        <v>75</v>
      </c>
      <c r="CQ82" s="115">
        <f t="shared" ref="CQ82" si="696">CP82</f>
        <v>75</v>
      </c>
      <c r="CR82" s="115">
        <f t="shared" ref="CR82" si="697">CQ82</f>
        <v>75</v>
      </c>
      <c r="CS82" s="115">
        <f t="shared" ref="CS82" si="698">CR82</f>
        <v>75</v>
      </c>
      <c r="CT82" s="115">
        <f t="shared" ref="CT82" si="699">CS82</f>
        <v>75</v>
      </c>
      <c r="CU82" s="187">
        <f t="shared" ref="CU82" si="700">CT82</f>
        <v>75</v>
      </c>
      <c r="CV82" s="291">
        <f t="shared" ref="CV82" si="701">CU82</f>
        <v>75</v>
      </c>
      <c r="CW82" s="115">
        <f t="shared" ref="CW82" si="702">CV82</f>
        <v>75</v>
      </c>
      <c r="CX82" s="115">
        <f t="shared" ref="CX82" si="703">CW82</f>
        <v>75</v>
      </c>
      <c r="CY82" s="115">
        <f t="shared" ref="CY82" si="704">CX82</f>
        <v>75</v>
      </c>
      <c r="CZ82" s="115">
        <f t="shared" ref="CZ82" si="705">CY82</f>
        <v>75</v>
      </c>
      <c r="DA82" s="115">
        <f t="shared" ref="DA82" si="706">CZ82</f>
        <v>75</v>
      </c>
      <c r="DB82" s="115">
        <f t="shared" ref="DB82" si="707">DA82</f>
        <v>75</v>
      </c>
      <c r="DC82" s="115">
        <f t="shared" ref="DC82" si="708">DB82</f>
        <v>75</v>
      </c>
      <c r="DD82" s="115">
        <f t="shared" ref="DD82" si="709">DC82</f>
        <v>75</v>
      </c>
      <c r="DE82" s="115">
        <f t="shared" ref="DE82" si="710">DD82</f>
        <v>75</v>
      </c>
      <c r="DF82" s="115">
        <f t="shared" ref="DF82" si="711">DE82</f>
        <v>75</v>
      </c>
      <c r="DG82" s="115">
        <f t="shared" ref="DG82" si="712">DF82</f>
        <v>75</v>
      </c>
    </row>
    <row r="83" spans="1:111" x14ac:dyDescent="0.25">
      <c r="B83" s="1" t="s">
        <v>331</v>
      </c>
      <c r="C83" s="1"/>
      <c r="D83" s="115">
        <f>0</f>
        <v>0</v>
      </c>
      <c r="E83" s="115">
        <f>0</f>
        <v>0</v>
      </c>
      <c r="F83" s="115">
        <f>0</f>
        <v>0</v>
      </c>
      <c r="G83" s="115">
        <f>0</f>
        <v>0</v>
      </c>
      <c r="H83" s="115">
        <f>0</f>
        <v>0</v>
      </c>
      <c r="I83" s="115">
        <f>0</f>
        <v>0</v>
      </c>
      <c r="J83" s="115">
        <v>0</v>
      </c>
      <c r="K83" s="115">
        <v>0</v>
      </c>
      <c r="L83" s="115">
        <v>12</v>
      </c>
      <c r="M83" s="115">
        <v>271.2</v>
      </c>
      <c r="N83" s="115">
        <v>12</v>
      </c>
      <c r="O83" s="115">
        <v>12</v>
      </c>
      <c r="P83" s="115">
        <v>12</v>
      </c>
      <c r="Q83" s="115">
        <v>12</v>
      </c>
      <c r="R83" s="115">
        <v>12</v>
      </c>
      <c r="S83" s="115">
        <v>12</v>
      </c>
      <c r="T83" s="115">
        <v>53</v>
      </c>
      <c r="U83" s="115">
        <v>156</v>
      </c>
      <c r="V83" s="115">
        <v>12</v>
      </c>
      <c r="W83" s="115">
        <v>12</v>
      </c>
      <c r="X83" s="115">
        <v>240.91</v>
      </c>
      <c r="Y83" s="115">
        <v>352.91</v>
      </c>
      <c r="Z83" s="115">
        <v>28.91</v>
      </c>
      <c r="AA83" s="115">
        <v>28.91</v>
      </c>
      <c r="AB83" s="115">
        <v>78.91</v>
      </c>
      <c r="AC83" s="115">
        <v>28.91</v>
      </c>
      <c r="AD83" s="115">
        <v>86.19</v>
      </c>
      <c r="AE83" s="115">
        <v>12</v>
      </c>
      <c r="AF83" s="115">
        <v>154.47</v>
      </c>
      <c r="AG83" s="115">
        <v>310.12</v>
      </c>
      <c r="AH83" s="115">
        <v>1251.1300000000001</v>
      </c>
      <c r="AI83" s="115">
        <v>14.81</v>
      </c>
      <c r="AJ83" s="115">
        <v>76.75</v>
      </c>
      <c r="AK83" s="115">
        <v>90.81</v>
      </c>
      <c r="AL83" s="115">
        <v>100.41</v>
      </c>
      <c r="AM83" s="520">
        <v>107.82</v>
      </c>
      <c r="AN83" s="115">
        <v>218.17</v>
      </c>
      <c r="AO83" s="115">
        <v>118.63</v>
      </c>
      <c r="AP83" s="115">
        <v>118.81</v>
      </c>
      <c r="AQ83" s="115">
        <v>202.32</v>
      </c>
      <c r="AR83" s="115">
        <v>241.38</v>
      </c>
      <c r="AS83" s="115">
        <v>433.68</v>
      </c>
      <c r="AT83" s="115">
        <v>209.45</v>
      </c>
      <c r="AU83" s="115">
        <v>336.39</v>
      </c>
      <c r="AV83" s="115">
        <f>843.04</f>
        <v>843.04</v>
      </c>
      <c r="AW83" s="187">
        <f>709.4</f>
        <v>709.4</v>
      </c>
      <c r="AX83" s="291">
        <v>150</v>
      </c>
      <c r="AY83" s="187">
        <f t="shared" ref="AY83:CA83" si="713">AX83</f>
        <v>150</v>
      </c>
      <c r="AZ83" s="291">
        <f>AVERAGE(AT83:AY83)*1.2</f>
        <v>479.65599999999995</v>
      </c>
      <c r="BA83" s="115">
        <f t="shared" si="713"/>
        <v>479.65599999999995</v>
      </c>
      <c r="BB83" s="115">
        <f t="shared" si="713"/>
        <v>479.65599999999995</v>
      </c>
      <c r="BC83" s="115">
        <f t="shared" si="713"/>
        <v>479.65599999999995</v>
      </c>
      <c r="BD83" s="115">
        <f t="shared" si="713"/>
        <v>479.65599999999995</v>
      </c>
      <c r="BE83" s="115">
        <f t="shared" si="713"/>
        <v>479.65599999999995</v>
      </c>
      <c r="BF83" s="115">
        <f t="shared" si="713"/>
        <v>479.65599999999995</v>
      </c>
      <c r="BG83" s="115">
        <f t="shared" si="713"/>
        <v>479.65599999999995</v>
      </c>
      <c r="BH83" s="115">
        <f t="shared" si="713"/>
        <v>479.65599999999995</v>
      </c>
      <c r="BI83" s="115">
        <f t="shared" si="713"/>
        <v>479.65599999999995</v>
      </c>
      <c r="BJ83" s="115">
        <f t="shared" si="713"/>
        <v>479.65599999999995</v>
      </c>
      <c r="BK83" s="187">
        <f t="shared" si="713"/>
        <v>479.65599999999995</v>
      </c>
      <c r="BL83" s="291">
        <f>AVERAGE(BF83:BK83)*1.2</f>
        <v>575.58719999999994</v>
      </c>
      <c r="BM83" s="115">
        <f t="shared" si="713"/>
        <v>575.58719999999994</v>
      </c>
      <c r="BN83" s="115">
        <f t="shared" si="713"/>
        <v>575.58719999999994</v>
      </c>
      <c r="BO83" s="115">
        <f t="shared" si="713"/>
        <v>575.58719999999994</v>
      </c>
      <c r="BP83" s="115">
        <f t="shared" si="713"/>
        <v>575.58719999999994</v>
      </c>
      <c r="BQ83" s="115">
        <f t="shared" si="713"/>
        <v>575.58719999999994</v>
      </c>
      <c r="BR83" s="115">
        <f t="shared" si="713"/>
        <v>575.58719999999994</v>
      </c>
      <c r="BS83" s="115">
        <f t="shared" si="713"/>
        <v>575.58719999999994</v>
      </c>
      <c r="BT83" s="115">
        <f t="shared" si="713"/>
        <v>575.58719999999994</v>
      </c>
      <c r="BU83" s="115">
        <f t="shared" si="713"/>
        <v>575.58719999999994</v>
      </c>
      <c r="BV83" s="115">
        <f t="shared" si="713"/>
        <v>575.58719999999994</v>
      </c>
      <c r="BW83" s="187">
        <f t="shared" si="713"/>
        <v>575.58719999999994</v>
      </c>
      <c r="BX83" s="291">
        <f>AVERAGE(BR83:BW83)*1.2</f>
        <v>690.70463999999993</v>
      </c>
      <c r="BY83" s="115">
        <f t="shared" si="713"/>
        <v>690.70463999999993</v>
      </c>
      <c r="BZ83" s="115">
        <f t="shared" si="713"/>
        <v>690.70463999999993</v>
      </c>
      <c r="CA83" s="115">
        <f t="shared" si="713"/>
        <v>690.70463999999993</v>
      </c>
      <c r="CB83" s="115">
        <f t="shared" ref="CB83:DG83" si="714">CA83</f>
        <v>690.70463999999993</v>
      </c>
      <c r="CC83" s="115">
        <f t="shared" si="714"/>
        <v>690.70463999999993</v>
      </c>
      <c r="CD83" s="115">
        <f t="shared" si="714"/>
        <v>690.70463999999993</v>
      </c>
      <c r="CE83" s="115">
        <f t="shared" si="714"/>
        <v>690.70463999999993</v>
      </c>
      <c r="CF83" s="115">
        <f t="shared" si="714"/>
        <v>690.70463999999993</v>
      </c>
      <c r="CG83" s="115">
        <f t="shared" si="714"/>
        <v>690.70463999999993</v>
      </c>
      <c r="CH83" s="115">
        <f t="shared" si="714"/>
        <v>690.70463999999993</v>
      </c>
      <c r="CI83" s="187">
        <f t="shared" si="714"/>
        <v>690.70463999999993</v>
      </c>
      <c r="CJ83" s="291">
        <f>AVERAGE(CD83:CI83)*1.2</f>
        <v>828.84556799999984</v>
      </c>
      <c r="CK83" s="115">
        <f t="shared" si="714"/>
        <v>828.84556799999984</v>
      </c>
      <c r="CL83" s="115">
        <f t="shared" si="714"/>
        <v>828.84556799999984</v>
      </c>
      <c r="CM83" s="115">
        <f t="shared" si="714"/>
        <v>828.84556799999984</v>
      </c>
      <c r="CN83" s="115">
        <f t="shared" si="714"/>
        <v>828.84556799999984</v>
      </c>
      <c r="CO83" s="115">
        <f t="shared" si="714"/>
        <v>828.84556799999984</v>
      </c>
      <c r="CP83" s="115">
        <f t="shared" si="714"/>
        <v>828.84556799999984</v>
      </c>
      <c r="CQ83" s="115">
        <f t="shared" si="714"/>
        <v>828.84556799999984</v>
      </c>
      <c r="CR83" s="115">
        <f t="shared" si="714"/>
        <v>828.84556799999984</v>
      </c>
      <c r="CS83" s="115">
        <f t="shared" si="714"/>
        <v>828.84556799999984</v>
      </c>
      <c r="CT83" s="115">
        <f t="shared" si="714"/>
        <v>828.84556799999984</v>
      </c>
      <c r="CU83" s="187">
        <f t="shared" si="714"/>
        <v>828.84556799999984</v>
      </c>
      <c r="CV83" s="291">
        <f>AVERAGE(CP83:CU83)*1.2</f>
        <v>994.61468159999981</v>
      </c>
      <c r="CW83" s="115">
        <f t="shared" si="714"/>
        <v>994.61468159999981</v>
      </c>
      <c r="CX83" s="115">
        <f t="shared" si="714"/>
        <v>994.61468159999981</v>
      </c>
      <c r="CY83" s="115">
        <f t="shared" si="714"/>
        <v>994.61468159999981</v>
      </c>
      <c r="CZ83" s="115">
        <f t="shared" si="714"/>
        <v>994.61468159999981</v>
      </c>
      <c r="DA83" s="115">
        <f t="shared" si="714"/>
        <v>994.61468159999981</v>
      </c>
      <c r="DB83" s="115">
        <f t="shared" si="714"/>
        <v>994.61468159999981</v>
      </c>
      <c r="DC83" s="115">
        <f t="shared" si="714"/>
        <v>994.61468159999981</v>
      </c>
      <c r="DD83" s="115">
        <f t="shared" si="714"/>
        <v>994.61468159999981</v>
      </c>
      <c r="DE83" s="115">
        <f t="shared" si="714"/>
        <v>994.61468159999981</v>
      </c>
      <c r="DF83" s="115">
        <f t="shared" si="714"/>
        <v>994.61468159999981</v>
      </c>
      <c r="DG83" s="115">
        <f t="shared" si="714"/>
        <v>994.61468159999981</v>
      </c>
    </row>
    <row r="84" spans="1:111" x14ac:dyDescent="0.25">
      <c r="B84" s="1" t="s">
        <v>333</v>
      </c>
      <c r="C84" s="1"/>
      <c r="D84" s="115">
        <f>0</f>
        <v>0</v>
      </c>
      <c r="E84" s="115">
        <f>0</f>
        <v>0</v>
      </c>
      <c r="F84" s="115">
        <f>0</f>
        <v>0</v>
      </c>
      <c r="G84" s="115">
        <f>0</f>
        <v>0</v>
      </c>
      <c r="H84" s="115">
        <f>0</f>
        <v>0</v>
      </c>
      <c r="I84" s="115">
        <f>0</f>
        <v>0</v>
      </c>
      <c r="J84" s="115">
        <v>0</v>
      </c>
      <c r="K84" s="115">
        <v>0</v>
      </c>
      <c r="L84" s="115">
        <v>0</v>
      </c>
      <c r="M84" s="115">
        <v>50</v>
      </c>
      <c r="N84" s="115">
        <v>250</v>
      </c>
      <c r="O84" s="115">
        <v>0</v>
      </c>
      <c r="P84" s="115"/>
      <c r="Q84" s="115"/>
      <c r="R84" s="115"/>
      <c r="S84" s="115"/>
      <c r="T84" s="115"/>
      <c r="U84" s="115"/>
      <c r="V84" s="115"/>
      <c r="W84" s="115"/>
      <c r="X84" s="115">
        <v>150</v>
      </c>
      <c r="Y84" s="115"/>
      <c r="Z84" s="115">
        <v>430</v>
      </c>
      <c r="AA84" s="115"/>
      <c r="AB84" s="115"/>
      <c r="AC84" s="115"/>
      <c r="AD84" s="115">
        <v>50</v>
      </c>
      <c r="AE84" s="115"/>
      <c r="AF84" s="115">
        <v>141.19</v>
      </c>
      <c r="AG84" s="115"/>
      <c r="AH84" s="115"/>
      <c r="AI84" s="115"/>
      <c r="AJ84" s="115">
        <v>80</v>
      </c>
      <c r="AK84" s="115">
        <v>65</v>
      </c>
      <c r="AL84" s="115">
        <v>387.9</v>
      </c>
      <c r="AM84" s="520">
        <v>45</v>
      </c>
      <c r="AN84" s="115">
        <v>485</v>
      </c>
      <c r="AO84" s="115">
        <v>424</v>
      </c>
      <c r="AP84" s="115">
        <v>152.63</v>
      </c>
      <c r="AQ84" s="115"/>
      <c r="AR84" s="115">
        <v>346.05</v>
      </c>
      <c r="AS84" s="115">
        <v>100</v>
      </c>
      <c r="AT84" s="115">
        <v>79.040000000000006</v>
      </c>
      <c r="AU84" s="115"/>
      <c r="AV84" s="115">
        <f>574.22</f>
        <v>574.22</v>
      </c>
      <c r="AW84" s="187">
        <f>150.39</f>
        <v>150.38999999999999</v>
      </c>
      <c r="AX84" s="291">
        <v>100</v>
      </c>
      <c r="AY84" s="187">
        <f t="shared" ref="AY84:CA84" si="715">AX84</f>
        <v>100</v>
      </c>
      <c r="AZ84" s="115">
        <f t="shared" si="715"/>
        <v>100</v>
      </c>
      <c r="BA84" s="115">
        <f t="shared" si="715"/>
        <v>100</v>
      </c>
      <c r="BB84" s="115">
        <f t="shared" si="715"/>
        <v>100</v>
      </c>
      <c r="BC84" s="115">
        <f t="shared" si="715"/>
        <v>100</v>
      </c>
      <c r="BD84" s="115">
        <f t="shared" si="715"/>
        <v>100</v>
      </c>
      <c r="BE84" s="115">
        <f t="shared" si="715"/>
        <v>100</v>
      </c>
      <c r="BF84" s="115">
        <f t="shared" si="715"/>
        <v>100</v>
      </c>
      <c r="BG84" s="115">
        <f t="shared" si="715"/>
        <v>100</v>
      </c>
      <c r="BH84" s="115">
        <f t="shared" si="715"/>
        <v>100</v>
      </c>
      <c r="BI84" s="115">
        <f t="shared" si="715"/>
        <v>100</v>
      </c>
      <c r="BJ84" s="115">
        <f t="shared" si="715"/>
        <v>100</v>
      </c>
      <c r="BK84" s="187">
        <f t="shared" si="715"/>
        <v>100</v>
      </c>
      <c r="BL84" s="115">
        <f t="shared" si="715"/>
        <v>100</v>
      </c>
      <c r="BM84" s="115">
        <f t="shared" si="715"/>
        <v>100</v>
      </c>
      <c r="BN84" s="115">
        <f t="shared" si="715"/>
        <v>100</v>
      </c>
      <c r="BO84" s="115">
        <f t="shared" si="715"/>
        <v>100</v>
      </c>
      <c r="BP84" s="115">
        <f t="shared" si="715"/>
        <v>100</v>
      </c>
      <c r="BQ84" s="115">
        <f t="shared" si="715"/>
        <v>100</v>
      </c>
      <c r="BR84" s="115">
        <f t="shared" si="715"/>
        <v>100</v>
      </c>
      <c r="BS84" s="115">
        <f t="shared" si="715"/>
        <v>100</v>
      </c>
      <c r="BT84" s="115">
        <f t="shared" si="715"/>
        <v>100</v>
      </c>
      <c r="BU84" s="115">
        <f t="shared" si="715"/>
        <v>100</v>
      </c>
      <c r="BV84" s="115">
        <f t="shared" si="715"/>
        <v>100</v>
      </c>
      <c r="BW84" s="187">
        <f t="shared" si="715"/>
        <v>100</v>
      </c>
      <c r="BX84" s="115">
        <f t="shared" si="715"/>
        <v>100</v>
      </c>
      <c r="BY84" s="115">
        <f t="shared" si="715"/>
        <v>100</v>
      </c>
      <c r="BZ84" s="115">
        <f t="shared" si="715"/>
        <v>100</v>
      </c>
      <c r="CA84" s="115">
        <f t="shared" si="715"/>
        <v>100</v>
      </c>
      <c r="CB84" s="115">
        <f t="shared" ref="CB84:DG84" si="716">CA84</f>
        <v>100</v>
      </c>
      <c r="CC84" s="115">
        <f t="shared" si="716"/>
        <v>100</v>
      </c>
      <c r="CD84" s="115">
        <f t="shared" si="716"/>
        <v>100</v>
      </c>
      <c r="CE84" s="115">
        <f t="shared" si="716"/>
        <v>100</v>
      </c>
      <c r="CF84" s="115">
        <f t="shared" si="716"/>
        <v>100</v>
      </c>
      <c r="CG84" s="115">
        <f t="shared" si="716"/>
        <v>100</v>
      </c>
      <c r="CH84" s="115">
        <f t="shared" si="716"/>
        <v>100</v>
      </c>
      <c r="CI84" s="187">
        <f t="shared" si="716"/>
        <v>100</v>
      </c>
      <c r="CJ84" s="115">
        <f t="shared" si="716"/>
        <v>100</v>
      </c>
      <c r="CK84" s="115">
        <f t="shared" si="716"/>
        <v>100</v>
      </c>
      <c r="CL84" s="115">
        <f t="shared" si="716"/>
        <v>100</v>
      </c>
      <c r="CM84" s="115">
        <f t="shared" si="716"/>
        <v>100</v>
      </c>
      <c r="CN84" s="115">
        <f t="shared" si="716"/>
        <v>100</v>
      </c>
      <c r="CO84" s="115">
        <f t="shared" si="716"/>
        <v>100</v>
      </c>
      <c r="CP84" s="115">
        <f t="shared" si="716"/>
        <v>100</v>
      </c>
      <c r="CQ84" s="115">
        <f t="shared" si="716"/>
        <v>100</v>
      </c>
      <c r="CR84" s="115">
        <f t="shared" si="716"/>
        <v>100</v>
      </c>
      <c r="CS84" s="115">
        <f t="shared" si="716"/>
        <v>100</v>
      </c>
      <c r="CT84" s="115">
        <f t="shared" si="716"/>
        <v>100</v>
      </c>
      <c r="CU84" s="187">
        <f t="shared" si="716"/>
        <v>100</v>
      </c>
      <c r="CV84" s="115">
        <f t="shared" si="716"/>
        <v>100</v>
      </c>
      <c r="CW84" s="115">
        <f t="shared" si="716"/>
        <v>100</v>
      </c>
      <c r="CX84" s="115">
        <f t="shared" si="716"/>
        <v>100</v>
      </c>
      <c r="CY84" s="115">
        <f t="shared" si="716"/>
        <v>100</v>
      </c>
      <c r="CZ84" s="115">
        <f t="shared" si="716"/>
        <v>100</v>
      </c>
      <c r="DA84" s="115">
        <f t="shared" si="716"/>
        <v>100</v>
      </c>
      <c r="DB84" s="115">
        <f t="shared" si="716"/>
        <v>100</v>
      </c>
      <c r="DC84" s="115">
        <f t="shared" si="716"/>
        <v>100</v>
      </c>
      <c r="DD84" s="115">
        <f t="shared" si="716"/>
        <v>100</v>
      </c>
      <c r="DE84" s="115">
        <f t="shared" si="716"/>
        <v>100</v>
      </c>
      <c r="DF84" s="115">
        <f t="shared" si="716"/>
        <v>100</v>
      </c>
      <c r="DG84" s="115">
        <f t="shared" si="716"/>
        <v>100</v>
      </c>
    </row>
    <row r="85" spans="1:111" s="5" customFormat="1" x14ac:dyDescent="0.25">
      <c r="A85"/>
      <c r="B85" s="1" t="s">
        <v>334</v>
      </c>
      <c r="C85" s="1"/>
      <c r="D85" s="115">
        <f>0</f>
        <v>0</v>
      </c>
      <c r="E85" s="115">
        <f>0</f>
        <v>0</v>
      </c>
      <c r="F85" s="115">
        <f>0</f>
        <v>0</v>
      </c>
      <c r="G85" s="115">
        <f>0</f>
        <v>0</v>
      </c>
      <c r="H85" s="115">
        <f>0</f>
        <v>0</v>
      </c>
      <c r="I85" s="115">
        <f>0</f>
        <v>0</v>
      </c>
      <c r="J85" s="115">
        <v>0</v>
      </c>
      <c r="K85" s="115">
        <v>0</v>
      </c>
      <c r="L85" s="115">
        <v>15</v>
      </c>
      <c r="M85" s="115">
        <v>19</v>
      </c>
      <c r="N85" s="115">
        <v>0</v>
      </c>
      <c r="O85" s="115">
        <v>0</v>
      </c>
      <c r="P85" s="115"/>
      <c r="Q85" s="115"/>
      <c r="R85" s="115"/>
      <c r="S85" s="115"/>
      <c r="T85" s="115"/>
      <c r="U85" s="115"/>
      <c r="V85" s="115"/>
      <c r="W85" s="115"/>
      <c r="X85" s="115"/>
      <c r="Y85" s="115">
        <v>13.86</v>
      </c>
      <c r="Z85" s="115"/>
      <c r="AA85" s="115"/>
      <c r="AB85" s="115"/>
      <c r="AC85" s="115"/>
      <c r="AD85" s="115"/>
      <c r="AE85" s="115"/>
      <c r="AF85" s="115"/>
      <c r="AG85" s="115"/>
      <c r="AH85" s="115"/>
      <c r="AI85" s="115">
        <v>42.58</v>
      </c>
      <c r="AJ85" s="115"/>
      <c r="AK85" s="115"/>
      <c r="AL85" s="115"/>
      <c r="AM85" s="520"/>
      <c r="AN85" s="115"/>
      <c r="AO85" s="115"/>
      <c r="AP85" s="115"/>
      <c r="AQ85" s="115">
        <v>0</v>
      </c>
      <c r="AR85" s="115">
        <v>0</v>
      </c>
      <c r="AS85" s="115">
        <v>0</v>
      </c>
      <c r="AT85" s="115">
        <v>0</v>
      </c>
      <c r="AU85" s="115">
        <v>0</v>
      </c>
      <c r="AV85" s="115">
        <v>0</v>
      </c>
      <c r="AW85" s="187">
        <v>0</v>
      </c>
      <c r="AX85" s="291">
        <f>AVERAGE(AO85:AW85)</f>
        <v>0</v>
      </c>
      <c r="AY85" s="187">
        <f t="shared" ref="AY85:CA85" si="717">AX85</f>
        <v>0</v>
      </c>
      <c r="AZ85" s="115">
        <f t="shared" si="717"/>
        <v>0</v>
      </c>
      <c r="BA85" s="115">
        <f t="shared" si="717"/>
        <v>0</v>
      </c>
      <c r="BB85" s="115">
        <f t="shared" si="717"/>
        <v>0</v>
      </c>
      <c r="BC85" s="115">
        <f t="shared" si="717"/>
        <v>0</v>
      </c>
      <c r="BD85" s="115">
        <f t="shared" si="717"/>
        <v>0</v>
      </c>
      <c r="BE85" s="115">
        <f t="shared" si="717"/>
        <v>0</v>
      </c>
      <c r="BF85" s="115">
        <f t="shared" si="717"/>
        <v>0</v>
      </c>
      <c r="BG85" s="115">
        <f t="shared" si="717"/>
        <v>0</v>
      </c>
      <c r="BH85" s="115">
        <f t="shared" si="717"/>
        <v>0</v>
      </c>
      <c r="BI85" s="115">
        <f t="shared" si="717"/>
        <v>0</v>
      </c>
      <c r="BJ85" s="115">
        <f t="shared" si="717"/>
        <v>0</v>
      </c>
      <c r="BK85" s="187">
        <f t="shared" si="717"/>
        <v>0</v>
      </c>
      <c r="BL85" s="115">
        <f t="shared" si="717"/>
        <v>0</v>
      </c>
      <c r="BM85" s="115">
        <f t="shared" si="717"/>
        <v>0</v>
      </c>
      <c r="BN85" s="115">
        <f t="shared" si="717"/>
        <v>0</v>
      </c>
      <c r="BO85" s="115">
        <f t="shared" si="717"/>
        <v>0</v>
      </c>
      <c r="BP85" s="115">
        <f t="shared" si="717"/>
        <v>0</v>
      </c>
      <c r="BQ85" s="115">
        <f t="shared" si="717"/>
        <v>0</v>
      </c>
      <c r="BR85" s="115">
        <f t="shared" si="717"/>
        <v>0</v>
      </c>
      <c r="BS85" s="115">
        <f t="shared" si="717"/>
        <v>0</v>
      </c>
      <c r="BT85" s="115">
        <f t="shared" si="717"/>
        <v>0</v>
      </c>
      <c r="BU85" s="115">
        <f t="shared" si="717"/>
        <v>0</v>
      </c>
      <c r="BV85" s="115">
        <f t="shared" si="717"/>
        <v>0</v>
      </c>
      <c r="BW85" s="187">
        <f t="shared" si="717"/>
        <v>0</v>
      </c>
      <c r="BX85" s="115">
        <f t="shared" si="717"/>
        <v>0</v>
      </c>
      <c r="BY85" s="115">
        <f t="shared" si="717"/>
        <v>0</v>
      </c>
      <c r="BZ85" s="115">
        <f t="shared" si="717"/>
        <v>0</v>
      </c>
      <c r="CA85" s="115">
        <f t="shared" si="717"/>
        <v>0</v>
      </c>
      <c r="CB85" s="115">
        <f t="shared" ref="CB85:DG85" si="718">CA85</f>
        <v>0</v>
      </c>
      <c r="CC85" s="115">
        <f t="shared" si="718"/>
        <v>0</v>
      </c>
      <c r="CD85" s="115">
        <f t="shared" si="718"/>
        <v>0</v>
      </c>
      <c r="CE85" s="115">
        <f t="shared" si="718"/>
        <v>0</v>
      </c>
      <c r="CF85" s="115">
        <f t="shared" si="718"/>
        <v>0</v>
      </c>
      <c r="CG85" s="115">
        <f t="shared" si="718"/>
        <v>0</v>
      </c>
      <c r="CH85" s="115">
        <f t="shared" si="718"/>
        <v>0</v>
      </c>
      <c r="CI85" s="187">
        <f t="shared" si="718"/>
        <v>0</v>
      </c>
      <c r="CJ85" s="115">
        <f t="shared" si="718"/>
        <v>0</v>
      </c>
      <c r="CK85" s="115">
        <f t="shared" si="718"/>
        <v>0</v>
      </c>
      <c r="CL85" s="115">
        <f t="shared" si="718"/>
        <v>0</v>
      </c>
      <c r="CM85" s="115">
        <f t="shared" si="718"/>
        <v>0</v>
      </c>
      <c r="CN85" s="115">
        <f t="shared" si="718"/>
        <v>0</v>
      </c>
      <c r="CO85" s="115">
        <f t="shared" si="718"/>
        <v>0</v>
      </c>
      <c r="CP85" s="115">
        <f t="shared" si="718"/>
        <v>0</v>
      </c>
      <c r="CQ85" s="115">
        <f t="shared" si="718"/>
        <v>0</v>
      </c>
      <c r="CR85" s="115">
        <f t="shared" si="718"/>
        <v>0</v>
      </c>
      <c r="CS85" s="115">
        <f t="shared" si="718"/>
        <v>0</v>
      </c>
      <c r="CT85" s="115">
        <f t="shared" si="718"/>
        <v>0</v>
      </c>
      <c r="CU85" s="187">
        <f t="shared" si="718"/>
        <v>0</v>
      </c>
      <c r="CV85" s="115">
        <f t="shared" si="718"/>
        <v>0</v>
      </c>
      <c r="CW85" s="115">
        <f t="shared" si="718"/>
        <v>0</v>
      </c>
      <c r="CX85" s="115">
        <f t="shared" si="718"/>
        <v>0</v>
      </c>
      <c r="CY85" s="115">
        <f t="shared" si="718"/>
        <v>0</v>
      </c>
      <c r="CZ85" s="115">
        <f t="shared" si="718"/>
        <v>0</v>
      </c>
      <c r="DA85" s="115">
        <f t="shared" si="718"/>
        <v>0</v>
      </c>
      <c r="DB85" s="115">
        <f t="shared" si="718"/>
        <v>0</v>
      </c>
      <c r="DC85" s="115">
        <f t="shared" si="718"/>
        <v>0</v>
      </c>
      <c r="DD85" s="115">
        <f t="shared" si="718"/>
        <v>0</v>
      </c>
      <c r="DE85" s="115">
        <f t="shared" si="718"/>
        <v>0</v>
      </c>
      <c r="DF85" s="115">
        <f t="shared" si="718"/>
        <v>0</v>
      </c>
      <c r="DG85" s="115">
        <f t="shared" si="718"/>
        <v>0</v>
      </c>
    </row>
    <row r="86" spans="1:111" s="5" customFormat="1" x14ac:dyDescent="0.25">
      <c r="A86"/>
      <c r="B86" s="1" t="s">
        <v>335</v>
      </c>
      <c r="C86" s="1"/>
      <c r="D86" s="115">
        <f>0</f>
        <v>0</v>
      </c>
      <c r="E86" s="115">
        <f>0</f>
        <v>0</v>
      </c>
      <c r="F86" s="115">
        <f>0</f>
        <v>0</v>
      </c>
      <c r="G86" s="115">
        <f>0</f>
        <v>0</v>
      </c>
      <c r="H86" s="115">
        <f>0</f>
        <v>0</v>
      </c>
      <c r="I86" s="115">
        <f>0</f>
        <v>0</v>
      </c>
      <c r="J86" s="115">
        <v>0</v>
      </c>
      <c r="K86" s="115">
        <v>0</v>
      </c>
      <c r="L86" s="115">
        <v>0</v>
      </c>
      <c r="M86" s="115">
        <v>279.60000000000002</v>
      </c>
      <c r="N86" s="115">
        <v>75</v>
      </c>
      <c r="O86" s="115">
        <v>75</v>
      </c>
      <c r="P86" s="115">
        <v>75</v>
      </c>
      <c r="Q86" s="115">
        <v>75</v>
      </c>
      <c r="R86" s="115"/>
      <c r="S86" s="115">
        <v>75</v>
      </c>
      <c r="T86" s="115">
        <v>165</v>
      </c>
      <c r="U86" s="115">
        <v>225</v>
      </c>
      <c r="V86" s="115">
        <v>75</v>
      </c>
      <c r="W86" s="115">
        <v>75</v>
      </c>
      <c r="X86" s="115">
        <v>225</v>
      </c>
      <c r="Y86" s="115">
        <v>75</v>
      </c>
      <c r="Z86" s="115">
        <v>75</v>
      </c>
      <c r="AA86" s="115">
        <v>225</v>
      </c>
      <c r="AB86" s="115">
        <v>75</v>
      </c>
      <c r="AC86" s="115">
        <v>112.5</v>
      </c>
      <c r="AD86" s="115">
        <v>225</v>
      </c>
      <c r="AE86" s="115">
        <v>75</v>
      </c>
      <c r="AF86" s="115">
        <v>75</v>
      </c>
      <c r="AG86" s="115">
        <v>225</v>
      </c>
      <c r="AH86" s="115">
        <v>185</v>
      </c>
      <c r="AI86" s="115">
        <v>207.5</v>
      </c>
      <c r="AJ86" s="115">
        <v>208.75</v>
      </c>
      <c r="AK86" s="115">
        <v>350</v>
      </c>
      <c r="AL86" s="115">
        <v>241.25</v>
      </c>
      <c r="AM86" s="520">
        <v>140</v>
      </c>
      <c r="AN86" s="115">
        <v>711.25</v>
      </c>
      <c r="AO86" s="115">
        <v>412.5</v>
      </c>
      <c r="AP86" s="115">
        <v>1155.73</v>
      </c>
      <c r="AQ86" s="115">
        <v>415</v>
      </c>
      <c r="AR86" s="115">
        <v>356.25</v>
      </c>
      <c r="AS86" s="115">
        <v>281.25</v>
      </c>
      <c r="AT86" s="115">
        <v>450</v>
      </c>
      <c r="AU86" s="115">
        <v>453.75</v>
      </c>
      <c r="AV86" s="115">
        <v>337.5</v>
      </c>
      <c r="AW86" s="187">
        <f>581.25</f>
        <v>581.25</v>
      </c>
      <c r="AX86" s="291">
        <f>IF(AX3&lt;&gt;AW3, 450, 275)+150</f>
        <v>425</v>
      </c>
      <c r="AY86" s="187">
        <f t="shared" ref="AY86:DG86" si="719">IF(AY3&lt;&gt;AX3, 450, 275)</f>
        <v>275</v>
      </c>
      <c r="AZ86" s="115">
        <f t="shared" si="719"/>
        <v>450</v>
      </c>
      <c r="BA86" s="115">
        <f t="shared" si="719"/>
        <v>275</v>
      </c>
      <c r="BB86" s="115">
        <f t="shared" si="719"/>
        <v>275</v>
      </c>
      <c r="BC86" s="115">
        <f t="shared" si="719"/>
        <v>450</v>
      </c>
      <c r="BD86" s="115">
        <f t="shared" si="719"/>
        <v>275</v>
      </c>
      <c r="BE86" s="115">
        <f t="shared" si="719"/>
        <v>275</v>
      </c>
      <c r="BF86" s="115">
        <f t="shared" si="719"/>
        <v>450</v>
      </c>
      <c r="BG86" s="115">
        <f t="shared" si="719"/>
        <v>275</v>
      </c>
      <c r="BH86" s="115">
        <f t="shared" si="719"/>
        <v>275</v>
      </c>
      <c r="BI86" s="115">
        <f t="shared" si="719"/>
        <v>450</v>
      </c>
      <c r="BJ86" s="115">
        <f t="shared" si="719"/>
        <v>275</v>
      </c>
      <c r="BK86" s="187">
        <f t="shared" si="719"/>
        <v>275</v>
      </c>
      <c r="BL86" s="115">
        <f t="shared" si="719"/>
        <v>450</v>
      </c>
      <c r="BM86" s="115">
        <f t="shared" si="719"/>
        <v>275</v>
      </c>
      <c r="BN86" s="115">
        <f t="shared" si="719"/>
        <v>275</v>
      </c>
      <c r="BO86" s="115">
        <f t="shared" si="719"/>
        <v>450</v>
      </c>
      <c r="BP86" s="115">
        <f t="shared" si="719"/>
        <v>275</v>
      </c>
      <c r="BQ86" s="115">
        <f t="shared" si="719"/>
        <v>275</v>
      </c>
      <c r="BR86" s="115">
        <f t="shared" si="719"/>
        <v>450</v>
      </c>
      <c r="BS86" s="115">
        <f t="shared" si="719"/>
        <v>275</v>
      </c>
      <c r="BT86" s="115">
        <f t="shared" si="719"/>
        <v>275</v>
      </c>
      <c r="BU86" s="115">
        <f t="shared" si="719"/>
        <v>450</v>
      </c>
      <c r="BV86" s="115">
        <f t="shared" si="719"/>
        <v>275</v>
      </c>
      <c r="BW86" s="187">
        <f t="shared" si="719"/>
        <v>275</v>
      </c>
      <c r="BX86" s="115">
        <f t="shared" si="719"/>
        <v>450</v>
      </c>
      <c r="BY86" s="115">
        <f t="shared" si="719"/>
        <v>275</v>
      </c>
      <c r="BZ86" s="115">
        <f t="shared" si="719"/>
        <v>275</v>
      </c>
      <c r="CA86" s="115">
        <f t="shared" si="719"/>
        <v>450</v>
      </c>
      <c r="CB86" s="115">
        <f t="shared" si="719"/>
        <v>275</v>
      </c>
      <c r="CC86" s="115">
        <f t="shared" si="719"/>
        <v>275</v>
      </c>
      <c r="CD86" s="115">
        <f t="shared" si="719"/>
        <v>450</v>
      </c>
      <c r="CE86" s="115">
        <f t="shared" si="719"/>
        <v>275</v>
      </c>
      <c r="CF86" s="115">
        <f t="shared" si="719"/>
        <v>275</v>
      </c>
      <c r="CG86" s="115">
        <f t="shared" si="719"/>
        <v>450</v>
      </c>
      <c r="CH86" s="115">
        <f t="shared" si="719"/>
        <v>275</v>
      </c>
      <c r="CI86" s="187">
        <f t="shared" si="719"/>
        <v>275</v>
      </c>
      <c r="CJ86" s="115">
        <f t="shared" si="719"/>
        <v>450</v>
      </c>
      <c r="CK86" s="115">
        <f t="shared" si="719"/>
        <v>275</v>
      </c>
      <c r="CL86" s="115">
        <f t="shared" si="719"/>
        <v>275</v>
      </c>
      <c r="CM86" s="115">
        <f t="shared" si="719"/>
        <v>450</v>
      </c>
      <c r="CN86" s="115">
        <f t="shared" si="719"/>
        <v>275</v>
      </c>
      <c r="CO86" s="115">
        <f t="shared" si="719"/>
        <v>275</v>
      </c>
      <c r="CP86" s="115">
        <f t="shared" si="719"/>
        <v>450</v>
      </c>
      <c r="CQ86" s="115">
        <f t="shared" si="719"/>
        <v>275</v>
      </c>
      <c r="CR86" s="115">
        <f t="shared" si="719"/>
        <v>275</v>
      </c>
      <c r="CS86" s="115">
        <f t="shared" si="719"/>
        <v>450</v>
      </c>
      <c r="CT86" s="115">
        <f t="shared" si="719"/>
        <v>275</v>
      </c>
      <c r="CU86" s="187">
        <f t="shared" si="719"/>
        <v>275</v>
      </c>
      <c r="CV86" s="115">
        <f t="shared" si="719"/>
        <v>450</v>
      </c>
      <c r="CW86" s="115">
        <f t="shared" si="719"/>
        <v>275</v>
      </c>
      <c r="CX86" s="115">
        <f t="shared" si="719"/>
        <v>275</v>
      </c>
      <c r="CY86" s="115">
        <f t="shared" si="719"/>
        <v>450</v>
      </c>
      <c r="CZ86" s="115">
        <f t="shared" si="719"/>
        <v>275</v>
      </c>
      <c r="DA86" s="115">
        <f t="shared" si="719"/>
        <v>275</v>
      </c>
      <c r="DB86" s="115">
        <f t="shared" si="719"/>
        <v>450</v>
      </c>
      <c r="DC86" s="115">
        <f t="shared" si="719"/>
        <v>275</v>
      </c>
      <c r="DD86" s="115">
        <f t="shared" si="719"/>
        <v>275</v>
      </c>
      <c r="DE86" s="115">
        <f t="shared" si="719"/>
        <v>450</v>
      </c>
      <c r="DF86" s="115">
        <f t="shared" si="719"/>
        <v>275</v>
      </c>
      <c r="DG86" s="115">
        <f t="shared" si="719"/>
        <v>275</v>
      </c>
    </row>
    <row r="87" spans="1:111" s="3" customFormat="1" x14ac:dyDescent="0.25">
      <c r="A87"/>
      <c r="B87" s="1" t="s">
        <v>336</v>
      </c>
      <c r="C87" s="1"/>
      <c r="D87" s="115">
        <f>0</f>
        <v>0</v>
      </c>
      <c r="E87" s="115">
        <f>0</f>
        <v>0</v>
      </c>
      <c r="F87" s="115">
        <f>0</f>
        <v>0</v>
      </c>
      <c r="G87" s="115">
        <f>0</f>
        <v>0</v>
      </c>
      <c r="H87" s="115">
        <f>0</f>
        <v>0</v>
      </c>
      <c r="I87" s="115">
        <f>0</f>
        <v>0</v>
      </c>
      <c r="J87" s="115">
        <v>0</v>
      </c>
      <c r="K87" s="115">
        <v>0</v>
      </c>
      <c r="L87" s="115">
        <v>0</v>
      </c>
      <c r="M87" s="115">
        <v>26.86</v>
      </c>
      <c r="N87" s="115">
        <v>105.23</v>
      </c>
      <c r="O87" s="115">
        <v>22.43</v>
      </c>
      <c r="P87" s="115">
        <v>118.13</v>
      </c>
      <c r="Q87" s="115">
        <v>36.76</v>
      </c>
      <c r="R87" s="115">
        <v>63.36</v>
      </c>
      <c r="S87" s="115">
        <v>153.85</v>
      </c>
      <c r="T87" s="115">
        <v>72.88</v>
      </c>
      <c r="U87" s="115">
        <v>27.48</v>
      </c>
      <c r="V87" s="115">
        <v>17.2</v>
      </c>
      <c r="W87" s="115">
        <v>33.76</v>
      </c>
      <c r="X87" s="115">
        <v>48.31</v>
      </c>
      <c r="Y87" s="115">
        <v>29</v>
      </c>
      <c r="Z87" s="115">
        <v>29</v>
      </c>
      <c r="AA87" s="115"/>
      <c r="AB87" s="115"/>
      <c r="AC87" s="115"/>
      <c r="AD87" s="115">
        <v>1.75</v>
      </c>
      <c r="AE87" s="115">
        <v>4.55</v>
      </c>
      <c r="AF87" s="115">
        <v>3.5</v>
      </c>
      <c r="AG87" s="115"/>
      <c r="AH87" s="115">
        <v>31.6</v>
      </c>
      <c r="AI87" s="115"/>
      <c r="AJ87" s="115"/>
      <c r="AK87" s="115">
        <v>29</v>
      </c>
      <c r="AL87" s="115"/>
      <c r="AM87" s="520"/>
      <c r="AN87" s="115"/>
      <c r="AO87" s="115"/>
      <c r="AP87" s="115">
        <f>52</f>
        <v>52</v>
      </c>
      <c r="AQ87" s="115">
        <v>0</v>
      </c>
      <c r="AR87" s="115">
        <v>0</v>
      </c>
      <c r="AS87" s="115">
        <v>0</v>
      </c>
      <c r="AT87" s="115">
        <v>0</v>
      </c>
      <c r="AU87" s="115">
        <v>0</v>
      </c>
      <c r="AV87" s="115">
        <v>2</v>
      </c>
      <c r="AW87" s="187">
        <f>80.44</f>
        <v>80.44</v>
      </c>
      <c r="AX87" s="291">
        <f>AVERAGE(AR87:AW87)</f>
        <v>13.74</v>
      </c>
      <c r="AY87" s="187">
        <f t="shared" ref="AY87:CA87" si="720">AX87</f>
        <v>13.74</v>
      </c>
      <c r="AZ87" s="115">
        <f t="shared" si="720"/>
        <v>13.74</v>
      </c>
      <c r="BA87" s="115">
        <f t="shared" si="720"/>
        <v>13.74</v>
      </c>
      <c r="BB87" s="115">
        <f t="shared" si="720"/>
        <v>13.74</v>
      </c>
      <c r="BC87" s="115">
        <f t="shared" si="720"/>
        <v>13.74</v>
      </c>
      <c r="BD87" s="115">
        <f t="shared" si="720"/>
        <v>13.74</v>
      </c>
      <c r="BE87" s="115">
        <f t="shared" si="720"/>
        <v>13.74</v>
      </c>
      <c r="BF87" s="115">
        <f t="shared" si="720"/>
        <v>13.74</v>
      </c>
      <c r="BG87" s="115">
        <f t="shared" si="720"/>
        <v>13.74</v>
      </c>
      <c r="BH87" s="115">
        <f t="shared" si="720"/>
        <v>13.74</v>
      </c>
      <c r="BI87" s="115">
        <f t="shared" si="720"/>
        <v>13.74</v>
      </c>
      <c r="BJ87" s="115">
        <f t="shared" si="720"/>
        <v>13.74</v>
      </c>
      <c r="BK87" s="187">
        <f t="shared" si="720"/>
        <v>13.74</v>
      </c>
      <c r="BL87" s="115">
        <f t="shared" si="720"/>
        <v>13.74</v>
      </c>
      <c r="BM87" s="115">
        <f t="shared" si="720"/>
        <v>13.74</v>
      </c>
      <c r="BN87" s="115">
        <f t="shared" si="720"/>
        <v>13.74</v>
      </c>
      <c r="BO87" s="115">
        <f t="shared" si="720"/>
        <v>13.74</v>
      </c>
      <c r="BP87" s="115">
        <f t="shared" si="720"/>
        <v>13.74</v>
      </c>
      <c r="BQ87" s="115">
        <f t="shared" si="720"/>
        <v>13.74</v>
      </c>
      <c r="BR87" s="115">
        <f t="shared" si="720"/>
        <v>13.74</v>
      </c>
      <c r="BS87" s="115">
        <f t="shared" si="720"/>
        <v>13.74</v>
      </c>
      <c r="BT87" s="115">
        <f t="shared" si="720"/>
        <v>13.74</v>
      </c>
      <c r="BU87" s="115">
        <f t="shared" si="720"/>
        <v>13.74</v>
      </c>
      <c r="BV87" s="115">
        <f t="shared" si="720"/>
        <v>13.74</v>
      </c>
      <c r="BW87" s="187">
        <f t="shared" si="720"/>
        <v>13.74</v>
      </c>
      <c r="BX87" s="115">
        <f t="shared" si="720"/>
        <v>13.74</v>
      </c>
      <c r="BY87" s="115">
        <f t="shared" si="720"/>
        <v>13.74</v>
      </c>
      <c r="BZ87" s="115">
        <f t="shared" si="720"/>
        <v>13.74</v>
      </c>
      <c r="CA87" s="115">
        <f t="shared" si="720"/>
        <v>13.74</v>
      </c>
      <c r="CB87" s="115">
        <f t="shared" ref="CB87:DG87" si="721">CA87</f>
        <v>13.74</v>
      </c>
      <c r="CC87" s="115">
        <f t="shared" si="721"/>
        <v>13.74</v>
      </c>
      <c r="CD87" s="115">
        <f t="shared" si="721"/>
        <v>13.74</v>
      </c>
      <c r="CE87" s="115">
        <f t="shared" si="721"/>
        <v>13.74</v>
      </c>
      <c r="CF87" s="115">
        <f t="shared" si="721"/>
        <v>13.74</v>
      </c>
      <c r="CG87" s="115">
        <f t="shared" si="721"/>
        <v>13.74</v>
      </c>
      <c r="CH87" s="115">
        <f t="shared" si="721"/>
        <v>13.74</v>
      </c>
      <c r="CI87" s="187">
        <f t="shared" si="721"/>
        <v>13.74</v>
      </c>
      <c r="CJ87" s="115">
        <f t="shared" si="721"/>
        <v>13.74</v>
      </c>
      <c r="CK87" s="115">
        <f t="shared" si="721"/>
        <v>13.74</v>
      </c>
      <c r="CL87" s="115">
        <f t="shared" si="721"/>
        <v>13.74</v>
      </c>
      <c r="CM87" s="115">
        <f t="shared" si="721"/>
        <v>13.74</v>
      </c>
      <c r="CN87" s="115">
        <f t="shared" si="721"/>
        <v>13.74</v>
      </c>
      <c r="CO87" s="115">
        <f t="shared" si="721"/>
        <v>13.74</v>
      </c>
      <c r="CP87" s="115">
        <f t="shared" si="721"/>
        <v>13.74</v>
      </c>
      <c r="CQ87" s="115">
        <f t="shared" si="721"/>
        <v>13.74</v>
      </c>
      <c r="CR87" s="115">
        <f t="shared" si="721"/>
        <v>13.74</v>
      </c>
      <c r="CS87" s="115">
        <f t="shared" si="721"/>
        <v>13.74</v>
      </c>
      <c r="CT87" s="115">
        <f t="shared" si="721"/>
        <v>13.74</v>
      </c>
      <c r="CU87" s="187">
        <f t="shared" si="721"/>
        <v>13.74</v>
      </c>
      <c r="CV87" s="115">
        <f t="shared" si="721"/>
        <v>13.74</v>
      </c>
      <c r="CW87" s="115">
        <f t="shared" si="721"/>
        <v>13.74</v>
      </c>
      <c r="CX87" s="115">
        <f t="shared" si="721"/>
        <v>13.74</v>
      </c>
      <c r="CY87" s="115">
        <f t="shared" si="721"/>
        <v>13.74</v>
      </c>
      <c r="CZ87" s="115">
        <f t="shared" si="721"/>
        <v>13.74</v>
      </c>
      <c r="DA87" s="115">
        <f t="shared" si="721"/>
        <v>13.74</v>
      </c>
      <c r="DB87" s="115">
        <f t="shared" si="721"/>
        <v>13.74</v>
      </c>
      <c r="DC87" s="115">
        <f t="shared" si="721"/>
        <v>13.74</v>
      </c>
      <c r="DD87" s="115">
        <f t="shared" si="721"/>
        <v>13.74</v>
      </c>
      <c r="DE87" s="115">
        <f t="shared" si="721"/>
        <v>13.74</v>
      </c>
      <c r="DF87" s="115">
        <f t="shared" si="721"/>
        <v>13.74</v>
      </c>
      <c r="DG87" s="115">
        <f t="shared" si="721"/>
        <v>13.74</v>
      </c>
    </row>
    <row r="88" spans="1:111" x14ac:dyDescent="0.25">
      <c r="B88" s="1" t="s">
        <v>337</v>
      </c>
      <c r="C88" s="1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>
        <v>22</v>
      </c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>
        <v>218.02</v>
      </c>
      <c r="AI88" s="115">
        <v>57.06</v>
      </c>
      <c r="AJ88" s="115">
        <v>44.41</v>
      </c>
      <c r="AK88" s="115"/>
      <c r="AL88" s="115">
        <v>837.07</v>
      </c>
      <c r="AM88" s="520"/>
      <c r="AN88" s="115">
        <v>50</v>
      </c>
      <c r="AO88" s="115">
        <v>251.46</v>
      </c>
      <c r="AP88" s="115"/>
      <c r="AQ88" s="115"/>
      <c r="AR88" s="115">
        <v>285.64999999999998</v>
      </c>
      <c r="AS88" s="115">
        <v>315.29000000000002</v>
      </c>
      <c r="AT88" s="115">
        <v>326.19</v>
      </c>
      <c r="AU88" s="115">
        <v>484.06</v>
      </c>
      <c r="AV88" s="115">
        <v>383.29</v>
      </c>
      <c r="AW88" s="187">
        <f>677.01</f>
        <v>677.01</v>
      </c>
      <c r="AX88" s="291">
        <f>AVERAGE(AR88:AW88)</f>
        <v>411.91499999999996</v>
      </c>
      <c r="AY88" s="187">
        <f t="shared" ref="AY88" si="722">AX88</f>
        <v>411.91499999999996</v>
      </c>
      <c r="AZ88" s="115">
        <f t="shared" ref="AZ88" si="723">AY88</f>
        <v>411.91499999999996</v>
      </c>
      <c r="BA88" s="115">
        <f t="shared" ref="BA88" si="724">AZ88</f>
        <v>411.91499999999996</v>
      </c>
      <c r="BB88" s="115">
        <f t="shared" ref="BB88" si="725">BA88</f>
        <v>411.91499999999996</v>
      </c>
      <c r="BC88" s="115">
        <f t="shared" ref="BC88" si="726">BB88</f>
        <v>411.91499999999996</v>
      </c>
      <c r="BD88" s="115">
        <f t="shared" ref="BD88" si="727">BC88</f>
        <v>411.91499999999996</v>
      </c>
      <c r="BE88" s="115">
        <f t="shared" ref="BE88" si="728">BD88</f>
        <v>411.91499999999996</v>
      </c>
      <c r="BF88" s="115">
        <f t="shared" ref="BF88" si="729">BE88</f>
        <v>411.91499999999996</v>
      </c>
      <c r="BG88" s="115">
        <f t="shared" ref="BG88" si="730">BF88</f>
        <v>411.91499999999996</v>
      </c>
      <c r="BH88" s="115">
        <f t="shared" ref="BH88" si="731">BG88</f>
        <v>411.91499999999996</v>
      </c>
      <c r="BI88" s="115">
        <f t="shared" ref="BI88" si="732">BH88</f>
        <v>411.91499999999996</v>
      </c>
      <c r="BJ88" s="115">
        <f t="shared" ref="BJ88" si="733">BI88</f>
        <v>411.91499999999996</v>
      </c>
      <c r="BK88" s="187">
        <f t="shared" ref="BK88" si="734">BJ88</f>
        <v>411.91499999999996</v>
      </c>
      <c r="BL88" s="115">
        <f t="shared" ref="BL88" si="735">BK88</f>
        <v>411.91499999999996</v>
      </c>
      <c r="BM88" s="115">
        <f t="shared" ref="BM88" si="736">BL88</f>
        <v>411.91499999999996</v>
      </c>
      <c r="BN88" s="115">
        <f t="shared" ref="BN88" si="737">BM88</f>
        <v>411.91499999999996</v>
      </c>
      <c r="BO88" s="115">
        <f t="shared" ref="BO88" si="738">BN88</f>
        <v>411.91499999999996</v>
      </c>
      <c r="BP88" s="115">
        <f t="shared" ref="BP88" si="739">BO88</f>
        <v>411.91499999999996</v>
      </c>
      <c r="BQ88" s="115">
        <f t="shared" ref="BQ88" si="740">BP88</f>
        <v>411.91499999999996</v>
      </c>
      <c r="BR88" s="115">
        <f t="shared" ref="BR88" si="741">BQ88</f>
        <v>411.91499999999996</v>
      </c>
      <c r="BS88" s="115">
        <f t="shared" ref="BS88" si="742">BR88</f>
        <v>411.91499999999996</v>
      </c>
      <c r="BT88" s="115">
        <f t="shared" ref="BT88" si="743">BS88</f>
        <v>411.91499999999996</v>
      </c>
      <c r="BU88" s="115">
        <f t="shared" ref="BU88" si="744">BT88</f>
        <v>411.91499999999996</v>
      </c>
      <c r="BV88" s="115">
        <f t="shared" ref="BV88" si="745">BU88</f>
        <v>411.91499999999996</v>
      </c>
      <c r="BW88" s="187">
        <f t="shared" ref="BW88" si="746">BV88</f>
        <v>411.91499999999996</v>
      </c>
      <c r="BX88" s="115">
        <f t="shared" ref="BX88" si="747">BW88</f>
        <v>411.91499999999996</v>
      </c>
      <c r="BY88" s="115">
        <f t="shared" ref="BY88" si="748">BX88</f>
        <v>411.91499999999996</v>
      </c>
      <c r="BZ88" s="115">
        <f t="shared" ref="BZ88" si="749">BY88</f>
        <v>411.91499999999996</v>
      </c>
      <c r="CA88" s="115">
        <f t="shared" ref="CA88" si="750">BZ88</f>
        <v>411.91499999999996</v>
      </c>
      <c r="CB88" s="115">
        <f t="shared" ref="CB88" si="751">CA88</f>
        <v>411.91499999999996</v>
      </c>
      <c r="CC88" s="115">
        <f t="shared" ref="CC88" si="752">CB88</f>
        <v>411.91499999999996</v>
      </c>
      <c r="CD88" s="115">
        <f t="shared" ref="CD88" si="753">CC88</f>
        <v>411.91499999999996</v>
      </c>
      <c r="CE88" s="115">
        <f t="shared" ref="CE88" si="754">CD88</f>
        <v>411.91499999999996</v>
      </c>
      <c r="CF88" s="115">
        <f t="shared" ref="CF88" si="755">CE88</f>
        <v>411.91499999999996</v>
      </c>
      <c r="CG88" s="115">
        <f t="shared" ref="CG88" si="756">CF88</f>
        <v>411.91499999999996</v>
      </c>
      <c r="CH88" s="115">
        <f t="shared" ref="CH88" si="757">CG88</f>
        <v>411.91499999999996</v>
      </c>
      <c r="CI88" s="187">
        <f t="shared" ref="CI88" si="758">CH88</f>
        <v>411.91499999999996</v>
      </c>
      <c r="CJ88" s="115">
        <f t="shared" ref="CJ88" si="759">CI88</f>
        <v>411.91499999999996</v>
      </c>
      <c r="CK88" s="115">
        <f t="shared" ref="CK88" si="760">CJ88</f>
        <v>411.91499999999996</v>
      </c>
      <c r="CL88" s="115">
        <f t="shared" ref="CL88" si="761">CK88</f>
        <v>411.91499999999996</v>
      </c>
      <c r="CM88" s="115">
        <f t="shared" ref="CM88" si="762">CL88</f>
        <v>411.91499999999996</v>
      </c>
      <c r="CN88" s="115">
        <f t="shared" ref="CN88" si="763">CM88</f>
        <v>411.91499999999996</v>
      </c>
      <c r="CO88" s="115">
        <f t="shared" ref="CO88" si="764">CN88</f>
        <v>411.91499999999996</v>
      </c>
      <c r="CP88" s="115">
        <f t="shared" ref="CP88" si="765">CO88</f>
        <v>411.91499999999996</v>
      </c>
      <c r="CQ88" s="115">
        <f t="shared" ref="CQ88" si="766">CP88</f>
        <v>411.91499999999996</v>
      </c>
      <c r="CR88" s="115">
        <f t="shared" ref="CR88" si="767">CQ88</f>
        <v>411.91499999999996</v>
      </c>
      <c r="CS88" s="115">
        <f t="shared" ref="CS88" si="768">CR88</f>
        <v>411.91499999999996</v>
      </c>
      <c r="CT88" s="115">
        <f t="shared" ref="CT88" si="769">CS88</f>
        <v>411.91499999999996</v>
      </c>
      <c r="CU88" s="187">
        <f t="shared" ref="CU88" si="770">CT88</f>
        <v>411.91499999999996</v>
      </c>
      <c r="CV88" s="115">
        <f t="shared" ref="CV88" si="771">CU88</f>
        <v>411.91499999999996</v>
      </c>
      <c r="CW88" s="115">
        <f t="shared" ref="CW88" si="772">CV88</f>
        <v>411.91499999999996</v>
      </c>
      <c r="CX88" s="115">
        <f t="shared" ref="CX88" si="773">CW88</f>
        <v>411.91499999999996</v>
      </c>
      <c r="CY88" s="115">
        <f t="shared" ref="CY88" si="774">CX88</f>
        <v>411.91499999999996</v>
      </c>
      <c r="CZ88" s="115">
        <f t="shared" ref="CZ88" si="775">CY88</f>
        <v>411.91499999999996</v>
      </c>
      <c r="DA88" s="115">
        <f t="shared" ref="DA88" si="776">CZ88</f>
        <v>411.91499999999996</v>
      </c>
      <c r="DB88" s="115">
        <f t="shared" ref="DB88" si="777">DA88</f>
        <v>411.91499999999996</v>
      </c>
      <c r="DC88" s="115">
        <f t="shared" ref="DC88" si="778">DB88</f>
        <v>411.91499999999996</v>
      </c>
      <c r="DD88" s="115">
        <f t="shared" ref="DD88" si="779">DC88</f>
        <v>411.91499999999996</v>
      </c>
      <c r="DE88" s="115">
        <f t="shared" ref="DE88" si="780">DD88</f>
        <v>411.91499999999996</v>
      </c>
      <c r="DF88" s="115">
        <f t="shared" ref="DF88" si="781">DE88</f>
        <v>411.91499999999996</v>
      </c>
      <c r="DG88" s="115">
        <f t="shared" ref="DG88" si="782">DF88</f>
        <v>411.91499999999996</v>
      </c>
    </row>
    <row r="89" spans="1:111" x14ac:dyDescent="0.25">
      <c r="B89" s="1" t="s">
        <v>338</v>
      </c>
      <c r="C89" s="1"/>
      <c r="D89" s="115">
        <v>0</v>
      </c>
      <c r="E89" s="115">
        <v>0</v>
      </c>
      <c r="F89" s="115">
        <v>0</v>
      </c>
      <c r="G89" s="115">
        <v>0</v>
      </c>
      <c r="H89" s="115">
        <v>0</v>
      </c>
      <c r="I89" s="115">
        <v>0</v>
      </c>
      <c r="J89" s="115">
        <v>0</v>
      </c>
      <c r="K89" s="115">
        <v>0</v>
      </c>
      <c r="L89" s="115">
        <v>0</v>
      </c>
      <c r="M89" s="115">
        <v>0</v>
      </c>
      <c r="N89" s="115">
        <v>30</v>
      </c>
      <c r="O89" s="115">
        <v>52.67</v>
      </c>
      <c r="P89" s="115">
        <v>30</v>
      </c>
      <c r="Q89" s="115">
        <v>30</v>
      </c>
      <c r="R89" s="115">
        <v>30</v>
      </c>
      <c r="S89" s="115">
        <v>31.99</v>
      </c>
      <c r="T89" s="115">
        <v>45.38</v>
      </c>
      <c r="U89" s="115">
        <v>51.04</v>
      </c>
      <c r="V89" s="115">
        <v>92.49</v>
      </c>
      <c r="W89" s="115">
        <v>194.71</v>
      </c>
      <c r="X89" s="115">
        <v>210.47</v>
      </c>
      <c r="Y89" s="115">
        <v>313.33999999999997</v>
      </c>
      <c r="Z89" s="115">
        <v>205.12</v>
      </c>
      <c r="AA89" s="115">
        <v>105.16</v>
      </c>
      <c r="AB89" s="115">
        <v>124.93</v>
      </c>
      <c r="AC89" s="115">
        <v>156.19</v>
      </c>
      <c r="AD89" s="115">
        <v>141.66999999999999</v>
      </c>
      <c r="AE89" s="115">
        <v>145.28</v>
      </c>
      <c r="AF89" s="115">
        <v>173.37</v>
      </c>
      <c r="AG89" s="115">
        <v>236.32</v>
      </c>
      <c r="AH89" s="115">
        <v>228.28</v>
      </c>
      <c r="AI89" s="115">
        <v>404.2</v>
      </c>
      <c r="AJ89" s="115">
        <v>334.27</v>
      </c>
      <c r="AK89" s="115">
        <v>523.21</v>
      </c>
      <c r="AL89" s="115">
        <v>315.97000000000003</v>
      </c>
      <c r="AM89" s="520">
        <v>199.98</v>
      </c>
      <c r="AN89" s="115">
        <v>229.96</v>
      </c>
      <c r="AO89" s="115">
        <v>281.20999999999998</v>
      </c>
      <c r="AP89" s="115">
        <v>303.5</v>
      </c>
      <c r="AQ89" s="115">
        <v>167.72</v>
      </c>
      <c r="AR89" s="115">
        <v>171.91</v>
      </c>
      <c r="AS89" s="115">
        <v>212.1</v>
      </c>
      <c r="AT89" s="115">
        <v>440.63</v>
      </c>
      <c r="AU89" s="115">
        <v>658.74</v>
      </c>
      <c r="AV89" s="115">
        <v>666.46</v>
      </c>
      <c r="AW89" s="187">
        <f>921.67</f>
        <v>921.67</v>
      </c>
      <c r="AX89" s="291">
        <f t="shared" ref="AX89" si="783">+AX99*AX12</f>
        <v>336.40261248078679</v>
      </c>
      <c r="AY89" s="187">
        <f t="shared" ref="AY89:BT89" si="784">+AY99*AY12</f>
        <v>474.87423302372594</v>
      </c>
      <c r="AZ89" s="115">
        <f t="shared" si="784"/>
        <v>563.78086027819541</v>
      </c>
      <c r="BA89" s="115">
        <f t="shared" si="784"/>
        <v>530.06464222390889</v>
      </c>
      <c r="BB89" s="115">
        <f t="shared" si="784"/>
        <v>542.3550482296763</v>
      </c>
      <c r="BC89" s="115">
        <f t="shared" si="784"/>
        <v>240.57098794699357</v>
      </c>
      <c r="BD89" s="115">
        <f t="shared" si="784"/>
        <v>415.70285012764089</v>
      </c>
      <c r="BE89" s="115">
        <f t="shared" si="784"/>
        <v>354.39828554342938</v>
      </c>
      <c r="BF89" s="115">
        <f t="shared" si="784"/>
        <v>535.84535842957337</v>
      </c>
      <c r="BG89" s="115">
        <f t="shared" si="784"/>
        <v>579.62254445793315</v>
      </c>
      <c r="BH89" s="115">
        <f t="shared" si="784"/>
        <v>808.96173648287947</v>
      </c>
      <c r="BI89" s="115">
        <f t="shared" si="784"/>
        <v>929.16741161086532</v>
      </c>
      <c r="BJ89" s="115">
        <f t="shared" si="784"/>
        <v>418.0435475742421</v>
      </c>
      <c r="BK89" s="187">
        <f t="shared" si="784"/>
        <v>576.80573588606035</v>
      </c>
      <c r="BL89" s="115">
        <f t="shared" si="784"/>
        <v>629.86228624089233</v>
      </c>
      <c r="BM89" s="115">
        <f t="shared" si="784"/>
        <v>661.55302327652726</v>
      </c>
      <c r="BN89" s="115">
        <f t="shared" si="784"/>
        <v>729.54210914113924</v>
      </c>
      <c r="BO89" s="115">
        <f t="shared" si="784"/>
        <v>318.389241296146</v>
      </c>
      <c r="BP89" s="115">
        <f t="shared" si="784"/>
        <v>570.18456430171148</v>
      </c>
      <c r="BQ89" s="115">
        <f t="shared" si="784"/>
        <v>490.38761910499522</v>
      </c>
      <c r="BR89" s="115">
        <f t="shared" si="784"/>
        <v>709.14988144110862</v>
      </c>
      <c r="BS89" s="115">
        <f t="shared" si="784"/>
        <v>839.29393615368031</v>
      </c>
      <c r="BT89" s="115">
        <f t="shared" si="784"/>
        <v>1120.3126051934926</v>
      </c>
      <c r="BU89" s="115">
        <f t="shared" ref="BU89:CZ89" si="785">+BU99*BU12</f>
        <v>1229.0350762670992</v>
      </c>
      <c r="BV89" s="115">
        <f t="shared" si="785"/>
        <v>610.74316306332571</v>
      </c>
      <c r="BW89" s="187">
        <f t="shared" si="785"/>
        <v>804.27740305014333</v>
      </c>
      <c r="BX89" s="115">
        <f t="shared" si="785"/>
        <v>882.1827446713304</v>
      </c>
      <c r="BY89" s="115">
        <f t="shared" si="785"/>
        <v>967.52938398719323</v>
      </c>
      <c r="BZ89" s="115">
        <f t="shared" si="785"/>
        <v>1019.8378057810368</v>
      </c>
      <c r="CA89" s="115">
        <f t="shared" si="785"/>
        <v>406.99287668570753</v>
      </c>
      <c r="CB89" s="115">
        <f t="shared" si="785"/>
        <v>874.61436220422468</v>
      </c>
      <c r="CC89" s="115">
        <f t="shared" si="785"/>
        <v>679.25427012913372</v>
      </c>
      <c r="CD89" s="115">
        <f t="shared" si="785"/>
        <v>950.21927994135933</v>
      </c>
      <c r="CE89" s="115">
        <f t="shared" si="785"/>
        <v>1228.8924125525448</v>
      </c>
      <c r="CF89" s="115">
        <f t="shared" si="785"/>
        <v>1492.7658733574403</v>
      </c>
      <c r="CG89" s="115">
        <f t="shared" si="785"/>
        <v>1792.0763375604322</v>
      </c>
      <c r="CH89" s="115">
        <f t="shared" si="785"/>
        <v>848.67409927826691</v>
      </c>
      <c r="CI89" s="187">
        <f t="shared" si="785"/>
        <v>1025.108368638133</v>
      </c>
      <c r="CJ89" s="115">
        <f t="shared" si="785"/>
        <v>1357.2046187494934</v>
      </c>
      <c r="CK89" s="115">
        <f t="shared" si="785"/>
        <v>1295.4308088311429</v>
      </c>
      <c r="CL89" s="115">
        <f t="shared" si="785"/>
        <v>1367.8783595479272</v>
      </c>
      <c r="CM89" s="115">
        <f t="shared" si="785"/>
        <v>600.13824497040594</v>
      </c>
      <c r="CN89" s="115">
        <f t="shared" si="785"/>
        <v>1224.7914706941806</v>
      </c>
      <c r="CO89" s="115">
        <f t="shared" si="785"/>
        <v>916.71696818436158</v>
      </c>
      <c r="CP89" s="115">
        <f t="shared" si="785"/>
        <v>1398.5279128644249</v>
      </c>
      <c r="CQ89" s="115">
        <f t="shared" si="785"/>
        <v>1732.7028608551334</v>
      </c>
      <c r="CR89" s="115">
        <f t="shared" si="785"/>
        <v>2013.9880250830045</v>
      </c>
      <c r="CS89" s="115">
        <f t="shared" si="785"/>
        <v>2666.892483554243</v>
      </c>
      <c r="CT89" s="115">
        <f t="shared" si="785"/>
        <v>1213.6090550311287</v>
      </c>
      <c r="CU89" s="187">
        <f t="shared" si="785"/>
        <v>1463.512260565635</v>
      </c>
      <c r="CV89" s="115">
        <f t="shared" si="785"/>
        <v>1925.1763776548053</v>
      </c>
      <c r="CW89" s="115">
        <f t="shared" si="785"/>
        <v>1832.473837999034</v>
      </c>
      <c r="CX89" s="115">
        <f t="shared" si="785"/>
        <v>1842.2188506387697</v>
      </c>
      <c r="CY89" s="115">
        <f t="shared" si="785"/>
        <v>884.80529474733919</v>
      </c>
      <c r="CZ89" s="115">
        <f t="shared" si="785"/>
        <v>1724.9803308281278</v>
      </c>
      <c r="DA89" s="115">
        <f t="shared" ref="DA89:DG89" si="786">+DA99*DA12</f>
        <v>1228.0868791312334</v>
      </c>
      <c r="DB89" s="115">
        <f t="shared" si="786"/>
        <v>2063.6091116840371</v>
      </c>
      <c r="DC89" s="115">
        <f t="shared" si="786"/>
        <v>2338.7978142019542</v>
      </c>
      <c r="DD89" s="115">
        <f t="shared" si="786"/>
        <v>2978.0790112038321</v>
      </c>
      <c r="DE89" s="115">
        <f t="shared" si="786"/>
        <v>3751.5741621620464</v>
      </c>
      <c r="DF89" s="115">
        <f t="shared" si="786"/>
        <v>1624.6082788472802</v>
      </c>
      <c r="DG89" s="115">
        <f t="shared" si="786"/>
        <v>2148.5575125451765</v>
      </c>
    </row>
    <row r="90" spans="1:111" s="29" customFormat="1" x14ac:dyDescent="0.25">
      <c r="A90"/>
      <c r="B90" s="1" t="s">
        <v>339</v>
      </c>
      <c r="C90" s="1"/>
      <c r="D90" s="115">
        <f>0</f>
        <v>0</v>
      </c>
      <c r="E90" s="115">
        <f>0</f>
        <v>0</v>
      </c>
      <c r="F90" s="115">
        <f>0</f>
        <v>0</v>
      </c>
      <c r="G90" s="115">
        <f>0</f>
        <v>0</v>
      </c>
      <c r="H90" s="115">
        <f>0</f>
        <v>0</v>
      </c>
      <c r="I90" s="115">
        <f>0</f>
        <v>0</v>
      </c>
      <c r="J90" s="115">
        <v>0</v>
      </c>
      <c r="K90" s="115">
        <v>0</v>
      </c>
      <c r="L90" s="115">
        <v>0</v>
      </c>
      <c r="M90" s="115">
        <v>1150</v>
      </c>
      <c r="N90" s="115">
        <v>0</v>
      </c>
      <c r="O90" s="115">
        <v>0</v>
      </c>
      <c r="P90" s="115"/>
      <c r="Q90" s="115"/>
      <c r="R90" s="115"/>
      <c r="S90" s="115"/>
      <c r="T90" s="115"/>
      <c r="U90" s="115">
        <v>50</v>
      </c>
      <c r="V90" s="115">
        <v>55</v>
      </c>
      <c r="W90" s="115">
        <v>200</v>
      </c>
      <c r="X90" s="115">
        <v>633.5</v>
      </c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>
        <v>490</v>
      </c>
      <c r="AJ90" s="115"/>
      <c r="AK90" s="115">
        <v>262.5</v>
      </c>
      <c r="AL90" s="115"/>
      <c r="AM90" s="520"/>
      <c r="AN90" s="115"/>
      <c r="AO90" s="115"/>
      <c r="AP90" s="115">
        <f>707</f>
        <v>707</v>
      </c>
      <c r="AQ90" s="115">
        <v>235.5</v>
      </c>
      <c r="AR90" s="115"/>
      <c r="AS90" s="115"/>
      <c r="AT90" s="115">
        <v>275</v>
      </c>
      <c r="AU90" s="115">
        <v>88</v>
      </c>
      <c r="AV90" s="115"/>
      <c r="AW90" s="187"/>
      <c r="AX90" s="291">
        <f>AVERAGE(AR90:AW90)</f>
        <v>181.5</v>
      </c>
      <c r="AY90" s="187">
        <f t="shared" ref="AY90:BG90" si="787">+AM90</f>
        <v>0</v>
      </c>
      <c r="AZ90" s="115">
        <f t="shared" si="787"/>
        <v>0</v>
      </c>
      <c r="BA90" s="115">
        <f t="shared" si="787"/>
        <v>0</v>
      </c>
      <c r="BB90" s="115">
        <f t="shared" si="787"/>
        <v>707</v>
      </c>
      <c r="BC90" s="115">
        <f t="shared" si="787"/>
        <v>235.5</v>
      </c>
      <c r="BD90" s="115">
        <f t="shared" si="787"/>
        <v>0</v>
      </c>
      <c r="BE90" s="115">
        <f t="shared" si="787"/>
        <v>0</v>
      </c>
      <c r="BF90" s="115">
        <f t="shared" si="787"/>
        <v>275</v>
      </c>
      <c r="BG90" s="115">
        <f t="shared" si="787"/>
        <v>88</v>
      </c>
      <c r="BH90" s="115">
        <f t="shared" ref="BH90:CZ90" si="788">+AV90</f>
        <v>0</v>
      </c>
      <c r="BI90" s="115">
        <f t="shared" si="788"/>
        <v>0</v>
      </c>
      <c r="BJ90" s="115">
        <f t="shared" si="788"/>
        <v>181.5</v>
      </c>
      <c r="BK90" s="187">
        <f t="shared" si="788"/>
        <v>0</v>
      </c>
      <c r="BL90" s="115">
        <f t="shared" si="788"/>
        <v>0</v>
      </c>
      <c r="BM90" s="115">
        <f t="shared" si="788"/>
        <v>0</v>
      </c>
      <c r="BN90" s="115">
        <f t="shared" si="788"/>
        <v>707</v>
      </c>
      <c r="BO90" s="115">
        <f t="shared" si="788"/>
        <v>235.5</v>
      </c>
      <c r="BP90" s="115">
        <f t="shared" si="788"/>
        <v>0</v>
      </c>
      <c r="BQ90" s="115">
        <f t="shared" si="788"/>
        <v>0</v>
      </c>
      <c r="BR90" s="115">
        <f t="shared" si="788"/>
        <v>275</v>
      </c>
      <c r="BS90" s="115">
        <f t="shared" si="788"/>
        <v>88</v>
      </c>
      <c r="BT90" s="115">
        <f t="shared" si="788"/>
        <v>0</v>
      </c>
      <c r="BU90" s="115">
        <f t="shared" si="788"/>
        <v>0</v>
      </c>
      <c r="BV90" s="115">
        <f t="shared" si="788"/>
        <v>181.5</v>
      </c>
      <c r="BW90" s="187">
        <f t="shared" si="788"/>
        <v>0</v>
      </c>
      <c r="BX90" s="115">
        <f t="shared" si="788"/>
        <v>0</v>
      </c>
      <c r="BY90" s="115">
        <f t="shared" si="788"/>
        <v>0</v>
      </c>
      <c r="BZ90" s="115">
        <f t="shared" si="788"/>
        <v>707</v>
      </c>
      <c r="CA90" s="115">
        <f t="shared" si="788"/>
        <v>235.5</v>
      </c>
      <c r="CB90" s="115">
        <f t="shared" si="788"/>
        <v>0</v>
      </c>
      <c r="CC90" s="115">
        <f t="shared" si="788"/>
        <v>0</v>
      </c>
      <c r="CD90" s="115">
        <f t="shared" si="788"/>
        <v>275</v>
      </c>
      <c r="CE90" s="115">
        <f t="shared" si="788"/>
        <v>88</v>
      </c>
      <c r="CF90" s="115">
        <f t="shared" si="788"/>
        <v>0</v>
      </c>
      <c r="CG90" s="115">
        <f t="shared" si="788"/>
        <v>0</v>
      </c>
      <c r="CH90" s="115">
        <f t="shared" si="788"/>
        <v>181.5</v>
      </c>
      <c r="CI90" s="187">
        <f t="shared" si="788"/>
        <v>0</v>
      </c>
      <c r="CJ90" s="115">
        <f t="shared" si="788"/>
        <v>0</v>
      </c>
      <c r="CK90" s="115">
        <f t="shared" si="788"/>
        <v>0</v>
      </c>
      <c r="CL90" s="115">
        <f t="shared" si="788"/>
        <v>707</v>
      </c>
      <c r="CM90" s="115">
        <f t="shared" si="788"/>
        <v>235.5</v>
      </c>
      <c r="CN90" s="115">
        <f t="shared" si="788"/>
        <v>0</v>
      </c>
      <c r="CO90" s="115">
        <f t="shared" si="788"/>
        <v>0</v>
      </c>
      <c r="CP90" s="115">
        <f t="shared" si="788"/>
        <v>275</v>
      </c>
      <c r="CQ90" s="115">
        <f t="shared" si="788"/>
        <v>88</v>
      </c>
      <c r="CR90" s="115">
        <f t="shared" si="788"/>
        <v>0</v>
      </c>
      <c r="CS90" s="115">
        <f t="shared" si="788"/>
        <v>0</v>
      </c>
      <c r="CT90" s="115">
        <f t="shared" si="788"/>
        <v>181.5</v>
      </c>
      <c r="CU90" s="187">
        <f t="shared" si="788"/>
        <v>0</v>
      </c>
      <c r="CV90" s="115">
        <f t="shared" si="788"/>
        <v>0</v>
      </c>
      <c r="CW90" s="115">
        <f t="shared" si="788"/>
        <v>0</v>
      </c>
      <c r="CX90" s="115">
        <f t="shared" si="788"/>
        <v>707</v>
      </c>
      <c r="CY90" s="115">
        <f t="shared" si="788"/>
        <v>235.5</v>
      </c>
      <c r="CZ90" s="115">
        <f t="shared" si="788"/>
        <v>0</v>
      </c>
      <c r="DA90" s="115">
        <f t="shared" ref="DA90:DG90" si="789">+CO90</f>
        <v>0</v>
      </c>
      <c r="DB90" s="115">
        <f t="shared" si="789"/>
        <v>275</v>
      </c>
      <c r="DC90" s="115">
        <f t="shared" si="789"/>
        <v>88</v>
      </c>
      <c r="DD90" s="115">
        <f t="shared" si="789"/>
        <v>0</v>
      </c>
      <c r="DE90" s="115">
        <f t="shared" si="789"/>
        <v>0</v>
      </c>
      <c r="DF90" s="115">
        <f t="shared" si="789"/>
        <v>181.5</v>
      </c>
      <c r="DG90" s="115">
        <f t="shared" si="789"/>
        <v>0</v>
      </c>
    </row>
    <row r="91" spans="1:111" s="29" customFormat="1" x14ac:dyDescent="0.25">
      <c r="A91"/>
      <c r="B91" s="1" t="s">
        <v>340</v>
      </c>
      <c r="C91" s="1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>
        <v>192.74</v>
      </c>
      <c r="U91" s="115">
        <v>137.74</v>
      </c>
      <c r="V91" s="115">
        <v>181.07</v>
      </c>
      <c r="W91" s="115">
        <v>286.48</v>
      </c>
      <c r="X91" s="115">
        <v>138.16999999999999</v>
      </c>
      <c r="Y91" s="115">
        <v>263.36</v>
      </c>
      <c r="Z91" s="115">
        <v>138.4</v>
      </c>
      <c r="AA91" s="115">
        <v>138.4</v>
      </c>
      <c r="AB91" s="115">
        <v>138.4</v>
      </c>
      <c r="AC91" s="115">
        <v>138.41999999999999</v>
      </c>
      <c r="AD91" s="115">
        <v>138.41999999999999</v>
      </c>
      <c r="AE91" s="115">
        <v>145.97</v>
      </c>
      <c r="AF91" s="115">
        <v>142.41999999999999</v>
      </c>
      <c r="AG91" s="115">
        <v>142.41999999999999</v>
      </c>
      <c r="AH91" s="115">
        <v>219.14</v>
      </c>
      <c r="AI91" s="115">
        <v>164.46</v>
      </c>
      <c r="AJ91" s="115">
        <v>134.46</v>
      </c>
      <c r="AK91" s="115">
        <v>260.35000000000002</v>
      </c>
      <c r="AL91" s="115">
        <v>157.41</v>
      </c>
      <c r="AM91" s="520">
        <v>127.41</v>
      </c>
      <c r="AN91" s="115">
        <v>128.5</v>
      </c>
      <c r="AO91" s="115">
        <v>155.68</v>
      </c>
      <c r="AP91" s="115">
        <v>123.02</v>
      </c>
      <c r="AQ91" s="115">
        <v>123.02</v>
      </c>
      <c r="AR91" s="115">
        <v>123.01</v>
      </c>
      <c r="AS91" s="115">
        <v>123.01</v>
      </c>
      <c r="AT91" s="115">
        <v>123.01</v>
      </c>
      <c r="AU91" s="115">
        <v>122.99</v>
      </c>
      <c r="AV91" s="115">
        <v>161.99</v>
      </c>
      <c r="AW91" s="187">
        <f>155.86</f>
        <v>155.86000000000001</v>
      </c>
      <c r="AX91" s="291">
        <f>+AW91</f>
        <v>155.86000000000001</v>
      </c>
      <c r="AY91" s="187">
        <f t="shared" ref="AY91:CJ91" si="790">+AX91</f>
        <v>155.86000000000001</v>
      </c>
      <c r="AZ91" s="115">
        <f t="shared" si="790"/>
        <v>155.86000000000001</v>
      </c>
      <c r="BA91" s="115">
        <f t="shared" si="790"/>
        <v>155.86000000000001</v>
      </c>
      <c r="BB91" s="115">
        <f t="shared" si="790"/>
        <v>155.86000000000001</v>
      </c>
      <c r="BC91" s="115">
        <f t="shared" si="790"/>
        <v>155.86000000000001</v>
      </c>
      <c r="BD91" s="115">
        <f t="shared" si="790"/>
        <v>155.86000000000001</v>
      </c>
      <c r="BE91" s="115">
        <f t="shared" si="790"/>
        <v>155.86000000000001</v>
      </c>
      <c r="BF91" s="115">
        <f t="shared" si="790"/>
        <v>155.86000000000001</v>
      </c>
      <c r="BG91" s="115">
        <f t="shared" si="790"/>
        <v>155.86000000000001</v>
      </c>
      <c r="BH91" s="115">
        <f t="shared" si="790"/>
        <v>155.86000000000001</v>
      </c>
      <c r="BI91" s="115">
        <f t="shared" si="790"/>
        <v>155.86000000000001</v>
      </c>
      <c r="BJ91" s="115">
        <f t="shared" si="790"/>
        <v>155.86000000000001</v>
      </c>
      <c r="BK91" s="187">
        <f t="shared" si="790"/>
        <v>155.86000000000001</v>
      </c>
      <c r="BL91" s="115">
        <f t="shared" si="790"/>
        <v>155.86000000000001</v>
      </c>
      <c r="BM91" s="115">
        <f t="shared" si="790"/>
        <v>155.86000000000001</v>
      </c>
      <c r="BN91" s="115">
        <f t="shared" si="790"/>
        <v>155.86000000000001</v>
      </c>
      <c r="BO91" s="115">
        <f t="shared" si="790"/>
        <v>155.86000000000001</v>
      </c>
      <c r="BP91" s="115">
        <f t="shared" si="790"/>
        <v>155.86000000000001</v>
      </c>
      <c r="BQ91" s="115">
        <f t="shared" si="790"/>
        <v>155.86000000000001</v>
      </c>
      <c r="BR91" s="115">
        <f t="shared" si="790"/>
        <v>155.86000000000001</v>
      </c>
      <c r="BS91" s="115">
        <f t="shared" si="790"/>
        <v>155.86000000000001</v>
      </c>
      <c r="BT91" s="115">
        <f t="shared" si="790"/>
        <v>155.86000000000001</v>
      </c>
      <c r="BU91" s="115">
        <f t="shared" si="790"/>
        <v>155.86000000000001</v>
      </c>
      <c r="BV91" s="115">
        <f t="shared" si="790"/>
        <v>155.86000000000001</v>
      </c>
      <c r="BW91" s="187">
        <f t="shared" si="790"/>
        <v>155.86000000000001</v>
      </c>
      <c r="BX91" s="115">
        <f t="shared" si="790"/>
        <v>155.86000000000001</v>
      </c>
      <c r="BY91" s="115">
        <f t="shared" si="790"/>
        <v>155.86000000000001</v>
      </c>
      <c r="BZ91" s="115">
        <f t="shared" si="790"/>
        <v>155.86000000000001</v>
      </c>
      <c r="CA91" s="115">
        <f t="shared" si="790"/>
        <v>155.86000000000001</v>
      </c>
      <c r="CB91" s="115">
        <f t="shared" si="790"/>
        <v>155.86000000000001</v>
      </c>
      <c r="CC91" s="115">
        <f t="shared" si="790"/>
        <v>155.86000000000001</v>
      </c>
      <c r="CD91" s="115">
        <f t="shared" si="790"/>
        <v>155.86000000000001</v>
      </c>
      <c r="CE91" s="115">
        <f t="shared" si="790"/>
        <v>155.86000000000001</v>
      </c>
      <c r="CF91" s="115">
        <f t="shared" si="790"/>
        <v>155.86000000000001</v>
      </c>
      <c r="CG91" s="115">
        <f t="shared" si="790"/>
        <v>155.86000000000001</v>
      </c>
      <c r="CH91" s="115">
        <f t="shared" si="790"/>
        <v>155.86000000000001</v>
      </c>
      <c r="CI91" s="187">
        <f t="shared" si="790"/>
        <v>155.86000000000001</v>
      </c>
      <c r="CJ91" s="115">
        <f t="shared" si="790"/>
        <v>155.86000000000001</v>
      </c>
      <c r="CK91" s="115">
        <f t="shared" ref="CK91:DG91" si="791">+CJ91</f>
        <v>155.86000000000001</v>
      </c>
      <c r="CL91" s="115">
        <f t="shared" si="791"/>
        <v>155.86000000000001</v>
      </c>
      <c r="CM91" s="115">
        <f t="shared" si="791"/>
        <v>155.86000000000001</v>
      </c>
      <c r="CN91" s="115">
        <f t="shared" si="791"/>
        <v>155.86000000000001</v>
      </c>
      <c r="CO91" s="115">
        <f t="shared" si="791"/>
        <v>155.86000000000001</v>
      </c>
      <c r="CP91" s="115">
        <f t="shared" si="791"/>
        <v>155.86000000000001</v>
      </c>
      <c r="CQ91" s="115">
        <f t="shared" si="791"/>
        <v>155.86000000000001</v>
      </c>
      <c r="CR91" s="115">
        <f t="shared" si="791"/>
        <v>155.86000000000001</v>
      </c>
      <c r="CS91" s="115">
        <f t="shared" si="791"/>
        <v>155.86000000000001</v>
      </c>
      <c r="CT91" s="115">
        <f t="shared" si="791"/>
        <v>155.86000000000001</v>
      </c>
      <c r="CU91" s="187">
        <f t="shared" si="791"/>
        <v>155.86000000000001</v>
      </c>
      <c r="CV91" s="115">
        <f t="shared" si="791"/>
        <v>155.86000000000001</v>
      </c>
      <c r="CW91" s="115">
        <f t="shared" si="791"/>
        <v>155.86000000000001</v>
      </c>
      <c r="CX91" s="115">
        <f t="shared" si="791"/>
        <v>155.86000000000001</v>
      </c>
      <c r="CY91" s="115">
        <f t="shared" si="791"/>
        <v>155.86000000000001</v>
      </c>
      <c r="CZ91" s="115">
        <f t="shared" si="791"/>
        <v>155.86000000000001</v>
      </c>
      <c r="DA91" s="115">
        <f t="shared" si="791"/>
        <v>155.86000000000001</v>
      </c>
      <c r="DB91" s="115">
        <f t="shared" si="791"/>
        <v>155.86000000000001</v>
      </c>
      <c r="DC91" s="115">
        <f t="shared" si="791"/>
        <v>155.86000000000001</v>
      </c>
      <c r="DD91" s="115">
        <f t="shared" si="791"/>
        <v>155.86000000000001</v>
      </c>
      <c r="DE91" s="115">
        <f t="shared" si="791"/>
        <v>155.86000000000001</v>
      </c>
      <c r="DF91" s="115">
        <f t="shared" si="791"/>
        <v>155.86000000000001</v>
      </c>
      <c r="DG91" s="115">
        <f t="shared" si="791"/>
        <v>155.86000000000001</v>
      </c>
    </row>
    <row r="92" spans="1:111" s="29" customFormat="1" x14ac:dyDescent="0.25">
      <c r="A92"/>
      <c r="B92" s="1" t="s">
        <v>341</v>
      </c>
      <c r="C92" s="1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>
        <v>50</v>
      </c>
      <c r="X92" s="115"/>
      <c r="Y92" s="115"/>
      <c r="Z92" s="115"/>
      <c r="AA92" s="115"/>
      <c r="AB92" s="115"/>
      <c r="AC92" s="115"/>
      <c r="AD92" s="115">
        <v>300</v>
      </c>
      <c r="AE92" s="115"/>
      <c r="AF92" s="115"/>
      <c r="AG92" s="115"/>
      <c r="AH92" s="115"/>
      <c r="AI92" s="115">
        <v>50</v>
      </c>
      <c r="AJ92" s="115"/>
      <c r="AK92" s="115"/>
      <c r="AL92" s="115"/>
      <c r="AM92" s="520"/>
      <c r="AN92" s="115"/>
      <c r="AO92" s="115"/>
      <c r="AP92" s="115"/>
      <c r="AQ92" s="115"/>
      <c r="AR92" s="115">
        <v>0</v>
      </c>
      <c r="AS92" s="115">
        <v>0</v>
      </c>
      <c r="AT92" s="115">
        <v>50</v>
      </c>
      <c r="AU92" s="115"/>
      <c r="AV92" s="115"/>
      <c r="AW92" s="187"/>
      <c r="AX92" s="291">
        <f>AVERAGE(AO92:AW92)</f>
        <v>16.666666666666668</v>
      </c>
      <c r="AY92" s="187">
        <f t="shared" ref="AY92:CK92" si="792">+AX92</f>
        <v>16.666666666666668</v>
      </c>
      <c r="AZ92" s="115">
        <f t="shared" si="792"/>
        <v>16.666666666666668</v>
      </c>
      <c r="BA92" s="115">
        <f t="shared" si="792"/>
        <v>16.666666666666668</v>
      </c>
      <c r="BB92" s="115">
        <f t="shared" si="792"/>
        <v>16.666666666666668</v>
      </c>
      <c r="BC92" s="115">
        <f t="shared" si="792"/>
        <v>16.666666666666668</v>
      </c>
      <c r="BD92" s="115">
        <f t="shared" si="792"/>
        <v>16.666666666666668</v>
      </c>
      <c r="BE92" s="115">
        <f t="shared" si="792"/>
        <v>16.666666666666668</v>
      </c>
      <c r="BF92" s="115">
        <f t="shared" si="792"/>
        <v>16.666666666666668</v>
      </c>
      <c r="BG92" s="115">
        <f t="shared" si="792"/>
        <v>16.666666666666668</v>
      </c>
      <c r="BH92" s="115">
        <f t="shared" si="792"/>
        <v>16.666666666666668</v>
      </c>
      <c r="BI92" s="115">
        <f t="shared" si="792"/>
        <v>16.666666666666668</v>
      </c>
      <c r="BJ92" s="115">
        <f t="shared" si="792"/>
        <v>16.666666666666668</v>
      </c>
      <c r="BK92" s="187">
        <f t="shared" si="792"/>
        <v>16.666666666666668</v>
      </c>
      <c r="BL92" s="115">
        <f t="shared" si="792"/>
        <v>16.666666666666668</v>
      </c>
      <c r="BM92" s="115">
        <f t="shared" si="792"/>
        <v>16.666666666666668</v>
      </c>
      <c r="BN92" s="115">
        <f t="shared" si="792"/>
        <v>16.666666666666668</v>
      </c>
      <c r="BO92" s="115">
        <f t="shared" si="792"/>
        <v>16.666666666666668</v>
      </c>
      <c r="BP92" s="115">
        <f t="shared" si="792"/>
        <v>16.666666666666668</v>
      </c>
      <c r="BQ92" s="115">
        <f t="shared" si="792"/>
        <v>16.666666666666668</v>
      </c>
      <c r="BR92" s="115">
        <f t="shared" si="792"/>
        <v>16.666666666666668</v>
      </c>
      <c r="BS92" s="115">
        <f t="shared" si="792"/>
        <v>16.666666666666668</v>
      </c>
      <c r="BT92" s="115">
        <f t="shared" si="792"/>
        <v>16.666666666666668</v>
      </c>
      <c r="BU92" s="115">
        <f t="shared" si="792"/>
        <v>16.666666666666668</v>
      </c>
      <c r="BV92" s="115">
        <f t="shared" si="792"/>
        <v>16.666666666666668</v>
      </c>
      <c r="BW92" s="187">
        <f t="shared" si="792"/>
        <v>16.666666666666668</v>
      </c>
      <c r="BX92" s="115">
        <f t="shared" si="792"/>
        <v>16.666666666666668</v>
      </c>
      <c r="BY92" s="115">
        <f t="shared" si="792"/>
        <v>16.666666666666668</v>
      </c>
      <c r="BZ92" s="115">
        <f t="shared" si="792"/>
        <v>16.666666666666668</v>
      </c>
      <c r="CA92" s="115">
        <f t="shared" si="792"/>
        <v>16.666666666666668</v>
      </c>
      <c r="CB92" s="115">
        <f t="shared" si="792"/>
        <v>16.666666666666668</v>
      </c>
      <c r="CC92" s="115">
        <f t="shared" si="792"/>
        <v>16.666666666666668</v>
      </c>
      <c r="CD92" s="115">
        <f t="shared" si="792"/>
        <v>16.666666666666668</v>
      </c>
      <c r="CE92" s="115">
        <f t="shared" si="792"/>
        <v>16.666666666666668</v>
      </c>
      <c r="CF92" s="115">
        <f t="shared" si="792"/>
        <v>16.666666666666668</v>
      </c>
      <c r="CG92" s="115">
        <f t="shared" si="792"/>
        <v>16.666666666666668</v>
      </c>
      <c r="CH92" s="115">
        <f t="shared" si="792"/>
        <v>16.666666666666668</v>
      </c>
      <c r="CI92" s="187">
        <f t="shared" si="792"/>
        <v>16.666666666666668</v>
      </c>
      <c r="CJ92" s="115">
        <f t="shared" si="792"/>
        <v>16.666666666666668</v>
      </c>
      <c r="CK92" s="115">
        <f t="shared" si="792"/>
        <v>16.666666666666668</v>
      </c>
      <c r="CL92" s="115">
        <f t="shared" ref="CL92:DG92" si="793">+CK92</f>
        <v>16.666666666666668</v>
      </c>
      <c r="CM92" s="115">
        <f t="shared" si="793"/>
        <v>16.666666666666668</v>
      </c>
      <c r="CN92" s="115">
        <f t="shared" si="793"/>
        <v>16.666666666666668</v>
      </c>
      <c r="CO92" s="115">
        <f t="shared" si="793"/>
        <v>16.666666666666668</v>
      </c>
      <c r="CP92" s="115">
        <f t="shared" si="793"/>
        <v>16.666666666666668</v>
      </c>
      <c r="CQ92" s="115">
        <f t="shared" si="793"/>
        <v>16.666666666666668</v>
      </c>
      <c r="CR92" s="115">
        <f t="shared" si="793"/>
        <v>16.666666666666668</v>
      </c>
      <c r="CS92" s="115">
        <f t="shared" si="793"/>
        <v>16.666666666666668</v>
      </c>
      <c r="CT92" s="115">
        <f t="shared" si="793"/>
        <v>16.666666666666668</v>
      </c>
      <c r="CU92" s="187">
        <f t="shared" si="793"/>
        <v>16.666666666666668</v>
      </c>
      <c r="CV92" s="115">
        <f t="shared" si="793"/>
        <v>16.666666666666668</v>
      </c>
      <c r="CW92" s="115">
        <f t="shared" si="793"/>
        <v>16.666666666666668</v>
      </c>
      <c r="CX92" s="115">
        <f t="shared" si="793"/>
        <v>16.666666666666668</v>
      </c>
      <c r="CY92" s="115">
        <f t="shared" si="793"/>
        <v>16.666666666666668</v>
      </c>
      <c r="CZ92" s="115">
        <f t="shared" si="793"/>
        <v>16.666666666666668</v>
      </c>
      <c r="DA92" s="115">
        <f t="shared" si="793"/>
        <v>16.666666666666668</v>
      </c>
      <c r="DB92" s="115">
        <f t="shared" si="793"/>
        <v>16.666666666666668</v>
      </c>
      <c r="DC92" s="115">
        <f t="shared" si="793"/>
        <v>16.666666666666668</v>
      </c>
      <c r="DD92" s="115">
        <f t="shared" si="793"/>
        <v>16.666666666666668</v>
      </c>
      <c r="DE92" s="115">
        <f t="shared" si="793"/>
        <v>16.666666666666668</v>
      </c>
      <c r="DF92" s="115">
        <f t="shared" si="793"/>
        <v>16.666666666666668</v>
      </c>
      <c r="DG92" s="115">
        <f t="shared" si="793"/>
        <v>16.666666666666668</v>
      </c>
    </row>
    <row r="93" spans="1:111" x14ac:dyDescent="0.25">
      <c r="B93" s="1" t="s">
        <v>204</v>
      </c>
      <c r="C93" s="1"/>
      <c r="D93" s="55">
        <f t="shared" ref="D93:O93" si="794">SUM(D83:D90)</f>
        <v>0</v>
      </c>
      <c r="E93" s="55">
        <f t="shared" si="794"/>
        <v>0</v>
      </c>
      <c r="F93" s="55">
        <f t="shared" si="794"/>
        <v>0</v>
      </c>
      <c r="G93" s="55">
        <f t="shared" si="794"/>
        <v>0</v>
      </c>
      <c r="H93" s="55">
        <f t="shared" si="794"/>
        <v>0</v>
      </c>
      <c r="I93" s="55">
        <f t="shared" si="794"/>
        <v>0</v>
      </c>
      <c r="J93" s="55">
        <f t="shared" si="794"/>
        <v>0</v>
      </c>
      <c r="K93" s="55">
        <f t="shared" si="794"/>
        <v>0</v>
      </c>
      <c r="L93" s="55">
        <f t="shared" si="794"/>
        <v>27</v>
      </c>
      <c r="M93" s="55">
        <f t="shared" si="794"/>
        <v>1796.6599999999999</v>
      </c>
      <c r="N93" s="55">
        <f t="shared" si="794"/>
        <v>472.23</v>
      </c>
      <c r="O93" s="55">
        <f t="shared" si="794"/>
        <v>162.10000000000002</v>
      </c>
      <c r="P93" s="55">
        <f t="shared" ref="P93:X93" si="795">SUM(P83:P92)</f>
        <v>235.13</v>
      </c>
      <c r="Q93" s="55">
        <f t="shared" si="795"/>
        <v>153.76</v>
      </c>
      <c r="R93" s="55">
        <f t="shared" si="795"/>
        <v>105.36</v>
      </c>
      <c r="S93" s="55">
        <f t="shared" si="795"/>
        <v>272.83999999999997</v>
      </c>
      <c r="T93" s="55">
        <f t="shared" si="795"/>
        <v>551</v>
      </c>
      <c r="U93" s="55">
        <f t="shared" si="795"/>
        <v>647.26</v>
      </c>
      <c r="V93" s="55">
        <f t="shared" si="795"/>
        <v>432.76</v>
      </c>
      <c r="W93" s="55">
        <f t="shared" si="795"/>
        <v>851.95</v>
      </c>
      <c r="X93" s="55">
        <f t="shared" si="795"/>
        <v>1646.3600000000001</v>
      </c>
      <c r="Y93" s="55">
        <f t="shared" ref="Y93:AM93" si="796">SUM(Y72:Y92)</f>
        <v>1347.4700000000003</v>
      </c>
      <c r="Z93" s="55">
        <f t="shared" si="796"/>
        <v>906.43000000000006</v>
      </c>
      <c r="AA93" s="55">
        <f t="shared" si="796"/>
        <v>797.47</v>
      </c>
      <c r="AB93" s="55">
        <f t="shared" si="796"/>
        <v>417.24</v>
      </c>
      <c r="AC93" s="55">
        <f t="shared" si="796"/>
        <v>436.02</v>
      </c>
      <c r="AD93" s="55">
        <f t="shared" si="796"/>
        <v>943.03</v>
      </c>
      <c r="AE93" s="55">
        <f t="shared" si="796"/>
        <v>382.79999999999995</v>
      </c>
      <c r="AF93" s="55">
        <f t="shared" si="796"/>
        <v>689.94999999999993</v>
      </c>
      <c r="AG93" s="55">
        <f t="shared" si="796"/>
        <v>913.86</v>
      </c>
      <c r="AH93" s="55">
        <f t="shared" si="796"/>
        <v>2146.7599999999998</v>
      </c>
      <c r="AI93" s="55">
        <f t="shared" si="796"/>
        <v>1446.3200000000002</v>
      </c>
      <c r="AJ93" s="55">
        <f t="shared" si="796"/>
        <v>878.64</v>
      </c>
      <c r="AK93" s="55">
        <f t="shared" si="796"/>
        <v>1580.87</v>
      </c>
      <c r="AL93" s="55">
        <f t="shared" si="796"/>
        <v>2040.0100000000002</v>
      </c>
      <c r="AM93" s="521">
        <f t="shared" si="796"/>
        <v>620.20999999999992</v>
      </c>
      <c r="AN93" s="55">
        <f t="shared" ref="AN93:AS93" si="797">SUM(AN81:AN92)+AN78</f>
        <v>4230.3</v>
      </c>
      <c r="AO93" s="55">
        <f t="shared" si="797"/>
        <v>6699.2999999999993</v>
      </c>
      <c r="AP93" s="55">
        <f t="shared" si="797"/>
        <v>7438.99</v>
      </c>
      <c r="AQ93" s="55">
        <f t="shared" si="797"/>
        <v>3780.99</v>
      </c>
      <c r="AR93" s="55">
        <f t="shared" si="797"/>
        <v>3678.36</v>
      </c>
      <c r="AS93" s="55">
        <f t="shared" si="797"/>
        <v>4152.38</v>
      </c>
      <c r="AT93" s="55">
        <f t="shared" ref="AT93:AU93" si="798">SUM(AT81:AT92)+AT78</f>
        <v>9510.39</v>
      </c>
      <c r="AU93" s="55">
        <f t="shared" si="798"/>
        <v>17648.04</v>
      </c>
      <c r="AV93" s="55">
        <f t="shared" ref="AV93:AW93" si="799">SUM(AV81:AV92)+AV78</f>
        <v>13518.2</v>
      </c>
      <c r="AW93" s="312">
        <f t="shared" si="799"/>
        <v>18946.23</v>
      </c>
      <c r="AX93" s="55">
        <f t="shared" ref="AX93" si="800">SUM(AX81:AX92)+AX78</f>
        <v>14676.434279147454</v>
      </c>
      <c r="AY93" s="312">
        <f t="shared" ref="AY93:CZ93" si="801">SUM(AY81:AY92)+AY78</f>
        <v>14483.405899690393</v>
      </c>
      <c r="AZ93" s="55">
        <f t="shared" si="801"/>
        <v>15076.968526944862</v>
      </c>
      <c r="BA93" s="55">
        <f t="shared" si="801"/>
        <v>14868.252308890576</v>
      </c>
      <c r="BB93" s="55">
        <f t="shared" si="801"/>
        <v>15587.542714896343</v>
      </c>
      <c r="BC93" s="55">
        <f t="shared" si="801"/>
        <v>14989.258654613661</v>
      </c>
      <c r="BD93" s="55">
        <f t="shared" si="801"/>
        <v>14753.890516794308</v>
      </c>
      <c r="BE93" s="55">
        <f t="shared" si="801"/>
        <v>14692.585952210096</v>
      </c>
      <c r="BF93" s="55">
        <f t="shared" si="801"/>
        <v>15324.03302509624</v>
      </c>
      <c r="BG93" s="55">
        <f t="shared" si="801"/>
        <v>15005.810211124601</v>
      </c>
      <c r="BH93" s="55">
        <f t="shared" si="801"/>
        <v>15147.149403149546</v>
      </c>
      <c r="BI93" s="55">
        <f t="shared" si="801"/>
        <v>15442.355078277533</v>
      </c>
      <c r="BJ93" s="55">
        <f t="shared" si="801"/>
        <v>14937.73121424091</v>
      </c>
      <c r="BK93" s="312">
        <f t="shared" si="801"/>
        <v>14914.993402552727</v>
      </c>
      <c r="BL93" s="55">
        <f t="shared" si="801"/>
        <v>15238.98115290756</v>
      </c>
      <c r="BM93" s="55">
        <f t="shared" si="801"/>
        <v>15095.671889943194</v>
      </c>
      <c r="BN93" s="55">
        <f t="shared" si="801"/>
        <v>15870.660975807807</v>
      </c>
      <c r="BO93" s="55">
        <f t="shared" si="801"/>
        <v>15163.008107962813</v>
      </c>
      <c r="BP93" s="55">
        <f t="shared" si="801"/>
        <v>15004.303430968379</v>
      </c>
      <c r="BQ93" s="55">
        <f t="shared" si="801"/>
        <v>14924.506485771662</v>
      </c>
      <c r="BR93" s="55">
        <f t="shared" si="801"/>
        <v>15593.268748107776</v>
      </c>
      <c r="BS93" s="55">
        <f t="shared" si="801"/>
        <v>15361.412802820347</v>
      </c>
      <c r="BT93" s="55">
        <f t="shared" si="801"/>
        <v>15554.43147186016</v>
      </c>
      <c r="BU93" s="55">
        <f t="shared" si="801"/>
        <v>15838.153942933766</v>
      </c>
      <c r="BV93" s="55">
        <f t="shared" si="801"/>
        <v>15226.362029729993</v>
      </c>
      <c r="BW93" s="312">
        <f t="shared" si="801"/>
        <v>15238.39626971681</v>
      </c>
      <c r="BX93" s="55">
        <f t="shared" si="801"/>
        <v>17391.419051337998</v>
      </c>
      <c r="BY93" s="55">
        <f t="shared" si="801"/>
        <v>17301.765690653861</v>
      </c>
      <c r="BZ93" s="55">
        <f t="shared" si="801"/>
        <v>18061.074112447703</v>
      </c>
      <c r="CA93" s="55">
        <f t="shared" si="801"/>
        <v>17151.729183352374</v>
      </c>
      <c r="CB93" s="55">
        <f t="shared" si="801"/>
        <v>17208.850668870891</v>
      </c>
      <c r="CC93" s="55">
        <f t="shared" si="801"/>
        <v>17013.490576795801</v>
      </c>
      <c r="CD93" s="55">
        <f t="shared" si="801"/>
        <v>17734.455586608026</v>
      </c>
      <c r="CE93" s="55">
        <f t="shared" si="801"/>
        <v>17651.12871921921</v>
      </c>
      <c r="CF93" s="55">
        <f t="shared" si="801"/>
        <v>17827.002180024108</v>
      </c>
      <c r="CG93" s="55">
        <f t="shared" si="801"/>
        <v>18301.312644227099</v>
      </c>
      <c r="CH93" s="55">
        <f t="shared" si="801"/>
        <v>17364.410405944935</v>
      </c>
      <c r="CI93" s="312">
        <f t="shared" si="801"/>
        <v>17359.344675304801</v>
      </c>
      <c r="CJ93" s="55">
        <f t="shared" si="801"/>
        <v>18599.581853416159</v>
      </c>
      <c r="CK93" s="55">
        <f t="shared" si="801"/>
        <v>18362.808043497811</v>
      </c>
      <c r="CL93" s="55">
        <f t="shared" si="801"/>
        <v>19142.255594214592</v>
      </c>
      <c r="CM93" s="55">
        <f t="shared" si="801"/>
        <v>18078.015479637073</v>
      </c>
      <c r="CN93" s="55">
        <f t="shared" si="801"/>
        <v>18292.168705360848</v>
      </c>
      <c r="CO93" s="55">
        <f t="shared" si="801"/>
        <v>17984.094202851029</v>
      </c>
      <c r="CP93" s="55">
        <f t="shared" si="801"/>
        <v>18915.905147531092</v>
      </c>
      <c r="CQ93" s="55">
        <f t="shared" si="801"/>
        <v>18888.0800955218</v>
      </c>
      <c r="CR93" s="55">
        <f t="shared" si="801"/>
        <v>19081.365259749669</v>
      </c>
      <c r="CS93" s="55">
        <f t="shared" si="801"/>
        <v>19909.269718220909</v>
      </c>
      <c r="CT93" s="55">
        <f t="shared" si="801"/>
        <v>18462.486289697794</v>
      </c>
      <c r="CU93" s="312">
        <f t="shared" si="801"/>
        <v>18530.889495232303</v>
      </c>
      <c r="CV93" s="55">
        <f t="shared" si="801"/>
        <v>19333.322725921473</v>
      </c>
      <c r="CW93" s="55">
        <f t="shared" si="801"/>
        <v>19065.6201862657</v>
      </c>
      <c r="CX93" s="55">
        <f t="shared" si="801"/>
        <v>19782.365198905434</v>
      </c>
      <c r="CY93" s="55">
        <f t="shared" si="801"/>
        <v>18528.451643014007</v>
      </c>
      <c r="CZ93" s="55">
        <f t="shared" si="801"/>
        <v>18958.126679094796</v>
      </c>
      <c r="DA93" s="55">
        <f t="shared" ref="DA93:DG93" si="802">SUM(DA81:DA92)+DA78</f>
        <v>18461.233227397901</v>
      </c>
      <c r="DB93" s="55">
        <f t="shared" si="802"/>
        <v>19746.755459950706</v>
      </c>
      <c r="DC93" s="55">
        <f t="shared" si="802"/>
        <v>19659.944162468622</v>
      </c>
      <c r="DD93" s="55">
        <f t="shared" si="802"/>
        <v>20211.2253594705</v>
      </c>
      <c r="DE93" s="55">
        <f t="shared" si="802"/>
        <v>21159.720510428713</v>
      </c>
      <c r="DF93" s="55">
        <f t="shared" si="802"/>
        <v>19039.254627113947</v>
      </c>
      <c r="DG93" s="55">
        <f t="shared" si="802"/>
        <v>19381.703860811846</v>
      </c>
    </row>
    <row r="94" spans="1:111" hidden="1" x14ac:dyDescent="0.25">
      <c r="B94" s="1" t="s">
        <v>201</v>
      </c>
      <c r="C94" s="1"/>
      <c r="D94" s="115">
        <v>0</v>
      </c>
      <c r="E94" s="115">
        <v>0</v>
      </c>
      <c r="F94" s="115">
        <v>0</v>
      </c>
      <c r="G94" s="115">
        <v>0</v>
      </c>
      <c r="H94" s="115">
        <v>0</v>
      </c>
      <c r="I94" s="115">
        <v>0</v>
      </c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>
        <f t="shared" ref="AB94:CF94" si="803">AA94</f>
        <v>0</v>
      </c>
      <c r="AC94" s="115">
        <f t="shared" si="803"/>
        <v>0</v>
      </c>
      <c r="AD94" s="115">
        <f t="shared" si="803"/>
        <v>0</v>
      </c>
      <c r="AE94" s="115">
        <f t="shared" si="803"/>
        <v>0</v>
      </c>
      <c r="AF94" s="115">
        <f t="shared" si="803"/>
        <v>0</v>
      </c>
      <c r="AG94" s="115">
        <f t="shared" si="803"/>
        <v>0</v>
      </c>
      <c r="AH94" s="115">
        <f t="shared" si="803"/>
        <v>0</v>
      </c>
      <c r="AI94" s="115">
        <f t="shared" si="803"/>
        <v>0</v>
      </c>
      <c r="AJ94" s="115">
        <f t="shared" si="803"/>
        <v>0</v>
      </c>
      <c r="AK94" s="115">
        <f t="shared" si="803"/>
        <v>0</v>
      </c>
      <c r="AL94" s="115">
        <f t="shared" si="803"/>
        <v>0</v>
      </c>
      <c r="AM94" s="520">
        <f t="shared" si="803"/>
        <v>0</v>
      </c>
      <c r="AN94" s="115">
        <f t="shared" si="803"/>
        <v>0</v>
      </c>
      <c r="AO94" s="115">
        <f t="shared" si="803"/>
        <v>0</v>
      </c>
      <c r="AP94" s="115">
        <f t="shared" si="803"/>
        <v>0</v>
      </c>
      <c r="AQ94" s="115">
        <f t="shared" si="803"/>
        <v>0</v>
      </c>
      <c r="AR94" s="115">
        <f t="shared" si="803"/>
        <v>0</v>
      </c>
      <c r="AS94" s="115">
        <f t="shared" si="803"/>
        <v>0</v>
      </c>
      <c r="AT94" s="115">
        <f t="shared" si="803"/>
        <v>0</v>
      </c>
      <c r="AU94" s="115">
        <f t="shared" si="803"/>
        <v>0</v>
      </c>
      <c r="AV94" s="115">
        <f t="shared" si="803"/>
        <v>0</v>
      </c>
      <c r="AW94" s="187">
        <f t="shared" si="803"/>
        <v>0</v>
      </c>
      <c r="AX94" s="115">
        <f t="shared" ref="AX94" si="804">AW94</f>
        <v>0</v>
      </c>
      <c r="AY94" s="187">
        <f t="shared" si="803"/>
        <v>0</v>
      </c>
      <c r="AZ94" s="115">
        <f t="shared" si="803"/>
        <v>0</v>
      </c>
      <c r="BA94" s="115">
        <f t="shared" si="803"/>
        <v>0</v>
      </c>
      <c r="BB94" s="115">
        <f t="shared" si="803"/>
        <v>0</v>
      </c>
      <c r="BC94" s="115">
        <f t="shared" si="803"/>
        <v>0</v>
      </c>
      <c r="BD94" s="115">
        <f t="shared" si="803"/>
        <v>0</v>
      </c>
      <c r="BE94" s="115">
        <f t="shared" si="803"/>
        <v>0</v>
      </c>
      <c r="BF94" s="115">
        <f t="shared" si="803"/>
        <v>0</v>
      </c>
      <c r="BG94" s="115">
        <f t="shared" si="803"/>
        <v>0</v>
      </c>
      <c r="BH94" s="115">
        <f t="shared" si="803"/>
        <v>0</v>
      </c>
      <c r="BI94" s="115">
        <f t="shared" si="803"/>
        <v>0</v>
      </c>
      <c r="BJ94" s="115">
        <f t="shared" si="803"/>
        <v>0</v>
      </c>
      <c r="BK94" s="187">
        <f t="shared" si="803"/>
        <v>0</v>
      </c>
      <c r="BL94" s="115">
        <f t="shared" si="803"/>
        <v>0</v>
      </c>
      <c r="BM94" s="115">
        <f t="shared" si="803"/>
        <v>0</v>
      </c>
      <c r="BN94" s="115">
        <f t="shared" si="803"/>
        <v>0</v>
      </c>
      <c r="BO94" s="115">
        <f t="shared" si="803"/>
        <v>0</v>
      </c>
      <c r="BP94" s="115">
        <f t="shared" si="803"/>
        <v>0</v>
      </c>
      <c r="BQ94" s="115">
        <f t="shared" si="803"/>
        <v>0</v>
      </c>
      <c r="BR94" s="115">
        <f t="shared" si="803"/>
        <v>0</v>
      </c>
      <c r="BS94" s="115">
        <f t="shared" si="803"/>
        <v>0</v>
      </c>
      <c r="BT94" s="115">
        <f t="shared" si="803"/>
        <v>0</v>
      </c>
      <c r="BU94" s="115">
        <f t="shared" si="803"/>
        <v>0</v>
      </c>
      <c r="BV94" s="115">
        <f t="shared" si="803"/>
        <v>0</v>
      </c>
      <c r="BW94" s="187">
        <f t="shared" si="803"/>
        <v>0</v>
      </c>
      <c r="BX94" s="115">
        <f t="shared" si="803"/>
        <v>0</v>
      </c>
      <c r="BY94" s="115">
        <f t="shared" si="803"/>
        <v>0</v>
      </c>
      <c r="BZ94" s="115">
        <f t="shared" si="803"/>
        <v>0</v>
      </c>
      <c r="CA94" s="115">
        <f t="shared" si="803"/>
        <v>0</v>
      </c>
      <c r="CB94" s="115">
        <f t="shared" si="803"/>
        <v>0</v>
      </c>
      <c r="CC94" s="115">
        <f t="shared" si="803"/>
        <v>0</v>
      </c>
      <c r="CD94" s="115">
        <f t="shared" si="803"/>
        <v>0</v>
      </c>
      <c r="CE94" s="115">
        <f t="shared" si="803"/>
        <v>0</v>
      </c>
      <c r="CF94" s="115">
        <f t="shared" si="803"/>
        <v>0</v>
      </c>
      <c r="CG94" s="115">
        <f t="shared" ref="CG94:DG94" si="805">CF94</f>
        <v>0</v>
      </c>
      <c r="CH94" s="115">
        <f t="shared" si="805"/>
        <v>0</v>
      </c>
      <c r="CI94" s="187">
        <f t="shared" si="805"/>
        <v>0</v>
      </c>
      <c r="CJ94" s="115">
        <f t="shared" si="805"/>
        <v>0</v>
      </c>
      <c r="CK94" s="115">
        <f t="shared" si="805"/>
        <v>0</v>
      </c>
      <c r="CL94" s="115">
        <f t="shared" si="805"/>
        <v>0</v>
      </c>
      <c r="CM94" s="115">
        <f t="shared" si="805"/>
        <v>0</v>
      </c>
      <c r="CN94" s="115">
        <f t="shared" si="805"/>
        <v>0</v>
      </c>
      <c r="CO94" s="115">
        <f t="shared" si="805"/>
        <v>0</v>
      </c>
      <c r="CP94" s="115">
        <f t="shared" si="805"/>
        <v>0</v>
      </c>
      <c r="CQ94" s="115">
        <f t="shared" si="805"/>
        <v>0</v>
      </c>
      <c r="CR94" s="115">
        <f t="shared" si="805"/>
        <v>0</v>
      </c>
      <c r="CS94" s="115">
        <f t="shared" si="805"/>
        <v>0</v>
      </c>
      <c r="CT94" s="115">
        <f t="shared" si="805"/>
        <v>0</v>
      </c>
      <c r="CU94" s="187">
        <f t="shared" si="805"/>
        <v>0</v>
      </c>
      <c r="CV94" s="115">
        <f t="shared" si="805"/>
        <v>0</v>
      </c>
      <c r="CW94" s="115">
        <f t="shared" si="805"/>
        <v>0</v>
      </c>
      <c r="CX94" s="115">
        <f t="shared" si="805"/>
        <v>0</v>
      </c>
      <c r="CY94" s="115">
        <f t="shared" si="805"/>
        <v>0</v>
      </c>
      <c r="CZ94" s="115">
        <f t="shared" si="805"/>
        <v>0</v>
      </c>
      <c r="DA94" s="115">
        <f t="shared" si="805"/>
        <v>0</v>
      </c>
      <c r="DB94" s="115">
        <f t="shared" si="805"/>
        <v>0</v>
      </c>
      <c r="DC94" s="115">
        <f t="shared" si="805"/>
        <v>0</v>
      </c>
      <c r="DD94" s="115">
        <f t="shared" si="805"/>
        <v>0</v>
      </c>
      <c r="DE94" s="115">
        <f t="shared" si="805"/>
        <v>0</v>
      </c>
      <c r="DF94" s="115">
        <f t="shared" si="805"/>
        <v>0</v>
      </c>
      <c r="DG94" s="115">
        <f t="shared" si="805"/>
        <v>0</v>
      </c>
    </row>
    <row r="95" spans="1:111" hidden="1" x14ac:dyDescent="0.25">
      <c r="A95" s="5"/>
      <c r="B95" s="6" t="s">
        <v>10</v>
      </c>
      <c r="C95" s="6"/>
      <c r="D95" s="55">
        <f>SUM(D93:D94)</f>
        <v>0</v>
      </c>
      <c r="E95" s="55">
        <f t="shared" ref="E95:BP95" si="806">SUM(E93:E94)</f>
        <v>0</v>
      </c>
      <c r="F95" s="55">
        <f t="shared" si="806"/>
        <v>0</v>
      </c>
      <c r="G95" s="55">
        <f t="shared" si="806"/>
        <v>0</v>
      </c>
      <c r="H95" s="55">
        <f t="shared" si="806"/>
        <v>0</v>
      </c>
      <c r="I95" s="55">
        <f t="shared" si="806"/>
        <v>0</v>
      </c>
      <c r="J95" s="55">
        <f t="shared" si="806"/>
        <v>0</v>
      </c>
      <c r="K95" s="55">
        <f t="shared" si="806"/>
        <v>0</v>
      </c>
      <c r="L95" s="55">
        <f t="shared" si="806"/>
        <v>27</v>
      </c>
      <c r="M95" s="55">
        <f t="shared" si="806"/>
        <v>1796.6599999999999</v>
      </c>
      <c r="N95" s="55">
        <f t="shared" si="806"/>
        <v>472.23</v>
      </c>
      <c r="O95" s="55">
        <f t="shared" si="806"/>
        <v>162.10000000000002</v>
      </c>
      <c r="P95" s="55">
        <f t="shared" ref="P95:W95" si="807">SUM(P93:P94)</f>
        <v>235.13</v>
      </c>
      <c r="Q95" s="55">
        <f t="shared" si="807"/>
        <v>153.76</v>
      </c>
      <c r="R95" s="55">
        <f t="shared" si="807"/>
        <v>105.36</v>
      </c>
      <c r="S95" s="55">
        <f t="shared" si="807"/>
        <v>272.83999999999997</v>
      </c>
      <c r="T95" s="55">
        <f t="shared" si="807"/>
        <v>551</v>
      </c>
      <c r="U95" s="55">
        <f t="shared" si="807"/>
        <v>647.26</v>
      </c>
      <c r="V95" s="55">
        <f t="shared" si="807"/>
        <v>432.76</v>
      </c>
      <c r="W95" s="55">
        <f t="shared" si="807"/>
        <v>851.95</v>
      </c>
      <c r="X95" s="55">
        <f t="shared" ref="X95:Y95" si="808">SUM(X93:X94)</f>
        <v>1646.3600000000001</v>
      </c>
      <c r="Y95" s="55">
        <f t="shared" si="808"/>
        <v>1347.4700000000003</v>
      </c>
      <c r="Z95" s="55">
        <f t="shared" ref="Z95:AA95" si="809">SUM(Z93:Z94)</f>
        <v>906.43000000000006</v>
      </c>
      <c r="AA95" s="55">
        <f t="shared" si="809"/>
        <v>797.47</v>
      </c>
      <c r="AB95" s="55">
        <f t="shared" ref="AB95" si="810">SUM(AB93:AB94)</f>
        <v>417.24</v>
      </c>
      <c r="AC95" s="55">
        <f t="shared" si="806"/>
        <v>436.02</v>
      </c>
      <c r="AD95" s="55">
        <f t="shared" ref="AD95" si="811">SUM(AD93:AD94)</f>
        <v>943.03</v>
      </c>
      <c r="AE95" s="55">
        <f t="shared" ref="AE95" si="812">SUM(AE93:AE94)</f>
        <v>382.79999999999995</v>
      </c>
      <c r="AF95" s="55">
        <f t="shared" ref="AF95:AG95" si="813">SUM(AF93:AF94)</f>
        <v>689.94999999999993</v>
      </c>
      <c r="AG95" s="55">
        <f t="shared" si="813"/>
        <v>913.86</v>
      </c>
      <c r="AH95" s="55">
        <f t="shared" ref="AH95" si="814">SUM(AH93:AH94)</f>
        <v>2146.7599999999998</v>
      </c>
      <c r="AI95" s="55">
        <f t="shared" ref="AI95:AJ95" si="815">SUM(AI93:AI94)</f>
        <v>1446.3200000000002</v>
      </c>
      <c r="AJ95" s="55">
        <f t="shared" si="815"/>
        <v>878.64</v>
      </c>
      <c r="AK95" s="55">
        <f t="shared" ref="AK95:AL95" si="816">SUM(AK93:AK94)</f>
        <v>1580.87</v>
      </c>
      <c r="AL95" s="55">
        <f t="shared" si="816"/>
        <v>2040.0100000000002</v>
      </c>
      <c r="AM95" s="521">
        <f t="shared" ref="AM95:AN95" si="817">SUM(AM93:AM94)</f>
        <v>620.20999999999992</v>
      </c>
      <c r="AN95" s="55">
        <f t="shared" si="817"/>
        <v>4230.3</v>
      </c>
      <c r="AO95" s="55">
        <f t="shared" ref="AO95:AP95" si="818">SUM(AO93:AO94)</f>
        <v>6699.2999999999993</v>
      </c>
      <c r="AP95" s="55">
        <f t="shared" si="818"/>
        <v>7438.99</v>
      </c>
      <c r="AQ95" s="55">
        <f t="shared" ref="AQ95:AR95" si="819">SUM(AQ93:AQ94)</f>
        <v>3780.99</v>
      </c>
      <c r="AR95" s="55">
        <f t="shared" si="819"/>
        <v>3678.36</v>
      </c>
      <c r="AS95" s="55">
        <f t="shared" ref="AS95:AT95" si="820">SUM(AS93:AS94)</f>
        <v>4152.38</v>
      </c>
      <c r="AT95" s="55">
        <f t="shared" si="820"/>
        <v>9510.39</v>
      </c>
      <c r="AU95" s="55">
        <f t="shared" ref="AU95:AV95" si="821">SUM(AU93:AU94)</f>
        <v>17648.04</v>
      </c>
      <c r="AV95" s="55">
        <f t="shared" si="821"/>
        <v>13518.2</v>
      </c>
      <c r="AW95" s="312">
        <f t="shared" ref="AW95" si="822">SUM(AW93:AW94)</f>
        <v>18946.23</v>
      </c>
      <c r="AX95" s="55">
        <f t="shared" ref="AX95" si="823">SUM(AX93:AX94)</f>
        <v>14676.434279147454</v>
      </c>
      <c r="AY95" s="312">
        <f t="shared" si="806"/>
        <v>14483.405899690393</v>
      </c>
      <c r="AZ95" s="55">
        <f t="shared" si="806"/>
        <v>15076.968526944862</v>
      </c>
      <c r="BA95" s="55">
        <f t="shared" si="806"/>
        <v>14868.252308890576</v>
      </c>
      <c r="BB95" s="55">
        <f t="shared" si="806"/>
        <v>15587.542714896343</v>
      </c>
      <c r="BC95" s="55">
        <f t="shared" si="806"/>
        <v>14989.258654613661</v>
      </c>
      <c r="BD95" s="55">
        <f t="shared" si="806"/>
        <v>14753.890516794308</v>
      </c>
      <c r="BE95" s="55">
        <f t="shared" si="806"/>
        <v>14692.585952210096</v>
      </c>
      <c r="BF95" s="55">
        <f t="shared" si="806"/>
        <v>15324.03302509624</v>
      </c>
      <c r="BG95" s="55">
        <f t="shared" si="806"/>
        <v>15005.810211124601</v>
      </c>
      <c r="BH95" s="55">
        <f t="shared" si="806"/>
        <v>15147.149403149546</v>
      </c>
      <c r="BI95" s="55">
        <f t="shared" si="806"/>
        <v>15442.355078277533</v>
      </c>
      <c r="BJ95" s="55">
        <f t="shared" si="806"/>
        <v>14937.73121424091</v>
      </c>
      <c r="BK95" s="312">
        <f t="shared" si="806"/>
        <v>14914.993402552727</v>
      </c>
      <c r="BL95" s="55">
        <f t="shared" si="806"/>
        <v>15238.98115290756</v>
      </c>
      <c r="BM95" s="55">
        <f t="shared" si="806"/>
        <v>15095.671889943194</v>
      </c>
      <c r="BN95" s="55">
        <f t="shared" si="806"/>
        <v>15870.660975807807</v>
      </c>
      <c r="BO95" s="55">
        <f t="shared" si="806"/>
        <v>15163.008107962813</v>
      </c>
      <c r="BP95" s="55">
        <f t="shared" si="806"/>
        <v>15004.303430968379</v>
      </c>
      <c r="BQ95" s="55">
        <f t="shared" ref="BQ95:DG95" si="824">SUM(BQ93:BQ94)</f>
        <v>14924.506485771662</v>
      </c>
      <c r="BR95" s="55">
        <f t="shared" si="824"/>
        <v>15593.268748107776</v>
      </c>
      <c r="BS95" s="55">
        <f t="shared" si="824"/>
        <v>15361.412802820347</v>
      </c>
      <c r="BT95" s="55">
        <f t="shared" si="824"/>
        <v>15554.43147186016</v>
      </c>
      <c r="BU95" s="55">
        <f t="shared" si="824"/>
        <v>15838.153942933766</v>
      </c>
      <c r="BV95" s="55">
        <f t="shared" si="824"/>
        <v>15226.362029729993</v>
      </c>
      <c r="BW95" s="312">
        <f t="shared" si="824"/>
        <v>15238.39626971681</v>
      </c>
      <c r="BX95" s="55">
        <f t="shared" si="824"/>
        <v>17391.419051337998</v>
      </c>
      <c r="BY95" s="55">
        <f t="shared" si="824"/>
        <v>17301.765690653861</v>
      </c>
      <c r="BZ95" s="55">
        <f t="shared" si="824"/>
        <v>18061.074112447703</v>
      </c>
      <c r="CA95" s="55">
        <f t="shared" si="824"/>
        <v>17151.729183352374</v>
      </c>
      <c r="CB95" s="55">
        <f t="shared" si="824"/>
        <v>17208.850668870891</v>
      </c>
      <c r="CC95" s="55">
        <f t="shared" si="824"/>
        <v>17013.490576795801</v>
      </c>
      <c r="CD95" s="55">
        <f t="shared" si="824"/>
        <v>17734.455586608026</v>
      </c>
      <c r="CE95" s="55">
        <f t="shared" si="824"/>
        <v>17651.12871921921</v>
      </c>
      <c r="CF95" s="55">
        <f t="shared" si="824"/>
        <v>17827.002180024108</v>
      </c>
      <c r="CG95" s="55">
        <f t="shared" si="824"/>
        <v>18301.312644227099</v>
      </c>
      <c r="CH95" s="55">
        <f t="shared" si="824"/>
        <v>17364.410405944935</v>
      </c>
      <c r="CI95" s="312">
        <f t="shared" si="824"/>
        <v>17359.344675304801</v>
      </c>
      <c r="CJ95" s="55">
        <f t="shared" si="824"/>
        <v>18599.581853416159</v>
      </c>
      <c r="CK95" s="55">
        <f t="shared" si="824"/>
        <v>18362.808043497811</v>
      </c>
      <c r="CL95" s="55">
        <f t="shared" si="824"/>
        <v>19142.255594214592</v>
      </c>
      <c r="CM95" s="55">
        <f t="shared" si="824"/>
        <v>18078.015479637073</v>
      </c>
      <c r="CN95" s="55">
        <f t="shared" si="824"/>
        <v>18292.168705360848</v>
      </c>
      <c r="CO95" s="55">
        <f t="shared" si="824"/>
        <v>17984.094202851029</v>
      </c>
      <c r="CP95" s="55">
        <f t="shared" si="824"/>
        <v>18915.905147531092</v>
      </c>
      <c r="CQ95" s="55">
        <f t="shared" si="824"/>
        <v>18888.0800955218</v>
      </c>
      <c r="CR95" s="55">
        <f t="shared" si="824"/>
        <v>19081.365259749669</v>
      </c>
      <c r="CS95" s="55">
        <f t="shared" si="824"/>
        <v>19909.269718220909</v>
      </c>
      <c r="CT95" s="55">
        <f t="shared" si="824"/>
        <v>18462.486289697794</v>
      </c>
      <c r="CU95" s="312">
        <f t="shared" si="824"/>
        <v>18530.889495232303</v>
      </c>
      <c r="CV95" s="55">
        <f t="shared" si="824"/>
        <v>19333.322725921473</v>
      </c>
      <c r="CW95" s="55">
        <f t="shared" si="824"/>
        <v>19065.6201862657</v>
      </c>
      <c r="CX95" s="55">
        <f t="shared" si="824"/>
        <v>19782.365198905434</v>
      </c>
      <c r="CY95" s="55">
        <f t="shared" si="824"/>
        <v>18528.451643014007</v>
      </c>
      <c r="CZ95" s="55">
        <f t="shared" si="824"/>
        <v>18958.126679094796</v>
      </c>
      <c r="DA95" s="55">
        <f t="shared" si="824"/>
        <v>18461.233227397901</v>
      </c>
      <c r="DB95" s="55">
        <f t="shared" si="824"/>
        <v>19746.755459950706</v>
      </c>
      <c r="DC95" s="55">
        <f t="shared" si="824"/>
        <v>19659.944162468622</v>
      </c>
      <c r="DD95" s="55">
        <f t="shared" si="824"/>
        <v>20211.2253594705</v>
      </c>
      <c r="DE95" s="55">
        <f t="shared" si="824"/>
        <v>21159.720510428713</v>
      </c>
      <c r="DF95" s="55">
        <f t="shared" si="824"/>
        <v>19039.254627113947</v>
      </c>
      <c r="DG95" s="55">
        <f t="shared" si="824"/>
        <v>19381.703860811846</v>
      </c>
    </row>
    <row r="96" spans="1:111" x14ac:dyDescent="0.25">
      <c r="A96" s="3"/>
      <c r="B96" s="4" t="s">
        <v>272</v>
      </c>
      <c r="C96" s="4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>
        <f t="shared" ref="P96:AN96" si="825">+P93+P70</f>
        <v>235.13</v>
      </c>
      <c r="Q96" s="55">
        <f t="shared" si="825"/>
        <v>153.76</v>
      </c>
      <c r="R96" s="55">
        <f t="shared" si="825"/>
        <v>105.36</v>
      </c>
      <c r="S96" s="55">
        <f t="shared" si="825"/>
        <v>272.83999999999997</v>
      </c>
      <c r="T96" s="55">
        <f t="shared" si="825"/>
        <v>551</v>
      </c>
      <c r="U96" s="55">
        <f t="shared" si="825"/>
        <v>647.26</v>
      </c>
      <c r="V96" s="55">
        <f t="shared" si="825"/>
        <v>432.76</v>
      </c>
      <c r="W96" s="55">
        <f t="shared" si="825"/>
        <v>851.95</v>
      </c>
      <c r="X96" s="55">
        <f t="shared" si="825"/>
        <v>1646.3600000000001</v>
      </c>
      <c r="Y96" s="55">
        <f t="shared" si="825"/>
        <v>1347.4700000000003</v>
      </c>
      <c r="Z96" s="55">
        <f t="shared" si="825"/>
        <v>906.43000000000006</v>
      </c>
      <c r="AA96" s="55">
        <f t="shared" si="825"/>
        <v>797.47</v>
      </c>
      <c r="AB96" s="55">
        <f t="shared" si="825"/>
        <v>417.24</v>
      </c>
      <c r="AC96" s="55">
        <f t="shared" si="825"/>
        <v>1615.46</v>
      </c>
      <c r="AD96" s="55">
        <f t="shared" si="825"/>
        <v>943.03</v>
      </c>
      <c r="AE96" s="55">
        <f t="shared" si="825"/>
        <v>2782.8</v>
      </c>
      <c r="AF96" s="55">
        <f t="shared" si="825"/>
        <v>689.94999999999993</v>
      </c>
      <c r="AG96" s="55">
        <f t="shared" si="825"/>
        <v>1579.42</v>
      </c>
      <c r="AH96" s="55">
        <f t="shared" si="825"/>
        <v>2146.7599999999998</v>
      </c>
      <c r="AI96" s="55">
        <f t="shared" si="825"/>
        <v>1446.3200000000002</v>
      </c>
      <c r="AJ96" s="55">
        <f t="shared" si="825"/>
        <v>878.64</v>
      </c>
      <c r="AK96" s="55">
        <f t="shared" si="825"/>
        <v>1580.87</v>
      </c>
      <c r="AL96" s="55">
        <f t="shared" si="825"/>
        <v>2040.0100000000002</v>
      </c>
      <c r="AM96" s="521">
        <f t="shared" si="825"/>
        <v>620.20999999999992</v>
      </c>
      <c r="AN96" s="55">
        <f t="shared" si="825"/>
        <v>4230.3</v>
      </c>
      <c r="AO96" s="55">
        <f t="shared" ref="AO96:AP96" si="826">+AO93+AO70</f>
        <v>6699.2999999999993</v>
      </c>
      <c r="AP96" s="55">
        <f t="shared" si="826"/>
        <v>7438.99</v>
      </c>
      <c r="AQ96" s="55">
        <f t="shared" ref="AQ96:AR96" si="827">+AQ93+AQ70</f>
        <v>3780.99</v>
      </c>
      <c r="AR96" s="55">
        <f t="shared" si="827"/>
        <v>3678.36</v>
      </c>
      <c r="AS96" s="55">
        <f t="shared" ref="AS96:AT96" si="828">+AS93+AS70</f>
        <v>4152.38</v>
      </c>
      <c r="AT96" s="55">
        <f t="shared" si="828"/>
        <v>9510.39</v>
      </c>
      <c r="AU96" s="55">
        <f t="shared" ref="AU96:AV96" si="829">+AU93+AU70</f>
        <v>17648.04</v>
      </c>
      <c r="AV96" s="55">
        <f t="shared" si="829"/>
        <v>13518.2</v>
      </c>
      <c r="AW96" s="312">
        <f t="shared" ref="AW96" si="830">+AW93+AW70</f>
        <v>18946.23</v>
      </c>
      <c r="AX96" s="55">
        <f>+AX93+AX70</f>
        <v>14676.434279147454</v>
      </c>
      <c r="AY96" s="312">
        <f t="shared" ref="AY96:CA96" si="831">+AY93+AY70</f>
        <v>14483.405899690393</v>
      </c>
      <c r="AZ96" s="55">
        <f t="shared" si="831"/>
        <v>15076.968526944862</v>
      </c>
      <c r="BA96" s="55">
        <f t="shared" si="831"/>
        <v>14868.252308890576</v>
      </c>
      <c r="BB96" s="55">
        <f t="shared" si="831"/>
        <v>15587.542714896343</v>
      </c>
      <c r="BC96" s="55">
        <f t="shared" si="831"/>
        <v>14989.258654613661</v>
      </c>
      <c r="BD96" s="55">
        <f t="shared" si="831"/>
        <v>14753.890516794308</v>
      </c>
      <c r="BE96" s="55">
        <f t="shared" si="831"/>
        <v>14692.585952210096</v>
      </c>
      <c r="BF96" s="55">
        <f t="shared" si="831"/>
        <v>15324.03302509624</v>
      </c>
      <c r="BG96" s="55">
        <f t="shared" si="831"/>
        <v>15005.810211124601</v>
      </c>
      <c r="BH96" s="55">
        <f t="shared" si="831"/>
        <v>15147.149403149546</v>
      </c>
      <c r="BI96" s="55">
        <f t="shared" si="831"/>
        <v>15442.355078277533</v>
      </c>
      <c r="BJ96" s="55">
        <f t="shared" si="831"/>
        <v>14937.73121424091</v>
      </c>
      <c r="BK96" s="312">
        <f t="shared" si="831"/>
        <v>14914.993402552727</v>
      </c>
      <c r="BL96" s="55">
        <f t="shared" si="831"/>
        <v>15238.98115290756</v>
      </c>
      <c r="BM96" s="55">
        <f t="shared" si="831"/>
        <v>15095.671889943194</v>
      </c>
      <c r="BN96" s="55">
        <f t="shared" si="831"/>
        <v>15870.660975807807</v>
      </c>
      <c r="BO96" s="55">
        <f t="shared" si="831"/>
        <v>15163.008107962813</v>
      </c>
      <c r="BP96" s="55">
        <f t="shared" si="831"/>
        <v>15004.303430968379</v>
      </c>
      <c r="BQ96" s="55">
        <f t="shared" si="831"/>
        <v>14924.506485771662</v>
      </c>
      <c r="BR96" s="55">
        <f t="shared" si="831"/>
        <v>15593.268748107776</v>
      </c>
      <c r="BS96" s="55">
        <f t="shared" si="831"/>
        <v>15361.412802820347</v>
      </c>
      <c r="BT96" s="55">
        <f t="shared" si="831"/>
        <v>15554.43147186016</v>
      </c>
      <c r="BU96" s="55">
        <f t="shared" si="831"/>
        <v>15838.153942933766</v>
      </c>
      <c r="BV96" s="55">
        <f t="shared" si="831"/>
        <v>15226.362029729993</v>
      </c>
      <c r="BW96" s="312">
        <f t="shared" si="831"/>
        <v>15238.39626971681</v>
      </c>
      <c r="BX96" s="55">
        <f t="shared" si="831"/>
        <v>17391.419051337998</v>
      </c>
      <c r="BY96" s="55">
        <f t="shared" si="831"/>
        <v>17301.765690653861</v>
      </c>
      <c r="BZ96" s="55">
        <f t="shared" si="831"/>
        <v>18061.074112447703</v>
      </c>
      <c r="CA96" s="55">
        <f t="shared" si="831"/>
        <v>17151.729183352374</v>
      </c>
      <c r="CB96" s="55">
        <f t="shared" ref="CB96:DG96" si="832">+CB93+CB70</f>
        <v>17208.850668870891</v>
      </c>
      <c r="CC96" s="55">
        <f t="shared" si="832"/>
        <v>17013.490576795801</v>
      </c>
      <c r="CD96" s="55">
        <f t="shared" si="832"/>
        <v>17734.455586608026</v>
      </c>
      <c r="CE96" s="55">
        <f t="shared" si="832"/>
        <v>17651.12871921921</v>
      </c>
      <c r="CF96" s="55">
        <f t="shared" si="832"/>
        <v>17827.002180024108</v>
      </c>
      <c r="CG96" s="55">
        <f t="shared" si="832"/>
        <v>18301.312644227099</v>
      </c>
      <c r="CH96" s="55">
        <f t="shared" si="832"/>
        <v>17364.410405944935</v>
      </c>
      <c r="CI96" s="312">
        <f t="shared" si="832"/>
        <v>17359.344675304801</v>
      </c>
      <c r="CJ96" s="55">
        <f t="shared" si="832"/>
        <v>18599.581853416159</v>
      </c>
      <c r="CK96" s="55">
        <f t="shared" si="832"/>
        <v>18362.808043497811</v>
      </c>
      <c r="CL96" s="55">
        <f t="shared" si="832"/>
        <v>19142.255594214592</v>
      </c>
      <c r="CM96" s="55">
        <f t="shared" si="832"/>
        <v>18078.015479637073</v>
      </c>
      <c r="CN96" s="55">
        <f t="shared" si="832"/>
        <v>18292.168705360848</v>
      </c>
      <c r="CO96" s="55">
        <f t="shared" si="832"/>
        <v>17984.094202851029</v>
      </c>
      <c r="CP96" s="55">
        <f t="shared" si="832"/>
        <v>18915.905147531092</v>
      </c>
      <c r="CQ96" s="55">
        <f t="shared" si="832"/>
        <v>18888.0800955218</v>
      </c>
      <c r="CR96" s="55">
        <f t="shared" si="832"/>
        <v>19081.365259749669</v>
      </c>
      <c r="CS96" s="55">
        <f t="shared" si="832"/>
        <v>19909.269718220909</v>
      </c>
      <c r="CT96" s="55">
        <f t="shared" si="832"/>
        <v>18462.486289697794</v>
      </c>
      <c r="CU96" s="312">
        <f t="shared" si="832"/>
        <v>18530.889495232303</v>
      </c>
      <c r="CV96" s="55">
        <f t="shared" si="832"/>
        <v>19333.322725921473</v>
      </c>
      <c r="CW96" s="55">
        <f t="shared" si="832"/>
        <v>19065.6201862657</v>
      </c>
      <c r="CX96" s="55">
        <f t="shared" si="832"/>
        <v>19782.365198905434</v>
      </c>
      <c r="CY96" s="55">
        <f t="shared" si="832"/>
        <v>18528.451643014007</v>
      </c>
      <c r="CZ96" s="55">
        <f t="shared" si="832"/>
        <v>18958.126679094796</v>
      </c>
      <c r="DA96" s="55">
        <f t="shared" si="832"/>
        <v>18461.233227397901</v>
      </c>
      <c r="DB96" s="55">
        <f t="shared" si="832"/>
        <v>19746.755459950706</v>
      </c>
      <c r="DC96" s="55">
        <f t="shared" si="832"/>
        <v>19659.944162468622</v>
      </c>
      <c r="DD96" s="55">
        <f t="shared" si="832"/>
        <v>20211.2253594705</v>
      </c>
      <c r="DE96" s="55">
        <f t="shared" si="832"/>
        <v>21159.720510428713</v>
      </c>
      <c r="DF96" s="55">
        <f t="shared" si="832"/>
        <v>19039.254627113947</v>
      </c>
      <c r="DG96" s="55">
        <f t="shared" si="832"/>
        <v>19381.703860811846</v>
      </c>
    </row>
    <row r="97" spans="1:111" x14ac:dyDescent="0.25">
      <c r="A97" s="3"/>
      <c r="B97" s="4" t="s">
        <v>11</v>
      </c>
      <c r="C97" s="4"/>
      <c r="D97" s="55">
        <f t="shared" ref="D97:O97" si="833">D64-D95</f>
        <v>0</v>
      </c>
      <c r="E97" s="55">
        <f t="shared" si="833"/>
        <v>0</v>
      </c>
      <c r="F97" s="55">
        <f t="shared" si="833"/>
        <v>0</v>
      </c>
      <c r="G97" s="55">
        <f t="shared" si="833"/>
        <v>0</v>
      </c>
      <c r="H97" s="55">
        <f t="shared" si="833"/>
        <v>0</v>
      </c>
      <c r="I97" s="55">
        <f t="shared" si="833"/>
        <v>0</v>
      </c>
      <c r="J97" s="55">
        <f t="shared" si="833"/>
        <v>0</v>
      </c>
      <c r="K97" s="55">
        <f t="shared" si="833"/>
        <v>375</v>
      </c>
      <c r="L97" s="55">
        <f t="shared" si="833"/>
        <v>1048</v>
      </c>
      <c r="M97" s="55">
        <f t="shared" si="833"/>
        <v>1968.3400000000001</v>
      </c>
      <c r="N97" s="55">
        <f t="shared" si="833"/>
        <v>1617.77</v>
      </c>
      <c r="O97" s="55">
        <f t="shared" si="833"/>
        <v>1870.4</v>
      </c>
      <c r="P97" s="55">
        <f t="shared" ref="P97:AN97" si="834">P64-P96</f>
        <v>1310.8600000000001</v>
      </c>
      <c r="Q97" s="55">
        <f t="shared" si="834"/>
        <v>1101.99</v>
      </c>
      <c r="R97" s="55">
        <f t="shared" si="834"/>
        <v>1101.3900000000001</v>
      </c>
      <c r="S97" s="55">
        <f t="shared" si="834"/>
        <v>1684.5700000000002</v>
      </c>
      <c r="T97" s="55">
        <f t="shared" si="834"/>
        <v>1935.9299999999998</v>
      </c>
      <c r="U97" s="55">
        <f t="shared" si="834"/>
        <v>1396.17</v>
      </c>
      <c r="V97" s="55">
        <f t="shared" si="834"/>
        <v>2402.7399999999998</v>
      </c>
      <c r="W97" s="55">
        <f t="shared" si="834"/>
        <v>6226.71</v>
      </c>
      <c r="X97" s="55">
        <f t="shared" si="834"/>
        <v>7109.73</v>
      </c>
      <c r="Y97" s="55">
        <f t="shared" si="834"/>
        <v>6848.9000000000005</v>
      </c>
      <c r="Z97" s="55">
        <f t="shared" si="834"/>
        <v>4031.6899999999996</v>
      </c>
      <c r="AA97" s="55">
        <f t="shared" si="834"/>
        <v>1347.03</v>
      </c>
      <c r="AB97" s="55">
        <f t="shared" si="834"/>
        <v>2584.7600000000002</v>
      </c>
      <c r="AC97" s="55">
        <f t="shared" si="834"/>
        <v>2742.04</v>
      </c>
      <c r="AD97" s="55">
        <f t="shared" si="834"/>
        <v>2536.4700000000003</v>
      </c>
      <c r="AE97" s="55">
        <f t="shared" si="834"/>
        <v>1235.1999999999998</v>
      </c>
      <c r="AF97" s="55">
        <f t="shared" si="834"/>
        <v>4730.13</v>
      </c>
      <c r="AG97" s="55">
        <f t="shared" si="834"/>
        <v>2728.84</v>
      </c>
      <c r="AH97" s="55">
        <f t="shared" si="834"/>
        <v>6314.130000000001</v>
      </c>
      <c r="AI97" s="55">
        <f t="shared" si="834"/>
        <v>11774.94</v>
      </c>
      <c r="AJ97" s="55">
        <f t="shared" si="834"/>
        <v>8201.36</v>
      </c>
      <c r="AK97" s="55">
        <f t="shared" si="834"/>
        <v>14887.380000000001</v>
      </c>
      <c r="AL97" s="55">
        <f t="shared" si="834"/>
        <v>7363.49</v>
      </c>
      <c r="AM97" s="521">
        <f t="shared" si="834"/>
        <v>3974.79</v>
      </c>
      <c r="AN97" s="55">
        <f t="shared" si="834"/>
        <v>2355.1999999999998</v>
      </c>
      <c r="AO97" s="55">
        <f t="shared" ref="AO97:AP97" si="835">AO64-AO96</f>
        <v>962.82000000000062</v>
      </c>
      <c r="AP97" s="55">
        <f t="shared" si="835"/>
        <v>243.38000000000011</v>
      </c>
      <c r="AQ97" s="55">
        <f t="shared" ref="AQ97:AR97" si="836">AQ64-AQ96</f>
        <v>-24.739999999999782</v>
      </c>
      <c r="AR97" s="55">
        <f t="shared" si="836"/>
        <v>2096.14</v>
      </c>
      <c r="AS97" s="55">
        <f t="shared" ref="AS97:AT97" si="837">AS64-AS96</f>
        <v>2763.62</v>
      </c>
      <c r="AT97" s="55">
        <f t="shared" si="837"/>
        <v>3837.1100000000006</v>
      </c>
      <c r="AU97" s="55">
        <f t="shared" ref="AU97:AV97" si="838">AU64-AU96</f>
        <v>2124.9599999999991</v>
      </c>
      <c r="AV97" s="55">
        <f t="shared" si="838"/>
        <v>10712.559999999998</v>
      </c>
      <c r="AW97" s="312">
        <f t="shared" ref="AW97" si="839">AW64-AW96</f>
        <v>14161.900000000005</v>
      </c>
      <c r="AX97" s="55">
        <f>AX64-AX96</f>
        <v>-1894.1973181109042</v>
      </c>
      <c r="AY97" s="312">
        <f t="shared" ref="AY97:CA97" si="840">AY64-AY96</f>
        <v>2600.3611342145614</v>
      </c>
      <c r="AZ97" s="55">
        <f t="shared" si="840"/>
        <v>3504.9220095309593</v>
      </c>
      <c r="BA97" s="55">
        <f t="shared" si="840"/>
        <v>422.6909385867657</v>
      </c>
      <c r="BB97" s="55">
        <f t="shared" si="840"/>
        <v>-2144.6385648991927</v>
      </c>
      <c r="BC97" s="55">
        <f t="shared" si="840"/>
        <v>-7720.7555853655558</v>
      </c>
      <c r="BD97" s="55">
        <f t="shared" si="840"/>
        <v>-5358.1585807967203</v>
      </c>
      <c r="BE97" s="55">
        <f t="shared" si="840"/>
        <v>-1804.1588140848853</v>
      </c>
      <c r="BF97" s="55">
        <f t="shared" si="840"/>
        <v>2398.7582094627905</v>
      </c>
      <c r="BG97" s="55">
        <f t="shared" si="840"/>
        <v>4588.7036099132347</v>
      </c>
      <c r="BH97" s="55">
        <f t="shared" si="840"/>
        <v>11405.605151070471</v>
      </c>
      <c r="BI97" s="55">
        <f t="shared" si="840"/>
        <v>18867.439673868641</v>
      </c>
      <c r="BJ97" s="55">
        <f t="shared" si="840"/>
        <v>946.60346949020277</v>
      </c>
      <c r="BK97" s="312">
        <f t="shared" si="840"/>
        <v>5299.1715089010559</v>
      </c>
      <c r="BL97" s="55">
        <f t="shared" si="840"/>
        <v>5227.8869230716955</v>
      </c>
      <c r="BM97" s="55">
        <f t="shared" si="840"/>
        <v>3330.9967581480378</v>
      </c>
      <c r="BN97" s="55">
        <f t="shared" si="840"/>
        <v>1349.049663517666</v>
      </c>
      <c r="BO97" s="55">
        <f t="shared" si="840"/>
        <v>-6352.0223681911866</v>
      </c>
      <c r="BP97" s="55">
        <f t="shared" si="840"/>
        <v>-3101.751461113181</v>
      </c>
      <c r="BQ97" s="55">
        <f t="shared" si="840"/>
        <v>1892.5990349177828</v>
      </c>
      <c r="BR97" s="55">
        <f t="shared" si="840"/>
        <v>7004.4044916128714</v>
      </c>
      <c r="BS97" s="55">
        <f t="shared" si="840"/>
        <v>11824.257586552203</v>
      </c>
      <c r="BT97" s="55">
        <f t="shared" si="840"/>
        <v>20197.94657430541</v>
      </c>
      <c r="BU97" s="55">
        <f t="shared" si="840"/>
        <v>28689.120024677759</v>
      </c>
      <c r="BV97" s="55">
        <f t="shared" si="840"/>
        <v>7917.886365779992</v>
      </c>
      <c r="BW97" s="312">
        <f t="shared" si="840"/>
        <v>11961.605248645919</v>
      </c>
      <c r="BX97" s="55">
        <f t="shared" si="840"/>
        <v>10272.908673394504</v>
      </c>
      <c r="BY97" s="55">
        <f t="shared" si="840"/>
        <v>8421.8050759894395</v>
      </c>
      <c r="BZ97" s="55">
        <f t="shared" si="840"/>
        <v>5015.8291424091913</v>
      </c>
      <c r="CA97" s="55">
        <f t="shared" si="840"/>
        <v>-6584.477191746766</v>
      </c>
      <c r="CB97" s="55">
        <f t="shared" ref="CB97:DG97" si="841">CB64-CB96</f>
        <v>-366.22718074316072</v>
      </c>
      <c r="CC97" s="55">
        <f t="shared" si="841"/>
        <v>5259.8982393030965</v>
      </c>
      <c r="CD97" s="55">
        <f t="shared" si="841"/>
        <v>11644.257480133092</v>
      </c>
      <c r="CE97" s="55">
        <f t="shared" si="841"/>
        <v>20923.948157386621</v>
      </c>
      <c r="CF97" s="55">
        <f t="shared" si="841"/>
        <v>28930.419306818891</v>
      </c>
      <c r="CG97" s="55">
        <f t="shared" si="841"/>
        <v>45410.631972382442</v>
      </c>
      <c r="CH97" s="55">
        <f t="shared" si="841"/>
        <v>14737.847475682425</v>
      </c>
      <c r="CI97" s="312">
        <f t="shared" si="841"/>
        <v>16622.55219985783</v>
      </c>
      <c r="CJ97" s="55">
        <f t="shared" si="841"/>
        <v>22614.779793338923</v>
      </c>
      <c r="CK97" s="55">
        <f t="shared" si="841"/>
        <v>15180.532185279146</v>
      </c>
      <c r="CL97" s="55">
        <f t="shared" si="841"/>
        <v>10476.900877626354</v>
      </c>
      <c r="CM97" s="55">
        <f t="shared" si="841"/>
        <v>-3682.3123130312088</v>
      </c>
      <c r="CN97" s="55">
        <f t="shared" si="841"/>
        <v>4232.881312367721</v>
      </c>
      <c r="CO97" s="55">
        <f t="shared" si="841"/>
        <v>11149.498601912881</v>
      </c>
      <c r="CP97" s="55">
        <f t="shared" si="841"/>
        <v>23073.279068020092</v>
      </c>
      <c r="CQ97" s="55">
        <f t="shared" si="841"/>
        <v>34415.24223335534</v>
      </c>
      <c r="CR97" s="55">
        <f t="shared" si="841"/>
        <v>43076.840465770671</v>
      </c>
      <c r="CS97" s="55">
        <f t="shared" si="841"/>
        <v>73610.542976769837</v>
      </c>
      <c r="CT97" s="55">
        <f t="shared" si="841"/>
        <v>26508.304969769059</v>
      </c>
      <c r="CU97" s="312">
        <f t="shared" si="841"/>
        <v>28914.741105631329</v>
      </c>
      <c r="CV97" s="55">
        <f t="shared" si="841"/>
        <v>38082.475149118647</v>
      </c>
      <c r="CW97" s="55">
        <f t="shared" si="841"/>
        <v>27285.083357072701</v>
      </c>
      <c r="CX97" s="55">
        <f t="shared" si="841"/>
        <v>17073.608684665181</v>
      </c>
      <c r="CY97" s="55">
        <f t="shared" si="841"/>
        <v>1509.8093073018426</v>
      </c>
      <c r="CZ97" s="55">
        <f t="shared" si="841"/>
        <v>11683.634510567699</v>
      </c>
      <c r="DA97" s="55">
        <f t="shared" si="841"/>
        <v>19667.71388994611</v>
      </c>
      <c r="DB97" s="55">
        <f t="shared" si="841"/>
        <v>40950.494256471677</v>
      </c>
      <c r="DC97" s="55">
        <f t="shared" si="841"/>
        <v>51361.778549628689</v>
      </c>
      <c r="DD97" s="55">
        <f t="shared" si="841"/>
        <v>70433.408301902891</v>
      </c>
      <c r="DE97" s="55">
        <f t="shared" si="841"/>
        <v>109318.77033772819</v>
      </c>
      <c r="DF97" s="55">
        <f t="shared" si="841"/>
        <v>40263.839351106188</v>
      </c>
      <c r="DG97" s="55">
        <f t="shared" si="841"/>
        <v>49102.21365433294</v>
      </c>
    </row>
    <row r="98" spans="1:111" s="3" customFormat="1" x14ac:dyDescent="0.25">
      <c r="A98" s="385"/>
      <c r="B98" s="385"/>
      <c r="C98" s="386" t="s">
        <v>243</v>
      </c>
      <c r="D98" s="387"/>
      <c r="E98" s="388">
        <f t="shared" ref="E98:O98" si="842">+E84/8</f>
        <v>0</v>
      </c>
      <c r="F98" s="388">
        <f t="shared" si="842"/>
        <v>0</v>
      </c>
      <c r="G98" s="388">
        <f t="shared" si="842"/>
        <v>0</v>
      </c>
      <c r="H98" s="388">
        <f t="shared" si="842"/>
        <v>0</v>
      </c>
      <c r="I98" s="388">
        <f t="shared" si="842"/>
        <v>0</v>
      </c>
      <c r="J98" s="388">
        <f t="shared" si="842"/>
        <v>0</v>
      </c>
      <c r="K98" s="388">
        <f t="shared" si="842"/>
        <v>0</v>
      </c>
      <c r="L98" s="388">
        <f t="shared" si="842"/>
        <v>0</v>
      </c>
      <c r="M98" s="388">
        <f t="shared" si="842"/>
        <v>6.25</v>
      </c>
      <c r="N98" s="388">
        <f t="shared" si="842"/>
        <v>31.25</v>
      </c>
      <c r="O98" s="388">
        <f t="shared" si="842"/>
        <v>0</v>
      </c>
      <c r="P98" s="388">
        <f t="shared" ref="P98:AN98" si="843">+P97/P14</f>
        <v>0.84790975362065735</v>
      </c>
      <c r="Q98" s="388">
        <f t="shared" si="843"/>
        <v>0.87755524586900258</v>
      </c>
      <c r="R98" s="388">
        <f t="shared" si="843"/>
        <v>0.91269111249223134</v>
      </c>
      <c r="S98" s="388">
        <f t="shared" si="843"/>
        <v>0.86061172672051334</v>
      </c>
      <c r="T98" s="388">
        <f t="shared" si="843"/>
        <v>0.7784416931719027</v>
      </c>
      <c r="U98" s="388">
        <f t="shared" si="843"/>
        <v>0.68324826394836136</v>
      </c>
      <c r="V98" s="388">
        <f t="shared" si="843"/>
        <v>0.84737788749779575</v>
      </c>
      <c r="W98" s="388">
        <f t="shared" si="843"/>
        <v>0.8796453000991713</v>
      </c>
      <c r="X98" s="388">
        <f t="shared" si="843"/>
        <v>0.81197543652475013</v>
      </c>
      <c r="Y98" s="388">
        <f t="shared" si="843"/>
        <v>0.83560161388517107</v>
      </c>
      <c r="Z98" s="388">
        <f t="shared" si="843"/>
        <v>0.81644228977829614</v>
      </c>
      <c r="AA98" s="388">
        <f t="shared" si="843"/>
        <v>0.62813243180228495</v>
      </c>
      <c r="AB98" s="388">
        <f t="shared" si="843"/>
        <v>0.86101265822784823</v>
      </c>
      <c r="AC98" s="388">
        <f t="shared" si="843"/>
        <v>0.62926907630522089</v>
      </c>
      <c r="AD98" s="388">
        <f t="shared" si="843"/>
        <v>0.72897542750395183</v>
      </c>
      <c r="AE98" s="388">
        <f t="shared" si="843"/>
        <v>0.30741662518665996</v>
      </c>
      <c r="AF98" s="388">
        <f t="shared" si="843"/>
        <v>0.87270483092500484</v>
      </c>
      <c r="AG98" s="388">
        <f t="shared" si="843"/>
        <v>0.6333972415778063</v>
      </c>
      <c r="AH98" s="388">
        <f t="shared" si="843"/>
        <v>0.69685538617067422</v>
      </c>
      <c r="AI98" s="388">
        <f t="shared" si="843"/>
        <v>0.83443576264628394</v>
      </c>
      <c r="AJ98" s="388">
        <f t="shared" si="843"/>
        <v>0.82862945188178838</v>
      </c>
      <c r="AK98" s="388">
        <f t="shared" si="843"/>
        <v>0.85531390488775272</v>
      </c>
      <c r="AL98" s="388">
        <f t="shared" si="843"/>
        <v>0.76915339217632006</v>
      </c>
      <c r="AM98" s="390">
        <f t="shared" si="843"/>
        <v>0.76526569118213328</v>
      </c>
      <c r="AN98" s="388">
        <f t="shared" si="843"/>
        <v>0.35763419634044491</v>
      </c>
      <c r="AO98" s="388">
        <f t="shared" ref="AO98:AP98" si="844">+AO97/AO14</f>
        <v>0.11868907264685441</v>
      </c>
      <c r="AP98" s="388">
        <f t="shared" si="844"/>
        <v>3.1680327815504866E-2</v>
      </c>
      <c r="AQ98" s="388">
        <f t="shared" ref="AQ98:AR98" si="845">+AQ97/AQ14</f>
        <v>-6.5863560732112563E-3</v>
      </c>
      <c r="AR98" s="388">
        <f t="shared" si="845"/>
        <v>0.34678468028786497</v>
      </c>
      <c r="AS98" s="388">
        <f t="shared" ref="AS98:AT98" si="846">+AS97/AS14</f>
        <v>0.39959803354540196</v>
      </c>
      <c r="AT98" s="388">
        <f t="shared" si="846"/>
        <v>0.25700669792364372</v>
      </c>
      <c r="AU98" s="388">
        <f t="shared" ref="AU98:AV98" si="847">+AU97/AU14</f>
        <v>0.10387446839712564</v>
      </c>
      <c r="AV98" s="388">
        <f t="shared" si="847"/>
        <v>0.37843539697959894</v>
      </c>
      <c r="AW98" s="389">
        <f t="shared" ref="AW98" si="848">+AW97/AW14</f>
        <v>0.35977575970203596</v>
      </c>
      <c r="AX98" s="388">
        <f t="shared" ref="AX98" si="849">+AX97/AX14</f>
        <v>-0.14818981402745784</v>
      </c>
      <c r="AY98" s="389">
        <f t="shared" ref="AY98:CA98" si="850">+AY97/AY14</f>
        <v>0.14411445930086522</v>
      </c>
      <c r="AZ98" s="388">
        <f t="shared" si="850"/>
        <v>0.1636140240358705</v>
      </c>
      <c r="BA98" s="388">
        <f t="shared" si="850"/>
        <v>2.0986818058840517E-2</v>
      </c>
      <c r="BB98" s="388">
        <f t="shared" si="850"/>
        <v>-0.10406936862478407</v>
      </c>
      <c r="BC98" s="388">
        <f t="shared" si="850"/>
        <v>-0.84463494999008626</v>
      </c>
      <c r="BD98" s="388">
        <f t="shared" si="850"/>
        <v>-0.33922281694371897</v>
      </c>
      <c r="BE98" s="388">
        <f t="shared" si="850"/>
        <v>-0.1339786654789718</v>
      </c>
      <c r="BF98" s="388">
        <f t="shared" si="850"/>
        <v>0.11781470398279222</v>
      </c>
      <c r="BG98" s="388">
        <f t="shared" si="850"/>
        <v>0.20835178878658175</v>
      </c>
      <c r="BH98" s="388">
        <f t="shared" si="850"/>
        <v>0.37105889594445035</v>
      </c>
      <c r="BI98" s="388">
        <f t="shared" si="850"/>
        <v>0.53440620981623466</v>
      </c>
      <c r="BJ98" s="388">
        <f t="shared" si="850"/>
        <v>5.959352332582888E-2</v>
      </c>
      <c r="BK98" s="389">
        <f t="shared" si="850"/>
        <v>0.241785860959284</v>
      </c>
      <c r="BL98" s="388">
        <f t="shared" si="850"/>
        <v>0.21844045659729966</v>
      </c>
      <c r="BM98" s="388">
        <f t="shared" si="850"/>
        <v>0.13251408648178872</v>
      </c>
      <c r="BN98" s="388">
        <f t="shared" si="850"/>
        <v>4.8666494986512737E-2</v>
      </c>
      <c r="BO98" s="388">
        <f t="shared" si="850"/>
        <v>-0.52505660993059533</v>
      </c>
      <c r="BP98" s="388">
        <f t="shared" si="850"/>
        <v>-0.14316736597254542</v>
      </c>
      <c r="BQ98" s="388">
        <f t="shared" si="850"/>
        <v>0.10157144075783031</v>
      </c>
      <c r="BR98" s="388">
        <f t="shared" si="850"/>
        <v>0.25994752014712402</v>
      </c>
      <c r="BS98" s="388">
        <f t="shared" si="850"/>
        <v>0.37077657823022864</v>
      </c>
      <c r="BT98" s="388">
        <f t="shared" si="850"/>
        <v>0.4744828199314205</v>
      </c>
      <c r="BU98" s="388">
        <f t="shared" si="850"/>
        <v>0.6143352637923003</v>
      </c>
      <c r="BV98" s="388">
        <f t="shared" si="850"/>
        <v>0.34119538331451543</v>
      </c>
      <c r="BW98" s="389">
        <f t="shared" si="850"/>
        <v>0.39141376486707619</v>
      </c>
      <c r="BX98" s="388">
        <f t="shared" si="850"/>
        <v>0.30646957346001313</v>
      </c>
      <c r="BY98" s="388">
        <f t="shared" si="850"/>
        <v>0.22908334577759729</v>
      </c>
      <c r="BZ98" s="388">
        <f t="shared" si="850"/>
        <v>0.12943869403036307</v>
      </c>
      <c r="CA98" s="388">
        <f t="shared" si="850"/>
        <v>-0.42578169347249661</v>
      </c>
      <c r="CB98" s="388">
        <f t="shared" ref="CB98:DG98" si="851">+CB97/CB14</f>
        <v>-1.1020123574403327E-2</v>
      </c>
      <c r="CC98" s="388">
        <f t="shared" si="851"/>
        <v>0.2037968468614616</v>
      </c>
      <c r="CD98" s="388">
        <f t="shared" si="851"/>
        <v>0.3225079743880338</v>
      </c>
      <c r="CE98" s="388">
        <f t="shared" si="851"/>
        <v>0.44810755695471949</v>
      </c>
      <c r="CF98" s="388">
        <f t="shared" si="851"/>
        <v>0.51005325766376952</v>
      </c>
      <c r="CG98" s="388">
        <f t="shared" si="851"/>
        <v>0.66688897225412425</v>
      </c>
      <c r="CH98" s="388">
        <f t="shared" si="851"/>
        <v>0.45703094327755373</v>
      </c>
      <c r="CI98" s="389">
        <f t="shared" si="851"/>
        <v>0.42675677248341326</v>
      </c>
      <c r="CJ98" s="388">
        <f t="shared" si="851"/>
        <v>0.43853022297190647</v>
      </c>
      <c r="CK98" s="388">
        <f t="shared" si="851"/>
        <v>0.30840774143008137</v>
      </c>
      <c r="CL98" s="388">
        <f t="shared" si="851"/>
        <v>0.20157554916639916</v>
      </c>
      <c r="CM98" s="388">
        <f t="shared" si="851"/>
        <v>-0.16148114185824305</v>
      </c>
      <c r="CN98" s="388">
        <f t="shared" si="851"/>
        <v>9.0954969678364236E-2</v>
      </c>
      <c r="CO98" s="388">
        <f t="shared" si="851"/>
        <v>0.32009033631079242</v>
      </c>
      <c r="CP98" s="388">
        <f t="shared" si="851"/>
        <v>0.43420085623465293</v>
      </c>
      <c r="CQ98" s="388">
        <f t="shared" si="851"/>
        <v>0.52273217653708748</v>
      </c>
      <c r="CR98" s="388">
        <f t="shared" si="851"/>
        <v>0.56291063438052313</v>
      </c>
      <c r="CS98" s="388">
        <f t="shared" si="851"/>
        <v>0.72641868960674505</v>
      </c>
      <c r="CT98" s="388">
        <f t="shared" si="851"/>
        <v>0.57485146921181685</v>
      </c>
      <c r="CU98" s="389">
        <f t="shared" si="851"/>
        <v>0.51996658901244563</v>
      </c>
      <c r="CV98" s="388">
        <f t="shared" si="851"/>
        <v>0.52060356610797109</v>
      </c>
      <c r="CW98" s="388">
        <f t="shared" si="851"/>
        <v>0.39186817777003546</v>
      </c>
      <c r="CX98" s="388">
        <f t="shared" si="851"/>
        <v>0.24391392622853827</v>
      </c>
      <c r="CY98" s="388">
        <f t="shared" si="851"/>
        <v>4.4908327478023494E-2</v>
      </c>
      <c r="CZ98" s="388">
        <f t="shared" si="851"/>
        <v>0.17825688413151511</v>
      </c>
      <c r="DA98" s="388">
        <f t="shared" si="851"/>
        <v>0.42148030531431613</v>
      </c>
      <c r="DB98" s="388">
        <f t="shared" si="851"/>
        <v>0.52225692408412949</v>
      </c>
      <c r="DC98" s="388">
        <f t="shared" si="851"/>
        <v>0.57796277846671296</v>
      </c>
      <c r="DD98" s="388">
        <f t="shared" si="851"/>
        <v>0.62243640293338398</v>
      </c>
      <c r="DE98" s="388">
        <f t="shared" si="851"/>
        <v>0.76689109927399857</v>
      </c>
      <c r="DF98" s="388">
        <f t="shared" si="851"/>
        <v>0.65225740462239623</v>
      </c>
      <c r="DG98" s="390">
        <f t="shared" si="851"/>
        <v>0.6014597698761065</v>
      </c>
    </row>
    <row r="99" spans="1:111" s="5" customFormat="1" x14ac:dyDescent="0.25">
      <c r="A99" s="391"/>
      <c r="B99" s="391"/>
      <c r="C99" s="392" t="s">
        <v>293</v>
      </c>
      <c r="D99" s="393"/>
      <c r="E99" s="394"/>
      <c r="F99" s="394"/>
      <c r="G99" s="394"/>
      <c r="H99" s="394"/>
      <c r="I99" s="394"/>
      <c r="J99" s="394"/>
      <c r="K99" s="394"/>
      <c r="L99" s="394"/>
      <c r="M99" s="394"/>
      <c r="N99" s="394"/>
      <c r="O99" s="394"/>
      <c r="P99" s="394"/>
      <c r="Q99" s="394"/>
      <c r="R99" s="394"/>
      <c r="S99" s="394"/>
      <c r="T99" s="394"/>
      <c r="U99" s="394"/>
      <c r="V99" s="394"/>
      <c r="W99" s="394"/>
      <c r="X99" s="394"/>
      <c r="Y99" s="394"/>
      <c r="Z99" s="394"/>
      <c r="AA99" s="394"/>
      <c r="AB99" s="394">
        <f t="shared" ref="AB99:AN99" si="852">+AB89/AB12</f>
        <v>4.3303292894280768E-2</v>
      </c>
      <c r="AC99" s="394">
        <f t="shared" si="852"/>
        <v>3.5843947217441191E-2</v>
      </c>
      <c r="AD99" s="394">
        <f t="shared" si="852"/>
        <v>4.0856524873828404E-2</v>
      </c>
      <c r="AE99" s="394">
        <f t="shared" si="852"/>
        <v>3.6319999999999998E-2</v>
      </c>
      <c r="AF99" s="394">
        <f t="shared" si="852"/>
        <v>3.2284916201117321E-2</v>
      </c>
      <c r="AG99" s="394">
        <f t="shared" si="852"/>
        <v>5.5005981947088861E-2</v>
      </c>
      <c r="AH99" s="394">
        <f t="shared" si="852"/>
        <v>2.527662222478123E-2</v>
      </c>
      <c r="AI99" s="394">
        <f t="shared" si="852"/>
        <v>2.8720114596241516E-2</v>
      </c>
      <c r="AJ99" s="394">
        <f t="shared" si="852"/>
        <v>3.3773175044203081E-2</v>
      </c>
      <c r="AK99" s="394">
        <f t="shared" si="852"/>
        <v>3.0093320871378247E-2</v>
      </c>
      <c r="AL99" s="394">
        <f t="shared" si="852"/>
        <v>3.3038295647627766E-2</v>
      </c>
      <c r="AM99" s="417">
        <f t="shared" si="852"/>
        <v>3.8755813953488372E-2</v>
      </c>
      <c r="AN99" s="394">
        <f t="shared" si="852"/>
        <v>3.5501350829795449E-2</v>
      </c>
      <c r="AO99" s="394">
        <f t="shared" ref="AO99:AP99" si="853">+AO89/AO12</f>
        <v>3.4922073890096238E-2</v>
      </c>
      <c r="AP99" s="394">
        <f t="shared" si="853"/>
        <v>3.9777195281782439E-2</v>
      </c>
      <c r="AQ99" s="394">
        <f t="shared" ref="AQ99:AR99" si="854">+AQ89/AQ12</f>
        <v>4.465091514143095E-2</v>
      </c>
      <c r="AR99" s="394">
        <f t="shared" si="854"/>
        <v>2.8497306257770409E-2</v>
      </c>
      <c r="AS99" s="394">
        <f t="shared" ref="AS99:AT99" si="855">+AS89/AS12</f>
        <v>3.108831073653353E-2</v>
      </c>
      <c r="AT99" s="394">
        <f t="shared" si="855"/>
        <v>2.9662066644227533E-2</v>
      </c>
      <c r="AU99" s="394">
        <f t="shared" ref="AU99:AV99" si="856">+AU89/AU12</f>
        <v>3.2271402327005511E-2</v>
      </c>
      <c r="AV99" s="394">
        <f t="shared" si="856"/>
        <v>2.3585242855878971E-2</v>
      </c>
      <c r="AW99" s="396">
        <f t="shared" ref="AW99" si="857">+AW89/AW12</f>
        <v>2.3432033957597746E-2</v>
      </c>
      <c r="AX99" s="725">
        <f>+AVERAGE(AU99:AW99)</f>
        <v>2.6429559713494075E-2</v>
      </c>
      <c r="AY99" s="396">
        <f t="shared" ref="AY99:CU99" si="858">+AX99</f>
        <v>2.6429559713494075E-2</v>
      </c>
      <c r="AZ99" s="394">
        <f t="shared" si="858"/>
        <v>2.6429559713494075E-2</v>
      </c>
      <c r="BA99" s="394">
        <f t="shared" si="858"/>
        <v>2.6429559713494075E-2</v>
      </c>
      <c r="BB99" s="394">
        <f t="shared" si="858"/>
        <v>2.6429559713494075E-2</v>
      </c>
      <c r="BC99" s="394">
        <f t="shared" si="858"/>
        <v>2.6429559713494075E-2</v>
      </c>
      <c r="BD99" s="394">
        <f t="shared" si="858"/>
        <v>2.6429559713494075E-2</v>
      </c>
      <c r="BE99" s="394">
        <f t="shared" si="858"/>
        <v>2.6429559713494075E-2</v>
      </c>
      <c r="BF99" s="394">
        <f t="shared" si="858"/>
        <v>2.6429559713494075E-2</v>
      </c>
      <c r="BG99" s="394">
        <f t="shared" si="858"/>
        <v>2.6429559713494075E-2</v>
      </c>
      <c r="BH99" s="394">
        <f t="shared" si="858"/>
        <v>2.6429559713494075E-2</v>
      </c>
      <c r="BI99" s="394">
        <f t="shared" si="858"/>
        <v>2.6429559713494075E-2</v>
      </c>
      <c r="BJ99" s="394">
        <f t="shared" si="858"/>
        <v>2.6429559713494075E-2</v>
      </c>
      <c r="BK99" s="396">
        <f t="shared" si="858"/>
        <v>2.6429559713494075E-2</v>
      </c>
      <c r="BL99" s="394">
        <f t="shared" si="858"/>
        <v>2.6429559713494075E-2</v>
      </c>
      <c r="BM99" s="394">
        <f t="shared" si="858"/>
        <v>2.6429559713494075E-2</v>
      </c>
      <c r="BN99" s="394">
        <f t="shared" si="858"/>
        <v>2.6429559713494075E-2</v>
      </c>
      <c r="BO99" s="394">
        <f t="shared" si="858"/>
        <v>2.6429559713494075E-2</v>
      </c>
      <c r="BP99" s="394">
        <f t="shared" si="858"/>
        <v>2.6429559713494075E-2</v>
      </c>
      <c r="BQ99" s="394">
        <f t="shared" si="858"/>
        <v>2.6429559713494075E-2</v>
      </c>
      <c r="BR99" s="394">
        <f t="shared" si="858"/>
        <v>2.6429559713494075E-2</v>
      </c>
      <c r="BS99" s="394">
        <f t="shared" si="858"/>
        <v>2.6429559713494075E-2</v>
      </c>
      <c r="BT99" s="394">
        <f t="shared" si="858"/>
        <v>2.6429559713494075E-2</v>
      </c>
      <c r="BU99" s="394">
        <f t="shared" si="858"/>
        <v>2.6429559713494075E-2</v>
      </c>
      <c r="BV99" s="394">
        <f t="shared" si="858"/>
        <v>2.6429559713494075E-2</v>
      </c>
      <c r="BW99" s="396">
        <f t="shared" si="858"/>
        <v>2.6429559713494075E-2</v>
      </c>
      <c r="BX99" s="394">
        <f t="shared" si="858"/>
        <v>2.6429559713494075E-2</v>
      </c>
      <c r="BY99" s="394">
        <f t="shared" si="858"/>
        <v>2.6429559713494075E-2</v>
      </c>
      <c r="BZ99" s="394">
        <f t="shared" si="858"/>
        <v>2.6429559713494075E-2</v>
      </c>
      <c r="CA99" s="394">
        <f t="shared" si="858"/>
        <v>2.6429559713494075E-2</v>
      </c>
      <c r="CB99" s="394">
        <f t="shared" si="858"/>
        <v>2.6429559713494075E-2</v>
      </c>
      <c r="CC99" s="394">
        <f t="shared" si="858"/>
        <v>2.6429559713494075E-2</v>
      </c>
      <c r="CD99" s="394">
        <f t="shared" si="858"/>
        <v>2.6429559713494075E-2</v>
      </c>
      <c r="CE99" s="394">
        <f t="shared" si="858"/>
        <v>2.6429559713494075E-2</v>
      </c>
      <c r="CF99" s="394">
        <f t="shared" si="858"/>
        <v>2.6429559713494075E-2</v>
      </c>
      <c r="CG99" s="394">
        <f t="shared" si="858"/>
        <v>2.6429559713494075E-2</v>
      </c>
      <c r="CH99" s="394">
        <f t="shared" si="858"/>
        <v>2.6429559713494075E-2</v>
      </c>
      <c r="CI99" s="396">
        <f t="shared" si="858"/>
        <v>2.6429559713494075E-2</v>
      </c>
      <c r="CJ99" s="394">
        <f t="shared" si="858"/>
        <v>2.6429559713494075E-2</v>
      </c>
      <c r="CK99" s="394">
        <f t="shared" si="858"/>
        <v>2.6429559713494075E-2</v>
      </c>
      <c r="CL99" s="394">
        <f t="shared" si="858"/>
        <v>2.6429559713494075E-2</v>
      </c>
      <c r="CM99" s="394">
        <f t="shared" si="858"/>
        <v>2.6429559713494075E-2</v>
      </c>
      <c r="CN99" s="394">
        <f t="shared" si="858"/>
        <v>2.6429559713494075E-2</v>
      </c>
      <c r="CO99" s="394">
        <f t="shared" si="858"/>
        <v>2.6429559713494075E-2</v>
      </c>
      <c r="CP99" s="394">
        <f t="shared" si="858"/>
        <v>2.6429559713494075E-2</v>
      </c>
      <c r="CQ99" s="394">
        <f t="shared" si="858"/>
        <v>2.6429559713494075E-2</v>
      </c>
      <c r="CR99" s="394">
        <f t="shared" si="858"/>
        <v>2.6429559713494075E-2</v>
      </c>
      <c r="CS99" s="394">
        <f t="shared" si="858"/>
        <v>2.6429559713494075E-2</v>
      </c>
      <c r="CT99" s="394">
        <f t="shared" si="858"/>
        <v>2.6429559713494075E-2</v>
      </c>
      <c r="CU99" s="396">
        <f t="shared" si="858"/>
        <v>2.6429559713494075E-2</v>
      </c>
      <c r="CV99" s="394">
        <f t="shared" ref="CV99:DG99" si="859">+CU99</f>
        <v>2.6429559713494075E-2</v>
      </c>
      <c r="CW99" s="394">
        <f t="shared" si="859"/>
        <v>2.6429559713494075E-2</v>
      </c>
      <c r="CX99" s="394">
        <f t="shared" si="859"/>
        <v>2.6429559713494075E-2</v>
      </c>
      <c r="CY99" s="394">
        <f t="shared" si="859"/>
        <v>2.6429559713494075E-2</v>
      </c>
      <c r="CZ99" s="394">
        <f t="shared" si="859"/>
        <v>2.6429559713494075E-2</v>
      </c>
      <c r="DA99" s="394">
        <f t="shared" si="859"/>
        <v>2.6429559713494075E-2</v>
      </c>
      <c r="DB99" s="394">
        <f t="shared" si="859"/>
        <v>2.6429559713494075E-2</v>
      </c>
      <c r="DC99" s="394">
        <f t="shared" si="859"/>
        <v>2.6429559713494075E-2</v>
      </c>
      <c r="DD99" s="394">
        <f t="shared" si="859"/>
        <v>2.6429559713494075E-2</v>
      </c>
      <c r="DE99" s="394">
        <f t="shared" si="859"/>
        <v>2.6429559713494075E-2</v>
      </c>
      <c r="DF99" s="394">
        <f t="shared" si="859"/>
        <v>2.6429559713494075E-2</v>
      </c>
      <c r="DG99" s="394">
        <f t="shared" si="859"/>
        <v>2.6429559713494075E-2</v>
      </c>
    </row>
    <row r="100" spans="1:111" s="5" customFormat="1" x14ac:dyDescent="0.25">
      <c r="A100" s="391"/>
      <c r="B100" s="391"/>
      <c r="C100" s="392" t="s">
        <v>299</v>
      </c>
      <c r="D100" s="393"/>
      <c r="E100" s="394"/>
      <c r="F100" s="394"/>
      <c r="G100" s="394"/>
      <c r="H100" s="394"/>
      <c r="I100" s="394"/>
      <c r="J100" s="394"/>
      <c r="K100" s="394"/>
      <c r="L100" s="395">
        <f t="shared" ref="L100:AA100" si="860">L83+L87+L61+L69</f>
        <v>12</v>
      </c>
      <c r="M100" s="395">
        <f t="shared" si="860"/>
        <v>298.06</v>
      </c>
      <c r="N100" s="395">
        <f t="shared" si="860"/>
        <v>117.23</v>
      </c>
      <c r="O100" s="395">
        <f t="shared" si="860"/>
        <v>34.43</v>
      </c>
      <c r="P100" s="395">
        <f t="shared" si="860"/>
        <v>130.13</v>
      </c>
      <c r="Q100" s="395">
        <f t="shared" si="860"/>
        <v>48.76</v>
      </c>
      <c r="R100" s="395">
        <f t="shared" si="860"/>
        <v>75.36</v>
      </c>
      <c r="S100" s="395">
        <f t="shared" si="860"/>
        <v>165.85</v>
      </c>
      <c r="T100" s="395">
        <f t="shared" si="860"/>
        <v>125.88</v>
      </c>
      <c r="U100" s="395">
        <f t="shared" si="860"/>
        <v>183.48</v>
      </c>
      <c r="V100" s="395">
        <f t="shared" si="860"/>
        <v>29.2</v>
      </c>
      <c r="W100" s="395">
        <f t="shared" si="860"/>
        <v>45.76</v>
      </c>
      <c r="X100" s="395">
        <f t="shared" si="860"/>
        <v>289.22000000000003</v>
      </c>
      <c r="Y100" s="395">
        <f t="shared" si="860"/>
        <v>381.91</v>
      </c>
      <c r="Z100" s="395">
        <f t="shared" si="860"/>
        <v>57.91</v>
      </c>
      <c r="AA100" s="395">
        <f t="shared" si="860"/>
        <v>28.91</v>
      </c>
      <c r="AB100" s="395">
        <f t="shared" ref="AB100:AN100" si="861">AB83+AB87+AB63+AB69</f>
        <v>78.91</v>
      </c>
      <c r="AC100" s="395">
        <f t="shared" si="861"/>
        <v>1208.3500000000001</v>
      </c>
      <c r="AD100" s="395">
        <f t="shared" si="861"/>
        <v>87.94</v>
      </c>
      <c r="AE100" s="395">
        <f t="shared" si="861"/>
        <v>2416.5500000000002</v>
      </c>
      <c r="AF100" s="395">
        <f t="shared" si="861"/>
        <v>157.97</v>
      </c>
      <c r="AG100" s="395">
        <f t="shared" si="861"/>
        <v>975.68</v>
      </c>
      <c r="AH100" s="395">
        <f t="shared" si="861"/>
        <v>1882.73</v>
      </c>
      <c r="AI100" s="395">
        <f t="shared" si="861"/>
        <v>904.81</v>
      </c>
      <c r="AJ100" s="395">
        <f t="shared" si="861"/>
        <v>894.25</v>
      </c>
      <c r="AK100" s="395">
        <f t="shared" si="861"/>
        <v>1057.31</v>
      </c>
      <c r="AL100" s="395">
        <f t="shared" si="861"/>
        <v>270.40999999999997</v>
      </c>
      <c r="AM100" s="572">
        <f t="shared" si="861"/>
        <v>706.81999999999994</v>
      </c>
      <c r="AN100" s="395">
        <f t="shared" si="861"/>
        <v>218.17</v>
      </c>
      <c r="AO100" s="395">
        <f t="shared" ref="AO100:AP100" si="862">AO83+AO87+AO63+AO69</f>
        <v>568.63</v>
      </c>
      <c r="AP100" s="395">
        <f t="shared" si="862"/>
        <v>170.81</v>
      </c>
      <c r="AQ100" s="395">
        <f t="shared" ref="AQ100:AV100" si="863">AQ83+AQ63+AQ69+SUM(AQ87:AQ89)</f>
        <v>370.03999999999996</v>
      </c>
      <c r="AR100" s="395">
        <f t="shared" si="863"/>
        <v>968.93999999999994</v>
      </c>
      <c r="AS100" s="395">
        <f t="shared" si="863"/>
        <v>961.06999999999994</v>
      </c>
      <c r="AT100" s="395">
        <f t="shared" si="863"/>
        <v>2558.77</v>
      </c>
      <c r="AU100" s="395">
        <f t="shared" si="863"/>
        <v>2163.19</v>
      </c>
      <c r="AV100" s="395">
        <f t="shared" si="863"/>
        <v>5971.5300000000007</v>
      </c>
      <c r="AW100" s="397">
        <f>AW83+AW63+AW69+SUM(AW87:AW89)</f>
        <v>8643.52</v>
      </c>
      <c r="AX100" s="726">
        <f t="shared" ref="AX100:DG100" si="864">AX83+AX63+AX69+SUM(AX87:AX89)</f>
        <v>912.0576124807867</v>
      </c>
      <c r="AY100" s="397">
        <f t="shared" si="864"/>
        <v>2010.4834664333373</v>
      </c>
      <c r="AZ100" s="395">
        <f t="shared" si="864"/>
        <v>4309.0936718723979</v>
      </c>
      <c r="BA100" s="395">
        <f t="shared" si="864"/>
        <v>6285.2149279381947</v>
      </c>
      <c r="BB100" s="395">
        <f t="shared" si="864"/>
        <v>8612.5410482296757</v>
      </c>
      <c r="BC100" s="395">
        <f t="shared" si="864"/>
        <v>3018.3167705556889</v>
      </c>
      <c r="BD100" s="395">
        <f t="shared" si="864"/>
        <v>7720.6774864912768</v>
      </c>
      <c r="BE100" s="395">
        <f t="shared" si="864"/>
        <v>1837.2978569720001</v>
      </c>
      <c r="BF100" s="395">
        <f t="shared" si="864"/>
        <v>4078.7966181698307</v>
      </c>
      <c r="BG100" s="395">
        <f t="shared" si="864"/>
        <v>3914.246044457931</v>
      </c>
      <c r="BH100" s="395">
        <f t="shared" si="864"/>
        <v>5899.5095785881404</v>
      </c>
      <c r="BI100" s="395">
        <f t="shared" si="864"/>
        <v>2830.1111176459062</v>
      </c>
      <c r="BJ100" s="395">
        <f t="shared" si="864"/>
        <v>1323.3545475742421</v>
      </c>
      <c r="BK100" s="397">
        <f t="shared" si="864"/>
        <v>3184.7483148334259</v>
      </c>
      <c r="BL100" s="395">
        <f t="shared" si="864"/>
        <v>5097.0142688495853</v>
      </c>
      <c r="BM100" s="395">
        <f t="shared" si="864"/>
        <v>8373.0523661336665</v>
      </c>
      <c r="BN100" s="395">
        <f t="shared" si="864"/>
        <v>12231.370023426847</v>
      </c>
      <c r="BO100" s="395">
        <f t="shared" si="864"/>
        <v>4606.4314412961421</v>
      </c>
      <c r="BP100" s="395">
        <f t="shared" si="864"/>
        <v>11334.087673392616</v>
      </c>
      <c r="BQ100" s="395">
        <f t="shared" si="864"/>
        <v>3307.7052476764206</v>
      </c>
      <c r="BR100" s="395">
        <f t="shared" si="864"/>
        <v>6058.1749385839621</v>
      </c>
      <c r="BS100" s="395">
        <f t="shared" si="864"/>
        <v>6545.384945677486</v>
      </c>
      <c r="BT100" s="395">
        <f t="shared" si="864"/>
        <v>8937.5179630882249</v>
      </c>
      <c r="BU100" s="395">
        <f t="shared" si="864"/>
        <v>4402.4550828861757</v>
      </c>
      <c r="BV100" s="395">
        <f t="shared" si="864"/>
        <v>1674.0485209580625</v>
      </c>
      <c r="BW100" s="397">
        <f t="shared" si="864"/>
        <v>5165.5196030501384</v>
      </c>
      <c r="BX100" s="395">
        <f t="shared" si="864"/>
        <v>7854.3731455408915</v>
      </c>
      <c r="BY100" s="395">
        <f t="shared" si="864"/>
        <v>13123.379523987185</v>
      </c>
      <c r="BZ100" s="395">
        <f t="shared" si="864"/>
        <v>17809.910302923883</v>
      </c>
      <c r="CA100" s="395">
        <f t="shared" si="864"/>
        <v>6420.5446115473615</v>
      </c>
      <c r="CB100" s="395">
        <f t="shared" si="864"/>
        <v>18380.934365840581</v>
      </c>
      <c r="CC100" s="395">
        <f t="shared" si="864"/>
        <v>5331.742367271987</v>
      </c>
      <c r="CD100" s="395">
        <f t="shared" si="864"/>
        <v>8793.1978290322622</v>
      </c>
      <c r="CE100" s="395">
        <f t="shared" si="864"/>
        <v>10464.206179536664</v>
      </c>
      <c r="CF100" s="395">
        <f t="shared" si="864"/>
        <v>12572.093264553605</v>
      </c>
      <c r="CG100" s="395">
        <f t="shared" si="864"/>
        <v>7289.7330573787294</v>
      </c>
      <c r="CH100" s="395">
        <f t="shared" si="864"/>
        <v>2109.7116340151088</v>
      </c>
      <c r="CI100" s="397">
        <f t="shared" si="864"/>
        <v>7110.4519903314913</v>
      </c>
      <c r="CJ100" s="395">
        <f t="shared" si="864"/>
        <v>12966.833186749484</v>
      </c>
      <c r="CK100" s="395">
        <f t="shared" si="864"/>
        <v>18228.871091116835</v>
      </c>
      <c r="CL100" s="395">
        <f t="shared" si="864"/>
        <v>24978.280546595513</v>
      </c>
      <c r="CM100" s="395">
        <f t="shared" si="864"/>
        <v>10262.293801112686</v>
      </c>
      <c r="CN100" s="395">
        <f t="shared" si="864"/>
        <v>26492.4501841487</v>
      </c>
      <c r="CO100" s="395">
        <f t="shared" si="864"/>
        <v>7869.9746561843467</v>
      </c>
      <c r="CP100" s="395">
        <f t="shared" si="864"/>
        <v>13803.488595150116</v>
      </c>
      <c r="CQ100" s="395">
        <f t="shared" si="864"/>
        <v>15521.118174886855</v>
      </c>
      <c r="CR100" s="395">
        <f t="shared" si="864"/>
        <v>17635.467923226519</v>
      </c>
      <c r="CS100" s="395">
        <f t="shared" si="864"/>
        <v>11735.073051554229</v>
      </c>
      <c r="CT100" s="395">
        <f t="shared" si="864"/>
        <v>3610.630044083754</v>
      </c>
      <c r="CU100" s="397">
        <f t="shared" si="864"/>
        <v>10881.226558542732</v>
      </c>
      <c r="CV100" s="395">
        <f t="shared" si="864"/>
        <v>19080.271092588107</v>
      </c>
      <c r="CW100" s="395">
        <f t="shared" si="864"/>
        <v>26530.259119598988</v>
      </c>
      <c r="CX100" s="395">
        <f t="shared" si="864"/>
        <v>36405.013498905362</v>
      </c>
      <c r="CY100" s="395">
        <f t="shared" si="864"/>
        <v>15886.621132869048</v>
      </c>
      <c r="CZ100" s="395">
        <f t="shared" si="864"/>
        <v>38047.294143337138</v>
      </c>
      <c r="DA100" s="395">
        <f t="shared" si="864"/>
        <v>11182.832720731207</v>
      </c>
      <c r="DB100" s="395">
        <f t="shared" si="864"/>
        <v>21197.258726790482</v>
      </c>
      <c r="DC100" s="395">
        <f t="shared" si="864"/>
        <v>21604.276121198734</v>
      </c>
      <c r="DD100" s="395">
        <f t="shared" si="864"/>
        <v>26911.313092803786</v>
      </c>
      <c r="DE100" s="395">
        <f t="shared" si="864"/>
        <v>17241.324201970972</v>
      </c>
      <c r="DF100" s="395">
        <f t="shared" si="864"/>
        <v>5471.7682886769335</v>
      </c>
      <c r="DG100" s="395">
        <f t="shared" si="864"/>
        <v>16723.310306273284</v>
      </c>
    </row>
    <row r="101" spans="1:111" x14ac:dyDescent="0.25">
      <c r="B101" s="1" t="s">
        <v>12</v>
      </c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G101" s="115">
        <v>25</v>
      </c>
      <c r="AW101" s="186"/>
      <c r="AY101" s="186"/>
      <c r="BK101" s="186"/>
      <c r="BW101" s="186"/>
      <c r="CI101" s="186"/>
      <c r="CU101" s="186"/>
    </row>
    <row r="102" spans="1:111" x14ac:dyDescent="0.25">
      <c r="B102" s="1" t="s">
        <v>13</v>
      </c>
      <c r="C102" s="1"/>
      <c r="D102" s="115">
        <f>0</f>
        <v>0</v>
      </c>
      <c r="E102" s="115">
        <f>0</f>
        <v>0</v>
      </c>
      <c r="F102" s="115">
        <f>0</f>
        <v>0</v>
      </c>
      <c r="G102" s="115">
        <f>0</f>
        <v>0</v>
      </c>
      <c r="H102" s="115">
        <f>0</f>
        <v>0</v>
      </c>
      <c r="I102" s="115">
        <f>0</f>
        <v>0</v>
      </c>
      <c r="J102" s="115">
        <f>0</f>
        <v>0</v>
      </c>
      <c r="K102" s="115">
        <v>0</v>
      </c>
      <c r="L102" s="115">
        <v>0</v>
      </c>
      <c r="M102" s="115">
        <v>0.02</v>
      </c>
      <c r="N102" s="115">
        <v>0.03</v>
      </c>
      <c r="O102" s="115">
        <v>0.01</v>
      </c>
      <c r="P102" s="115">
        <v>0</v>
      </c>
      <c r="Q102" s="115">
        <v>0</v>
      </c>
      <c r="R102" s="115">
        <v>0</v>
      </c>
      <c r="S102" s="115">
        <v>0.01</v>
      </c>
      <c r="T102" s="115">
        <v>0.01</v>
      </c>
      <c r="U102" s="115">
        <v>0.01</v>
      </c>
      <c r="V102" s="115">
        <v>0.03</v>
      </c>
      <c r="W102" s="115">
        <v>0.01</v>
      </c>
      <c r="X102" s="115">
        <v>0</v>
      </c>
      <c r="Y102" s="115">
        <v>0</v>
      </c>
      <c r="Z102" s="115">
        <v>0</v>
      </c>
      <c r="AA102" s="115">
        <v>0</v>
      </c>
      <c r="AB102" s="115"/>
      <c r="AC102" s="115"/>
      <c r="AD102" s="115"/>
      <c r="AE102" s="115"/>
      <c r="AF102" s="115"/>
      <c r="AG102" s="115">
        <v>0</v>
      </c>
      <c r="AH102" s="115"/>
      <c r="AI102" s="115">
        <v>0.43</v>
      </c>
      <c r="AJ102" s="115">
        <v>0.69</v>
      </c>
      <c r="AK102" s="115">
        <v>1.74</v>
      </c>
      <c r="AL102" s="115">
        <v>2.41</v>
      </c>
      <c r="AM102" s="520">
        <v>0.08</v>
      </c>
      <c r="AN102" s="115">
        <v>0.01</v>
      </c>
      <c r="AO102" s="115">
        <v>0.01</v>
      </c>
      <c r="AP102" s="115">
        <v>0.01</v>
      </c>
      <c r="AQ102" s="115">
        <v>0.01</v>
      </c>
      <c r="AR102" s="115">
        <v>0.06</v>
      </c>
      <c r="AS102" s="115">
        <v>0.01</v>
      </c>
      <c r="AT102" s="115">
        <v>0.03</v>
      </c>
      <c r="AU102" s="115">
        <v>0.03</v>
      </c>
      <c r="AV102" s="115">
        <v>0.99</v>
      </c>
      <c r="AW102" s="187">
        <v>4.5599999999999996</v>
      </c>
      <c r="AX102" s="291">
        <v>0</v>
      </c>
      <c r="AY102" s="187">
        <f t="shared" ref="AY102:CA102" si="865">AX102</f>
        <v>0</v>
      </c>
      <c r="AZ102" s="115">
        <f t="shared" si="865"/>
        <v>0</v>
      </c>
      <c r="BA102" s="115">
        <f t="shared" si="865"/>
        <v>0</v>
      </c>
      <c r="BB102" s="115">
        <f t="shared" si="865"/>
        <v>0</v>
      </c>
      <c r="BC102" s="115">
        <f t="shared" si="865"/>
        <v>0</v>
      </c>
      <c r="BD102" s="115">
        <f t="shared" si="865"/>
        <v>0</v>
      </c>
      <c r="BE102" s="115">
        <f t="shared" si="865"/>
        <v>0</v>
      </c>
      <c r="BF102" s="115">
        <f t="shared" si="865"/>
        <v>0</v>
      </c>
      <c r="BG102" s="115">
        <f t="shared" si="865"/>
        <v>0</v>
      </c>
      <c r="BH102" s="115">
        <f t="shared" si="865"/>
        <v>0</v>
      </c>
      <c r="BI102" s="115">
        <f t="shared" si="865"/>
        <v>0</v>
      </c>
      <c r="BJ102" s="115">
        <f t="shared" si="865"/>
        <v>0</v>
      </c>
      <c r="BK102" s="187">
        <f t="shared" si="865"/>
        <v>0</v>
      </c>
      <c r="BL102" s="115">
        <f t="shared" si="865"/>
        <v>0</v>
      </c>
      <c r="BM102" s="115">
        <f t="shared" si="865"/>
        <v>0</v>
      </c>
      <c r="BN102" s="115">
        <f t="shared" si="865"/>
        <v>0</v>
      </c>
      <c r="BO102" s="115">
        <f t="shared" si="865"/>
        <v>0</v>
      </c>
      <c r="BP102" s="115">
        <f t="shared" si="865"/>
        <v>0</v>
      </c>
      <c r="BQ102" s="115">
        <f t="shared" si="865"/>
        <v>0</v>
      </c>
      <c r="BR102" s="115">
        <f t="shared" si="865"/>
        <v>0</v>
      </c>
      <c r="BS102" s="115">
        <f t="shared" si="865"/>
        <v>0</v>
      </c>
      <c r="BT102" s="115">
        <f t="shared" si="865"/>
        <v>0</v>
      </c>
      <c r="BU102" s="115">
        <f t="shared" si="865"/>
        <v>0</v>
      </c>
      <c r="BV102" s="115">
        <f t="shared" si="865"/>
        <v>0</v>
      </c>
      <c r="BW102" s="187">
        <f t="shared" si="865"/>
        <v>0</v>
      </c>
      <c r="BX102" s="115">
        <f t="shared" si="865"/>
        <v>0</v>
      </c>
      <c r="BY102" s="115">
        <f t="shared" si="865"/>
        <v>0</v>
      </c>
      <c r="BZ102" s="115">
        <f t="shared" si="865"/>
        <v>0</v>
      </c>
      <c r="CA102" s="115">
        <f t="shared" si="865"/>
        <v>0</v>
      </c>
      <c r="CB102" s="115">
        <f t="shared" ref="CB102:DG102" si="866">CA102</f>
        <v>0</v>
      </c>
      <c r="CC102" s="115">
        <f t="shared" si="866"/>
        <v>0</v>
      </c>
      <c r="CD102" s="115">
        <f t="shared" si="866"/>
        <v>0</v>
      </c>
      <c r="CE102" s="115">
        <f t="shared" si="866"/>
        <v>0</v>
      </c>
      <c r="CF102" s="115">
        <f t="shared" si="866"/>
        <v>0</v>
      </c>
      <c r="CG102" s="115">
        <f t="shared" si="866"/>
        <v>0</v>
      </c>
      <c r="CH102" s="115">
        <f t="shared" si="866"/>
        <v>0</v>
      </c>
      <c r="CI102" s="187">
        <f t="shared" si="866"/>
        <v>0</v>
      </c>
      <c r="CJ102" s="115">
        <f t="shared" si="866"/>
        <v>0</v>
      </c>
      <c r="CK102" s="115">
        <f t="shared" si="866"/>
        <v>0</v>
      </c>
      <c r="CL102" s="115">
        <f t="shared" si="866"/>
        <v>0</v>
      </c>
      <c r="CM102" s="115">
        <f t="shared" si="866"/>
        <v>0</v>
      </c>
      <c r="CN102" s="115">
        <f t="shared" si="866"/>
        <v>0</v>
      </c>
      <c r="CO102" s="115">
        <f t="shared" si="866"/>
        <v>0</v>
      </c>
      <c r="CP102" s="115">
        <f t="shared" si="866"/>
        <v>0</v>
      </c>
      <c r="CQ102" s="115">
        <f t="shared" si="866"/>
        <v>0</v>
      </c>
      <c r="CR102" s="115">
        <f t="shared" si="866"/>
        <v>0</v>
      </c>
      <c r="CS102" s="115">
        <f t="shared" si="866"/>
        <v>0</v>
      </c>
      <c r="CT102" s="115">
        <f t="shared" si="866"/>
        <v>0</v>
      </c>
      <c r="CU102" s="187">
        <f t="shared" si="866"/>
        <v>0</v>
      </c>
      <c r="CV102" s="115">
        <f t="shared" si="866"/>
        <v>0</v>
      </c>
      <c r="CW102" s="115">
        <f t="shared" si="866"/>
        <v>0</v>
      </c>
      <c r="CX102" s="115">
        <f t="shared" si="866"/>
        <v>0</v>
      </c>
      <c r="CY102" s="115">
        <f t="shared" si="866"/>
        <v>0</v>
      </c>
      <c r="CZ102" s="115">
        <f t="shared" si="866"/>
        <v>0</v>
      </c>
      <c r="DA102" s="115">
        <f t="shared" si="866"/>
        <v>0</v>
      </c>
      <c r="DB102" s="115">
        <f t="shared" si="866"/>
        <v>0</v>
      </c>
      <c r="DC102" s="115">
        <f t="shared" si="866"/>
        <v>0</v>
      </c>
      <c r="DD102" s="115">
        <f t="shared" si="866"/>
        <v>0</v>
      </c>
      <c r="DE102" s="115">
        <f t="shared" si="866"/>
        <v>0</v>
      </c>
      <c r="DF102" s="115">
        <f t="shared" si="866"/>
        <v>0</v>
      </c>
      <c r="DG102" s="115">
        <f t="shared" si="866"/>
        <v>0</v>
      </c>
    </row>
    <row r="103" spans="1:111" x14ac:dyDescent="0.25">
      <c r="A103" s="5"/>
      <c r="B103" s="6" t="s">
        <v>14</v>
      </c>
      <c r="C103" s="6"/>
      <c r="D103" s="55">
        <f>D102</f>
        <v>0</v>
      </c>
      <c r="E103" s="55">
        <f t="shared" ref="E103:J103" si="867">E102</f>
        <v>0</v>
      </c>
      <c r="F103" s="55">
        <f t="shared" si="867"/>
        <v>0</v>
      </c>
      <c r="G103" s="55">
        <f t="shared" si="867"/>
        <v>0</v>
      </c>
      <c r="H103" s="55">
        <f t="shared" si="867"/>
        <v>0</v>
      </c>
      <c r="I103" s="55">
        <f t="shared" si="867"/>
        <v>0</v>
      </c>
      <c r="J103" s="55">
        <f t="shared" si="867"/>
        <v>0</v>
      </c>
      <c r="K103" s="55">
        <v>0</v>
      </c>
      <c r="L103" s="55">
        <v>0</v>
      </c>
      <c r="M103" s="54">
        <v>0.02</v>
      </c>
      <c r="N103" s="54">
        <f>N102</f>
        <v>0.03</v>
      </c>
      <c r="O103" s="54">
        <f t="shared" ref="O103:BZ103" si="868">O102</f>
        <v>0.01</v>
      </c>
      <c r="P103" s="54">
        <f t="shared" ref="P103:W103" si="869">P102</f>
        <v>0</v>
      </c>
      <c r="Q103" s="54">
        <f t="shared" si="869"/>
        <v>0</v>
      </c>
      <c r="R103" s="54">
        <f t="shared" si="869"/>
        <v>0</v>
      </c>
      <c r="S103" s="54">
        <f t="shared" si="869"/>
        <v>0.01</v>
      </c>
      <c r="T103" s="54">
        <f t="shared" si="869"/>
        <v>0.01</v>
      </c>
      <c r="U103" s="54">
        <f t="shared" si="869"/>
        <v>0.01</v>
      </c>
      <c r="V103" s="54">
        <f t="shared" si="869"/>
        <v>0.03</v>
      </c>
      <c r="W103" s="54">
        <f t="shared" si="869"/>
        <v>0.01</v>
      </c>
      <c r="X103" s="54">
        <f t="shared" ref="X103:Y103" si="870">X102</f>
        <v>0</v>
      </c>
      <c r="Y103" s="54">
        <f t="shared" si="870"/>
        <v>0</v>
      </c>
      <c r="Z103" s="54">
        <f t="shared" ref="Z103" si="871">Z102</f>
        <v>0</v>
      </c>
      <c r="AA103" s="54">
        <f t="shared" ref="AA103:AB103" si="872">AA102</f>
        <v>0</v>
      </c>
      <c r="AB103" s="54">
        <f t="shared" si="872"/>
        <v>0</v>
      </c>
      <c r="AC103" s="54">
        <f t="shared" ref="AC103:AD103" si="873">AC102</f>
        <v>0</v>
      </c>
      <c r="AD103" s="54">
        <f t="shared" si="873"/>
        <v>0</v>
      </c>
      <c r="AE103" s="54">
        <f t="shared" ref="AE103" si="874">AE102</f>
        <v>0</v>
      </c>
      <c r="AF103" s="54">
        <f t="shared" ref="AF103" si="875">AF102</f>
        <v>0</v>
      </c>
      <c r="AG103" s="54">
        <f>SUM(AG101:AG102)</f>
        <v>25</v>
      </c>
      <c r="AH103" s="54">
        <f t="shared" ref="AH103" si="876">AH102</f>
        <v>0</v>
      </c>
      <c r="AI103" s="54">
        <f t="shared" ref="AI103:AJ103" si="877">AI102</f>
        <v>0.43</v>
      </c>
      <c r="AJ103" s="54">
        <f t="shared" si="877"/>
        <v>0.69</v>
      </c>
      <c r="AK103" s="54">
        <f t="shared" ref="AK103" si="878">AK102</f>
        <v>1.74</v>
      </c>
      <c r="AL103" s="54">
        <f t="shared" ref="AL103" si="879">AL102</f>
        <v>2.41</v>
      </c>
      <c r="AM103" s="573">
        <f t="shared" ref="AM103:AN103" si="880">AM102</f>
        <v>0.08</v>
      </c>
      <c r="AN103" s="54">
        <f t="shared" si="880"/>
        <v>0.01</v>
      </c>
      <c r="AO103" s="54">
        <f t="shared" ref="AO103:AP103" si="881">AO102</f>
        <v>0.01</v>
      </c>
      <c r="AP103" s="54">
        <f t="shared" si="881"/>
        <v>0.01</v>
      </c>
      <c r="AQ103" s="54">
        <f>SUM(AQ101:AQ102)</f>
        <v>0.01</v>
      </c>
      <c r="AR103" s="54">
        <f t="shared" ref="AR103" si="882">AR102</f>
        <v>0.06</v>
      </c>
      <c r="AS103" s="54">
        <f t="shared" ref="AS103:AT103" si="883">AS102</f>
        <v>0.01</v>
      </c>
      <c r="AT103" s="54">
        <f t="shared" si="883"/>
        <v>0.03</v>
      </c>
      <c r="AU103" s="54">
        <f t="shared" ref="AU103:AV103" si="884">AU102</f>
        <v>0.03</v>
      </c>
      <c r="AV103" s="54">
        <f t="shared" si="884"/>
        <v>0.99</v>
      </c>
      <c r="AW103" s="314">
        <f t="shared" ref="AW103" si="885">AW102</f>
        <v>4.5599999999999996</v>
      </c>
      <c r="AX103" s="54">
        <f t="shared" ref="AX103" si="886">AX102</f>
        <v>0</v>
      </c>
      <c r="AY103" s="314">
        <f t="shared" si="868"/>
        <v>0</v>
      </c>
      <c r="AZ103" s="54">
        <f t="shared" si="868"/>
        <v>0</v>
      </c>
      <c r="BA103" s="54">
        <f t="shared" si="868"/>
        <v>0</v>
      </c>
      <c r="BB103" s="54">
        <f t="shared" si="868"/>
        <v>0</v>
      </c>
      <c r="BC103" s="54">
        <f t="shared" si="868"/>
        <v>0</v>
      </c>
      <c r="BD103" s="54">
        <f t="shared" si="868"/>
        <v>0</v>
      </c>
      <c r="BE103" s="54">
        <f t="shared" si="868"/>
        <v>0</v>
      </c>
      <c r="BF103" s="54">
        <f t="shared" si="868"/>
        <v>0</v>
      </c>
      <c r="BG103" s="54">
        <f t="shared" si="868"/>
        <v>0</v>
      </c>
      <c r="BH103" s="54">
        <f t="shared" si="868"/>
        <v>0</v>
      </c>
      <c r="BI103" s="54">
        <f t="shared" si="868"/>
        <v>0</v>
      </c>
      <c r="BJ103" s="54">
        <f t="shared" si="868"/>
        <v>0</v>
      </c>
      <c r="BK103" s="314">
        <f t="shared" si="868"/>
        <v>0</v>
      </c>
      <c r="BL103" s="54">
        <f t="shared" si="868"/>
        <v>0</v>
      </c>
      <c r="BM103" s="54">
        <f t="shared" si="868"/>
        <v>0</v>
      </c>
      <c r="BN103" s="54">
        <f t="shared" si="868"/>
        <v>0</v>
      </c>
      <c r="BO103" s="54">
        <f t="shared" si="868"/>
        <v>0</v>
      </c>
      <c r="BP103" s="54">
        <f t="shared" si="868"/>
        <v>0</v>
      </c>
      <c r="BQ103" s="54">
        <f t="shared" si="868"/>
        <v>0</v>
      </c>
      <c r="BR103" s="54">
        <f t="shared" si="868"/>
        <v>0</v>
      </c>
      <c r="BS103" s="54">
        <f t="shared" si="868"/>
        <v>0</v>
      </c>
      <c r="BT103" s="54">
        <f t="shared" si="868"/>
        <v>0</v>
      </c>
      <c r="BU103" s="54">
        <f t="shared" si="868"/>
        <v>0</v>
      </c>
      <c r="BV103" s="54">
        <f t="shared" si="868"/>
        <v>0</v>
      </c>
      <c r="BW103" s="314">
        <f t="shared" si="868"/>
        <v>0</v>
      </c>
      <c r="BX103" s="54">
        <f t="shared" si="868"/>
        <v>0</v>
      </c>
      <c r="BY103" s="54">
        <f t="shared" si="868"/>
        <v>0</v>
      </c>
      <c r="BZ103" s="54">
        <f t="shared" si="868"/>
        <v>0</v>
      </c>
      <c r="CA103" s="54">
        <f t="shared" ref="CA103:DG103" si="887">CA102</f>
        <v>0</v>
      </c>
      <c r="CB103" s="54">
        <f t="shared" si="887"/>
        <v>0</v>
      </c>
      <c r="CC103" s="54">
        <f t="shared" si="887"/>
        <v>0</v>
      </c>
      <c r="CD103" s="54">
        <f t="shared" si="887"/>
        <v>0</v>
      </c>
      <c r="CE103" s="54">
        <f t="shared" si="887"/>
        <v>0</v>
      </c>
      <c r="CF103" s="54">
        <f t="shared" si="887"/>
        <v>0</v>
      </c>
      <c r="CG103" s="54">
        <f t="shared" si="887"/>
        <v>0</v>
      </c>
      <c r="CH103" s="54">
        <f t="shared" si="887"/>
        <v>0</v>
      </c>
      <c r="CI103" s="314">
        <f t="shared" si="887"/>
        <v>0</v>
      </c>
      <c r="CJ103" s="54">
        <f t="shared" si="887"/>
        <v>0</v>
      </c>
      <c r="CK103" s="54">
        <f t="shared" si="887"/>
        <v>0</v>
      </c>
      <c r="CL103" s="54">
        <f t="shared" si="887"/>
        <v>0</v>
      </c>
      <c r="CM103" s="54">
        <f t="shared" si="887"/>
        <v>0</v>
      </c>
      <c r="CN103" s="54">
        <f t="shared" si="887"/>
        <v>0</v>
      </c>
      <c r="CO103" s="54">
        <f t="shared" si="887"/>
        <v>0</v>
      </c>
      <c r="CP103" s="54">
        <f t="shared" si="887"/>
        <v>0</v>
      </c>
      <c r="CQ103" s="54">
        <f t="shared" si="887"/>
        <v>0</v>
      </c>
      <c r="CR103" s="54">
        <f t="shared" si="887"/>
        <v>0</v>
      </c>
      <c r="CS103" s="54">
        <f t="shared" si="887"/>
        <v>0</v>
      </c>
      <c r="CT103" s="54">
        <f t="shared" si="887"/>
        <v>0</v>
      </c>
      <c r="CU103" s="314">
        <f t="shared" si="887"/>
        <v>0</v>
      </c>
      <c r="CV103" s="54">
        <f t="shared" si="887"/>
        <v>0</v>
      </c>
      <c r="CW103" s="54">
        <f t="shared" si="887"/>
        <v>0</v>
      </c>
      <c r="CX103" s="54">
        <f t="shared" si="887"/>
        <v>0</v>
      </c>
      <c r="CY103" s="54">
        <f t="shared" si="887"/>
        <v>0</v>
      </c>
      <c r="CZ103" s="54">
        <f t="shared" si="887"/>
        <v>0</v>
      </c>
      <c r="DA103" s="54">
        <f t="shared" si="887"/>
        <v>0</v>
      </c>
      <c r="DB103" s="54">
        <f t="shared" si="887"/>
        <v>0</v>
      </c>
      <c r="DC103" s="54">
        <f t="shared" si="887"/>
        <v>0</v>
      </c>
      <c r="DD103" s="54">
        <f t="shared" si="887"/>
        <v>0</v>
      </c>
      <c r="DE103" s="54">
        <f t="shared" si="887"/>
        <v>0</v>
      </c>
      <c r="DF103" s="54">
        <f t="shared" si="887"/>
        <v>0</v>
      </c>
      <c r="DG103" s="54">
        <f t="shared" si="887"/>
        <v>0</v>
      </c>
    </row>
    <row r="104" spans="1:111" x14ac:dyDescent="0.25">
      <c r="B104" s="1" t="s">
        <v>342</v>
      </c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W104" s="186"/>
      <c r="AY104" s="186"/>
      <c r="BK104" s="186"/>
      <c r="BW104" s="186"/>
      <c r="CI104" s="186"/>
      <c r="CU104" s="186"/>
    </row>
    <row r="105" spans="1:111" x14ac:dyDescent="0.25">
      <c r="B105" s="1" t="s">
        <v>343</v>
      </c>
      <c r="C105" s="1"/>
      <c r="D105" s="115">
        <f>0</f>
        <v>0</v>
      </c>
      <c r="E105" s="115">
        <f>0</f>
        <v>0</v>
      </c>
      <c r="F105" s="115">
        <f>0</f>
        <v>0</v>
      </c>
      <c r="G105" s="115">
        <f>0</f>
        <v>0</v>
      </c>
      <c r="H105" s="115">
        <f>0</f>
        <v>0</v>
      </c>
      <c r="I105" s="115">
        <f>0</f>
        <v>0</v>
      </c>
      <c r="J105" s="115">
        <f>0</f>
        <v>0</v>
      </c>
      <c r="K105" s="115">
        <v>0</v>
      </c>
      <c r="L105" s="115">
        <v>0</v>
      </c>
      <c r="M105" s="115">
        <v>0</v>
      </c>
      <c r="N105" s="115">
        <v>0</v>
      </c>
      <c r="O105" s="115">
        <v>0</v>
      </c>
      <c r="P105" s="115">
        <v>0</v>
      </c>
      <c r="Q105" s="115">
        <v>0</v>
      </c>
      <c r="R105" s="115">
        <v>0</v>
      </c>
      <c r="S105" s="115">
        <v>0</v>
      </c>
      <c r="T105" s="115">
        <v>0</v>
      </c>
      <c r="U105" s="115">
        <v>0</v>
      </c>
      <c r="V105" s="115">
        <v>0</v>
      </c>
      <c r="W105" s="115">
        <v>0</v>
      </c>
      <c r="X105" s="115">
        <v>0</v>
      </c>
      <c r="Y105" s="115">
        <v>0</v>
      </c>
      <c r="Z105" s="115">
        <v>0</v>
      </c>
      <c r="AA105" s="115">
        <v>0</v>
      </c>
      <c r="AB105" s="115"/>
      <c r="AC105" s="115"/>
      <c r="AD105" s="115"/>
      <c r="AE105" s="115"/>
      <c r="AF105" s="115"/>
      <c r="AG105" s="115">
        <v>715.26</v>
      </c>
      <c r="AH105" s="115">
        <v>715.26</v>
      </c>
      <c r="AI105" s="115">
        <v>639.62</v>
      </c>
      <c r="AJ105" s="115">
        <v>719.87</v>
      </c>
      <c r="AK105" s="115">
        <v>733.37</v>
      </c>
      <c r="AL105" s="115">
        <v>735.08</v>
      </c>
      <c r="AM105" s="520">
        <v>790.12</v>
      </c>
      <c r="AN105" s="115">
        <v>821.85</v>
      </c>
      <c r="AO105" s="115">
        <v>775.58</v>
      </c>
      <c r="AP105" s="115">
        <v>757.93</v>
      </c>
      <c r="AQ105" s="115">
        <v>757.93</v>
      </c>
      <c r="AR105" s="115">
        <v>692.93</v>
      </c>
      <c r="AS105" s="115">
        <v>769.03</v>
      </c>
      <c r="AT105" s="115">
        <v>775.28</v>
      </c>
      <c r="AU105" s="115">
        <v>727.35</v>
      </c>
      <c r="AV105" s="115">
        <v>727.35</v>
      </c>
      <c r="AW105" s="187">
        <v>846.79</v>
      </c>
      <c r="AX105" s="291">
        <v>800</v>
      </c>
      <c r="AY105" s="187">
        <f t="shared" ref="AY105" si="888">AX105</f>
        <v>800</v>
      </c>
      <c r="AZ105" s="115">
        <f t="shared" ref="AZ105" si="889">AY105</f>
        <v>800</v>
      </c>
      <c r="BA105" s="115">
        <f t="shared" ref="BA105" si="890">AZ105</f>
        <v>800</v>
      </c>
      <c r="BB105" s="115">
        <f t="shared" ref="BB105" si="891">BA105</f>
        <v>800</v>
      </c>
      <c r="BC105" s="115">
        <f t="shared" ref="BC105" si="892">BB105</f>
        <v>800</v>
      </c>
      <c r="BD105" s="115">
        <f t="shared" ref="BD105" si="893">BC105</f>
        <v>800</v>
      </c>
      <c r="BE105" s="115">
        <f t="shared" ref="BE105" si="894">BD105</f>
        <v>800</v>
      </c>
      <c r="BF105" s="115">
        <f t="shared" ref="BF105" si="895">BE105</f>
        <v>800</v>
      </c>
      <c r="BG105" s="115">
        <f t="shared" ref="BG105" si="896">BF105</f>
        <v>800</v>
      </c>
      <c r="BH105" s="115">
        <f t="shared" ref="BH105" si="897">BG105</f>
        <v>800</v>
      </c>
      <c r="BI105" s="115">
        <f t="shared" ref="BI105" si="898">BH105</f>
        <v>800</v>
      </c>
      <c r="BJ105" s="115">
        <f t="shared" ref="BJ105" si="899">BI105</f>
        <v>800</v>
      </c>
      <c r="BK105" s="187">
        <f t="shared" ref="BK105" si="900">BJ105</f>
        <v>800</v>
      </c>
      <c r="BL105" s="115">
        <f t="shared" ref="BL105" si="901">BK105</f>
        <v>800</v>
      </c>
      <c r="BM105" s="115">
        <f t="shared" ref="BM105" si="902">BL105</f>
        <v>800</v>
      </c>
      <c r="BN105" s="115">
        <f t="shared" ref="BN105" si="903">BM105</f>
        <v>800</v>
      </c>
      <c r="BO105" s="115">
        <f t="shared" ref="BO105" si="904">BN105</f>
        <v>800</v>
      </c>
      <c r="BP105" s="115">
        <f t="shared" ref="BP105" si="905">BO105</f>
        <v>800</v>
      </c>
      <c r="BQ105" s="115">
        <f t="shared" ref="BQ105" si="906">BP105</f>
        <v>800</v>
      </c>
      <c r="BR105" s="115">
        <f t="shared" ref="BR105" si="907">BQ105</f>
        <v>800</v>
      </c>
      <c r="BS105" s="115">
        <f t="shared" ref="BS105" si="908">BR105</f>
        <v>800</v>
      </c>
      <c r="BT105" s="115">
        <f t="shared" ref="BT105" si="909">BS105</f>
        <v>800</v>
      </c>
      <c r="BU105" s="115">
        <f t="shared" ref="BU105" si="910">BT105</f>
        <v>800</v>
      </c>
      <c r="BV105" s="115">
        <f t="shared" ref="BV105" si="911">BU105</f>
        <v>800</v>
      </c>
      <c r="BW105" s="187">
        <f t="shared" ref="BW105" si="912">BV105</f>
        <v>800</v>
      </c>
      <c r="BX105" s="115">
        <f t="shared" ref="BX105" si="913">BW105</f>
        <v>800</v>
      </c>
      <c r="BY105" s="115">
        <f t="shared" ref="BY105" si="914">BX105</f>
        <v>800</v>
      </c>
      <c r="BZ105" s="115">
        <f t="shared" ref="BZ105" si="915">BY105</f>
        <v>800</v>
      </c>
      <c r="CA105" s="115">
        <f t="shared" ref="CA105" si="916">BZ105</f>
        <v>800</v>
      </c>
      <c r="CB105" s="115">
        <f t="shared" ref="CB105" si="917">CA105</f>
        <v>800</v>
      </c>
      <c r="CC105" s="115">
        <f t="shared" ref="CC105" si="918">CB105</f>
        <v>800</v>
      </c>
      <c r="CD105" s="115">
        <f t="shared" ref="CD105" si="919">CC105</f>
        <v>800</v>
      </c>
      <c r="CE105" s="115">
        <f t="shared" ref="CE105" si="920">CD105</f>
        <v>800</v>
      </c>
      <c r="CF105" s="115">
        <f t="shared" ref="CF105" si="921">CE105</f>
        <v>800</v>
      </c>
      <c r="CG105" s="115">
        <f t="shared" ref="CG105" si="922">CF105</f>
        <v>800</v>
      </c>
      <c r="CH105" s="115">
        <f t="shared" ref="CH105" si="923">CG105</f>
        <v>800</v>
      </c>
      <c r="CI105" s="187">
        <f t="shared" ref="CI105" si="924">CH105</f>
        <v>800</v>
      </c>
      <c r="CJ105" s="115">
        <f t="shared" ref="CJ105" si="925">CI105</f>
        <v>800</v>
      </c>
      <c r="CK105" s="115">
        <f t="shared" ref="CK105" si="926">CJ105</f>
        <v>800</v>
      </c>
      <c r="CL105" s="115">
        <f t="shared" ref="CL105" si="927">CK105</f>
        <v>800</v>
      </c>
      <c r="CM105" s="115">
        <f t="shared" ref="CM105" si="928">CL105</f>
        <v>800</v>
      </c>
      <c r="CN105" s="115">
        <f t="shared" ref="CN105" si="929">CM105</f>
        <v>800</v>
      </c>
      <c r="CO105" s="115">
        <f t="shared" ref="CO105" si="930">CN105</f>
        <v>800</v>
      </c>
      <c r="CP105" s="115">
        <f t="shared" ref="CP105" si="931">CO105</f>
        <v>800</v>
      </c>
      <c r="CQ105" s="115">
        <f t="shared" ref="CQ105" si="932">CP105</f>
        <v>800</v>
      </c>
      <c r="CR105" s="115">
        <f t="shared" ref="CR105" si="933">CQ105</f>
        <v>800</v>
      </c>
      <c r="CS105" s="115">
        <f t="shared" ref="CS105" si="934">CR105</f>
        <v>800</v>
      </c>
      <c r="CT105" s="115">
        <f t="shared" ref="CT105" si="935">CS105</f>
        <v>800</v>
      </c>
      <c r="CU105" s="187">
        <f t="shared" ref="CU105" si="936">CT105</f>
        <v>800</v>
      </c>
      <c r="CV105" s="115">
        <f t="shared" ref="CV105" si="937">CU105</f>
        <v>800</v>
      </c>
      <c r="CW105" s="115">
        <f t="shared" ref="CW105" si="938">CV105</f>
        <v>800</v>
      </c>
      <c r="CX105" s="115">
        <f t="shared" ref="CX105" si="939">CW105</f>
        <v>800</v>
      </c>
      <c r="CY105" s="115">
        <f t="shared" ref="CY105" si="940">CX105</f>
        <v>800</v>
      </c>
      <c r="CZ105" s="115">
        <f t="shared" ref="CZ105" si="941">CY105</f>
        <v>800</v>
      </c>
      <c r="DA105" s="115">
        <f t="shared" ref="DA105" si="942">CZ105</f>
        <v>800</v>
      </c>
      <c r="DB105" s="115">
        <f t="shared" ref="DB105" si="943">DA105</f>
        <v>800</v>
      </c>
      <c r="DC105" s="115">
        <f t="shared" ref="DC105" si="944">DB105</f>
        <v>800</v>
      </c>
      <c r="DD105" s="115">
        <f t="shared" ref="DD105" si="945">DC105</f>
        <v>800</v>
      </c>
      <c r="DE105" s="115">
        <f t="shared" ref="DE105" si="946">DD105</f>
        <v>800</v>
      </c>
      <c r="DF105" s="115">
        <f t="shared" ref="DF105" si="947">DE105</f>
        <v>800</v>
      </c>
      <c r="DG105" s="115">
        <f t="shared" ref="DG105" si="948">DF105</f>
        <v>800</v>
      </c>
    </row>
    <row r="106" spans="1:111" x14ac:dyDescent="0.25">
      <c r="A106" s="5"/>
      <c r="B106" s="6" t="s">
        <v>344</v>
      </c>
      <c r="C106" s="6"/>
      <c r="D106" s="55">
        <f>D105</f>
        <v>0</v>
      </c>
      <c r="E106" s="55">
        <f t="shared" ref="E106:J106" si="949">E105</f>
        <v>0</v>
      </c>
      <c r="F106" s="55">
        <f t="shared" si="949"/>
        <v>0</v>
      </c>
      <c r="G106" s="55">
        <f t="shared" si="949"/>
        <v>0</v>
      </c>
      <c r="H106" s="55">
        <f t="shared" si="949"/>
        <v>0</v>
      </c>
      <c r="I106" s="55">
        <f t="shared" si="949"/>
        <v>0</v>
      </c>
      <c r="J106" s="55">
        <f t="shared" si="949"/>
        <v>0</v>
      </c>
      <c r="K106" s="55">
        <v>0</v>
      </c>
      <c r="L106" s="55">
        <v>0</v>
      </c>
      <c r="M106" s="54">
        <v>0</v>
      </c>
      <c r="N106" s="54">
        <f>N105</f>
        <v>0</v>
      </c>
      <c r="O106" s="54">
        <f t="shared" ref="O106:BZ106" si="950">O105</f>
        <v>0</v>
      </c>
      <c r="P106" s="54">
        <f t="shared" si="950"/>
        <v>0</v>
      </c>
      <c r="Q106" s="54">
        <f t="shared" si="950"/>
        <v>0</v>
      </c>
      <c r="R106" s="54">
        <f t="shared" si="950"/>
        <v>0</v>
      </c>
      <c r="S106" s="54">
        <f t="shared" si="950"/>
        <v>0</v>
      </c>
      <c r="T106" s="54">
        <f t="shared" si="950"/>
        <v>0</v>
      </c>
      <c r="U106" s="54">
        <f t="shared" si="950"/>
        <v>0</v>
      </c>
      <c r="V106" s="54">
        <f t="shared" si="950"/>
        <v>0</v>
      </c>
      <c r="W106" s="54">
        <f t="shared" si="950"/>
        <v>0</v>
      </c>
      <c r="X106" s="54">
        <f t="shared" si="950"/>
        <v>0</v>
      </c>
      <c r="Y106" s="54">
        <f t="shared" si="950"/>
        <v>0</v>
      </c>
      <c r="Z106" s="54">
        <f t="shared" si="950"/>
        <v>0</v>
      </c>
      <c r="AA106" s="54">
        <f t="shared" si="950"/>
        <v>0</v>
      </c>
      <c r="AB106" s="54">
        <f t="shared" si="950"/>
        <v>0</v>
      </c>
      <c r="AC106" s="54">
        <f t="shared" si="950"/>
        <v>0</v>
      </c>
      <c r="AD106" s="54">
        <f t="shared" si="950"/>
        <v>0</v>
      </c>
      <c r="AE106" s="54">
        <f t="shared" si="950"/>
        <v>0</v>
      </c>
      <c r="AF106" s="54">
        <f t="shared" si="950"/>
        <v>0</v>
      </c>
      <c r="AG106" s="54">
        <f t="shared" si="950"/>
        <v>715.26</v>
      </c>
      <c r="AH106" s="54">
        <f t="shared" si="950"/>
        <v>715.26</v>
      </c>
      <c r="AI106" s="54">
        <f t="shared" si="950"/>
        <v>639.62</v>
      </c>
      <c r="AJ106" s="54">
        <f t="shared" ref="AJ106:AK106" si="951">AJ105</f>
        <v>719.87</v>
      </c>
      <c r="AK106" s="54">
        <f t="shared" si="951"/>
        <v>733.37</v>
      </c>
      <c r="AL106" s="54">
        <f t="shared" ref="AL106" si="952">AL105</f>
        <v>735.08</v>
      </c>
      <c r="AM106" s="573">
        <f t="shared" ref="AM106:AN106" si="953">AM105</f>
        <v>790.12</v>
      </c>
      <c r="AN106" s="54">
        <f t="shared" si="953"/>
        <v>821.85</v>
      </c>
      <c r="AO106" s="54">
        <f t="shared" ref="AO106:AP106" si="954">AO105</f>
        <v>775.58</v>
      </c>
      <c r="AP106" s="54">
        <f t="shared" si="954"/>
        <v>757.93</v>
      </c>
      <c r="AQ106" s="54">
        <f t="shared" ref="AQ106:AR106" si="955">AQ105</f>
        <v>757.93</v>
      </c>
      <c r="AR106" s="54">
        <f t="shared" si="955"/>
        <v>692.93</v>
      </c>
      <c r="AS106" s="54">
        <f t="shared" ref="AS106:AT106" si="956">AS105</f>
        <v>769.03</v>
      </c>
      <c r="AT106" s="54">
        <f t="shared" si="956"/>
        <v>775.28</v>
      </c>
      <c r="AU106" s="54">
        <f t="shared" ref="AU106:AV106" si="957">AU105</f>
        <v>727.35</v>
      </c>
      <c r="AV106" s="54">
        <f t="shared" si="957"/>
        <v>727.35</v>
      </c>
      <c r="AW106" s="314">
        <f t="shared" ref="AW106" si="958">AW105</f>
        <v>846.79</v>
      </c>
      <c r="AX106" s="54">
        <f t="shared" ref="AX106" si="959">AX105</f>
        <v>800</v>
      </c>
      <c r="AY106" s="314">
        <f t="shared" si="950"/>
        <v>800</v>
      </c>
      <c r="AZ106" s="54">
        <f t="shared" si="950"/>
        <v>800</v>
      </c>
      <c r="BA106" s="54">
        <f t="shared" si="950"/>
        <v>800</v>
      </c>
      <c r="BB106" s="54">
        <f t="shared" si="950"/>
        <v>800</v>
      </c>
      <c r="BC106" s="54">
        <f t="shared" si="950"/>
        <v>800</v>
      </c>
      <c r="BD106" s="54">
        <f t="shared" si="950"/>
        <v>800</v>
      </c>
      <c r="BE106" s="54">
        <f t="shared" si="950"/>
        <v>800</v>
      </c>
      <c r="BF106" s="54">
        <f t="shared" si="950"/>
        <v>800</v>
      </c>
      <c r="BG106" s="54">
        <f t="shared" si="950"/>
        <v>800</v>
      </c>
      <c r="BH106" s="54">
        <f t="shared" si="950"/>
        <v>800</v>
      </c>
      <c r="BI106" s="54">
        <f t="shared" si="950"/>
        <v>800</v>
      </c>
      <c r="BJ106" s="54">
        <f t="shared" si="950"/>
        <v>800</v>
      </c>
      <c r="BK106" s="314">
        <f t="shared" si="950"/>
        <v>800</v>
      </c>
      <c r="BL106" s="54">
        <f t="shared" si="950"/>
        <v>800</v>
      </c>
      <c r="BM106" s="54">
        <f t="shared" si="950"/>
        <v>800</v>
      </c>
      <c r="BN106" s="54">
        <f t="shared" si="950"/>
        <v>800</v>
      </c>
      <c r="BO106" s="54">
        <f t="shared" si="950"/>
        <v>800</v>
      </c>
      <c r="BP106" s="54">
        <f t="shared" si="950"/>
        <v>800</v>
      </c>
      <c r="BQ106" s="54">
        <f t="shared" si="950"/>
        <v>800</v>
      </c>
      <c r="BR106" s="54">
        <f t="shared" si="950"/>
        <v>800</v>
      </c>
      <c r="BS106" s="54">
        <f t="shared" si="950"/>
        <v>800</v>
      </c>
      <c r="BT106" s="54">
        <f t="shared" si="950"/>
        <v>800</v>
      </c>
      <c r="BU106" s="54">
        <f t="shared" si="950"/>
        <v>800</v>
      </c>
      <c r="BV106" s="54">
        <f t="shared" si="950"/>
        <v>800</v>
      </c>
      <c r="BW106" s="314">
        <f t="shared" si="950"/>
        <v>800</v>
      </c>
      <c r="BX106" s="54">
        <f t="shared" si="950"/>
        <v>800</v>
      </c>
      <c r="BY106" s="54">
        <f t="shared" si="950"/>
        <v>800</v>
      </c>
      <c r="BZ106" s="54">
        <f t="shared" si="950"/>
        <v>800</v>
      </c>
      <c r="CA106" s="54">
        <f t="shared" ref="CA106:DG106" si="960">CA105</f>
        <v>800</v>
      </c>
      <c r="CB106" s="54">
        <f t="shared" si="960"/>
        <v>800</v>
      </c>
      <c r="CC106" s="54">
        <f t="shared" si="960"/>
        <v>800</v>
      </c>
      <c r="CD106" s="54">
        <f t="shared" si="960"/>
        <v>800</v>
      </c>
      <c r="CE106" s="54">
        <f t="shared" si="960"/>
        <v>800</v>
      </c>
      <c r="CF106" s="54">
        <f t="shared" si="960"/>
        <v>800</v>
      </c>
      <c r="CG106" s="54">
        <f t="shared" si="960"/>
        <v>800</v>
      </c>
      <c r="CH106" s="54">
        <f t="shared" si="960"/>
        <v>800</v>
      </c>
      <c r="CI106" s="314">
        <f t="shared" si="960"/>
        <v>800</v>
      </c>
      <c r="CJ106" s="54">
        <f t="shared" si="960"/>
        <v>800</v>
      </c>
      <c r="CK106" s="54">
        <f t="shared" si="960"/>
        <v>800</v>
      </c>
      <c r="CL106" s="54">
        <f t="shared" si="960"/>
        <v>800</v>
      </c>
      <c r="CM106" s="54">
        <f t="shared" si="960"/>
        <v>800</v>
      </c>
      <c r="CN106" s="54">
        <f t="shared" si="960"/>
        <v>800</v>
      </c>
      <c r="CO106" s="54">
        <f t="shared" si="960"/>
        <v>800</v>
      </c>
      <c r="CP106" s="54">
        <f t="shared" si="960"/>
        <v>800</v>
      </c>
      <c r="CQ106" s="54">
        <f t="shared" si="960"/>
        <v>800</v>
      </c>
      <c r="CR106" s="54">
        <f t="shared" si="960"/>
        <v>800</v>
      </c>
      <c r="CS106" s="54">
        <f t="shared" si="960"/>
        <v>800</v>
      </c>
      <c r="CT106" s="54">
        <f t="shared" si="960"/>
        <v>800</v>
      </c>
      <c r="CU106" s="314">
        <f t="shared" si="960"/>
        <v>800</v>
      </c>
      <c r="CV106" s="54">
        <f t="shared" si="960"/>
        <v>800</v>
      </c>
      <c r="CW106" s="54">
        <f t="shared" si="960"/>
        <v>800</v>
      </c>
      <c r="CX106" s="54">
        <f t="shared" si="960"/>
        <v>800</v>
      </c>
      <c r="CY106" s="54">
        <f t="shared" si="960"/>
        <v>800</v>
      </c>
      <c r="CZ106" s="54">
        <f t="shared" si="960"/>
        <v>800</v>
      </c>
      <c r="DA106" s="54">
        <f t="shared" si="960"/>
        <v>800</v>
      </c>
      <c r="DB106" s="54">
        <f t="shared" si="960"/>
        <v>800</v>
      </c>
      <c r="DC106" s="54">
        <f t="shared" si="960"/>
        <v>800</v>
      </c>
      <c r="DD106" s="54">
        <f t="shared" si="960"/>
        <v>800</v>
      </c>
      <c r="DE106" s="54">
        <f t="shared" si="960"/>
        <v>800</v>
      </c>
      <c r="DF106" s="54">
        <f t="shared" si="960"/>
        <v>800</v>
      </c>
      <c r="DG106" s="54">
        <f t="shared" si="960"/>
        <v>800</v>
      </c>
    </row>
    <row r="107" spans="1:111" x14ac:dyDescent="0.25">
      <c r="A107" s="5"/>
      <c r="B107" s="6" t="s">
        <v>15</v>
      </c>
      <c r="C107" s="6"/>
      <c r="D107" s="55">
        <f t="shared" ref="D107:L107" si="961">D103</f>
        <v>0</v>
      </c>
      <c r="E107" s="55">
        <f t="shared" si="961"/>
        <v>0</v>
      </c>
      <c r="F107" s="55">
        <f t="shared" si="961"/>
        <v>0</v>
      </c>
      <c r="G107" s="55">
        <f t="shared" si="961"/>
        <v>0</v>
      </c>
      <c r="H107" s="55">
        <f t="shared" si="961"/>
        <v>0</v>
      </c>
      <c r="I107" s="55">
        <f t="shared" si="961"/>
        <v>0</v>
      </c>
      <c r="J107" s="55">
        <f t="shared" si="961"/>
        <v>0</v>
      </c>
      <c r="K107" s="55">
        <f t="shared" si="961"/>
        <v>0</v>
      </c>
      <c r="L107" s="55">
        <f t="shared" si="961"/>
        <v>0</v>
      </c>
      <c r="M107" s="54">
        <f>M103-M106</f>
        <v>0.02</v>
      </c>
      <c r="N107" s="54">
        <f t="shared" ref="N107:BY107" si="962">N103-N106</f>
        <v>0.03</v>
      </c>
      <c r="O107" s="54">
        <f t="shared" si="962"/>
        <v>0.01</v>
      </c>
      <c r="P107" s="54">
        <f t="shared" si="962"/>
        <v>0</v>
      </c>
      <c r="Q107" s="54">
        <f t="shared" si="962"/>
        <v>0</v>
      </c>
      <c r="R107" s="54">
        <f t="shared" si="962"/>
        <v>0</v>
      </c>
      <c r="S107" s="54">
        <f t="shared" si="962"/>
        <v>0.01</v>
      </c>
      <c r="T107" s="54">
        <f t="shared" si="962"/>
        <v>0.01</v>
      </c>
      <c r="U107" s="54">
        <f t="shared" si="962"/>
        <v>0.01</v>
      </c>
      <c r="V107" s="54">
        <f t="shared" si="962"/>
        <v>0.03</v>
      </c>
      <c r="W107" s="54">
        <f t="shared" si="962"/>
        <v>0.01</v>
      </c>
      <c r="X107" s="54">
        <f t="shared" si="962"/>
        <v>0</v>
      </c>
      <c r="Y107" s="54">
        <f t="shared" si="962"/>
        <v>0</v>
      </c>
      <c r="Z107" s="54">
        <f t="shared" si="962"/>
        <v>0</v>
      </c>
      <c r="AA107" s="54">
        <f t="shared" si="962"/>
        <v>0</v>
      </c>
      <c r="AB107" s="54">
        <f t="shared" si="962"/>
        <v>0</v>
      </c>
      <c r="AC107" s="54">
        <f t="shared" si="962"/>
        <v>0</v>
      </c>
      <c r="AD107" s="54">
        <f t="shared" si="962"/>
        <v>0</v>
      </c>
      <c r="AE107" s="54">
        <f t="shared" si="962"/>
        <v>0</v>
      </c>
      <c r="AF107" s="54">
        <f t="shared" si="962"/>
        <v>0</v>
      </c>
      <c r="AG107" s="54">
        <f t="shared" si="962"/>
        <v>-690.26</v>
      </c>
      <c r="AH107" s="54">
        <f t="shared" si="962"/>
        <v>-715.26</v>
      </c>
      <c r="AI107" s="54">
        <f t="shared" si="962"/>
        <v>-639.19000000000005</v>
      </c>
      <c r="AJ107" s="54">
        <f t="shared" ref="AJ107:AK107" si="963">AJ103-AJ106</f>
        <v>-719.18</v>
      </c>
      <c r="AK107" s="54">
        <f t="shared" si="963"/>
        <v>-731.63</v>
      </c>
      <c r="AL107" s="54">
        <f t="shared" ref="AL107" si="964">AL103-AL106</f>
        <v>-732.67000000000007</v>
      </c>
      <c r="AM107" s="573">
        <f t="shared" ref="AM107:AN107" si="965">AM103-AM106</f>
        <v>-790.04</v>
      </c>
      <c r="AN107" s="54">
        <f t="shared" si="965"/>
        <v>-821.84</v>
      </c>
      <c r="AO107" s="54">
        <f t="shared" ref="AO107:AP107" si="966">AO103-AO106</f>
        <v>-775.57</v>
      </c>
      <c r="AP107" s="54">
        <f t="shared" si="966"/>
        <v>-757.92</v>
      </c>
      <c r="AQ107" s="54">
        <f t="shared" ref="AQ107:AR107" si="967">AQ103-AQ106</f>
        <v>-757.92</v>
      </c>
      <c r="AR107" s="54">
        <f t="shared" si="967"/>
        <v>-692.87</v>
      </c>
      <c r="AS107" s="54">
        <f t="shared" ref="AS107:AT107" si="968">AS103-AS106</f>
        <v>-769.02</v>
      </c>
      <c r="AT107" s="54">
        <f t="shared" si="968"/>
        <v>-775.25</v>
      </c>
      <c r="AU107" s="54">
        <f t="shared" ref="AU107:AV107" si="969">AU103-AU106</f>
        <v>-727.32</v>
      </c>
      <c r="AV107" s="54">
        <f t="shared" si="969"/>
        <v>-726.36</v>
      </c>
      <c r="AW107" s="314">
        <f t="shared" ref="AW107" si="970">AW103-AW106</f>
        <v>-842.23</v>
      </c>
      <c r="AX107" s="54">
        <f>AX103-AX106</f>
        <v>-800</v>
      </c>
      <c r="AY107" s="314">
        <f t="shared" si="962"/>
        <v>-800</v>
      </c>
      <c r="AZ107" s="54">
        <f t="shared" si="962"/>
        <v>-800</v>
      </c>
      <c r="BA107" s="54">
        <f t="shared" si="962"/>
        <v>-800</v>
      </c>
      <c r="BB107" s="54">
        <f t="shared" si="962"/>
        <v>-800</v>
      </c>
      <c r="BC107" s="54">
        <f t="shared" si="962"/>
        <v>-800</v>
      </c>
      <c r="BD107" s="54">
        <f t="shared" si="962"/>
        <v>-800</v>
      </c>
      <c r="BE107" s="54">
        <f t="shared" si="962"/>
        <v>-800</v>
      </c>
      <c r="BF107" s="54">
        <f t="shared" si="962"/>
        <v>-800</v>
      </c>
      <c r="BG107" s="54">
        <f t="shared" si="962"/>
        <v>-800</v>
      </c>
      <c r="BH107" s="54">
        <f t="shared" si="962"/>
        <v>-800</v>
      </c>
      <c r="BI107" s="54">
        <f t="shared" si="962"/>
        <v>-800</v>
      </c>
      <c r="BJ107" s="54">
        <f t="shared" si="962"/>
        <v>-800</v>
      </c>
      <c r="BK107" s="314">
        <f t="shared" si="962"/>
        <v>-800</v>
      </c>
      <c r="BL107" s="54">
        <f t="shared" si="962"/>
        <v>-800</v>
      </c>
      <c r="BM107" s="54">
        <f t="shared" si="962"/>
        <v>-800</v>
      </c>
      <c r="BN107" s="54">
        <f t="shared" si="962"/>
        <v>-800</v>
      </c>
      <c r="BO107" s="54">
        <f t="shared" si="962"/>
        <v>-800</v>
      </c>
      <c r="BP107" s="54">
        <f t="shared" si="962"/>
        <v>-800</v>
      </c>
      <c r="BQ107" s="54">
        <f t="shared" si="962"/>
        <v>-800</v>
      </c>
      <c r="BR107" s="54">
        <f t="shared" si="962"/>
        <v>-800</v>
      </c>
      <c r="BS107" s="54">
        <f t="shared" si="962"/>
        <v>-800</v>
      </c>
      <c r="BT107" s="54">
        <f t="shared" si="962"/>
        <v>-800</v>
      </c>
      <c r="BU107" s="54">
        <f t="shared" si="962"/>
        <v>-800</v>
      </c>
      <c r="BV107" s="54">
        <f t="shared" si="962"/>
        <v>-800</v>
      </c>
      <c r="BW107" s="314">
        <f t="shared" si="962"/>
        <v>-800</v>
      </c>
      <c r="BX107" s="54">
        <f t="shared" si="962"/>
        <v>-800</v>
      </c>
      <c r="BY107" s="54">
        <f t="shared" si="962"/>
        <v>-800</v>
      </c>
      <c r="BZ107" s="54">
        <f t="shared" ref="BZ107:DG107" si="971">BZ103-BZ106</f>
        <v>-800</v>
      </c>
      <c r="CA107" s="54">
        <f t="shared" si="971"/>
        <v>-800</v>
      </c>
      <c r="CB107" s="54">
        <f t="shared" si="971"/>
        <v>-800</v>
      </c>
      <c r="CC107" s="54">
        <f t="shared" si="971"/>
        <v>-800</v>
      </c>
      <c r="CD107" s="54">
        <f t="shared" si="971"/>
        <v>-800</v>
      </c>
      <c r="CE107" s="54">
        <f t="shared" si="971"/>
        <v>-800</v>
      </c>
      <c r="CF107" s="54">
        <f t="shared" si="971"/>
        <v>-800</v>
      </c>
      <c r="CG107" s="54">
        <f t="shared" si="971"/>
        <v>-800</v>
      </c>
      <c r="CH107" s="54">
        <f t="shared" si="971"/>
        <v>-800</v>
      </c>
      <c r="CI107" s="314">
        <f t="shared" si="971"/>
        <v>-800</v>
      </c>
      <c r="CJ107" s="54">
        <f t="shared" si="971"/>
        <v>-800</v>
      </c>
      <c r="CK107" s="54">
        <f t="shared" si="971"/>
        <v>-800</v>
      </c>
      <c r="CL107" s="54">
        <f t="shared" si="971"/>
        <v>-800</v>
      </c>
      <c r="CM107" s="54">
        <f t="shared" si="971"/>
        <v>-800</v>
      </c>
      <c r="CN107" s="54">
        <f t="shared" si="971"/>
        <v>-800</v>
      </c>
      <c r="CO107" s="54">
        <f t="shared" si="971"/>
        <v>-800</v>
      </c>
      <c r="CP107" s="54">
        <f t="shared" si="971"/>
        <v>-800</v>
      </c>
      <c r="CQ107" s="54">
        <f t="shared" si="971"/>
        <v>-800</v>
      </c>
      <c r="CR107" s="54">
        <f t="shared" si="971"/>
        <v>-800</v>
      </c>
      <c r="CS107" s="54">
        <f t="shared" si="971"/>
        <v>-800</v>
      </c>
      <c r="CT107" s="54">
        <f t="shared" si="971"/>
        <v>-800</v>
      </c>
      <c r="CU107" s="314">
        <f t="shared" si="971"/>
        <v>-800</v>
      </c>
      <c r="CV107" s="54">
        <f t="shared" si="971"/>
        <v>-800</v>
      </c>
      <c r="CW107" s="54">
        <f t="shared" si="971"/>
        <v>-800</v>
      </c>
      <c r="CX107" s="54">
        <f t="shared" si="971"/>
        <v>-800</v>
      </c>
      <c r="CY107" s="54">
        <f t="shared" si="971"/>
        <v>-800</v>
      </c>
      <c r="CZ107" s="54">
        <f t="shared" si="971"/>
        <v>-800</v>
      </c>
      <c r="DA107" s="54">
        <f t="shared" si="971"/>
        <v>-800</v>
      </c>
      <c r="DB107" s="54">
        <f t="shared" si="971"/>
        <v>-800</v>
      </c>
      <c r="DC107" s="54">
        <f t="shared" si="971"/>
        <v>-800</v>
      </c>
      <c r="DD107" s="54">
        <f t="shared" si="971"/>
        <v>-800</v>
      </c>
      <c r="DE107" s="54">
        <f t="shared" si="971"/>
        <v>-800</v>
      </c>
      <c r="DF107" s="54">
        <f t="shared" si="971"/>
        <v>-800</v>
      </c>
      <c r="DG107" s="54">
        <f t="shared" si="971"/>
        <v>-800</v>
      </c>
    </row>
    <row r="108" spans="1:111" s="3" customFormat="1" x14ac:dyDescent="0.25">
      <c r="B108" s="4" t="s">
        <v>16</v>
      </c>
      <c r="C108" s="4"/>
      <c r="D108" s="55">
        <f t="shared" ref="D108:O108" si="972">D97+D107</f>
        <v>0</v>
      </c>
      <c r="E108" s="55">
        <f t="shared" si="972"/>
        <v>0</v>
      </c>
      <c r="F108" s="55">
        <f t="shared" si="972"/>
        <v>0</v>
      </c>
      <c r="G108" s="55">
        <f t="shared" si="972"/>
        <v>0</v>
      </c>
      <c r="H108" s="55">
        <f t="shared" si="972"/>
        <v>0</v>
      </c>
      <c r="I108" s="55">
        <f t="shared" si="972"/>
        <v>0</v>
      </c>
      <c r="J108" s="55">
        <f t="shared" si="972"/>
        <v>0</v>
      </c>
      <c r="K108" s="55">
        <f t="shared" si="972"/>
        <v>375</v>
      </c>
      <c r="L108" s="55">
        <f t="shared" si="972"/>
        <v>1048</v>
      </c>
      <c r="M108" s="55">
        <f t="shared" si="972"/>
        <v>1968.3600000000001</v>
      </c>
      <c r="N108" s="55">
        <f t="shared" si="972"/>
        <v>1617.8</v>
      </c>
      <c r="O108" s="55">
        <f t="shared" si="972"/>
        <v>1870.41</v>
      </c>
      <c r="P108" s="55">
        <f t="shared" ref="P108:W108" si="973">P97+P107</f>
        <v>1310.8600000000001</v>
      </c>
      <c r="Q108" s="55">
        <f t="shared" si="973"/>
        <v>1101.99</v>
      </c>
      <c r="R108" s="55">
        <f t="shared" si="973"/>
        <v>1101.3900000000001</v>
      </c>
      <c r="S108" s="55">
        <f t="shared" si="973"/>
        <v>1684.5800000000002</v>
      </c>
      <c r="T108" s="55">
        <f t="shared" si="973"/>
        <v>1935.9399999999998</v>
      </c>
      <c r="U108" s="55">
        <f t="shared" si="973"/>
        <v>1396.18</v>
      </c>
      <c r="V108" s="55">
        <f t="shared" si="973"/>
        <v>2402.77</v>
      </c>
      <c r="W108" s="55">
        <f t="shared" si="973"/>
        <v>6226.72</v>
      </c>
      <c r="X108" s="55">
        <f t="shared" ref="X108:Y108" si="974">X97+X107</f>
        <v>7109.73</v>
      </c>
      <c r="Y108" s="55">
        <f t="shared" si="974"/>
        <v>6848.9000000000005</v>
      </c>
      <c r="Z108" s="55">
        <f t="shared" ref="Z108" si="975">Z97+Z107</f>
        <v>4031.6899999999996</v>
      </c>
      <c r="AA108" s="55">
        <f t="shared" ref="AA108:AB108" si="976">AA97+AA107</f>
        <v>1347.03</v>
      </c>
      <c r="AB108" s="55">
        <f t="shared" si="976"/>
        <v>2584.7600000000002</v>
      </c>
      <c r="AC108" s="55">
        <f t="shared" ref="AC108:AD108" si="977">AC97+AC107</f>
        <v>2742.04</v>
      </c>
      <c r="AD108" s="55">
        <f t="shared" si="977"/>
        <v>2536.4700000000003</v>
      </c>
      <c r="AE108" s="55">
        <f t="shared" ref="AE108" si="978">AE97+AE107</f>
        <v>1235.1999999999998</v>
      </c>
      <c r="AF108" s="55">
        <f t="shared" ref="AF108:AG108" si="979">AF97+AF107</f>
        <v>4730.13</v>
      </c>
      <c r="AG108" s="55">
        <f t="shared" si="979"/>
        <v>2038.5800000000002</v>
      </c>
      <c r="AH108" s="55">
        <f t="shared" ref="AH108" si="980">AH97+AH107</f>
        <v>5598.8700000000008</v>
      </c>
      <c r="AI108" s="55">
        <f t="shared" ref="AI108:AJ108" si="981">AI97+AI107</f>
        <v>11135.75</v>
      </c>
      <c r="AJ108" s="55">
        <f t="shared" si="981"/>
        <v>7482.18</v>
      </c>
      <c r="AK108" s="55">
        <f t="shared" ref="AK108" si="982">AK97+AK107</f>
        <v>14155.750000000002</v>
      </c>
      <c r="AL108" s="55">
        <f t="shared" ref="AL108" si="983">AL97+AL107</f>
        <v>6630.82</v>
      </c>
      <c r="AM108" s="521">
        <f t="shared" ref="AM108:AN108" si="984">AM97+AM107</f>
        <v>3184.75</v>
      </c>
      <c r="AN108" s="55">
        <f t="shared" si="984"/>
        <v>1533.3599999999997</v>
      </c>
      <c r="AO108" s="55">
        <f t="shared" ref="AO108:AP108" si="985">AO97+AO107</f>
        <v>187.25000000000057</v>
      </c>
      <c r="AP108" s="55">
        <f t="shared" si="985"/>
        <v>-514.53999999999985</v>
      </c>
      <c r="AQ108" s="55">
        <f t="shared" ref="AQ108:AR108" si="986">AQ97+AQ107</f>
        <v>-782.65999999999974</v>
      </c>
      <c r="AR108" s="55">
        <f t="shared" si="986"/>
        <v>1403.27</v>
      </c>
      <c r="AS108" s="55">
        <f t="shared" ref="AS108:AT108" si="987">AS97+AS107</f>
        <v>1994.6</v>
      </c>
      <c r="AT108" s="55">
        <f t="shared" si="987"/>
        <v>3061.8600000000006</v>
      </c>
      <c r="AU108" s="55">
        <f t="shared" ref="AU108:AV108" si="988">AU97+AU107</f>
        <v>1397.639999999999</v>
      </c>
      <c r="AV108" s="55">
        <f t="shared" si="988"/>
        <v>9986.1999999999971</v>
      </c>
      <c r="AW108" s="312">
        <f t="shared" ref="AW108" si="989">AW97+AW107</f>
        <v>13319.670000000006</v>
      </c>
      <c r="AX108" s="55">
        <f>AX97+AX107</f>
        <v>-2694.1973181109042</v>
      </c>
      <c r="AY108" s="312">
        <f t="shared" ref="AY108:BP108" si="990">AY97+AY107</f>
        <v>1800.3611342145614</v>
      </c>
      <c r="AZ108" s="55">
        <f t="shared" si="990"/>
        <v>2704.9220095309593</v>
      </c>
      <c r="BA108" s="55">
        <f t="shared" si="990"/>
        <v>-377.3090614132343</v>
      </c>
      <c r="BB108" s="55">
        <f t="shared" si="990"/>
        <v>-2944.6385648991927</v>
      </c>
      <c r="BC108" s="55">
        <f t="shared" si="990"/>
        <v>-8520.7555853655558</v>
      </c>
      <c r="BD108" s="55">
        <f t="shared" si="990"/>
        <v>-6158.1585807967203</v>
      </c>
      <c r="BE108" s="55">
        <f t="shared" si="990"/>
        <v>-2604.1588140848853</v>
      </c>
      <c r="BF108" s="55">
        <f t="shared" si="990"/>
        <v>1598.7582094627905</v>
      </c>
      <c r="BG108" s="55">
        <f t="shared" si="990"/>
        <v>3788.7036099132347</v>
      </c>
      <c r="BH108" s="55">
        <f t="shared" si="990"/>
        <v>10605.605151070471</v>
      </c>
      <c r="BI108" s="55">
        <f t="shared" si="990"/>
        <v>18067.439673868641</v>
      </c>
      <c r="BJ108" s="55">
        <f t="shared" si="990"/>
        <v>146.60346949020277</v>
      </c>
      <c r="BK108" s="312">
        <f t="shared" si="990"/>
        <v>4499.1715089010559</v>
      </c>
      <c r="BL108" s="55">
        <f t="shared" si="990"/>
        <v>4427.8869230716955</v>
      </c>
      <c r="BM108" s="55">
        <f t="shared" si="990"/>
        <v>2530.9967581480378</v>
      </c>
      <c r="BN108" s="55">
        <f t="shared" si="990"/>
        <v>549.04966351766598</v>
      </c>
      <c r="BO108" s="55">
        <f t="shared" si="990"/>
        <v>-7152.0223681911866</v>
      </c>
      <c r="BP108" s="55">
        <f t="shared" si="990"/>
        <v>-3901.751461113181</v>
      </c>
      <c r="BQ108" s="55">
        <f t="shared" ref="BQ108:DG108" si="991">BQ97+BQ107</f>
        <v>1092.5990349177828</v>
      </c>
      <c r="BR108" s="55">
        <f t="shared" si="991"/>
        <v>6204.4044916128714</v>
      </c>
      <c r="BS108" s="55">
        <f t="shared" si="991"/>
        <v>11024.257586552203</v>
      </c>
      <c r="BT108" s="55">
        <f t="shared" si="991"/>
        <v>19397.94657430541</v>
      </c>
      <c r="BU108" s="55">
        <f t="shared" si="991"/>
        <v>27889.120024677759</v>
      </c>
      <c r="BV108" s="55">
        <f t="shared" si="991"/>
        <v>7117.886365779992</v>
      </c>
      <c r="BW108" s="312">
        <f t="shared" si="991"/>
        <v>11161.605248645919</v>
      </c>
      <c r="BX108" s="55">
        <f t="shared" si="991"/>
        <v>9472.9086733945041</v>
      </c>
      <c r="BY108" s="55">
        <f t="shared" si="991"/>
        <v>7621.8050759894395</v>
      </c>
      <c r="BZ108" s="55">
        <f t="shared" si="991"/>
        <v>4215.8291424091913</v>
      </c>
      <c r="CA108" s="55">
        <f t="shared" si="991"/>
        <v>-7384.477191746766</v>
      </c>
      <c r="CB108" s="55">
        <f t="shared" si="991"/>
        <v>-1166.2271807431607</v>
      </c>
      <c r="CC108" s="55">
        <f t="shared" si="991"/>
        <v>4459.8982393030965</v>
      </c>
      <c r="CD108" s="55">
        <f t="shared" si="991"/>
        <v>10844.257480133092</v>
      </c>
      <c r="CE108" s="55">
        <f t="shared" si="991"/>
        <v>20123.948157386621</v>
      </c>
      <c r="CF108" s="55">
        <f t="shared" si="991"/>
        <v>28130.419306818891</v>
      </c>
      <c r="CG108" s="55">
        <f t="shared" si="991"/>
        <v>44610.631972382442</v>
      </c>
      <c r="CH108" s="55">
        <f t="shared" si="991"/>
        <v>13937.847475682425</v>
      </c>
      <c r="CI108" s="312">
        <f t="shared" si="991"/>
        <v>15822.55219985783</v>
      </c>
      <c r="CJ108" s="55">
        <f t="shared" si="991"/>
        <v>21814.779793338923</v>
      </c>
      <c r="CK108" s="55">
        <f t="shared" si="991"/>
        <v>14380.532185279146</v>
      </c>
      <c r="CL108" s="55">
        <f t="shared" si="991"/>
        <v>9676.9008776263545</v>
      </c>
      <c r="CM108" s="55">
        <f t="shared" si="991"/>
        <v>-4482.3123130312088</v>
      </c>
      <c r="CN108" s="55">
        <f t="shared" si="991"/>
        <v>3432.881312367721</v>
      </c>
      <c r="CO108" s="55">
        <f t="shared" si="991"/>
        <v>10349.498601912881</v>
      </c>
      <c r="CP108" s="55">
        <f t="shared" si="991"/>
        <v>22273.279068020092</v>
      </c>
      <c r="CQ108" s="55">
        <f t="shared" si="991"/>
        <v>33615.24223335534</v>
      </c>
      <c r="CR108" s="55">
        <f t="shared" si="991"/>
        <v>42276.840465770671</v>
      </c>
      <c r="CS108" s="55">
        <f t="shared" si="991"/>
        <v>72810.542976769837</v>
      </c>
      <c r="CT108" s="55">
        <f t="shared" si="991"/>
        <v>25708.304969769059</v>
      </c>
      <c r="CU108" s="312">
        <f t="shared" si="991"/>
        <v>28114.741105631329</v>
      </c>
      <c r="CV108" s="55">
        <f t="shared" si="991"/>
        <v>37282.475149118647</v>
      </c>
      <c r="CW108" s="55">
        <f t="shared" si="991"/>
        <v>26485.083357072701</v>
      </c>
      <c r="CX108" s="55">
        <f t="shared" si="991"/>
        <v>16273.608684665181</v>
      </c>
      <c r="CY108" s="55">
        <f t="shared" si="991"/>
        <v>709.80930730184264</v>
      </c>
      <c r="CZ108" s="55">
        <f t="shared" si="991"/>
        <v>10883.634510567699</v>
      </c>
      <c r="DA108" s="55">
        <f t="shared" si="991"/>
        <v>18867.71388994611</v>
      </c>
      <c r="DB108" s="55">
        <f t="shared" si="991"/>
        <v>40150.494256471677</v>
      </c>
      <c r="DC108" s="55">
        <f t="shared" si="991"/>
        <v>50561.778549628689</v>
      </c>
      <c r="DD108" s="55">
        <f t="shared" si="991"/>
        <v>69633.408301902891</v>
      </c>
      <c r="DE108" s="55">
        <f t="shared" si="991"/>
        <v>108518.77033772819</v>
      </c>
      <c r="DF108" s="55">
        <f t="shared" si="991"/>
        <v>39463.839351106188</v>
      </c>
      <c r="DG108" s="55">
        <f t="shared" si="991"/>
        <v>48302.21365433294</v>
      </c>
    </row>
    <row r="109" spans="1:111" x14ac:dyDescent="0.25">
      <c r="B109" s="1"/>
      <c r="C109" s="1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23"/>
      <c r="AN109" s="57"/>
      <c r="AO109" s="57"/>
      <c r="AP109" s="57"/>
      <c r="AQ109" s="57"/>
      <c r="AR109" s="57"/>
      <c r="AS109" s="57"/>
      <c r="AT109" s="57"/>
      <c r="AU109" s="57"/>
      <c r="AV109" s="57"/>
      <c r="AW109" s="313"/>
      <c r="AX109" s="57"/>
      <c r="AY109" s="313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313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313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313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313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/>
      <c r="DG109" s="57"/>
    </row>
    <row r="110" spans="1:111" x14ac:dyDescent="0.25">
      <c r="A110" s="29"/>
      <c r="B110" s="66"/>
      <c r="C110" s="66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574"/>
      <c r="AN110" s="67"/>
      <c r="AO110" s="67"/>
      <c r="AP110" s="67"/>
      <c r="AQ110" s="67"/>
      <c r="AR110" s="67"/>
      <c r="AS110" s="67"/>
      <c r="AT110" s="67"/>
      <c r="AU110" s="67"/>
      <c r="AV110" s="67"/>
      <c r="AW110" s="315"/>
      <c r="AX110" s="67"/>
      <c r="AY110" s="315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315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315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315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315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</row>
    <row r="111" spans="1:111" s="5" customFormat="1" x14ac:dyDescent="0.25">
      <c r="A11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/>
      <c r="O111" s="2"/>
      <c r="P111" s="2"/>
      <c r="Q111" s="2"/>
      <c r="R111" s="2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 s="97"/>
      <c r="AN111"/>
      <c r="AO111"/>
      <c r="AP111"/>
      <c r="AQ111"/>
      <c r="AR111"/>
      <c r="AS111"/>
      <c r="AT111"/>
      <c r="AU111"/>
      <c r="AV111"/>
      <c r="AW111" s="186"/>
      <c r="AX111"/>
      <c r="AY111" s="186"/>
      <c r="AZ111"/>
      <c r="BA111"/>
      <c r="BB111"/>
      <c r="BC111"/>
      <c r="BD111"/>
      <c r="BE111"/>
      <c r="BF111"/>
      <c r="BG111"/>
      <c r="BH111"/>
      <c r="BI111"/>
      <c r="BJ111"/>
      <c r="BK111" s="186"/>
      <c r="BL111"/>
      <c r="BM111"/>
      <c r="BN111"/>
      <c r="BO111"/>
      <c r="BP111"/>
      <c r="BQ111"/>
      <c r="BR111"/>
      <c r="BS111"/>
      <c r="BT111"/>
      <c r="BU111"/>
      <c r="BV111"/>
      <c r="BW111" s="186"/>
      <c r="BX111"/>
      <c r="BY111"/>
      <c r="BZ111"/>
      <c r="CA111"/>
      <c r="CB111"/>
      <c r="CC111"/>
      <c r="CD111"/>
      <c r="CE111"/>
      <c r="CF111"/>
      <c r="CG111"/>
      <c r="CH111"/>
      <c r="CI111" s="186"/>
      <c r="CJ111"/>
      <c r="CK111"/>
      <c r="CL111"/>
      <c r="CM111"/>
      <c r="CN111"/>
      <c r="CO111"/>
      <c r="CP111"/>
      <c r="CQ111"/>
      <c r="CR111"/>
      <c r="CS111"/>
      <c r="CT111"/>
      <c r="CU111" s="186"/>
      <c r="CV111"/>
      <c r="CW111"/>
      <c r="CX111"/>
      <c r="CY111"/>
      <c r="CZ111"/>
      <c r="DA111"/>
      <c r="DB111"/>
      <c r="DC111"/>
      <c r="DD111"/>
      <c r="DE111"/>
      <c r="DF111"/>
      <c r="DG111"/>
    </row>
    <row r="112" spans="1:111" s="64" customFormat="1" x14ac:dyDescent="0.25">
      <c r="A112"/>
      <c r="B112" s="1" t="s">
        <v>17</v>
      </c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/>
      <c r="O112" s="2"/>
      <c r="P112" s="2"/>
      <c r="Q112" s="2"/>
      <c r="R112" s="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 s="97"/>
      <c r="AN112"/>
      <c r="AO112"/>
      <c r="AP112"/>
      <c r="AQ112"/>
      <c r="AR112"/>
      <c r="AS112"/>
      <c r="AT112"/>
      <c r="AU112"/>
      <c r="AV112"/>
      <c r="AW112" s="186"/>
      <c r="AX112"/>
      <c r="AY112" s="186"/>
      <c r="AZ112"/>
      <c r="BA112"/>
      <c r="BB112"/>
      <c r="BC112"/>
      <c r="BD112"/>
      <c r="BE112"/>
      <c r="BF112"/>
      <c r="BG112"/>
      <c r="BH112"/>
      <c r="BI112"/>
      <c r="BJ112"/>
      <c r="BK112" s="186"/>
      <c r="BL112"/>
      <c r="BM112"/>
      <c r="BN112"/>
      <c r="BO112"/>
      <c r="BP112"/>
      <c r="BQ112"/>
      <c r="BR112"/>
      <c r="BS112"/>
      <c r="BT112"/>
      <c r="BU112"/>
      <c r="BV112"/>
      <c r="BW112" s="186"/>
      <c r="BX112"/>
      <c r="BY112"/>
      <c r="BZ112"/>
      <c r="CA112"/>
      <c r="CB112"/>
      <c r="CC112"/>
      <c r="CD112"/>
      <c r="CE112"/>
      <c r="CF112"/>
      <c r="CG112"/>
      <c r="CH112"/>
      <c r="CI112" s="186"/>
      <c r="CJ112"/>
      <c r="CK112"/>
      <c r="CL112"/>
      <c r="CM112"/>
      <c r="CN112"/>
      <c r="CO112"/>
      <c r="CP112"/>
      <c r="CQ112"/>
      <c r="CR112"/>
      <c r="CS112"/>
      <c r="CT112"/>
      <c r="CU112" s="186"/>
      <c r="CV112"/>
      <c r="CW112"/>
      <c r="CX112"/>
      <c r="CY112"/>
      <c r="CZ112"/>
      <c r="DA112"/>
      <c r="DB112"/>
      <c r="DC112"/>
      <c r="DD112"/>
      <c r="DE112"/>
      <c r="DF112"/>
      <c r="DG112"/>
    </row>
    <row r="113" spans="1:111" x14ac:dyDescent="0.25">
      <c r="B113" s="1" t="s">
        <v>18</v>
      </c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2"/>
      <c r="R113" s="2"/>
      <c r="AW113" s="186"/>
      <c r="AY113" s="186"/>
      <c r="BK113" s="186"/>
      <c r="BW113" s="186"/>
      <c r="CI113" s="186"/>
      <c r="CU113" s="186"/>
    </row>
    <row r="114" spans="1:111" x14ac:dyDescent="0.25">
      <c r="B114" s="1" t="s">
        <v>19</v>
      </c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O114" s="2"/>
      <c r="P114" s="2"/>
      <c r="Q114" s="2"/>
      <c r="R114" s="2"/>
      <c r="AW114" s="186"/>
      <c r="AY114" s="186"/>
      <c r="BK114" s="186"/>
      <c r="BW114" s="186"/>
      <c r="CI114" s="186"/>
      <c r="CU114" s="186"/>
    </row>
    <row r="115" spans="1:111" s="3" customFormat="1" x14ac:dyDescent="0.25">
      <c r="A115"/>
      <c r="B115" s="1" t="s">
        <v>20</v>
      </c>
      <c r="C115" s="1"/>
      <c r="D115" s="115">
        <f>0</f>
        <v>0</v>
      </c>
      <c r="E115" s="115">
        <f>0</f>
        <v>0</v>
      </c>
      <c r="F115" s="115">
        <f>0</f>
        <v>0</v>
      </c>
      <c r="G115" s="115">
        <f>0</f>
        <v>0</v>
      </c>
      <c r="H115" s="115">
        <f>0</f>
        <v>0</v>
      </c>
      <c r="I115" s="115">
        <f>0</f>
        <v>0</v>
      </c>
      <c r="J115" s="113">
        <v>0</v>
      </c>
      <c r="K115" s="113">
        <v>250</v>
      </c>
      <c r="L115" s="113">
        <v>473</v>
      </c>
      <c r="M115" s="115">
        <v>2717.22</v>
      </c>
      <c r="N115">
        <v>857.37</v>
      </c>
      <c r="O115">
        <v>-60.91</v>
      </c>
      <c r="P115" s="115">
        <v>114.95</v>
      </c>
      <c r="Q115" s="115">
        <v>182.94</v>
      </c>
      <c r="R115" s="115">
        <v>51.39</v>
      </c>
      <c r="S115" s="115">
        <v>320.41000000000003</v>
      </c>
      <c r="T115" s="115">
        <v>175.2</v>
      </c>
      <c r="U115" s="115">
        <v>328.56</v>
      </c>
      <c r="V115" s="115">
        <v>261.7</v>
      </c>
      <c r="W115" s="115">
        <v>148.44</v>
      </c>
      <c r="X115" s="115">
        <v>286.17</v>
      </c>
      <c r="Y115" s="115">
        <v>648.29</v>
      </c>
      <c r="Z115" s="115">
        <v>622.49</v>
      </c>
      <c r="AA115" s="115">
        <v>192.02</v>
      </c>
      <c r="AB115" s="115">
        <v>286.77999999999997</v>
      </c>
      <c r="AC115" s="115">
        <v>546.32000000000005</v>
      </c>
      <c r="AD115" s="115">
        <v>222.79</v>
      </c>
      <c r="AE115" s="115">
        <v>1387.99</v>
      </c>
      <c r="AF115" s="115">
        <v>1058.0899999999999</v>
      </c>
      <c r="AG115" s="115">
        <v>871.9</v>
      </c>
      <c r="AH115" s="115">
        <v>1738.98</v>
      </c>
      <c r="AI115" s="115">
        <v>272.18</v>
      </c>
      <c r="AJ115" s="115">
        <v>1816.83</v>
      </c>
      <c r="AK115" s="115">
        <v>1507.93</v>
      </c>
      <c r="AL115" s="115">
        <v>456.99</v>
      </c>
      <c r="AM115" s="520">
        <v>287.75</v>
      </c>
      <c r="AN115" s="115">
        <v>3818.59</v>
      </c>
      <c r="AO115" s="115">
        <v>489.25</v>
      </c>
      <c r="AP115" s="115">
        <v>980.19</v>
      </c>
      <c r="AQ115" s="115">
        <v>1325.53</v>
      </c>
      <c r="AR115" s="115">
        <v>352.03</v>
      </c>
      <c r="AS115" s="115">
        <v>1054.45</v>
      </c>
      <c r="AT115" s="115">
        <v>2153.7800000000002</v>
      </c>
      <c r="AU115" s="115">
        <v>1994.42</v>
      </c>
      <c r="AV115" s="115">
        <f>2127.22</f>
        <v>2127.2199999999998</v>
      </c>
      <c r="AW115" s="187">
        <f>4252.4</f>
        <v>4252.3999999999996</v>
      </c>
      <c r="AX115"/>
      <c r="AY115" s="186"/>
      <c r="AZ115"/>
      <c r="BA115"/>
      <c r="BB115"/>
      <c r="BC115"/>
      <c r="BD115"/>
      <c r="BE115"/>
      <c r="BF115"/>
      <c r="BG115"/>
      <c r="BH115"/>
      <c r="BI115"/>
      <c r="BJ115"/>
      <c r="BK115" s="186"/>
      <c r="BL115"/>
      <c r="BM115"/>
      <c r="BN115"/>
      <c r="BO115"/>
      <c r="BP115"/>
      <c r="BQ115"/>
      <c r="BR115"/>
      <c r="BS115"/>
      <c r="BT115"/>
      <c r="BU115"/>
      <c r="BV115"/>
      <c r="BW115" s="186"/>
      <c r="BX115"/>
      <c r="BY115"/>
      <c r="BZ115"/>
      <c r="CA115"/>
      <c r="CB115"/>
      <c r="CC115"/>
      <c r="CD115"/>
      <c r="CE115"/>
      <c r="CF115"/>
      <c r="CG115"/>
      <c r="CH115"/>
      <c r="CI115" s="186"/>
      <c r="CJ115"/>
      <c r="CK115"/>
      <c r="CL115"/>
      <c r="CM115"/>
      <c r="CN115"/>
      <c r="CO115"/>
      <c r="CP115"/>
      <c r="CQ115"/>
      <c r="CR115"/>
      <c r="CS115"/>
      <c r="CT115"/>
      <c r="CU115" s="186"/>
      <c r="CV115"/>
      <c r="CW115"/>
      <c r="CX115"/>
      <c r="CY115"/>
      <c r="CZ115"/>
      <c r="DA115"/>
      <c r="DB115"/>
      <c r="DC115"/>
      <c r="DD115"/>
      <c r="DE115"/>
      <c r="DF115"/>
      <c r="DG115"/>
    </row>
    <row r="116" spans="1:111" x14ac:dyDescent="0.25">
      <c r="B116" s="1" t="s">
        <v>21</v>
      </c>
      <c r="C116" s="1"/>
      <c r="D116" s="115">
        <f>0</f>
        <v>0</v>
      </c>
      <c r="E116" s="115">
        <f>0</f>
        <v>0</v>
      </c>
      <c r="F116" s="115">
        <f>0</f>
        <v>0</v>
      </c>
      <c r="G116" s="115">
        <f>0</f>
        <v>0</v>
      </c>
      <c r="H116" s="115">
        <f>0</f>
        <v>0</v>
      </c>
      <c r="I116" s="115">
        <f>0</f>
        <v>0</v>
      </c>
      <c r="J116" s="113">
        <v>0</v>
      </c>
      <c r="K116" s="113">
        <v>0</v>
      </c>
      <c r="L116" s="113">
        <v>0</v>
      </c>
      <c r="M116" s="115">
        <v>50</v>
      </c>
      <c r="N116">
        <v>0</v>
      </c>
      <c r="O116">
        <v>0</v>
      </c>
      <c r="P116" s="115">
        <v>50</v>
      </c>
      <c r="Q116" s="115">
        <v>25</v>
      </c>
      <c r="R116" s="115">
        <v>21</v>
      </c>
      <c r="S116" s="115">
        <v>70</v>
      </c>
      <c r="T116" s="115">
        <v>70</v>
      </c>
      <c r="U116" s="115">
        <v>50</v>
      </c>
      <c r="V116" s="115">
        <v>100</v>
      </c>
      <c r="W116" s="115">
        <v>350</v>
      </c>
      <c r="X116" s="115">
        <v>450</v>
      </c>
      <c r="Y116" s="115">
        <v>0</v>
      </c>
      <c r="Z116" s="115">
        <v>100</v>
      </c>
      <c r="AA116" s="115">
        <v>800</v>
      </c>
      <c r="AB116" s="115">
        <v>1000</v>
      </c>
      <c r="AC116" s="115">
        <v>0</v>
      </c>
      <c r="AD116" s="115">
        <v>0</v>
      </c>
      <c r="AE116" s="115">
        <v>0</v>
      </c>
      <c r="AF116" s="115">
        <v>300</v>
      </c>
      <c r="AG116" s="115">
        <v>823.8</v>
      </c>
      <c r="AH116" s="115">
        <v>1500</v>
      </c>
      <c r="AI116" s="115">
        <v>3000.42</v>
      </c>
      <c r="AJ116" s="115">
        <v>2500.69</v>
      </c>
      <c r="AK116" s="115">
        <v>4001.74</v>
      </c>
      <c r="AL116" s="115">
        <v>3252.41</v>
      </c>
      <c r="AM116" s="520">
        <v>0.08</v>
      </c>
      <c r="AN116" s="115">
        <v>0</v>
      </c>
      <c r="AO116" s="115">
        <v>0</v>
      </c>
      <c r="AP116" s="115">
        <v>0</v>
      </c>
      <c r="AQ116" s="115">
        <v>0</v>
      </c>
      <c r="AR116" s="115">
        <v>200</v>
      </c>
      <c r="AS116" s="115">
        <v>0</v>
      </c>
      <c r="AT116" s="115">
        <v>1000</v>
      </c>
      <c r="AU116" s="115">
        <v>2000</v>
      </c>
      <c r="AV116" s="115">
        <f>4000.93</f>
        <v>4000.93</v>
      </c>
      <c r="AW116" s="187">
        <f>6005.42</f>
        <v>6005.42</v>
      </c>
      <c r="AY116" s="186"/>
      <c r="BK116" s="186"/>
      <c r="BW116" s="186"/>
      <c r="CI116" s="186"/>
      <c r="CU116" s="186"/>
    </row>
    <row r="117" spans="1:111" x14ac:dyDescent="0.25">
      <c r="B117" s="1" t="s">
        <v>22</v>
      </c>
      <c r="C117" s="1"/>
      <c r="D117" s="115">
        <f>0</f>
        <v>0</v>
      </c>
      <c r="E117" s="115">
        <f>0</f>
        <v>0</v>
      </c>
      <c r="F117" s="115">
        <f>0</f>
        <v>0</v>
      </c>
      <c r="G117" s="115">
        <f>0</f>
        <v>0</v>
      </c>
      <c r="H117" s="115">
        <f>0</f>
        <v>0</v>
      </c>
      <c r="I117" s="115">
        <f>0</f>
        <v>0</v>
      </c>
      <c r="J117" s="113">
        <v>0</v>
      </c>
      <c r="K117" s="113">
        <v>5</v>
      </c>
      <c r="L117" s="113">
        <v>5</v>
      </c>
      <c r="M117" s="115">
        <v>105.01</v>
      </c>
      <c r="N117">
        <v>5.03</v>
      </c>
      <c r="O117">
        <v>5.01</v>
      </c>
      <c r="P117" s="115">
        <v>5.01</v>
      </c>
      <c r="Q117" s="115">
        <v>5.01</v>
      </c>
      <c r="R117" s="115">
        <v>55</v>
      </c>
      <c r="S117" s="115">
        <v>5.01</v>
      </c>
      <c r="T117" s="115">
        <v>55.01</v>
      </c>
      <c r="U117" s="115">
        <v>55.01</v>
      </c>
      <c r="V117" s="115">
        <v>205.03</v>
      </c>
      <c r="W117" s="115">
        <v>5.01</v>
      </c>
      <c r="X117" s="115">
        <v>5.01</v>
      </c>
      <c r="Y117" s="115">
        <v>5.01</v>
      </c>
      <c r="Z117" s="115">
        <v>5</v>
      </c>
      <c r="AA117" s="115">
        <v>5</v>
      </c>
      <c r="AB117" s="115">
        <v>5</v>
      </c>
      <c r="AC117" s="115">
        <v>5</v>
      </c>
      <c r="AD117" s="115">
        <v>5</v>
      </c>
      <c r="AE117" s="115">
        <v>5</v>
      </c>
      <c r="AF117" s="115">
        <v>5</v>
      </c>
      <c r="AG117" s="115">
        <v>5</v>
      </c>
      <c r="AH117" s="115">
        <v>5</v>
      </c>
      <c r="AI117" s="115">
        <v>5</v>
      </c>
      <c r="AJ117" s="115">
        <v>5</v>
      </c>
      <c r="AK117" s="115">
        <v>5</v>
      </c>
      <c r="AL117" s="115">
        <v>5</v>
      </c>
      <c r="AM117" s="520">
        <v>5</v>
      </c>
      <c r="AN117" s="115">
        <v>5</v>
      </c>
      <c r="AO117" s="115">
        <v>5</v>
      </c>
      <c r="AP117" s="115">
        <v>5</v>
      </c>
      <c r="AQ117" s="115">
        <v>6</v>
      </c>
      <c r="AR117" s="115">
        <v>5.05</v>
      </c>
      <c r="AS117" s="115">
        <v>5.05</v>
      </c>
      <c r="AT117" s="115">
        <v>5.05</v>
      </c>
      <c r="AU117" s="115">
        <v>5.05</v>
      </c>
      <c r="AV117" s="115">
        <f t="shared" ref="AV117:AW117" si="992">AU117</f>
        <v>5.05</v>
      </c>
      <c r="AW117" s="187">
        <f t="shared" si="992"/>
        <v>5.05</v>
      </c>
      <c r="AY117" s="186"/>
      <c r="BK117" s="186"/>
      <c r="BW117" s="186"/>
      <c r="CI117" s="186"/>
      <c r="CU117" s="186"/>
    </row>
    <row r="118" spans="1:111" x14ac:dyDescent="0.25">
      <c r="B118" s="1" t="s">
        <v>23</v>
      </c>
      <c r="C118" s="1"/>
      <c r="D118" s="115">
        <f>0</f>
        <v>0</v>
      </c>
      <c r="E118" s="115">
        <f>0</f>
        <v>0</v>
      </c>
      <c r="F118" s="115">
        <f>0</f>
        <v>0</v>
      </c>
      <c r="G118" s="115">
        <f>0</f>
        <v>0</v>
      </c>
      <c r="H118" s="115">
        <f>0</f>
        <v>0</v>
      </c>
      <c r="I118" s="115">
        <f>0</f>
        <v>0</v>
      </c>
      <c r="J118" s="113">
        <v>0</v>
      </c>
      <c r="K118" s="113">
        <v>0</v>
      </c>
      <c r="L118" s="113">
        <v>0</v>
      </c>
      <c r="M118" s="115">
        <v>-1851.87</v>
      </c>
      <c r="N118">
        <v>0</v>
      </c>
      <c r="O118">
        <v>0</v>
      </c>
      <c r="P118" s="115">
        <v>0</v>
      </c>
      <c r="Q118" s="115">
        <v>0</v>
      </c>
      <c r="R118" s="115">
        <v>0</v>
      </c>
      <c r="S118" s="115">
        <v>0</v>
      </c>
      <c r="T118" s="115">
        <v>0</v>
      </c>
      <c r="U118" s="115">
        <v>0</v>
      </c>
      <c r="V118" s="115">
        <v>0</v>
      </c>
      <c r="W118" s="115">
        <v>0</v>
      </c>
      <c r="X118" s="115">
        <v>0</v>
      </c>
      <c r="Y118" s="115">
        <v>0</v>
      </c>
      <c r="Z118" s="115">
        <v>0</v>
      </c>
      <c r="AA118" s="115">
        <v>0</v>
      </c>
      <c r="AB118" s="115">
        <v>0</v>
      </c>
      <c r="AC118" s="115">
        <v>0</v>
      </c>
      <c r="AD118" s="115">
        <v>0</v>
      </c>
      <c r="AE118" s="115">
        <v>0</v>
      </c>
      <c r="AF118" s="115">
        <v>0</v>
      </c>
      <c r="AG118" s="115">
        <v>0</v>
      </c>
      <c r="AH118" s="115">
        <v>0</v>
      </c>
      <c r="AI118" s="115">
        <v>0</v>
      </c>
      <c r="AJ118" s="115">
        <v>0</v>
      </c>
      <c r="AK118" s="115">
        <v>0</v>
      </c>
      <c r="AL118" s="115">
        <v>0</v>
      </c>
      <c r="AM118" s="520">
        <v>0</v>
      </c>
      <c r="AN118" s="115">
        <v>0</v>
      </c>
      <c r="AO118" s="115">
        <v>0</v>
      </c>
      <c r="AP118" s="115">
        <v>0</v>
      </c>
      <c r="AQ118" s="115">
        <v>0</v>
      </c>
      <c r="AR118" s="115">
        <v>0</v>
      </c>
      <c r="AS118" s="115">
        <v>0</v>
      </c>
      <c r="AT118" s="115">
        <v>0</v>
      </c>
      <c r="AU118" s="115">
        <v>0</v>
      </c>
      <c r="AV118" s="115">
        <v>0</v>
      </c>
      <c r="AW118" s="187">
        <v>0</v>
      </c>
      <c r="AY118" s="186"/>
      <c r="BK118" s="186"/>
      <c r="BW118" s="186"/>
      <c r="CI118" s="186"/>
      <c r="CU118" s="186"/>
    </row>
    <row r="119" spans="1:111" x14ac:dyDescent="0.25">
      <c r="B119" s="1" t="s">
        <v>284</v>
      </c>
      <c r="C119" s="1"/>
      <c r="D119" s="115"/>
      <c r="E119" s="115"/>
      <c r="F119" s="115"/>
      <c r="G119" s="115"/>
      <c r="H119" s="115"/>
      <c r="I119" s="115"/>
      <c r="J119" s="113"/>
      <c r="K119" s="113"/>
      <c r="L119" s="113"/>
      <c r="M119" s="115"/>
      <c r="P119" s="115"/>
      <c r="Q119" s="115">
        <v>0</v>
      </c>
      <c r="R119" s="115">
        <v>0</v>
      </c>
      <c r="S119" s="115">
        <v>0</v>
      </c>
      <c r="T119" s="115">
        <v>0</v>
      </c>
      <c r="U119" s="115">
        <v>0</v>
      </c>
      <c r="V119" s="115">
        <v>0</v>
      </c>
      <c r="W119" s="115">
        <v>0</v>
      </c>
      <c r="X119" s="115">
        <v>0</v>
      </c>
      <c r="Y119" s="115">
        <v>0</v>
      </c>
      <c r="Z119" s="115">
        <v>0</v>
      </c>
      <c r="AA119" s="115">
        <v>0</v>
      </c>
      <c r="AB119" s="115"/>
      <c r="AC119" s="115">
        <v>0</v>
      </c>
      <c r="AD119" s="115">
        <v>-50</v>
      </c>
      <c r="AE119" s="115">
        <v>-50</v>
      </c>
      <c r="AF119" s="115">
        <v>-85</v>
      </c>
      <c r="AG119" s="115">
        <v>-85</v>
      </c>
      <c r="AH119" s="115">
        <v>-85</v>
      </c>
      <c r="AI119" s="115">
        <v>-85</v>
      </c>
      <c r="AJ119" s="115">
        <v>-85</v>
      </c>
      <c r="AK119" s="115">
        <v>-85</v>
      </c>
      <c r="AL119" s="115">
        <v>0</v>
      </c>
      <c r="AM119" s="520">
        <v>0</v>
      </c>
      <c r="AN119" s="115">
        <v>0</v>
      </c>
      <c r="AO119" s="115">
        <v>0</v>
      </c>
      <c r="AP119" s="115">
        <v>0</v>
      </c>
      <c r="AQ119" s="115">
        <v>0</v>
      </c>
      <c r="AR119" s="115">
        <v>0</v>
      </c>
      <c r="AS119" s="115">
        <v>0</v>
      </c>
      <c r="AT119" s="115">
        <v>0</v>
      </c>
      <c r="AU119" s="115">
        <v>0</v>
      </c>
      <c r="AV119" s="115">
        <v>0</v>
      </c>
      <c r="AW119" s="187">
        <v>0</v>
      </c>
      <c r="AY119" s="186"/>
      <c r="BK119" s="186"/>
      <c r="BW119" s="186"/>
      <c r="CI119" s="186"/>
      <c r="CU119" s="186"/>
    </row>
    <row r="120" spans="1:111" x14ac:dyDescent="0.25">
      <c r="A120" s="3"/>
      <c r="B120" s="4" t="s">
        <v>24</v>
      </c>
      <c r="C120" s="4"/>
      <c r="D120" s="55">
        <f t="shared" ref="D120:I120" si="993">(((D115)+(D116))+(D117))+(D118)</f>
        <v>0</v>
      </c>
      <c r="E120" s="55">
        <f t="shared" si="993"/>
        <v>0</v>
      </c>
      <c r="F120" s="55">
        <f t="shared" si="993"/>
        <v>0</v>
      </c>
      <c r="G120" s="55">
        <f t="shared" si="993"/>
        <v>0</v>
      </c>
      <c r="H120" s="55">
        <f t="shared" si="993"/>
        <v>0</v>
      </c>
      <c r="I120" s="55">
        <f t="shared" si="993"/>
        <v>0</v>
      </c>
      <c r="J120" s="55">
        <f>SUM(J115:J118)</f>
        <v>0</v>
      </c>
      <c r="K120" s="55">
        <f t="shared" ref="K120:P120" si="994">SUM(K115:K118)</f>
        <v>255</v>
      </c>
      <c r="L120" s="55">
        <f t="shared" si="994"/>
        <v>478</v>
      </c>
      <c r="M120" s="55">
        <f t="shared" si="994"/>
        <v>1020.3600000000001</v>
      </c>
      <c r="N120" s="55">
        <f t="shared" si="994"/>
        <v>862.4</v>
      </c>
      <c r="O120" s="55">
        <f t="shared" si="994"/>
        <v>-55.9</v>
      </c>
      <c r="P120" s="55">
        <f t="shared" si="994"/>
        <v>169.95999999999998</v>
      </c>
      <c r="Q120" s="55">
        <f t="shared" ref="Q120:W120" si="995">SUM(Q115:Q118)</f>
        <v>212.95</v>
      </c>
      <c r="R120" s="55">
        <f t="shared" si="995"/>
        <v>127.39</v>
      </c>
      <c r="S120" s="55">
        <f t="shared" si="995"/>
        <v>395.42</v>
      </c>
      <c r="T120" s="55">
        <f t="shared" si="995"/>
        <v>300.20999999999998</v>
      </c>
      <c r="U120" s="55">
        <f t="shared" si="995"/>
        <v>433.57</v>
      </c>
      <c r="V120" s="55">
        <f t="shared" si="995"/>
        <v>566.73</v>
      </c>
      <c r="W120" s="55">
        <f t="shared" si="995"/>
        <v>503.45</v>
      </c>
      <c r="X120" s="55">
        <f t="shared" ref="X120" si="996">SUM(X115:X118)</f>
        <v>741.18000000000006</v>
      </c>
      <c r="Y120" s="55">
        <f>SUM(Y115:Y119)</f>
        <v>653.29999999999995</v>
      </c>
      <c r="Z120" s="55">
        <f t="shared" ref="Z120:AD120" si="997">SUM(Z115:Z119)</f>
        <v>727.49</v>
      </c>
      <c r="AA120" s="55">
        <f t="shared" si="997"/>
        <v>997.02</v>
      </c>
      <c r="AB120" s="55">
        <f t="shared" si="997"/>
        <v>1291.78</v>
      </c>
      <c r="AC120" s="55">
        <f t="shared" si="997"/>
        <v>551.32000000000005</v>
      </c>
      <c r="AD120" s="55">
        <f t="shared" si="997"/>
        <v>177.79</v>
      </c>
      <c r="AE120" s="55">
        <f t="shared" ref="AE120" si="998">SUM(AE115:AE119)</f>
        <v>1342.99</v>
      </c>
      <c r="AF120" s="55">
        <f t="shared" ref="AF120:AG120" si="999">SUM(AF115:AF119)</f>
        <v>1278.0899999999999</v>
      </c>
      <c r="AG120" s="55">
        <f t="shared" si="999"/>
        <v>1615.6999999999998</v>
      </c>
      <c r="AH120" s="55">
        <f t="shared" ref="AH120" si="1000">SUM(AH115:AH119)</f>
        <v>3158.98</v>
      </c>
      <c r="AI120" s="55">
        <f t="shared" ref="AI120:AJ120" si="1001">SUM(AI115:AI119)</f>
        <v>3192.6</v>
      </c>
      <c r="AJ120" s="55">
        <f t="shared" si="1001"/>
        <v>4237.5200000000004</v>
      </c>
      <c r="AK120" s="55">
        <f t="shared" ref="AK120:AL120" si="1002">SUM(AK115:AK119)</f>
        <v>5429.67</v>
      </c>
      <c r="AL120" s="55">
        <f t="shared" si="1002"/>
        <v>3714.3999999999996</v>
      </c>
      <c r="AM120" s="521">
        <f t="shared" ref="AM120:AN120" si="1003">SUM(AM115:AM119)</f>
        <v>292.83</v>
      </c>
      <c r="AN120" s="55">
        <f t="shared" si="1003"/>
        <v>3823.59</v>
      </c>
      <c r="AO120" s="55">
        <f t="shared" ref="AO120:AP120" si="1004">SUM(AO115:AO119)</f>
        <v>494.25</v>
      </c>
      <c r="AP120" s="55">
        <f t="shared" si="1004"/>
        <v>985.19</v>
      </c>
      <c r="AQ120" s="55">
        <f t="shared" ref="AQ120:AR120" si="1005">SUM(AQ115:AQ119)</f>
        <v>1331.53</v>
      </c>
      <c r="AR120" s="55">
        <f t="shared" si="1005"/>
        <v>557.07999999999993</v>
      </c>
      <c r="AS120" s="55">
        <f t="shared" ref="AS120:AT120" si="1006">SUM(AS115:AS119)</f>
        <v>1059.5</v>
      </c>
      <c r="AT120" s="55">
        <f t="shared" si="1006"/>
        <v>3158.8300000000004</v>
      </c>
      <c r="AU120" s="55">
        <f t="shared" ref="AU120:AV120" si="1007">SUM(AU115:AU119)</f>
        <v>3999.4700000000003</v>
      </c>
      <c r="AV120" s="55">
        <f t="shared" si="1007"/>
        <v>6133.2</v>
      </c>
      <c r="AW120" s="312">
        <f t="shared" ref="AW120" si="1008">SUM(AW115:AW119)</f>
        <v>10262.869999999999</v>
      </c>
      <c r="AX120" s="55">
        <f>AW120+AX169</f>
        <v>25765.631450567394</v>
      </c>
      <c r="AY120" s="312">
        <f t="shared" ref="AY120:BW120" si="1009">AX120+AY169</f>
        <v>26701.563767289601</v>
      </c>
      <c r="AZ120" s="55">
        <f t="shared" si="1009"/>
        <v>28851.47349081223</v>
      </c>
      <c r="BA120" s="55">
        <f t="shared" si="1009"/>
        <v>28684.642723714496</v>
      </c>
      <c r="BB120" s="55">
        <f t="shared" si="1009"/>
        <v>25663.279548469807</v>
      </c>
      <c r="BC120" s="55">
        <f t="shared" si="1009"/>
        <v>19026.453950673847</v>
      </c>
      <c r="BD120" s="55">
        <f t="shared" si="1009"/>
        <v>11775.009771452962</v>
      </c>
      <c r="BE120" s="55">
        <f t="shared" si="1009"/>
        <v>9553.5534350499984</v>
      </c>
      <c r="BF120" s="55">
        <f t="shared" si="1009"/>
        <v>10019.602443613527</v>
      </c>
      <c r="BG120" s="55">
        <f t="shared" si="1009"/>
        <v>13535.020733377691</v>
      </c>
      <c r="BH120" s="55">
        <f t="shared" si="1009"/>
        <v>22708.943307256821</v>
      </c>
      <c r="BI120" s="55">
        <f t="shared" si="1009"/>
        <v>40025.981929997928</v>
      </c>
      <c r="BJ120" s="55">
        <f t="shared" si="1009"/>
        <v>43363.348933914254</v>
      </c>
      <c r="BK120" s="312">
        <f t="shared" si="1009"/>
        <v>46871.42486549211</v>
      </c>
      <c r="BL120" s="55">
        <f t="shared" si="1009"/>
        <v>50968.098714696229</v>
      </c>
      <c r="BM120" s="55">
        <f t="shared" si="1009"/>
        <v>53301.261532331664</v>
      </c>
      <c r="BN120" s="55">
        <f t="shared" si="1009"/>
        <v>53425.879641817592</v>
      </c>
      <c r="BO120" s="55">
        <f t="shared" si="1009"/>
        <v>48840.537622757052</v>
      </c>
      <c r="BP120" s="55">
        <f t="shared" si="1009"/>
        <v>43366.917987772737</v>
      </c>
      <c r="BQ120" s="55">
        <f t="shared" si="1009"/>
        <v>44957.660820715253</v>
      </c>
      <c r="BR120" s="55">
        <f t="shared" si="1009"/>
        <v>49796.410725477108</v>
      </c>
      <c r="BS120" s="55">
        <f t="shared" si="1009"/>
        <v>60008.225510553151</v>
      </c>
      <c r="BT120" s="55">
        <f t="shared" si="1009"/>
        <v>77651.873010298135</v>
      </c>
      <c r="BU120" s="55">
        <f t="shared" si="1009"/>
        <v>104862.27752102073</v>
      </c>
      <c r="BV120" s="55">
        <f t="shared" si="1009"/>
        <v>115839.93923499265</v>
      </c>
      <c r="BW120" s="312">
        <f t="shared" si="1009"/>
        <v>125793.37942021167</v>
      </c>
      <c r="BX120" s="55">
        <f t="shared" ref="BX120:DG120" si="1010">BW120+BX169</f>
        <v>134779.95290037387</v>
      </c>
      <c r="BY120" s="55">
        <f t="shared" si="1010"/>
        <v>141868.96942220698</v>
      </c>
      <c r="BZ120" s="55">
        <f t="shared" si="1010"/>
        <v>145758.25578986673</v>
      </c>
      <c r="CA120" s="55">
        <f t="shared" si="1010"/>
        <v>142199.55037205387</v>
      </c>
      <c r="CB120" s="55">
        <f t="shared" si="1010"/>
        <v>138114.12945200264</v>
      </c>
      <c r="CC120" s="55">
        <f t="shared" si="1010"/>
        <v>143793.59089649911</v>
      </c>
      <c r="CD120" s="55">
        <f t="shared" si="1010"/>
        <v>152946.31070201422</v>
      </c>
      <c r="CE120" s="55">
        <f t="shared" si="1010"/>
        <v>171330.60213013424</v>
      </c>
      <c r="CF120" s="55">
        <f t="shared" si="1010"/>
        <v>197813.75376725427</v>
      </c>
      <c r="CG120" s="55">
        <f t="shared" si="1010"/>
        <v>240555.89752797567</v>
      </c>
      <c r="CH120" s="55">
        <f t="shared" si="1010"/>
        <v>260383.06787039677</v>
      </c>
      <c r="CI120" s="312">
        <f t="shared" si="1010"/>
        <v>275104.20400947711</v>
      </c>
      <c r="CJ120" s="55">
        <f t="shared" si="1010"/>
        <v>294845.82565205696</v>
      </c>
      <c r="CK120" s="55">
        <f t="shared" si="1010"/>
        <v>309611.98964586365</v>
      </c>
      <c r="CL120" s="55">
        <f t="shared" si="1010"/>
        <v>318836.62636747898</v>
      </c>
      <c r="CM120" s="55">
        <f t="shared" si="1010"/>
        <v>319147.04108965927</v>
      </c>
      <c r="CN120" s="55">
        <f t="shared" si="1010"/>
        <v>318680.4356542154</v>
      </c>
      <c r="CO120" s="55">
        <f t="shared" si="1010"/>
        <v>330953.13322541839</v>
      </c>
      <c r="CP120" s="55">
        <f t="shared" si="1010"/>
        <v>350218.63883392652</v>
      </c>
      <c r="CQ120" s="55">
        <f t="shared" si="1010"/>
        <v>381747.74634888588</v>
      </c>
      <c r="CR120" s="55">
        <f t="shared" si="1010"/>
        <v>422268.62410592055</v>
      </c>
      <c r="CS120" s="55">
        <f t="shared" si="1010"/>
        <v>491003.3179898666</v>
      </c>
      <c r="CT120" s="55">
        <f t="shared" si="1010"/>
        <v>525783.95179260336</v>
      </c>
      <c r="CU120" s="312">
        <f t="shared" si="1010"/>
        <v>552338.63653722208</v>
      </c>
      <c r="CV120" s="55">
        <f t="shared" si="1010"/>
        <v>586739.10766812181</v>
      </c>
      <c r="CW120" s="55">
        <f t="shared" si="1010"/>
        <v>613802.89983512228</v>
      </c>
      <c r="CX120" s="55">
        <f t="shared" si="1010"/>
        <v>630015.67389013851</v>
      </c>
      <c r="CY120" s="55">
        <f t="shared" si="1010"/>
        <v>636702.27371036529</v>
      </c>
      <c r="CZ120" s="55">
        <f t="shared" si="1010"/>
        <v>642340.99586937495</v>
      </c>
      <c r="DA120" s="55">
        <f t="shared" si="1010"/>
        <v>664310.6379174944</v>
      </c>
      <c r="DB120" s="55">
        <f t="shared" si="1010"/>
        <v>699245.26561125601</v>
      </c>
      <c r="DC120" s="55">
        <f t="shared" si="1010"/>
        <v>748089.13948285684</v>
      </c>
      <c r="DD120" s="55">
        <f t="shared" si="1010"/>
        <v>813731.74384238757</v>
      </c>
      <c r="DE120" s="55">
        <f t="shared" si="1010"/>
        <v>917421.86051045253</v>
      </c>
      <c r="DF120" s="55">
        <f t="shared" si="1010"/>
        <v>970163.58738935168</v>
      </c>
      <c r="DG120" s="55">
        <f t="shared" si="1010"/>
        <v>1015194.9733120842</v>
      </c>
    </row>
    <row r="121" spans="1:111" x14ac:dyDescent="0.25">
      <c r="B121" s="1" t="s">
        <v>25</v>
      </c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W121" s="186"/>
      <c r="AY121" s="186"/>
      <c r="BK121" s="186"/>
      <c r="BW121" s="186"/>
      <c r="CI121" s="186"/>
      <c r="CU121" s="186"/>
    </row>
    <row r="122" spans="1:111" x14ac:dyDescent="0.25">
      <c r="B122" s="1" t="s">
        <v>26</v>
      </c>
      <c r="C122" s="1"/>
      <c r="D122" s="115">
        <f>0</f>
        <v>0</v>
      </c>
      <c r="E122" s="115">
        <f>0</f>
        <v>0</v>
      </c>
      <c r="F122" s="115">
        <f>0</f>
        <v>0</v>
      </c>
      <c r="G122" s="115">
        <f>0</f>
        <v>0</v>
      </c>
      <c r="H122" s="115">
        <f>0</f>
        <v>0</v>
      </c>
      <c r="I122" s="115">
        <f>0</f>
        <v>0</v>
      </c>
      <c r="J122" s="113">
        <v>0</v>
      </c>
      <c r="K122" s="113">
        <v>375</v>
      </c>
      <c r="L122" s="113">
        <v>1200</v>
      </c>
      <c r="M122" s="113">
        <v>2365</v>
      </c>
      <c r="N122" s="115">
        <v>960</v>
      </c>
      <c r="O122" s="115">
        <v>900</v>
      </c>
      <c r="P122" s="115">
        <v>60</v>
      </c>
      <c r="Q122" s="115">
        <v>69</v>
      </c>
      <c r="R122" s="115">
        <v>75</v>
      </c>
      <c r="S122" s="115">
        <v>187.5</v>
      </c>
      <c r="T122" s="115">
        <v>35.93</v>
      </c>
      <c r="U122" s="115">
        <v>390</v>
      </c>
      <c r="V122" s="115">
        <v>270</v>
      </c>
      <c r="W122" s="115">
        <v>90</v>
      </c>
      <c r="X122" s="115">
        <v>1112</v>
      </c>
      <c r="Y122" s="115">
        <v>300</v>
      </c>
      <c r="Z122" s="115">
        <v>160</v>
      </c>
      <c r="AA122" s="115">
        <v>60</v>
      </c>
      <c r="AB122" s="115">
        <v>240</v>
      </c>
      <c r="AC122" s="115">
        <v>435</v>
      </c>
      <c r="AD122" s="115">
        <v>75</v>
      </c>
      <c r="AE122" s="115">
        <v>457.5</v>
      </c>
      <c r="AF122" s="115">
        <v>995</v>
      </c>
      <c r="AG122" s="115">
        <v>725.01</v>
      </c>
      <c r="AH122" s="115">
        <v>2460.0100000000002</v>
      </c>
      <c r="AI122" s="115">
        <v>3316.89</v>
      </c>
      <c r="AJ122" s="115">
        <v>3162.5</v>
      </c>
      <c r="AK122" s="115">
        <v>3155</v>
      </c>
      <c r="AL122" s="115">
        <v>3395</v>
      </c>
      <c r="AM122" s="520">
        <v>3370</v>
      </c>
      <c r="AN122" s="115">
        <v>2263.75</v>
      </c>
      <c r="AO122" s="115">
        <v>2736.75</v>
      </c>
      <c r="AP122" s="115">
        <v>1437.5</v>
      </c>
      <c r="AQ122" s="115">
        <v>752.5</v>
      </c>
      <c r="AR122" s="115">
        <v>2214.75</v>
      </c>
      <c r="AS122" s="115">
        <v>3207.25</v>
      </c>
      <c r="AT122" s="115">
        <v>4196.25</v>
      </c>
      <c r="AU122" s="115">
        <v>4147.5</v>
      </c>
      <c r="AV122" s="115">
        <f>11337.5</f>
        <v>11337.5</v>
      </c>
      <c r="AW122" s="187">
        <f>20771.25</f>
        <v>20771.25</v>
      </c>
      <c r="AX122" s="115">
        <f t="shared" ref="AX122" si="1011">(AX124*AX14)/30.4333</f>
        <v>2100.0412313217021</v>
      </c>
      <c r="AY122" s="187">
        <f t="shared" ref="AY122:BT122" si="1012">(AY124*AY14)/30.4333</f>
        <v>2964.470048814057</v>
      </c>
      <c r="AZ122" s="113">
        <f t="shared" si="1012"/>
        <v>3519.4823348223858</v>
      </c>
      <c r="BA122" s="113">
        <f t="shared" si="1012"/>
        <v>3309.0040405068835</v>
      </c>
      <c r="BB122" s="113">
        <f t="shared" si="1012"/>
        <v>3385.7286508523807</v>
      </c>
      <c r="BC122" s="113">
        <f t="shared" si="1012"/>
        <v>1501.7986632827858</v>
      </c>
      <c r="BD122" s="113">
        <f t="shared" si="1012"/>
        <v>2595.0842617069497</v>
      </c>
      <c r="BE122" s="113">
        <f t="shared" si="1012"/>
        <v>2212.381784025029</v>
      </c>
      <c r="BF122" s="113">
        <f t="shared" si="1012"/>
        <v>3345.0909849242921</v>
      </c>
      <c r="BG122" s="113">
        <f t="shared" si="1012"/>
        <v>3618.3763050733633</v>
      </c>
      <c r="BH122" s="113">
        <f t="shared" si="1012"/>
        <v>5050.0588822647032</v>
      </c>
      <c r="BI122" s="113">
        <f t="shared" si="1012"/>
        <v>5800.4599333922406</v>
      </c>
      <c r="BJ122" s="113">
        <f t="shared" si="1012"/>
        <v>2609.6963989661185</v>
      </c>
      <c r="BK122" s="187">
        <f t="shared" si="1012"/>
        <v>3600.7919762893193</v>
      </c>
      <c r="BL122" s="113">
        <f t="shared" si="1012"/>
        <v>3932.0050501568921</v>
      </c>
      <c r="BM122" s="113">
        <f t="shared" si="1012"/>
        <v>4129.838990669492</v>
      </c>
      <c r="BN122" s="113">
        <f t="shared" si="1012"/>
        <v>4554.2705447012286</v>
      </c>
      <c r="BO122" s="113">
        <f t="shared" si="1012"/>
        <v>1987.5901955705792</v>
      </c>
      <c r="BP122" s="113">
        <f t="shared" si="1012"/>
        <v>3559.4583694417138</v>
      </c>
      <c r="BQ122" s="113">
        <f t="shared" si="1012"/>
        <v>3061.3145714169791</v>
      </c>
      <c r="BR122" s="113">
        <f t="shared" si="1012"/>
        <v>4426.9691582679998</v>
      </c>
      <c r="BS122" s="113">
        <f t="shared" si="1012"/>
        <v>5239.411959744155</v>
      </c>
      <c r="BT122" s="113">
        <f t="shared" si="1012"/>
        <v>6993.7110343045779</v>
      </c>
      <c r="BU122" s="113">
        <f t="shared" ref="BU122:CZ122" si="1013">(BU124*BU14)/30.4333</f>
        <v>7672.4265482597357</v>
      </c>
      <c r="BV122" s="113">
        <f t="shared" si="1013"/>
        <v>3812.6512000678076</v>
      </c>
      <c r="BW122" s="187">
        <f t="shared" si="1013"/>
        <v>5020.8162634947121</v>
      </c>
      <c r="BX122" s="113">
        <f t="shared" si="1013"/>
        <v>5507.1514567270169</v>
      </c>
      <c r="BY122" s="113">
        <f t="shared" si="1013"/>
        <v>6039.940010883357</v>
      </c>
      <c r="BZ122" s="113">
        <f t="shared" si="1013"/>
        <v>6366.4827856328002</v>
      </c>
      <c r="CA122" s="113">
        <f t="shared" si="1013"/>
        <v>2540.7110116989061</v>
      </c>
      <c r="CB122" s="113">
        <f t="shared" si="1013"/>
        <v>5459.9047510069713</v>
      </c>
      <c r="CC122" s="113">
        <f t="shared" si="1013"/>
        <v>4240.3415458135905</v>
      </c>
      <c r="CD122" s="113">
        <f t="shared" si="1013"/>
        <v>5931.8792204315705</v>
      </c>
      <c r="CE122" s="113">
        <f t="shared" si="1013"/>
        <v>7671.5359496981846</v>
      </c>
      <c r="CF122" s="113">
        <f t="shared" si="1013"/>
        <v>9318.8036193970365</v>
      </c>
      <c r="CG122" s="113">
        <f t="shared" si="1013"/>
        <v>11187.291831058057</v>
      </c>
      <c r="CH122" s="113">
        <f t="shared" si="1013"/>
        <v>5297.9689643193806</v>
      </c>
      <c r="CI122" s="187">
        <f t="shared" si="1013"/>
        <v>6399.3850250968499</v>
      </c>
      <c r="CJ122" s="113">
        <f t="shared" si="1013"/>
        <v>8472.5431758559007</v>
      </c>
      <c r="CK122" s="113">
        <f t="shared" si="1013"/>
        <v>8086.9113673283291</v>
      </c>
      <c r="CL122" s="113">
        <f t="shared" si="1013"/>
        <v>8539.1755233393251</v>
      </c>
      <c r="CM122" s="113">
        <f t="shared" si="1013"/>
        <v>3746.4484881278313</v>
      </c>
      <c r="CN122" s="113">
        <f t="shared" si="1013"/>
        <v>7645.9352359394297</v>
      </c>
      <c r="CO122" s="113">
        <f t="shared" si="1013"/>
        <v>5722.7362666493445</v>
      </c>
      <c r="CP122" s="113">
        <f t="shared" si="1013"/>
        <v>8730.50972616129</v>
      </c>
      <c r="CQ122" s="113">
        <f t="shared" si="1013"/>
        <v>10816.644444557254</v>
      </c>
      <c r="CR122" s="113">
        <f t="shared" si="1013"/>
        <v>12572.607153293244</v>
      </c>
      <c r="CS122" s="113">
        <f t="shared" si="1013"/>
        <v>16648.456246117035</v>
      </c>
      <c r="CT122" s="113">
        <f t="shared" si="1013"/>
        <v>7576.1274131493274</v>
      </c>
      <c r="CU122" s="187">
        <f t="shared" si="1013"/>
        <v>9136.1837741619765</v>
      </c>
      <c r="CV122" s="113">
        <f t="shared" si="1013"/>
        <v>12018.187792380948</v>
      </c>
      <c r="CW122" s="113">
        <f t="shared" si="1013"/>
        <v>11439.478982453162</v>
      </c>
      <c r="CX122" s="113">
        <f t="shared" si="1013"/>
        <v>11500.313612102076</v>
      </c>
      <c r="CY122" s="113">
        <f t="shared" si="1013"/>
        <v>5523.523099177145</v>
      </c>
      <c r="CZ122" s="113">
        <f t="shared" si="1013"/>
        <v>10768.435450735135</v>
      </c>
      <c r="DA122" s="113">
        <f t="shared" ref="DA122:DG122" si="1014">(DA124*DA14)/30.4333</f>
        <v>7666.5072925617642</v>
      </c>
      <c r="DB122" s="113">
        <f t="shared" si="1014"/>
        <v>12882.37385527183</v>
      </c>
      <c r="DC122" s="113">
        <f t="shared" si="1014"/>
        <v>14600.278533299721</v>
      </c>
      <c r="DD122" s="113">
        <f t="shared" si="1014"/>
        <v>18591.082475671934</v>
      </c>
      <c r="DE122" s="113">
        <f t="shared" si="1014"/>
        <v>23419.73614533518</v>
      </c>
      <c r="DF122" s="113">
        <f t="shared" si="1014"/>
        <v>10141.848617542264</v>
      </c>
      <c r="DG122" s="113">
        <f t="shared" si="1014"/>
        <v>13412.676349142697</v>
      </c>
    </row>
    <row r="123" spans="1:111" x14ac:dyDescent="0.25">
      <c r="A123" s="5"/>
      <c r="B123" s="6" t="s">
        <v>27</v>
      </c>
      <c r="C123" s="6"/>
      <c r="D123" s="54">
        <f>D122</f>
        <v>0</v>
      </c>
      <c r="E123" s="54">
        <f t="shared" ref="E123:M123" si="1015">E122</f>
        <v>0</v>
      </c>
      <c r="F123" s="54">
        <f t="shared" si="1015"/>
        <v>0</v>
      </c>
      <c r="G123" s="54">
        <f t="shared" si="1015"/>
        <v>0</v>
      </c>
      <c r="H123" s="54">
        <f t="shared" si="1015"/>
        <v>0</v>
      </c>
      <c r="I123" s="54">
        <f t="shared" si="1015"/>
        <v>0</v>
      </c>
      <c r="J123" s="54">
        <f t="shared" si="1015"/>
        <v>0</v>
      </c>
      <c r="K123" s="54">
        <f t="shared" si="1015"/>
        <v>375</v>
      </c>
      <c r="L123" s="54">
        <f t="shared" si="1015"/>
        <v>1200</v>
      </c>
      <c r="M123" s="54">
        <f t="shared" si="1015"/>
        <v>2365</v>
      </c>
      <c r="N123" s="54">
        <f>N122</f>
        <v>960</v>
      </c>
      <c r="O123" s="54">
        <f>O122</f>
        <v>900</v>
      </c>
      <c r="P123" s="54">
        <f t="shared" ref="P123:BZ123" si="1016">P122</f>
        <v>60</v>
      </c>
      <c r="Q123" s="54">
        <f t="shared" ref="Q123:W123" si="1017">Q122</f>
        <v>69</v>
      </c>
      <c r="R123" s="54">
        <f t="shared" si="1017"/>
        <v>75</v>
      </c>
      <c r="S123" s="54">
        <f t="shared" si="1017"/>
        <v>187.5</v>
      </c>
      <c r="T123" s="54">
        <f t="shared" si="1017"/>
        <v>35.93</v>
      </c>
      <c r="U123" s="54">
        <f t="shared" si="1017"/>
        <v>390</v>
      </c>
      <c r="V123" s="54">
        <f t="shared" si="1017"/>
        <v>270</v>
      </c>
      <c r="W123" s="54">
        <f t="shared" si="1017"/>
        <v>90</v>
      </c>
      <c r="X123" s="54">
        <f t="shared" ref="X123:Y123" si="1018">X122</f>
        <v>1112</v>
      </c>
      <c r="Y123" s="54">
        <f t="shared" si="1018"/>
        <v>300</v>
      </c>
      <c r="Z123" s="54">
        <f t="shared" ref="Z123:AA123" si="1019">Z122</f>
        <v>160</v>
      </c>
      <c r="AA123" s="54">
        <f t="shared" si="1019"/>
        <v>60</v>
      </c>
      <c r="AB123" s="54">
        <f t="shared" ref="AB123" si="1020">AB122</f>
        <v>240</v>
      </c>
      <c r="AC123" s="54">
        <f t="shared" ref="AC123:AD123" si="1021">AC122</f>
        <v>435</v>
      </c>
      <c r="AD123" s="54">
        <f t="shared" si="1021"/>
        <v>75</v>
      </c>
      <c r="AE123" s="54">
        <f t="shared" ref="AE123" si="1022">AE122</f>
        <v>457.5</v>
      </c>
      <c r="AF123" s="54">
        <f t="shared" ref="AF123:AG123" si="1023">AF122</f>
        <v>995</v>
      </c>
      <c r="AG123" s="54">
        <f t="shared" si="1023"/>
        <v>725.01</v>
      </c>
      <c r="AH123" s="54">
        <f t="shared" ref="AH123" si="1024">AH122</f>
        <v>2460.0100000000002</v>
      </c>
      <c r="AI123" s="54">
        <f t="shared" ref="AI123:AJ123" si="1025">AI122</f>
        <v>3316.89</v>
      </c>
      <c r="AJ123" s="54">
        <f t="shared" si="1025"/>
        <v>3162.5</v>
      </c>
      <c r="AK123" s="54">
        <f t="shared" ref="AK123" si="1026">AK122</f>
        <v>3155</v>
      </c>
      <c r="AL123" s="54">
        <f t="shared" ref="AL123:AM123" si="1027">AL122</f>
        <v>3395</v>
      </c>
      <c r="AM123" s="573">
        <f t="shared" si="1027"/>
        <v>3370</v>
      </c>
      <c r="AN123" s="54">
        <f t="shared" ref="AN123:AO123" si="1028">AN122</f>
        <v>2263.75</v>
      </c>
      <c r="AO123" s="54">
        <f t="shared" si="1028"/>
        <v>2736.75</v>
      </c>
      <c r="AP123" s="54">
        <f t="shared" ref="AP123:AQ123" si="1029">AP122</f>
        <v>1437.5</v>
      </c>
      <c r="AQ123" s="54">
        <f t="shared" si="1029"/>
        <v>752.5</v>
      </c>
      <c r="AR123" s="54">
        <f t="shared" ref="AR123:AS123" si="1030">AR122</f>
        <v>2214.75</v>
      </c>
      <c r="AS123" s="54">
        <f t="shared" si="1030"/>
        <v>3207.25</v>
      </c>
      <c r="AT123" s="54">
        <f t="shared" ref="AT123:AU123" si="1031">AT122</f>
        <v>4196.25</v>
      </c>
      <c r="AU123" s="54">
        <f t="shared" si="1031"/>
        <v>4147.5</v>
      </c>
      <c r="AV123" s="54">
        <f t="shared" ref="AV123:AW123" si="1032">AV122</f>
        <v>11337.5</v>
      </c>
      <c r="AW123" s="314">
        <f t="shared" si="1032"/>
        <v>20771.25</v>
      </c>
      <c r="AX123" s="54">
        <f t="shared" ref="AX123" si="1033">AX122</f>
        <v>2100.0412313217021</v>
      </c>
      <c r="AY123" s="314">
        <f t="shared" si="1016"/>
        <v>2964.470048814057</v>
      </c>
      <c r="AZ123" s="54">
        <f t="shared" si="1016"/>
        <v>3519.4823348223858</v>
      </c>
      <c r="BA123" s="54">
        <f t="shared" si="1016"/>
        <v>3309.0040405068835</v>
      </c>
      <c r="BB123" s="54">
        <f t="shared" si="1016"/>
        <v>3385.7286508523807</v>
      </c>
      <c r="BC123" s="54">
        <f t="shared" si="1016"/>
        <v>1501.7986632827858</v>
      </c>
      <c r="BD123" s="54">
        <f t="shared" si="1016"/>
        <v>2595.0842617069497</v>
      </c>
      <c r="BE123" s="54">
        <f t="shared" si="1016"/>
        <v>2212.381784025029</v>
      </c>
      <c r="BF123" s="54">
        <f t="shared" si="1016"/>
        <v>3345.0909849242921</v>
      </c>
      <c r="BG123" s="54">
        <f t="shared" si="1016"/>
        <v>3618.3763050733633</v>
      </c>
      <c r="BH123" s="54">
        <f t="shared" si="1016"/>
        <v>5050.0588822647032</v>
      </c>
      <c r="BI123" s="54">
        <f t="shared" si="1016"/>
        <v>5800.4599333922406</v>
      </c>
      <c r="BJ123" s="54">
        <f t="shared" si="1016"/>
        <v>2609.6963989661185</v>
      </c>
      <c r="BK123" s="314">
        <f t="shared" si="1016"/>
        <v>3600.7919762893193</v>
      </c>
      <c r="BL123" s="54">
        <f t="shared" si="1016"/>
        <v>3932.0050501568921</v>
      </c>
      <c r="BM123" s="54">
        <f t="shared" si="1016"/>
        <v>4129.838990669492</v>
      </c>
      <c r="BN123" s="54">
        <f t="shared" si="1016"/>
        <v>4554.2705447012286</v>
      </c>
      <c r="BO123" s="54">
        <f t="shared" si="1016"/>
        <v>1987.5901955705792</v>
      </c>
      <c r="BP123" s="54">
        <f t="shared" si="1016"/>
        <v>3559.4583694417138</v>
      </c>
      <c r="BQ123" s="54">
        <f t="shared" si="1016"/>
        <v>3061.3145714169791</v>
      </c>
      <c r="BR123" s="54">
        <f t="shared" si="1016"/>
        <v>4426.9691582679998</v>
      </c>
      <c r="BS123" s="54">
        <f t="shared" si="1016"/>
        <v>5239.411959744155</v>
      </c>
      <c r="BT123" s="54">
        <f t="shared" si="1016"/>
        <v>6993.7110343045779</v>
      </c>
      <c r="BU123" s="54">
        <f t="shared" si="1016"/>
        <v>7672.4265482597357</v>
      </c>
      <c r="BV123" s="54">
        <f t="shared" si="1016"/>
        <v>3812.6512000678076</v>
      </c>
      <c r="BW123" s="314">
        <f t="shared" si="1016"/>
        <v>5020.8162634947121</v>
      </c>
      <c r="BX123" s="54">
        <f t="shared" si="1016"/>
        <v>5507.1514567270169</v>
      </c>
      <c r="BY123" s="54">
        <f t="shared" si="1016"/>
        <v>6039.940010883357</v>
      </c>
      <c r="BZ123" s="54">
        <f t="shared" si="1016"/>
        <v>6366.4827856328002</v>
      </c>
      <c r="CA123" s="54">
        <f t="shared" ref="CA123:DG123" si="1034">CA122</f>
        <v>2540.7110116989061</v>
      </c>
      <c r="CB123" s="54">
        <f t="shared" si="1034"/>
        <v>5459.9047510069713</v>
      </c>
      <c r="CC123" s="54">
        <f t="shared" si="1034"/>
        <v>4240.3415458135905</v>
      </c>
      <c r="CD123" s="54">
        <f t="shared" si="1034"/>
        <v>5931.8792204315705</v>
      </c>
      <c r="CE123" s="54">
        <f t="shared" si="1034"/>
        <v>7671.5359496981846</v>
      </c>
      <c r="CF123" s="54">
        <f t="shared" si="1034"/>
        <v>9318.8036193970365</v>
      </c>
      <c r="CG123" s="54">
        <f t="shared" si="1034"/>
        <v>11187.291831058057</v>
      </c>
      <c r="CH123" s="54">
        <f t="shared" si="1034"/>
        <v>5297.9689643193806</v>
      </c>
      <c r="CI123" s="314">
        <f t="shared" si="1034"/>
        <v>6399.3850250968499</v>
      </c>
      <c r="CJ123" s="54">
        <f t="shared" si="1034"/>
        <v>8472.5431758559007</v>
      </c>
      <c r="CK123" s="54">
        <f t="shared" si="1034"/>
        <v>8086.9113673283291</v>
      </c>
      <c r="CL123" s="54">
        <f t="shared" si="1034"/>
        <v>8539.1755233393251</v>
      </c>
      <c r="CM123" s="54">
        <f t="shared" si="1034"/>
        <v>3746.4484881278313</v>
      </c>
      <c r="CN123" s="54">
        <f t="shared" si="1034"/>
        <v>7645.9352359394297</v>
      </c>
      <c r="CO123" s="54">
        <f t="shared" si="1034"/>
        <v>5722.7362666493445</v>
      </c>
      <c r="CP123" s="54">
        <f t="shared" si="1034"/>
        <v>8730.50972616129</v>
      </c>
      <c r="CQ123" s="54">
        <f t="shared" si="1034"/>
        <v>10816.644444557254</v>
      </c>
      <c r="CR123" s="54">
        <f t="shared" si="1034"/>
        <v>12572.607153293244</v>
      </c>
      <c r="CS123" s="54">
        <f t="shared" si="1034"/>
        <v>16648.456246117035</v>
      </c>
      <c r="CT123" s="54">
        <f t="shared" si="1034"/>
        <v>7576.1274131493274</v>
      </c>
      <c r="CU123" s="314">
        <f t="shared" si="1034"/>
        <v>9136.1837741619765</v>
      </c>
      <c r="CV123" s="54">
        <f t="shared" si="1034"/>
        <v>12018.187792380948</v>
      </c>
      <c r="CW123" s="54">
        <f t="shared" si="1034"/>
        <v>11439.478982453162</v>
      </c>
      <c r="CX123" s="54">
        <f t="shared" si="1034"/>
        <v>11500.313612102076</v>
      </c>
      <c r="CY123" s="54">
        <f t="shared" si="1034"/>
        <v>5523.523099177145</v>
      </c>
      <c r="CZ123" s="54">
        <f t="shared" si="1034"/>
        <v>10768.435450735135</v>
      </c>
      <c r="DA123" s="54">
        <f t="shared" si="1034"/>
        <v>7666.5072925617642</v>
      </c>
      <c r="DB123" s="54">
        <f t="shared" si="1034"/>
        <v>12882.37385527183</v>
      </c>
      <c r="DC123" s="54">
        <f t="shared" si="1034"/>
        <v>14600.278533299721</v>
      </c>
      <c r="DD123" s="54">
        <f t="shared" si="1034"/>
        <v>18591.082475671934</v>
      </c>
      <c r="DE123" s="54">
        <f t="shared" si="1034"/>
        <v>23419.73614533518</v>
      </c>
      <c r="DF123" s="54">
        <f t="shared" si="1034"/>
        <v>10141.848617542264</v>
      </c>
      <c r="DG123" s="54">
        <f t="shared" si="1034"/>
        <v>13412.676349142697</v>
      </c>
    </row>
    <row r="124" spans="1:111" x14ac:dyDescent="0.25">
      <c r="A124" s="64"/>
      <c r="B124" s="61"/>
      <c r="C124" s="62" t="s">
        <v>164</v>
      </c>
      <c r="D124" s="63">
        <v>0</v>
      </c>
      <c r="E124" s="63">
        <f t="shared" ref="E124:AW124" si="1035">IFERROR(AVERAGE(D122:E122)/(E14/30.4333), 0)</f>
        <v>0</v>
      </c>
      <c r="F124" s="63">
        <f t="shared" si="1035"/>
        <v>0</v>
      </c>
      <c r="G124" s="63">
        <f t="shared" si="1035"/>
        <v>0</v>
      </c>
      <c r="H124" s="63">
        <f t="shared" si="1035"/>
        <v>0</v>
      </c>
      <c r="I124" s="63">
        <f t="shared" si="1035"/>
        <v>0</v>
      </c>
      <c r="J124" s="63">
        <f t="shared" si="1035"/>
        <v>0</v>
      </c>
      <c r="K124" s="63">
        <f t="shared" si="1035"/>
        <v>15.21665</v>
      </c>
      <c r="L124" s="63">
        <f t="shared" si="1035"/>
        <v>22.294161627906973</v>
      </c>
      <c r="M124" s="63">
        <f t="shared" si="1035"/>
        <v>14.408328618857903</v>
      </c>
      <c r="N124" s="63">
        <f t="shared" si="1035"/>
        <v>24.208306818181818</v>
      </c>
      <c r="O124" s="63">
        <f t="shared" si="1035"/>
        <v>13.9252</v>
      </c>
      <c r="P124" s="63">
        <f t="shared" si="1035"/>
        <v>9.4489511575107201</v>
      </c>
      <c r="Q124" s="63">
        <f t="shared" si="1035"/>
        <v>1.5631677085407125</v>
      </c>
      <c r="R124" s="63">
        <f t="shared" si="1035"/>
        <v>1.8157842137973896</v>
      </c>
      <c r="S124" s="63">
        <f t="shared" si="1035"/>
        <v>2.0406407574294603</v>
      </c>
      <c r="T124" s="63">
        <f t="shared" si="1035"/>
        <v>1.3670895881669367</v>
      </c>
      <c r="U124" s="63">
        <f t="shared" si="1035"/>
        <v>3.1717395430721873</v>
      </c>
      <c r="V124" s="63">
        <f t="shared" si="1035"/>
        <v>3.5418758596367481</v>
      </c>
      <c r="W124" s="63">
        <f t="shared" si="1035"/>
        <v>0.77387443386177612</v>
      </c>
      <c r="X124" s="63">
        <f t="shared" si="1035"/>
        <v>2.0888790887256752</v>
      </c>
      <c r="Y124" s="63">
        <f t="shared" si="1035"/>
        <v>2.6213933485189171</v>
      </c>
      <c r="Z124" s="63">
        <f t="shared" si="1035"/>
        <v>1.4174744639660437</v>
      </c>
      <c r="AA124" s="63">
        <f t="shared" si="1035"/>
        <v>1.5610459314525529</v>
      </c>
      <c r="AB124" s="63">
        <f t="shared" si="1035"/>
        <v>1.5206512325116588</v>
      </c>
      <c r="AC124" s="63">
        <f t="shared" si="1035"/>
        <v>2.3571402753872635</v>
      </c>
      <c r="AD124" s="63">
        <f t="shared" si="1035"/>
        <v>2.2303467452220147</v>
      </c>
      <c r="AE124" s="63">
        <f t="shared" si="1035"/>
        <v>2.0166416438526631</v>
      </c>
      <c r="AF124" s="63">
        <f t="shared" si="1035"/>
        <v>4.077833560574752</v>
      </c>
      <c r="AG124" s="63">
        <f t="shared" si="1035"/>
        <v>6.0750256870523121</v>
      </c>
      <c r="AH124" s="63">
        <f t="shared" si="1035"/>
        <v>5.3488492392027709</v>
      </c>
      <c r="AI124" s="63">
        <f t="shared" si="1035"/>
        <v>6.2294270947456134</v>
      </c>
      <c r="AJ124" s="63">
        <f t="shared" si="1035"/>
        <v>9.961567046577418</v>
      </c>
      <c r="AK124" s="63">
        <f t="shared" si="1035"/>
        <v>5.5229557114746566</v>
      </c>
      <c r="AL124" s="63">
        <f t="shared" si="1035"/>
        <v>10.410931999791089</v>
      </c>
      <c r="AM124" s="575">
        <f t="shared" si="1035"/>
        <v>19.819144638043895</v>
      </c>
      <c r="AN124" s="63">
        <f t="shared" si="1035"/>
        <v>13.017508456077746</v>
      </c>
      <c r="AO124" s="63">
        <f t="shared" si="1035"/>
        <v>9.3798980198764319</v>
      </c>
      <c r="AP124" s="63">
        <f t="shared" si="1035"/>
        <v>8.268034638073928</v>
      </c>
      <c r="AQ124" s="63">
        <f t="shared" si="1035"/>
        <v>8.871737371048253</v>
      </c>
      <c r="AR124" s="63">
        <f t="shared" si="1035"/>
        <v>7.4698659463148314</v>
      </c>
      <c r="AS124" s="63">
        <f t="shared" si="1035"/>
        <v>11.929536769809138</v>
      </c>
      <c r="AT124" s="63">
        <f t="shared" si="1035"/>
        <v>7.5456442247153381</v>
      </c>
      <c r="AU124" s="63">
        <f t="shared" si="1035"/>
        <v>6.2063803801877109</v>
      </c>
      <c r="AV124" s="63">
        <f t="shared" si="1035"/>
        <v>8.3239362448114456</v>
      </c>
      <c r="AW124" s="316">
        <f t="shared" si="1035"/>
        <v>12.41231606042253</v>
      </c>
      <c r="AX124" s="291">
        <v>5</v>
      </c>
      <c r="AY124" s="316">
        <f t="shared" ref="AY124:CA124" si="1036">AX124</f>
        <v>5</v>
      </c>
      <c r="AZ124" s="63">
        <f t="shared" si="1036"/>
        <v>5</v>
      </c>
      <c r="BA124" s="63">
        <f t="shared" si="1036"/>
        <v>5</v>
      </c>
      <c r="BB124" s="63">
        <f t="shared" si="1036"/>
        <v>5</v>
      </c>
      <c r="BC124" s="63">
        <f t="shared" si="1036"/>
        <v>5</v>
      </c>
      <c r="BD124" s="63">
        <f t="shared" si="1036"/>
        <v>5</v>
      </c>
      <c r="BE124" s="63">
        <f t="shared" si="1036"/>
        <v>5</v>
      </c>
      <c r="BF124" s="63">
        <f t="shared" si="1036"/>
        <v>5</v>
      </c>
      <c r="BG124" s="63">
        <f t="shared" si="1036"/>
        <v>5</v>
      </c>
      <c r="BH124" s="63">
        <f t="shared" si="1036"/>
        <v>5</v>
      </c>
      <c r="BI124" s="63">
        <f t="shared" si="1036"/>
        <v>5</v>
      </c>
      <c r="BJ124" s="63">
        <f t="shared" si="1036"/>
        <v>5</v>
      </c>
      <c r="BK124" s="316">
        <f t="shared" si="1036"/>
        <v>5</v>
      </c>
      <c r="BL124" s="63">
        <f t="shared" si="1036"/>
        <v>5</v>
      </c>
      <c r="BM124" s="63">
        <f t="shared" si="1036"/>
        <v>5</v>
      </c>
      <c r="BN124" s="63">
        <f t="shared" si="1036"/>
        <v>5</v>
      </c>
      <c r="BO124" s="63">
        <f t="shared" si="1036"/>
        <v>5</v>
      </c>
      <c r="BP124" s="63">
        <f t="shared" si="1036"/>
        <v>5</v>
      </c>
      <c r="BQ124" s="63">
        <f t="shared" si="1036"/>
        <v>5</v>
      </c>
      <c r="BR124" s="63">
        <f t="shared" si="1036"/>
        <v>5</v>
      </c>
      <c r="BS124" s="63">
        <f t="shared" si="1036"/>
        <v>5</v>
      </c>
      <c r="BT124" s="63">
        <f t="shared" si="1036"/>
        <v>5</v>
      </c>
      <c r="BU124" s="63">
        <f t="shared" si="1036"/>
        <v>5</v>
      </c>
      <c r="BV124" s="63">
        <f t="shared" si="1036"/>
        <v>5</v>
      </c>
      <c r="BW124" s="316">
        <f t="shared" si="1036"/>
        <v>5</v>
      </c>
      <c r="BX124" s="63">
        <f t="shared" si="1036"/>
        <v>5</v>
      </c>
      <c r="BY124" s="63">
        <f t="shared" si="1036"/>
        <v>5</v>
      </c>
      <c r="BZ124" s="63">
        <f t="shared" si="1036"/>
        <v>5</v>
      </c>
      <c r="CA124" s="63">
        <f t="shared" si="1036"/>
        <v>5</v>
      </c>
      <c r="CB124" s="63">
        <f t="shared" ref="CB124:DG124" si="1037">CA124</f>
        <v>5</v>
      </c>
      <c r="CC124" s="63">
        <f t="shared" si="1037"/>
        <v>5</v>
      </c>
      <c r="CD124" s="63">
        <f t="shared" si="1037"/>
        <v>5</v>
      </c>
      <c r="CE124" s="63">
        <f t="shared" si="1037"/>
        <v>5</v>
      </c>
      <c r="CF124" s="63">
        <f t="shared" si="1037"/>
        <v>5</v>
      </c>
      <c r="CG124" s="63">
        <f t="shared" si="1037"/>
        <v>5</v>
      </c>
      <c r="CH124" s="63">
        <f t="shared" si="1037"/>
        <v>5</v>
      </c>
      <c r="CI124" s="316">
        <f t="shared" si="1037"/>
        <v>5</v>
      </c>
      <c r="CJ124" s="63">
        <f t="shared" si="1037"/>
        <v>5</v>
      </c>
      <c r="CK124" s="63">
        <f t="shared" si="1037"/>
        <v>5</v>
      </c>
      <c r="CL124" s="63">
        <f t="shared" si="1037"/>
        <v>5</v>
      </c>
      <c r="CM124" s="63">
        <f t="shared" si="1037"/>
        <v>5</v>
      </c>
      <c r="CN124" s="63">
        <f t="shared" si="1037"/>
        <v>5</v>
      </c>
      <c r="CO124" s="63">
        <f t="shared" si="1037"/>
        <v>5</v>
      </c>
      <c r="CP124" s="63">
        <f t="shared" si="1037"/>
        <v>5</v>
      </c>
      <c r="CQ124" s="63">
        <f t="shared" si="1037"/>
        <v>5</v>
      </c>
      <c r="CR124" s="63">
        <f t="shared" si="1037"/>
        <v>5</v>
      </c>
      <c r="CS124" s="63">
        <f t="shared" si="1037"/>
        <v>5</v>
      </c>
      <c r="CT124" s="63">
        <f t="shared" si="1037"/>
        <v>5</v>
      </c>
      <c r="CU124" s="316">
        <f t="shared" si="1037"/>
        <v>5</v>
      </c>
      <c r="CV124" s="63">
        <f t="shared" si="1037"/>
        <v>5</v>
      </c>
      <c r="CW124" s="63">
        <f t="shared" si="1037"/>
        <v>5</v>
      </c>
      <c r="CX124" s="63">
        <f t="shared" si="1037"/>
        <v>5</v>
      </c>
      <c r="CY124" s="63">
        <f t="shared" si="1037"/>
        <v>5</v>
      </c>
      <c r="CZ124" s="63">
        <f t="shared" si="1037"/>
        <v>5</v>
      </c>
      <c r="DA124" s="63">
        <f t="shared" si="1037"/>
        <v>5</v>
      </c>
      <c r="DB124" s="63">
        <f t="shared" si="1037"/>
        <v>5</v>
      </c>
      <c r="DC124" s="63">
        <f t="shared" si="1037"/>
        <v>5</v>
      </c>
      <c r="DD124" s="63">
        <f t="shared" si="1037"/>
        <v>5</v>
      </c>
      <c r="DE124" s="63">
        <f t="shared" si="1037"/>
        <v>5</v>
      </c>
      <c r="DF124" s="63">
        <f t="shared" si="1037"/>
        <v>5</v>
      </c>
      <c r="DG124" s="63">
        <f t="shared" si="1037"/>
        <v>5</v>
      </c>
    </row>
    <row r="125" spans="1:111" x14ac:dyDescent="0.25">
      <c r="B125" s="1" t="s">
        <v>221</v>
      </c>
      <c r="C125" s="1"/>
      <c r="D125" s="57"/>
      <c r="E125" s="57"/>
      <c r="F125" s="57"/>
      <c r="G125" s="57"/>
      <c r="H125" s="57"/>
      <c r="I125" s="57"/>
      <c r="J125" s="57"/>
      <c r="K125" s="57"/>
      <c r="L125" s="57"/>
      <c r="M125" s="57" t="s">
        <v>163</v>
      </c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76"/>
      <c r="AN125" s="51"/>
      <c r="AO125" s="51"/>
      <c r="AP125" s="51"/>
      <c r="AQ125" s="51"/>
      <c r="AR125" s="51"/>
      <c r="AS125" s="51"/>
      <c r="AT125" s="51"/>
      <c r="AU125" s="51"/>
      <c r="AV125" s="51"/>
      <c r="AW125" s="605"/>
      <c r="AY125" s="186"/>
      <c r="BK125" s="186"/>
      <c r="BW125" s="186"/>
      <c r="CI125" s="186"/>
      <c r="CU125" s="186"/>
    </row>
    <row r="126" spans="1:111" x14ac:dyDescent="0.25">
      <c r="B126" s="1" t="s">
        <v>354</v>
      </c>
      <c r="C126" s="1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O126" s="51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520">
        <v>0</v>
      </c>
      <c r="AN126" s="115"/>
      <c r="AO126" s="115"/>
      <c r="AP126" s="115"/>
      <c r="AQ126" s="115"/>
      <c r="AR126" s="115"/>
      <c r="AS126" s="115"/>
      <c r="AT126" s="115"/>
      <c r="AU126" s="115"/>
      <c r="AV126" s="115"/>
      <c r="AW126" s="187"/>
      <c r="AX126" s="115"/>
      <c r="AY126" s="187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87"/>
      <c r="BL126" s="115"/>
      <c r="BM126" s="115"/>
      <c r="BN126" s="115"/>
      <c r="BO126" s="115"/>
      <c r="BP126" s="115"/>
      <c r="BQ126" s="115"/>
      <c r="BR126" s="115"/>
      <c r="BS126" s="115"/>
      <c r="BT126" s="115"/>
      <c r="BU126" s="115"/>
      <c r="BV126" s="115"/>
      <c r="BW126" s="187"/>
      <c r="BX126" s="115"/>
      <c r="BY126" s="115"/>
      <c r="BZ126" s="115"/>
      <c r="CA126" s="115"/>
      <c r="CB126" s="115"/>
      <c r="CC126" s="115"/>
      <c r="CD126" s="115"/>
      <c r="CE126" s="115"/>
      <c r="CF126" s="115"/>
      <c r="CG126" s="115"/>
      <c r="CH126" s="115"/>
      <c r="CI126" s="187"/>
      <c r="CJ126" s="115"/>
      <c r="CK126" s="115"/>
      <c r="CL126" s="115"/>
      <c r="CM126" s="115"/>
      <c r="CN126" s="115"/>
      <c r="CO126" s="115"/>
      <c r="CP126" s="115"/>
      <c r="CQ126" s="115"/>
      <c r="CR126" s="115"/>
      <c r="CS126" s="115"/>
      <c r="CT126" s="115"/>
      <c r="CU126" s="187"/>
      <c r="CV126" s="115"/>
      <c r="CW126" s="115"/>
      <c r="CX126" s="115"/>
      <c r="CY126" s="115"/>
      <c r="CZ126" s="115"/>
      <c r="DA126" s="115"/>
      <c r="DB126" s="115"/>
      <c r="DC126" s="115"/>
      <c r="DD126" s="115"/>
      <c r="DE126" s="115"/>
      <c r="DF126" s="115"/>
      <c r="DG126" s="115"/>
    </row>
    <row r="127" spans="1:111" x14ac:dyDescent="0.25">
      <c r="B127" s="1" t="s">
        <v>376</v>
      </c>
      <c r="C127" s="1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O127" s="51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520">
        <v>0</v>
      </c>
      <c r="AN127" s="115"/>
      <c r="AO127" s="115">
        <v>37.5</v>
      </c>
      <c r="AP127" s="115">
        <v>112.5</v>
      </c>
      <c r="AQ127" s="115">
        <v>112.5</v>
      </c>
      <c r="AR127" s="115">
        <v>0</v>
      </c>
      <c r="AS127" s="115">
        <v>0</v>
      </c>
      <c r="AT127" s="115">
        <v>0</v>
      </c>
      <c r="AU127" s="115">
        <v>0</v>
      </c>
      <c r="AV127" s="115">
        <v>0</v>
      </c>
      <c r="AW127" s="187">
        <v>0</v>
      </c>
      <c r="AX127" s="115"/>
      <c r="AY127" s="187"/>
      <c r="AZ127" s="115"/>
      <c r="BA127" s="115"/>
      <c r="BB127" s="115"/>
      <c r="BC127" s="115"/>
      <c r="BD127" s="115"/>
      <c r="BE127" s="115"/>
      <c r="BF127" s="115"/>
      <c r="BG127" s="115"/>
      <c r="BH127" s="115"/>
      <c r="BI127" s="115"/>
      <c r="BJ127" s="115"/>
      <c r="BK127" s="187"/>
      <c r="BL127" s="115"/>
      <c r="BM127" s="115"/>
      <c r="BN127" s="115"/>
      <c r="BO127" s="115"/>
      <c r="BP127" s="115"/>
      <c r="BQ127" s="115"/>
      <c r="BR127" s="115"/>
      <c r="BS127" s="115"/>
      <c r="BT127" s="115"/>
      <c r="BU127" s="115"/>
      <c r="BV127" s="115"/>
      <c r="BW127" s="187"/>
      <c r="BX127" s="115"/>
      <c r="BY127" s="115"/>
      <c r="BZ127" s="115"/>
      <c r="CA127" s="115"/>
      <c r="CB127" s="115"/>
      <c r="CC127" s="115"/>
      <c r="CD127" s="115"/>
      <c r="CE127" s="115"/>
      <c r="CF127" s="115"/>
      <c r="CG127" s="115"/>
      <c r="CH127" s="115"/>
      <c r="CI127" s="187"/>
      <c r="CJ127" s="115"/>
      <c r="CK127" s="115"/>
      <c r="CL127" s="115"/>
      <c r="CM127" s="115"/>
      <c r="CN127" s="115"/>
      <c r="CO127" s="115"/>
      <c r="CP127" s="115"/>
      <c r="CQ127" s="115"/>
      <c r="CR127" s="115"/>
      <c r="CS127" s="115"/>
      <c r="CT127" s="115"/>
      <c r="CU127" s="187"/>
      <c r="CV127" s="115"/>
      <c r="CW127" s="115"/>
      <c r="CX127" s="115"/>
      <c r="CY127" s="115"/>
      <c r="CZ127" s="115"/>
      <c r="DA127" s="115"/>
      <c r="DB127" s="115"/>
      <c r="DC127" s="115"/>
      <c r="DD127" s="115"/>
      <c r="DE127" s="115"/>
      <c r="DF127" s="115"/>
      <c r="DG127" s="115"/>
    </row>
    <row r="128" spans="1:111" x14ac:dyDescent="0.25">
      <c r="B128" s="1" t="s">
        <v>353</v>
      </c>
      <c r="C128" s="1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O128" s="51"/>
      <c r="P128" s="115">
        <v>0</v>
      </c>
      <c r="Q128" s="115">
        <v>0</v>
      </c>
      <c r="R128" s="115">
        <v>-44.05</v>
      </c>
      <c r="S128" s="115">
        <v>0</v>
      </c>
      <c r="T128" s="115">
        <v>0</v>
      </c>
      <c r="U128" s="115">
        <v>0</v>
      </c>
      <c r="V128" s="115">
        <v>0</v>
      </c>
      <c r="W128" s="115">
        <v>0</v>
      </c>
      <c r="X128" s="115">
        <v>0</v>
      </c>
      <c r="Y128" s="115">
        <v>0</v>
      </c>
      <c r="Z128" s="115">
        <v>0</v>
      </c>
      <c r="AA128" s="115">
        <v>0</v>
      </c>
      <c r="AB128" s="115"/>
      <c r="AC128" s="115">
        <v>0</v>
      </c>
      <c r="AD128" s="115">
        <v>0</v>
      </c>
      <c r="AE128" s="115">
        <v>0</v>
      </c>
      <c r="AF128" s="115">
        <v>0</v>
      </c>
      <c r="AG128" s="115">
        <v>0</v>
      </c>
      <c r="AH128" s="115">
        <v>0</v>
      </c>
      <c r="AI128" s="115">
        <v>0</v>
      </c>
      <c r="AJ128" s="115">
        <v>0</v>
      </c>
      <c r="AK128" s="115">
        <v>308</v>
      </c>
      <c r="AL128" s="115">
        <v>280</v>
      </c>
      <c r="AM128" s="520">
        <v>252</v>
      </c>
      <c r="AN128" s="115">
        <v>224</v>
      </c>
      <c r="AO128" s="115">
        <v>196</v>
      </c>
      <c r="AP128" s="115">
        <v>168</v>
      </c>
      <c r="AQ128" s="115">
        <v>140</v>
      </c>
      <c r="AR128" s="115">
        <v>112</v>
      </c>
      <c r="AS128" s="115">
        <v>84</v>
      </c>
      <c r="AT128" s="115">
        <v>56</v>
      </c>
      <c r="AU128" s="115">
        <v>28</v>
      </c>
      <c r="AV128" s="115">
        <v>0</v>
      </c>
      <c r="AW128" s="187">
        <v>0</v>
      </c>
      <c r="AX128" s="115">
        <v>308</v>
      </c>
      <c r="AY128" s="187">
        <f t="shared" ref="AY128:CI128" si="1038">AX128</f>
        <v>308</v>
      </c>
      <c r="AZ128" s="115">
        <f t="shared" si="1038"/>
        <v>308</v>
      </c>
      <c r="BA128" s="115">
        <f t="shared" si="1038"/>
        <v>308</v>
      </c>
      <c r="BB128" s="115">
        <f t="shared" si="1038"/>
        <v>308</v>
      </c>
      <c r="BC128" s="115">
        <f t="shared" si="1038"/>
        <v>308</v>
      </c>
      <c r="BD128" s="115">
        <f t="shared" si="1038"/>
        <v>308</v>
      </c>
      <c r="BE128" s="115">
        <f t="shared" si="1038"/>
        <v>308</v>
      </c>
      <c r="BF128" s="115">
        <f t="shared" si="1038"/>
        <v>308</v>
      </c>
      <c r="BG128" s="115">
        <f t="shared" si="1038"/>
        <v>308</v>
      </c>
      <c r="BH128" s="115">
        <f t="shared" si="1038"/>
        <v>308</v>
      </c>
      <c r="BI128" s="115">
        <f t="shared" si="1038"/>
        <v>308</v>
      </c>
      <c r="BJ128" s="115">
        <f t="shared" si="1038"/>
        <v>308</v>
      </c>
      <c r="BK128" s="187">
        <f t="shared" si="1038"/>
        <v>308</v>
      </c>
      <c r="BL128" s="115">
        <f t="shared" si="1038"/>
        <v>308</v>
      </c>
      <c r="BM128" s="115">
        <f t="shared" si="1038"/>
        <v>308</v>
      </c>
      <c r="BN128" s="115">
        <f t="shared" si="1038"/>
        <v>308</v>
      </c>
      <c r="BO128" s="115">
        <f t="shared" si="1038"/>
        <v>308</v>
      </c>
      <c r="BP128" s="115">
        <f t="shared" si="1038"/>
        <v>308</v>
      </c>
      <c r="BQ128" s="115">
        <f t="shared" si="1038"/>
        <v>308</v>
      </c>
      <c r="BR128" s="115">
        <f t="shared" si="1038"/>
        <v>308</v>
      </c>
      <c r="BS128" s="115">
        <f t="shared" si="1038"/>
        <v>308</v>
      </c>
      <c r="BT128" s="115">
        <f t="shared" si="1038"/>
        <v>308</v>
      </c>
      <c r="BU128" s="115">
        <f t="shared" si="1038"/>
        <v>308</v>
      </c>
      <c r="BV128" s="115">
        <f t="shared" si="1038"/>
        <v>308</v>
      </c>
      <c r="BW128" s="187">
        <f t="shared" si="1038"/>
        <v>308</v>
      </c>
      <c r="BX128" s="115">
        <f t="shared" si="1038"/>
        <v>308</v>
      </c>
      <c r="BY128" s="115">
        <f t="shared" si="1038"/>
        <v>308</v>
      </c>
      <c r="BZ128" s="115">
        <f t="shared" si="1038"/>
        <v>308</v>
      </c>
      <c r="CA128" s="115">
        <f t="shared" si="1038"/>
        <v>308</v>
      </c>
      <c r="CB128" s="115">
        <f t="shared" si="1038"/>
        <v>308</v>
      </c>
      <c r="CC128" s="115">
        <f t="shared" si="1038"/>
        <v>308</v>
      </c>
      <c r="CD128" s="115">
        <f t="shared" si="1038"/>
        <v>308</v>
      </c>
      <c r="CE128" s="115">
        <f t="shared" si="1038"/>
        <v>308</v>
      </c>
      <c r="CF128" s="115">
        <f t="shared" si="1038"/>
        <v>308</v>
      </c>
      <c r="CG128" s="115">
        <f t="shared" si="1038"/>
        <v>308</v>
      </c>
      <c r="CH128" s="115">
        <f t="shared" si="1038"/>
        <v>308</v>
      </c>
      <c r="CI128" s="187">
        <f t="shared" si="1038"/>
        <v>308</v>
      </c>
      <c r="CJ128" s="115">
        <f t="shared" ref="CJ128:DG128" si="1039">CI128</f>
        <v>308</v>
      </c>
      <c r="CK128" s="115">
        <f t="shared" si="1039"/>
        <v>308</v>
      </c>
      <c r="CL128" s="115">
        <f t="shared" si="1039"/>
        <v>308</v>
      </c>
      <c r="CM128" s="115">
        <f t="shared" si="1039"/>
        <v>308</v>
      </c>
      <c r="CN128" s="115">
        <f t="shared" si="1039"/>
        <v>308</v>
      </c>
      <c r="CO128" s="115">
        <f t="shared" si="1039"/>
        <v>308</v>
      </c>
      <c r="CP128" s="115">
        <f t="shared" si="1039"/>
        <v>308</v>
      </c>
      <c r="CQ128" s="115">
        <f t="shared" si="1039"/>
        <v>308</v>
      </c>
      <c r="CR128" s="115">
        <f t="shared" si="1039"/>
        <v>308</v>
      </c>
      <c r="CS128" s="115">
        <f t="shared" si="1039"/>
        <v>308</v>
      </c>
      <c r="CT128" s="115">
        <f t="shared" si="1039"/>
        <v>308</v>
      </c>
      <c r="CU128" s="187">
        <f t="shared" si="1039"/>
        <v>308</v>
      </c>
      <c r="CV128" s="115">
        <f t="shared" si="1039"/>
        <v>308</v>
      </c>
      <c r="CW128" s="115">
        <f t="shared" si="1039"/>
        <v>308</v>
      </c>
      <c r="CX128" s="115">
        <f t="shared" si="1039"/>
        <v>308</v>
      </c>
      <c r="CY128" s="115">
        <f t="shared" si="1039"/>
        <v>308</v>
      </c>
      <c r="CZ128" s="115">
        <f t="shared" si="1039"/>
        <v>308</v>
      </c>
      <c r="DA128" s="115">
        <f t="shared" si="1039"/>
        <v>308</v>
      </c>
      <c r="DB128" s="115">
        <f t="shared" si="1039"/>
        <v>308</v>
      </c>
      <c r="DC128" s="115">
        <f t="shared" si="1039"/>
        <v>308</v>
      </c>
      <c r="DD128" s="115">
        <f t="shared" si="1039"/>
        <v>308</v>
      </c>
      <c r="DE128" s="115">
        <f t="shared" si="1039"/>
        <v>308</v>
      </c>
      <c r="DF128" s="115">
        <f t="shared" si="1039"/>
        <v>308</v>
      </c>
      <c r="DG128" s="115">
        <f t="shared" si="1039"/>
        <v>308</v>
      </c>
    </row>
    <row r="129" spans="1:111" x14ac:dyDescent="0.25">
      <c r="B129" s="1" t="s">
        <v>224</v>
      </c>
      <c r="C129" s="1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O129" s="51"/>
      <c r="P129" s="115">
        <v>0</v>
      </c>
      <c r="Q129" s="115">
        <v>0</v>
      </c>
      <c r="R129" s="115">
        <v>0</v>
      </c>
      <c r="S129" s="115">
        <v>60</v>
      </c>
      <c r="T129" s="115">
        <v>86.25</v>
      </c>
      <c r="U129" s="115">
        <v>0</v>
      </c>
      <c r="V129" s="115">
        <v>0</v>
      </c>
      <c r="W129" s="115">
        <v>140</v>
      </c>
      <c r="X129" s="115">
        <v>240</v>
      </c>
      <c r="Y129" s="115">
        <v>0</v>
      </c>
      <c r="Z129" s="115">
        <v>172.5</v>
      </c>
      <c r="AA129" s="115">
        <v>0</v>
      </c>
      <c r="AB129" s="115">
        <v>60</v>
      </c>
      <c r="AC129" s="115">
        <v>60</v>
      </c>
      <c r="AD129" s="115">
        <v>222.5</v>
      </c>
      <c r="AE129" s="115">
        <v>60</v>
      </c>
      <c r="AF129" s="115">
        <v>135</v>
      </c>
      <c r="AG129" s="115">
        <v>78.75</v>
      </c>
      <c r="AH129" s="115">
        <v>187.5</v>
      </c>
      <c r="AI129" s="115">
        <v>322.5</v>
      </c>
      <c r="AJ129" s="115">
        <v>75</v>
      </c>
      <c r="AK129" s="115">
        <v>537.5</v>
      </c>
      <c r="AL129" s="115">
        <v>300</v>
      </c>
      <c r="AM129" s="520">
        <v>0</v>
      </c>
      <c r="AN129" s="115">
        <v>0</v>
      </c>
      <c r="AO129" s="115">
        <v>0</v>
      </c>
      <c r="AP129" s="115">
        <v>0</v>
      </c>
      <c r="AQ129" s="115">
        <v>0</v>
      </c>
      <c r="AR129" s="115">
        <v>0</v>
      </c>
      <c r="AS129" s="115">
        <v>0</v>
      </c>
      <c r="AT129" s="115">
        <v>225</v>
      </c>
      <c r="AU129" s="115">
        <v>0</v>
      </c>
      <c r="AV129" s="115">
        <v>0</v>
      </c>
      <c r="AW129" s="187">
        <v>0</v>
      </c>
      <c r="AX129" s="115">
        <v>0</v>
      </c>
      <c r="AY129" s="187">
        <v>0</v>
      </c>
      <c r="AZ129" s="115">
        <v>0</v>
      </c>
      <c r="BA129" s="115">
        <v>0</v>
      </c>
      <c r="BB129" s="115">
        <v>0</v>
      </c>
      <c r="BC129" s="115">
        <v>0</v>
      </c>
      <c r="BD129" s="115">
        <v>0</v>
      </c>
      <c r="BE129" s="115">
        <v>0</v>
      </c>
      <c r="BF129" s="115">
        <v>0</v>
      </c>
      <c r="BG129" s="115">
        <v>0</v>
      </c>
      <c r="BH129" s="115">
        <v>0</v>
      </c>
      <c r="BI129" s="115">
        <v>0</v>
      </c>
      <c r="BJ129" s="115">
        <v>0</v>
      </c>
      <c r="BK129" s="187">
        <v>0</v>
      </c>
      <c r="BL129" s="115">
        <v>0</v>
      </c>
      <c r="BM129" s="115">
        <v>0</v>
      </c>
      <c r="BN129" s="115">
        <v>0</v>
      </c>
      <c r="BO129" s="115">
        <v>0</v>
      </c>
      <c r="BP129" s="115">
        <v>0</v>
      </c>
      <c r="BQ129" s="115">
        <v>0</v>
      </c>
      <c r="BR129" s="115">
        <v>0</v>
      </c>
      <c r="BS129" s="115">
        <v>0</v>
      </c>
      <c r="BT129" s="115">
        <v>0</v>
      </c>
      <c r="BU129" s="115">
        <v>0</v>
      </c>
      <c r="BV129" s="115">
        <v>0</v>
      </c>
      <c r="BW129" s="187">
        <v>0</v>
      </c>
      <c r="BX129" s="115">
        <v>0</v>
      </c>
      <c r="BY129" s="115">
        <v>0</v>
      </c>
      <c r="BZ129" s="115">
        <v>0</v>
      </c>
      <c r="CA129" s="115">
        <v>0</v>
      </c>
      <c r="CB129" s="115">
        <v>0</v>
      </c>
      <c r="CC129" s="115">
        <v>0</v>
      </c>
      <c r="CD129" s="115">
        <v>0</v>
      </c>
      <c r="CE129" s="115">
        <v>0</v>
      </c>
      <c r="CF129" s="115">
        <v>0</v>
      </c>
      <c r="CG129" s="115">
        <v>0</v>
      </c>
      <c r="CH129" s="115">
        <v>0</v>
      </c>
      <c r="CI129" s="187">
        <v>0</v>
      </c>
      <c r="CJ129" s="115">
        <v>0</v>
      </c>
      <c r="CK129" s="115">
        <v>0</v>
      </c>
      <c r="CL129" s="115">
        <v>0</v>
      </c>
      <c r="CM129" s="115">
        <v>0</v>
      </c>
      <c r="CN129" s="115">
        <v>0</v>
      </c>
      <c r="CO129" s="115">
        <v>0</v>
      </c>
      <c r="CP129" s="115">
        <v>0</v>
      </c>
      <c r="CQ129" s="115">
        <v>0</v>
      </c>
      <c r="CR129" s="115">
        <v>0</v>
      </c>
      <c r="CS129" s="115">
        <v>0</v>
      </c>
      <c r="CT129" s="115">
        <v>0</v>
      </c>
      <c r="CU129" s="187">
        <v>0</v>
      </c>
      <c r="CV129" s="115">
        <v>0</v>
      </c>
      <c r="CW129" s="115">
        <v>0</v>
      </c>
      <c r="CX129" s="115">
        <v>0</v>
      </c>
      <c r="CY129" s="115">
        <v>0</v>
      </c>
      <c r="CZ129" s="115">
        <v>0</v>
      </c>
      <c r="DA129" s="115">
        <v>0</v>
      </c>
      <c r="DB129" s="115">
        <v>0</v>
      </c>
      <c r="DC129" s="115">
        <v>0</v>
      </c>
      <c r="DD129" s="115">
        <v>0</v>
      </c>
      <c r="DE129" s="115">
        <v>0</v>
      </c>
      <c r="DF129" s="115">
        <v>0</v>
      </c>
      <c r="DG129" s="115">
        <v>0</v>
      </c>
    </row>
    <row r="130" spans="1:111" s="55" customFormat="1" x14ac:dyDescent="0.25">
      <c r="B130" s="55" t="s">
        <v>222</v>
      </c>
      <c r="P130" s="55">
        <f>+SUM(P128:P129)</f>
        <v>0</v>
      </c>
      <c r="Q130" s="55">
        <f t="shared" ref="Q130:V130" si="1040">+SUM(Q128:Q129)</f>
        <v>0</v>
      </c>
      <c r="R130" s="55">
        <f t="shared" si="1040"/>
        <v>-44.05</v>
      </c>
      <c r="S130" s="55">
        <f t="shared" si="1040"/>
        <v>60</v>
      </c>
      <c r="T130" s="55">
        <f t="shared" si="1040"/>
        <v>86.25</v>
      </c>
      <c r="U130" s="55">
        <f t="shared" si="1040"/>
        <v>0</v>
      </c>
      <c r="V130" s="55">
        <f t="shared" si="1040"/>
        <v>0</v>
      </c>
      <c r="W130" s="55">
        <f t="shared" ref="W130:AA130" si="1041">+SUM(W128:W129)</f>
        <v>140</v>
      </c>
      <c r="X130" s="55">
        <f t="shared" si="1041"/>
        <v>240</v>
      </c>
      <c r="Y130" s="55">
        <f t="shared" si="1041"/>
        <v>0</v>
      </c>
      <c r="Z130" s="55">
        <f t="shared" si="1041"/>
        <v>172.5</v>
      </c>
      <c r="AA130" s="55">
        <f t="shared" si="1041"/>
        <v>0</v>
      </c>
      <c r="AB130" s="55">
        <f t="shared" ref="AB130:AL130" si="1042">SUM(AB126:AB129)</f>
        <v>60</v>
      </c>
      <c r="AC130" s="55">
        <f t="shared" si="1042"/>
        <v>60</v>
      </c>
      <c r="AD130" s="55">
        <f t="shared" si="1042"/>
        <v>222.5</v>
      </c>
      <c r="AE130" s="55">
        <f t="shared" si="1042"/>
        <v>60</v>
      </c>
      <c r="AF130" s="55">
        <f t="shared" si="1042"/>
        <v>135</v>
      </c>
      <c r="AG130" s="55">
        <f t="shared" si="1042"/>
        <v>78.75</v>
      </c>
      <c r="AH130" s="55">
        <f t="shared" si="1042"/>
        <v>187.5</v>
      </c>
      <c r="AI130" s="55">
        <f t="shared" si="1042"/>
        <v>322.5</v>
      </c>
      <c r="AJ130" s="55">
        <f t="shared" si="1042"/>
        <v>75</v>
      </c>
      <c r="AK130" s="55">
        <f t="shared" si="1042"/>
        <v>845.5</v>
      </c>
      <c r="AL130" s="55">
        <f t="shared" si="1042"/>
        <v>580</v>
      </c>
      <c r="AM130" s="521">
        <f>SUM(AM126:AM129)</f>
        <v>252</v>
      </c>
      <c r="AN130" s="55">
        <f t="shared" ref="AN130:CY130" si="1043">SUM(AN126:AN129)</f>
        <v>224</v>
      </c>
      <c r="AO130" s="55">
        <f t="shared" si="1043"/>
        <v>233.5</v>
      </c>
      <c r="AP130" s="55">
        <f t="shared" ref="AP130:AQ130" si="1044">SUM(AP126:AP129)</f>
        <v>280.5</v>
      </c>
      <c r="AQ130" s="55">
        <f t="shared" si="1044"/>
        <v>252.5</v>
      </c>
      <c r="AR130" s="55">
        <f t="shared" ref="AR130:AS130" si="1045">SUM(AR126:AR129)</f>
        <v>112</v>
      </c>
      <c r="AS130" s="55">
        <f t="shared" si="1045"/>
        <v>84</v>
      </c>
      <c r="AT130" s="55">
        <f>SUM(AT126:AT129)</f>
        <v>281</v>
      </c>
      <c r="AU130" s="55">
        <f>SUM(AU126:AU129)</f>
        <v>28</v>
      </c>
      <c r="AV130" s="55">
        <f>SUM(AV126:AV129)</f>
        <v>0</v>
      </c>
      <c r="AW130" s="312">
        <f>SUM(AW126:AW129)</f>
        <v>0</v>
      </c>
      <c r="AX130" s="55">
        <f t="shared" ref="AX130" si="1046">SUM(AX126:AX129)</f>
        <v>308</v>
      </c>
      <c r="AY130" s="312">
        <f t="shared" si="1043"/>
        <v>308</v>
      </c>
      <c r="AZ130" s="55">
        <f t="shared" si="1043"/>
        <v>308</v>
      </c>
      <c r="BA130" s="55">
        <f t="shared" si="1043"/>
        <v>308</v>
      </c>
      <c r="BB130" s="55">
        <f t="shared" si="1043"/>
        <v>308</v>
      </c>
      <c r="BC130" s="55">
        <f t="shared" si="1043"/>
        <v>308</v>
      </c>
      <c r="BD130" s="55">
        <f t="shared" si="1043"/>
        <v>308</v>
      </c>
      <c r="BE130" s="55">
        <f t="shared" si="1043"/>
        <v>308</v>
      </c>
      <c r="BF130" s="55">
        <f t="shared" si="1043"/>
        <v>308</v>
      </c>
      <c r="BG130" s="55">
        <f t="shared" si="1043"/>
        <v>308</v>
      </c>
      <c r="BH130" s="55">
        <f t="shared" si="1043"/>
        <v>308</v>
      </c>
      <c r="BI130" s="55">
        <f t="shared" si="1043"/>
        <v>308</v>
      </c>
      <c r="BJ130" s="55">
        <f t="shared" si="1043"/>
        <v>308</v>
      </c>
      <c r="BK130" s="312">
        <f t="shared" si="1043"/>
        <v>308</v>
      </c>
      <c r="BL130" s="55">
        <f t="shared" si="1043"/>
        <v>308</v>
      </c>
      <c r="BM130" s="55">
        <f t="shared" si="1043"/>
        <v>308</v>
      </c>
      <c r="BN130" s="55">
        <f t="shared" si="1043"/>
        <v>308</v>
      </c>
      <c r="BO130" s="55">
        <f t="shared" si="1043"/>
        <v>308</v>
      </c>
      <c r="BP130" s="55">
        <f t="shared" si="1043"/>
        <v>308</v>
      </c>
      <c r="BQ130" s="55">
        <f t="shared" si="1043"/>
        <v>308</v>
      </c>
      <c r="BR130" s="55">
        <f t="shared" si="1043"/>
        <v>308</v>
      </c>
      <c r="BS130" s="55">
        <f t="shared" si="1043"/>
        <v>308</v>
      </c>
      <c r="BT130" s="55">
        <f t="shared" si="1043"/>
        <v>308</v>
      </c>
      <c r="BU130" s="55">
        <f t="shared" si="1043"/>
        <v>308</v>
      </c>
      <c r="BV130" s="55">
        <f t="shared" si="1043"/>
        <v>308</v>
      </c>
      <c r="BW130" s="312">
        <f t="shared" si="1043"/>
        <v>308</v>
      </c>
      <c r="BX130" s="55">
        <f t="shared" si="1043"/>
        <v>308</v>
      </c>
      <c r="BY130" s="55">
        <f t="shared" si="1043"/>
        <v>308</v>
      </c>
      <c r="BZ130" s="55">
        <f t="shared" si="1043"/>
        <v>308</v>
      </c>
      <c r="CA130" s="55">
        <f t="shared" si="1043"/>
        <v>308</v>
      </c>
      <c r="CB130" s="55">
        <f t="shared" si="1043"/>
        <v>308</v>
      </c>
      <c r="CC130" s="55">
        <f t="shared" si="1043"/>
        <v>308</v>
      </c>
      <c r="CD130" s="55">
        <f t="shared" si="1043"/>
        <v>308</v>
      </c>
      <c r="CE130" s="55">
        <f t="shared" si="1043"/>
        <v>308</v>
      </c>
      <c r="CF130" s="55">
        <f t="shared" si="1043"/>
        <v>308</v>
      </c>
      <c r="CG130" s="55">
        <f t="shared" si="1043"/>
        <v>308</v>
      </c>
      <c r="CH130" s="55">
        <f t="shared" si="1043"/>
        <v>308</v>
      </c>
      <c r="CI130" s="312">
        <f t="shared" si="1043"/>
        <v>308</v>
      </c>
      <c r="CJ130" s="55">
        <f t="shared" si="1043"/>
        <v>308</v>
      </c>
      <c r="CK130" s="55">
        <f t="shared" si="1043"/>
        <v>308</v>
      </c>
      <c r="CL130" s="55">
        <f t="shared" si="1043"/>
        <v>308</v>
      </c>
      <c r="CM130" s="55">
        <f t="shared" si="1043"/>
        <v>308</v>
      </c>
      <c r="CN130" s="55">
        <f t="shared" si="1043"/>
        <v>308</v>
      </c>
      <c r="CO130" s="55">
        <f t="shared" si="1043"/>
        <v>308</v>
      </c>
      <c r="CP130" s="55">
        <f t="shared" si="1043"/>
        <v>308</v>
      </c>
      <c r="CQ130" s="55">
        <f t="shared" si="1043"/>
        <v>308</v>
      </c>
      <c r="CR130" s="55">
        <f t="shared" si="1043"/>
        <v>308</v>
      </c>
      <c r="CS130" s="55">
        <f t="shared" si="1043"/>
        <v>308</v>
      </c>
      <c r="CT130" s="55">
        <f t="shared" si="1043"/>
        <v>308</v>
      </c>
      <c r="CU130" s="312">
        <f t="shared" si="1043"/>
        <v>308</v>
      </c>
      <c r="CV130" s="55">
        <f t="shared" si="1043"/>
        <v>308</v>
      </c>
      <c r="CW130" s="55">
        <f t="shared" si="1043"/>
        <v>308</v>
      </c>
      <c r="CX130" s="55">
        <f t="shared" si="1043"/>
        <v>308</v>
      </c>
      <c r="CY130" s="55">
        <f t="shared" si="1043"/>
        <v>308</v>
      </c>
      <c r="CZ130" s="55">
        <f t="shared" ref="CZ130:DG130" si="1047">SUM(CZ126:CZ129)</f>
        <v>308</v>
      </c>
      <c r="DA130" s="55">
        <f t="shared" si="1047"/>
        <v>308</v>
      </c>
      <c r="DB130" s="55">
        <f t="shared" si="1047"/>
        <v>308</v>
      </c>
      <c r="DC130" s="55">
        <f t="shared" si="1047"/>
        <v>308</v>
      </c>
      <c r="DD130" s="55">
        <f t="shared" si="1047"/>
        <v>308</v>
      </c>
      <c r="DE130" s="55">
        <f t="shared" si="1047"/>
        <v>308</v>
      </c>
      <c r="DF130" s="55">
        <f t="shared" si="1047"/>
        <v>308</v>
      </c>
      <c r="DG130" s="55">
        <f t="shared" si="1047"/>
        <v>308</v>
      </c>
    </row>
    <row r="131" spans="1:111" s="5" customFormat="1" x14ac:dyDescent="0.25">
      <c r="A131"/>
      <c r="B131" s="1" t="s">
        <v>28</v>
      </c>
      <c r="C131" s="1"/>
      <c r="D131" s="56">
        <f t="shared" ref="D131:J131" si="1048">(D120)+(D123)</f>
        <v>0</v>
      </c>
      <c r="E131" s="56">
        <f t="shared" si="1048"/>
        <v>0</v>
      </c>
      <c r="F131" s="56">
        <f t="shared" si="1048"/>
        <v>0</v>
      </c>
      <c r="G131" s="56">
        <f t="shared" si="1048"/>
        <v>0</v>
      </c>
      <c r="H131" s="56">
        <f t="shared" si="1048"/>
        <v>0</v>
      </c>
      <c r="I131" s="56">
        <f t="shared" si="1048"/>
        <v>0</v>
      </c>
      <c r="J131" s="56">
        <f t="shared" si="1048"/>
        <v>0</v>
      </c>
      <c r="K131" s="56">
        <f>K123+K120</f>
        <v>630</v>
      </c>
      <c r="L131" s="56">
        <f>L123+L120</f>
        <v>1678</v>
      </c>
      <c r="M131" s="56">
        <f>M123+M120</f>
        <v>3385.36</v>
      </c>
      <c r="N131" s="57">
        <f>N123+N120</f>
        <v>1822.4</v>
      </c>
      <c r="O131" s="57">
        <f>O123+O120</f>
        <v>844.1</v>
      </c>
      <c r="P131" s="57">
        <f t="shared" ref="P131:V131" si="1049">P123+P120+P130</f>
        <v>229.95999999999998</v>
      </c>
      <c r="Q131" s="57">
        <f t="shared" si="1049"/>
        <v>281.95</v>
      </c>
      <c r="R131" s="57">
        <f t="shared" si="1049"/>
        <v>158.33999999999997</v>
      </c>
      <c r="S131" s="57">
        <f t="shared" si="1049"/>
        <v>642.92000000000007</v>
      </c>
      <c r="T131" s="57">
        <f t="shared" si="1049"/>
        <v>422.39</v>
      </c>
      <c r="U131" s="57">
        <f t="shared" si="1049"/>
        <v>823.56999999999994</v>
      </c>
      <c r="V131" s="57">
        <f t="shared" si="1049"/>
        <v>836.73</v>
      </c>
      <c r="W131" s="57">
        <f t="shared" ref="W131:AA131" si="1050">W123+W120+W130</f>
        <v>733.45</v>
      </c>
      <c r="X131" s="57">
        <f t="shared" si="1050"/>
        <v>2093.1800000000003</v>
      </c>
      <c r="Y131" s="57">
        <f t="shared" si="1050"/>
        <v>953.3</v>
      </c>
      <c r="Z131" s="57">
        <f t="shared" si="1050"/>
        <v>1059.99</v>
      </c>
      <c r="AA131" s="57">
        <f t="shared" si="1050"/>
        <v>1057.02</v>
      </c>
      <c r="AB131" s="57">
        <f t="shared" ref="AB131" si="1051">AB123+AB120+AB130</f>
        <v>1591.78</v>
      </c>
      <c r="AC131" s="57">
        <f t="shared" ref="AC131:AD131" si="1052">AC123+AC120+AC130</f>
        <v>1046.3200000000002</v>
      </c>
      <c r="AD131" s="57">
        <f t="shared" si="1052"/>
        <v>475.28999999999996</v>
      </c>
      <c r="AE131" s="57">
        <f t="shared" ref="AE131" si="1053">AE123+AE120+AE130</f>
        <v>1860.49</v>
      </c>
      <c r="AF131" s="57">
        <f t="shared" ref="AF131:AG131" si="1054">AF123+AF120+AF130</f>
        <v>2408.09</v>
      </c>
      <c r="AG131" s="57">
        <f t="shared" si="1054"/>
        <v>2419.46</v>
      </c>
      <c r="AH131" s="57">
        <f t="shared" ref="AH131" si="1055">AH123+AH120+AH130</f>
        <v>5806.49</v>
      </c>
      <c r="AI131" s="57">
        <f t="shared" ref="AI131:AJ131" si="1056">AI123+AI120+AI130</f>
        <v>6831.99</v>
      </c>
      <c r="AJ131" s="57">
        <f t="shared" si="1056"/>
        <v>7475.02</v>
      </c>
      <c r="AK131" s="57">
        <f t="shared" ref="AK131" si="1057">AK123+AK120+AK130</f>
        <v>9430.17</v>
      </c>
      <c r="AL131" s="57">
        <f t="shared" ref="AL131:AM131" si="1058">AL123+AL120+AL130</f>
        <v>7689.4</v>
      </c>
      <c r="AM131" s="523">
        <f t="shared" si="1058"/>
        <v>3914.83</v>
      </c>
      <c r="AN131" s="57">
        <f t="shared" ref="AN131:AO131" si="1059">AN123+AN120+AN130</f>
        <v>6311.34</v>
      </c>
      <c r="AO131" s="57">
        <f t="shared" si="1059"/>
        <v>3464.5</v>
      </c>
      <c r="AP131" s="57">
        <f t="shared" ref="AP131:AQ131" si="1060">AP123+AP120+AP130</f>
        <v>2703.19</v>
      </c>
      <c r="AQ131" s="57">
        <f t="shared" si="1060"/>
        <v>2336.5299999999997</v>
      </c>
      <c r="AR131" s="57">
        <f t="shared" ref="AR131:AS131" si="1061">AR123+AR120+AR130</f>
        <v>2883.83</v>
      </c>
      <c r="AS131" s="57">
        <f t="shared" si="1061"/>
        <v>4350.75</v>
      </c>
      <c r="AT131" s="57">
        <f t="shared" ref="AT131:AU131" si="1062">AT123+AT120+AT130</f>
        <v>7636.08</v>
      </c>
      <c r="AU131" s="57">
        <f t="shared" si="1062"/>
        <v>8174.97</v>
      </c>
      <c r="AV131" s="57">
        <f t="shared" ref="AV131:AW131" si="1063">AV123+AV120+AV130</f>
        <v>17470.7</v>
      </c>
      <c r="AW131" s="313">
        <f t="shared" si="1063"/>
        <v>31034.12</v>
      </c>
      <c r="AX131" s="57">
        <f t="shared" ref="AX131" si="1064">AX123+AX120+AX130</f>
        <v>28173.672681889097</v>
      </c>
      <c r="AY131" s="313">
        <f t="shared" ref="AY131:CB131" si="1065">AY123+AY120+AY130</f>
        <v>29974.033816103656</v>
      </c>
      <c r="AZ131" s="57">
        <f t="shared" si="1065"/>
        <v>32678.955825634617</v>
      </c>
      <c r="BA131" s="57">
        <f t="shared" si="1065"/>
        <v>32301.646764221379</v>
      </c>
      <c r="BB131" s="57">
        <f t="shared" si="1065"/>
        <v>29357.008199322187</v>
      </c>
      <c r="BC131" s="57">
        <f t="shared" si="1065"/>
        <v>20836.252613956633</v>
      </c>
      <c r="BD131" s="57">
        <f t="shared" si="1065"/>
        <v>14678.094033159912</v>
      </c>
      <c r="BE131" s="57">
        <f t="shared" si="1065"/>
        <v>12073.935219075027</v>
      </c>
      <c r="BF131" s="57">
        <f t="shared" si="1065"/>
        <v>13672.693428537819</v>
      </c>
      <c r="BG131" s="57">
        <f t="shared" si="1065"/>
        <v>17461.397038451054</v>
      </c>
      <c r="BH131" s="57">
        <f t="shared" si="1065"/>
        <v>28067.002189521525</v>
      </c>
      <c r="BI131" s="57">
        <f t="shared" si="1065"/>
        <v>46134.441863390166</v>
      </c>
      <c r="BJ131" s="57">
        <f t="shared" si="1065"/>
        <v>46281.045332880371</v>
      </c>
      <c r="BK131" s="313">
        <f t="shared" si="1065"/>
        <v>50780.216841781432</v>
      </c>
      <c r="BL131" s="57">
        <f t="shared" si="1065"/>
        <v>55208.10376485312</v>
      </c>
      <c r="BM131" s="57">
        <f t="shared" si="1065"/>
        <v>57739.100523001158</v>
      </c>
      <c r="BN131" s="57">
        <f t="shared" si="1065"/>
        <v>58288.150186518818</v>
      </c>
      <c r="BO131" s="57">
        <f t="shared" si="1065"/>
        <v>51136.12781832763</v>
      </c>
      <c r="BP131" s="57">
        <f t="shared" si="1065"/>
        <v>47234.376357214453</v>
      </c>
      <c r="BQ131" s="57">
        <f t="shared" si="1065"/>
        <v>48326.975392132234</v>
      </c>
      <c r="BR131" s="57">
        <f t="shared" si="1065"/>
        <v>54531.37988374511</v>
      </c>
      <c r="BS131" s="57">
        <f t="shared" si="1065"/>
        <v>65555.637470297312</v>
      </c>
      <c r="BT131" s="57">
        <f t="shared" si="1065"/>
        <v>84953.584044602714</v>
      </c>
      <c r="BU131" s="57">
        <f t="shared" si="1065"/>
        <v>112842.70406928047</v>
      </c>
      <c r="BV131" s="57">
        <f t="shared" si="1065"/>
        <v>119960.59043506045</v>
      </c>
      <c r="BW131" s="313">
        <f t="shared" si="1065"/>
        <v>131122.19568370638</v>
      </c>
      <c r="BX131" s="57">
        <f t="shared" si="1065"/>
        <v>140595.10435710088</v>
      </c>
      <c r="BY131" s="57">
        <f t="shared" si="1065"/>
        <v>148216.90943309033</v>
      </c>
      <c r="BZ131" s="57">
        <f t="shared" si="1065"/>
        <v>152432.73857549953</v>
      </c>
      <c r="CA131" s="57">
        <f t="shared" si="1065"/>
        <v>145048.26138375278</v>
      </c>
      <c r="CB131" s="57">
        <f t="shared" si="1065"/>
        <v>143882.03420300962</v>
      </c>
      <c r="CC131" s="57">
        <f t="shared" ref="CC131:DG131" si="1066">CC123+CC120+CC130</f>
        <v>148341.93244231271</v>
      </c>
      <c r="CD131" s="57">
        <f t="shared" si="1066"/>
        <v>159186.1899224458</v>
      </c>
      <c r="CE131" s="57">
        <f t="shared" si="1066"/>
        <v>179310.13807983242</v>
      </c>
      <c r="CF131" s="57">
        <f t="shared" si="1066"/>
        <v>207440.55738665132</v>
      </c>
      <c r="CG131" s="57">
        <f t="shared" si="1066"/>
        <v>252051.18935903371</v>
      </c>
      <c r="CH131" s="57">
        <f t="shared" si="1066"/>
        <v>265989.03683471616</v>
      </c>
      <c r="CI131" s="313">
        <f t="shared" si="1066"/>
        <v>281811.58903457393</v>
      </c>
      <c r="CJ131" s="57">
        <f t="shared" si="1066"/>
        <v>303626.36882791284</v>
      </c>
      <c r="CK131" s="57">
        <f t="shared" si="1066"/>
        <v>318006.90101319196</v>
      </c>
      <c r="CL131" s="57">
        <f t="shared" si="1066"/>
        <v>327683.80189081829</v>
      </c>
      <c r="CM131" s="57">
        <f t="shared" si="1066"/>
        <v>323201.48957778711</v>
      </c>
      <c r="CN131" s="57">
        <f t="shared" si="1066"/>
        <v>326634.37089015485</v>
      </c>
      <c r="CO131" s="57">
        <f t="shared" si="1066"/>
        <v>336983.86949206772</v>
      </c>
      <c r="CP131" s="57">
        <f t="shared" si="1066"/>
        <v>359257.14856008784</v>
      </c>
      <c r="CQ131" s="57">
        <f t="shared" si="1066"/>
        <v>392872.39079344313</v>
      </c>
      <c r="CR131" s="57">
        <f t="shared" si="1066"/>
        <v>435149.23125921382</v>
      </c>
      <c r="CS131" s="57">
        <f t="shared" si="1066"/>
        <v>507959.77423598361</v>
      </c>
      <c r="CT131" s="57">
        <f t="shared" si="1066"/>
        <v>533668.0792057527</v>
      </c>
      <c r="CU131" s="313">
        <f t="shared" si="1066"/>
        <v>561782.82031138404</v>
      </c>
      <c r="CV131" s="57">
        <f t="shared" si="1066"/>
        <v>599065.29546050273</v>
      </c>
      <c r="CW131" s="57">
        <f t="shared" si="1066"/>
        <v>625550.3788175754</v>
      </c>
      <c r="CX131" s="57">
        <f t="shared" si="1066"/>
        <v>641823.98750224058</v>
      </c>
      <c r="CY131" s="57">
        <f t="shared" si="1066"/>
        <v>642533.79680954246</v>
      </c>
      <c r="CZ131" s="57">
        <f t="shared" si="1066"/>
        <v>653417.4313201101</v>
      </c>
      <c r="DA131" s="57">
        <f t="shared" si="1066"/>
        <v>672285.14521005622</v>
      </c>
      <c r="DB131" s="57">
        <f t="shared" si="1066"/>
        <v>712435.63946652785</v>
      </c>
      <c r="DC131" s="57">
        <f t="shared" si="1066"/>
        <v>762997.41801615653</v>
      </c>
      <c r="DD131" s="57">
        <f t="shared" si="1066"/>
        <v>832630.82631805947</v>
      </c>
      <c r="DE131" s="57">
        <f t="shared" si="1066"/>
        <v>941149.59665578767</v>
      </c>
      <c r="DF131" s="57">
        <f t="shared" si="1066"/>
        <v>980613.43600689399</v>
      </c>
      <c r="DG131" s="57">
        <f t="shared" si="1066"/>
        <v>1028915.6496612269</v>
      </c>
    </row>
    <row r="132" spans="1:111" s="55" customFormat="1" x14ac:dyDescent="0.25">
      <c r="B132" s="55" t="s">
        <v>29</v>
      </c>
      <c r="D132" s="55">
        <f t="shared" ref="D132:M132" si="1067">D131</f>
        <v>0</v>
      </c>
      <c r="E132" s="55">
        <f t="shared" si="1067"/>
        <v>0</v>
      </c>
      <c r="F132" s="55">
        <f t="shared" si="1067"/>
        <v>0</v>
      </c>
      <c r="G132" s="55">
        <f t="shared" si="1067"/>
        <v>0</v>
      </c>
      <c r="H132" s="55">
        <f t="shared" si="1067"/>
        <v>0</v>
      </c>
      <c r="I132" s="55">
        <f t="shared" si="1067"/>
        <v>0</v>
      </c>
      <c r="J132" s="55">
        <f t="shared" si="1067"/>
        <v>0</v>
      </c>
      <c r="K132" s="55">
        <f t="shared" si="1067"/>
        <v>630</v>
      </c>
      <c r="L132" s="55">
        <f t="shared" si="1067"/>
        <v>1678</v>
      </c>
      <c r="M132" s="55">
        <f t="shared" si="1067"/>
        <v>3385.36</v>
      </c>
      <c r="N132" s="55">
        <f>N131</f>
        <v>1822.4</v>
      </c>
      <c r="O132" s="55">
        <f t="shared" ref="O132:BZ132" si="1068">O131</f>
        <v>844.1</v>
      </c>
      <c r="P132" s="55">
        <f t="shared" ref="P132:W132" si="1069">P131</f>
        <v>229.95999999999998</v>
      </c>
      <c r="Q132" s="55">
        <f t="shared" si="1069"/>
        <v>281.95</v>
      </c>
      <c r="R132" s="55">
        <f t="shared" si="1069"/>
        <v>158.33999999999997</v>
      </c>
      <c r="S132" s="55">
        <f t="shared" si="1069"/>
        <v>642.92000000000007</v>
      </c>
      <c r="T132" s="55">
        <f t="shared" si="1069"/>
        <v>422.39</v>
      </c>
      <c r="U132" s="55">
        <f t="shared" si="1069"/>
        <v>823.56999999999994</v>
      </c>
      <c r="V132" s="55">
        <f t="shared" si="1069"/>
        <v>836.73</v>
      </c>
      <c r="W132" s="55">
        <f t="shared" si="1069"/>
        <v>733.45</v>
      </c>
      <c r="X132" s="55">
        <f t="shared" ref="X132:Y132" si="1070">X131</f>
        <v>2093.1800000000003</v>
      </c>
      <c r="Y132" s="55">
        <f t="shared" si="1070"/>
        <v>953.3</v>
      </c>
      <c r="Z132" s="55">
        <f t="shared" ref="Z132" si="1071">Z131</f>
        <v>1059.99</v>
      </c>
      <c r="AA132" s="55">
        <f t="shared" ref="AA132:AB132" si="1072">AA131</f>
        <v>1057.02</v>
      </c>
      <c r="AB132" s="55">
        <f t="shared" si="1072"/>
        <v>1591.78</v>
      </c>
      <c r="AC132" s="55">
        <f t="shared" ref="AC132:AD132" si="1073">AC131</f>
        <v>1046.3200000000002</v>
      </c>
      <c r="AD132" s="55">
        <f t="shared" si="1073"/>
        <v>475.28999999999996</v>
      </c>
      <c r="AE132" s="55">
        <f t="shared" ref="AE132" si="1074">AE131</f>
        <v>1860.49</v>
      </c>
      <c r="AF132" s="55">
        <f t="shared" ref="AF132:AG132" si="1075">AF131</f>
        <v>2408.09</v>
      </c>
      <c r="AG132" s="55">
        <f t="shared" si="1075"/>
        <v>2419.46</v>
      </c>
      <c r="AH132" s="55">
        <f t="shared" ref="AH132" si="1076">AH131</f>
        <v>5806.49</v>
      </c>
      <c r="AI132" s="55">
        <f t="shared" ref="AI132:AJ132" si="1077">AI131</f>
        <v>6831.99</v>
      </c>
      <c r="AJ132" s="55">
        <f t="shared" si="1077"/>
        <v>7475.02</v>
      </c>
      <c r="AK132" s="55">
        <f t="shared" ref="AK132" si="1078">AK131</f>
        <v>9430.17</v>
      </c>
      <c r="AL132" s="55">
        <f t="shared" ref="AL132:AM132" si="1079">AL131</f>
        <v>7689.4</v>
      </c>
      <c r="AM132" s="521">
        <f t="shared" si="1079"/>
        <v>3914.83</v>
      </c>
      <c r="AN132" s="55">
        <f t="shared" ref="AN132:AO132" si="1080">AN131</f>
        <v>6311.34</v>
      </c>
      <c r="AO132" s="55">
        <f t="shared" si="1080"/>
        <v>3464.5</v>
      </c>
      <c r="AP132" s="55">
        <f t="shared" ref="AP132:AQ132" si="1081">AP131</f>
        <v>2703.19</v>
      </c>
      <c r="AQ132" s="55">
        <f t="shared" si="1081"/>
        <v>2336.5299999999997</v>
      </c>
      <c r="AR132" s="55">
        <f t="shared" ref="AR132:AS132" si="1082">AR131</f>
        <v>2883.83</v>
      </c>
      <c r="AS132" s="55">
        <f t="shared" si="1082"/>
        <v>4350.75</v>
      </c>
      <c r="AT132" s="55">
        <f t="shared" ref="AT132:AU132" si="1083">AT131</f>
        <v>7636.08</v>
      </c>
      <c r="AU132" s="55">
        <f t="shared" si="1083"/>
        <v>8174.97</v>
      </c>
      <c r="AV132" s="55">
        <f t="shared" ref="AV132:AW132" si="1084">AV131</f>
        <v>17470.7</v>
      </c>
      <c r="AW132" s="312">
        <f t="shared" si="1084"/>
        <v>31034.12</v>
      </c>
      <c r="AX132" s="55">
        <f t="shared" ref="AX132" si="1085">AX131</f>
        <v>28173.672681889097</v>
      </c>
      <c r="AY132" s="312">
        <f t="shared" si="1068"/>
        <v>29974.033816103656</v>
      </c>
      <c r="AZ132" s="55">
        <f t="shared" si="1068"/>
        <v>32678.955825634617</v>
      </c>
      <c r="BA132" s="55">
        <f t="shared" si="1068"/>
        <v>32301.646764221379</v>
      </c>
      <c r="BB132" s="55">
        <f t="shared" si="1068"/>
        <v>29357.008199322187</v>
      </c>
      <c r="BC132" s="55">
        <f t="shared" si="1068"/>
        <v>20836.252613956633</v>
      </c>
      <c r="BD132" s="55">
        <f t="shared" si="1068"/>
        <v>14678.094033159912</v>
      </c>
      <c r="BE132" s="55">
        <f t="shared" si="1068"/>
        <v>12073.935219075027</v>
      </c>
      <c r="BF132" s="55">
        <f t="shared" si="1068"/>
        <v>13672.693428537819</v>
      </c>
      <c r="BG132" s="55">
        <f t="shared" si="1068"/>
        <v>17461.397038451054</v>
      </c>
      <c r="BH132" s="55">
        <f t="shared" si="1068"/>
        <v>28067.002189521525</v>
      </c>
      <c r="BI132" s="55">
        <f t="shared" si="1068"/>
        <v>46134.441863390166</v>
      </c>
      <c r="BJ132" s="55">
        <f t="shared" si="1068"/>
        <v>46281.045332880371</v>
      </c>
      <c r="BK132" s="312">
        <f t="shared" si="1068"/>
        <v>50780.216841781432</v>
      </c>
      <c r="BL132" s="55">
        <f t="shared" si="1068"/>
        <v>55208.10376485312</v>
      </c>
      <c r="BM132" s="55">
        <f t="shared" si="1068"/>
        <v>57739.100523001158</v>
      </c>
      <c r="BN132" s="55">
        <f t="shared" si="1068"/>
        <v>58288.150186518818</v>
      </c>
      <c r="BO132" s="55">
        <f t="shared" si="1068"/>
        <v>51136.12781832763</v>
      </c>
      <c r="BP132" s="55">
        <f t="shared" si="1068"/>
        <v>47234.376357214453</v>
      </c>
      <c r="BQ132" s="55">
        <f t="shared" si="1068"/>
        <v>48326.975392132234</v>
      </c>
      <c r="BR132" s="55">
        <f t="shared" si="1068"/>
        <v>54531.37988374511</v>
      </c>
      <c r="BS132" s="55">
        <f t="shared" si="1068"/>
        <v>65555.637470297312</v>
      </c>
      <c r="BT132" s="55">
        <f t="shared" si="1068"/>
        <v>84953.584044602714</v>
      </c>
      <c r="BU132" s="55">
        <f t="shared" si="1068"/>
        <v>112842.70406928047</v>
      </c>
      <c r="BV132" s="55">
        <f t="shared" si="1068"/>
        <v>119960.59043506045</v>
      </c>
      <c r="BW132" s="312">
        <f t="shared" si="1068"/>
        <v>131122.19568370638</v>
      </c>
      <c r="BX132" s="55">
        <f t="shared" si="1068"/>
        <v>140595.10435710088</v>
      </c>
      <c r="BY132" s="55">
        <f t="shared" si="1068"/>
        <v>148216.90943309033</v>
      </c>
      <c r="BZ132" s="55">
        <f t="shared" si="1068"/>
        <v>152432.73857549953</v>
      </c>
      <c r="CA132" s="55">
        <f t="shared" ref="CA132:DG132" si="1086">CA131</f>
        <v>145048.26138375278</v>
      </c>
      <c r="CB132" s="55">
        <f t="shared" si="1086"/>
        <v>143882.03420300962</v>
      </c>
      <c r="CC132" s="55">
        <f t="shared" si="1086"/>
        <v>148341.93244231271</v>
      </c>
      <c r="CD132" s="55">
        <f t="shared" si="1086"/>
        <v>159186.1899224458</v>
      </c>
      <c r="CE132" s="55">
        <f t="shared" si="1086"/>
        <v>179310.13807983242</v>
      </c>
      <c r="CF132" s="55">
        <f t="shared" si="1086"/>
        <v>207440.55738665132</v>
      </c>
      <c r="CG132" s="55">
        <f t="shared" si="1086"/>
        <v>252051.18935903371</v>
      </c>
      <c r="CH132" s="55">
        <f t="shared" si="1086"/>
        <v>265989.03683471616</v>
      </c>
      <c r="CI132" s="312">
        <f t="shared" si="1086"/>
        <v>281811.58903457393</v>
      </c>
      <c r="CJ132" s="55">
        <f t="shared" si="1086"/>
        <v>303626.36882791284</v>
      </c>
      <c r="CK132" s="55">
        <f t="shared" si="1086"/>
        <v>318006.90101319196</v>
      </c>
      <c r="CL132" s="55">
        <f t="shared" si="1086"/>
        <v>327683.80189081829</v>
      </c>
      <c r="CM132" s="55">
        <f t="shared" si="1086"/>
        <v>323201.48957778711</v>
      </c>
      <c r="CN132" s="55">
        <f t="shared" si="1086"/>
        <v>326634.37089015485</v>
      </c>
      <c r="CO132" s="55">
        <f t="shared" si="1086"/>
        <v>336983.86949206772</v>
      </c>
      <c r="CP132" s="55">
        <f t="shared" si="1086"/>
        <v>359257.14856008784</v>
      </c>
      <c r="CQ132" s="55">
        <f t="shared" si="1086"/>
        <v>392872.39079344313</v>
      </c>
      <c r="CR132" s="55">
        <f t="shared" si="1086"/>
        <v>435149.23125921382</v>
      </c>
      <c r="CS132" s="55">
        <f t="shared" si="1086"/>
        <v>507959.77423598361</v>
      </c>
      <c r="CT132" s="55">
        <f t="shared" si="1086"/>
        <v>533668.0792057527</v>
      </c>
      <c r="CU132" s="312">
        <f t="shared" si="1086"/>
        <v>561782.82031138404</v>
      </c>
      <c r="CV132" s="55">
        <f t="shared" si="1086"/>
        <v>599065.29546050273</v>
      </c>
      <c r="CW132" s="55">
        <f t="shared" si="1086"/>
        <v>625550.3788175754</v>
      </c>
      <c r="CX132" s="55">
        <f t="shared" si="1086"/>
        <v>641823.98750224058</v>
      </c>
      <c r="CY132" s="55">
        <f t="shared" si="1086"/>
        <v>642533.79680954246</v>
      </c>
      <c r="CZ132" s="55">
        <f t="shared" si="1086"/>
        <v>653417.4313201101</v>
      </c>
      <c r="DA132" s="55">
        <f t="shared" si="1086"/>
        <v>672285.14521005622</v>
      </c>
      <c r="DB132" s="55">
        <f t="shared" si="1086"/>
        <v>712435.63946652785</v>
      </c>
      <c r="DC132" s="55">
        <f t="shared" si="1086"/>
        <v>762997.41801615653</v>
      </c>
      <c r="DD132" s="55">
        <f t="shared" si="1086"/>
        <v>832630.82631805947</v>
      </c>
      <c r="DE132" s="55">
        <f t="shared" si="1086"/>
        <v>941149.59665578767</v>
      </c>
      <c r="DF132" s="55">
        <f t="shared" si="1086"/>
        <v>980613.43600689399</v>
      </c>
      <c r="DG132" s="55">
        <f t="shared" si="1086"/>
        <v>1028915.6496612269</v>
      </c>
    </row>
    <row r="133" spans="1:111" x14ac:dyDescent="0.25">
      <c r="B133" s="1" t="s">
        <v>30</v>
      </c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577"/>
      <c r="AN133" s="2"/>
      <c r="AO133" s="2"/>
      <c r="AP133" s="2"/>
      <c r="AQ133" s="2"/>
      <c r="AR133" s="2"/>
      <c r="AS133" s="2"/>
      <c r="AT133" s="2"/>
      <c r="AU133" s="2"/>
      <c r="AV133" s="2"/>
      <c r="AW133" s="604"/>
      <c r="AY133" s="186"/>
      <c r="BK133" s="186"/>
      <c r="BW133" s="186"/>
      <c r="CI133" s="186"/>
      <c r="CU133" s="186"/>
    </row>
    <row r="134" spans="1:111" x14ac:dyDescent="0.25">
      <c r="B134" s="1" t="s">
        <v>31</v>
      </c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577"/>
      <c r="AN134" s="2"/>
      <c r="AO134" s="2"/>
      <c r="AP134" s="2"/>
      <c r="AQ134" s="2"/>
      <c r="AR134" s="2"/>
      <c r="AS134" s="2"/>
      <c r="AT134" s="2"/>
      <c r="AU134" s="2"/>
      <c r="AV134" s="2"/>
      <c r="AW134" s="604"/>
      <c r="AY134" s="186"/>
      <c r="BK134" s="186"/>
      <c r="BW134" s="186"/>
      <c r="CI134" s="186"/>
      <c r="CU134" s="186"/>
    </row>
    <row r="135" spans="1:111" s="29" customFormat="1" x14ac:dyDescent="0.25">
      <c r="A135"/>
      <c r="B135" s="1" t="s">
        <v>209</v>
      </c>
      <c r="C135" s="1"/>
      <c r="D135" s="2"/>
      <c r="E135" s="2"/>
      <c r="F135" s="2"/>
      <c r="G135" s="2"/>
      <c r="H135" s="2"/>
      <c r="I135" s="2"/>
      <c r="J135" s="115">
        <v>0</v>
      </c>
      <c r="K135" s="115">
        <v>0</v>
      </c>
      <c r="L135" s="115">
        <v>0</v>
      </c>
      <c r="M135" s="115">
        <v>0</v>
      </c>
      <c r="N135" s="115">
        <v>0</v>
      </c>
      <c r="O135" s="115">
        <v>0</v>
      </c>
      <c r="P135" s="115">
        <v>75</v>
      </c>
      <c r="Q135" s="115">
        <v>75</v>
      </c>
      <c r="R135" s="115">
        <v>0</v>
      </c>
      <c r="S135" s="115">
        <v>75</v>
      </c>
      <c r="T135" s="115">
        <v>0</v>
      </c>
      <c r="U135" s="115">
        <v>225</v>
      </c>
      <c r="V135" s="115">
        <v>300</v>
      </c>
      <c r="W135" s="115">
        <v>375</v>
      </c>
      <c r="X135" s="115">
        <v>225</v>
      </c>
      <c r="Y135" s="115">
        <v>75</v>
      </c>
      <c r="Z135" s="115">
        <v>150</v>
      </c>
      <c r="AA135" s="115">
        <v>225</v>
      </c>
      <c r="AB135" s="115">
        <v>75</v>
      </c>
      <c r="AC135" s="115">
        <v>112.5</v>
      </c>
      <c r="AD135" s="115">
        <v>225</v>
      </c>
      <c r="AE135" s="115">
        <v>300</v>
      </c>
      <c r="AF135" s="115">
        <v>217.47</v>
      </c>
      <c r="AG135" s="115">
        <v>940.26</v>
      </c>
      <c r="AH135" s="115">
        <v>1632.37</v>
      </c>
      <c r="AI135" s="115">
        <v>1297.1199999999999</v>
      </c>
      <c r="AJ135" s="115">
        <v>1225.47</v>
      </c>
      <c r="AK135" s="115">
        <v>1524.87</v>
      </c>
      <c r="AL135" s="115">
        <v>933.28</v>
      </c>
      <c r="AM135" s="520">
        <v>1426.37</v>
      </c>
      <c r="AN135" s="115">
        <v>1310.25</v>
      </c>
      <c r="AO135" s="115">
        <v>712.5</v>
      </c>
      <c r="AP135" s="115">
        <v>465.73</v>
      </c>
      <c r="AQ135" s="115">
        <v>880.73</v>
      </c>
      <c r="AR135" s="115">
        <v>771.25</v>
      </c>
      <c r="AS135" s="115">
        <v>281.25</v>
      </c>
      <c r="AT135" s="115">
        <v>450</v>
      </c>
      <c r="AU135" s="115">
        <v>453.75</v>
      </c>
      <c r="AV135" s="115">
        <v>337.5</v>
      </c>
      <c r="AW135" s="187">
        <f>581.25</f>
        <v>581.25</v>
      </c>
      <c r="AX135" s="223">
        <v>415</v>
      </c>
      <c r="AY135" s="319">
        <f t="shared" ref="AY135:CC135" si="1087">AX135</f>
        <v>415</v>
      </c>
      <c r="AZ135" s="9">
        <f t="shared" si="1087"/>
        <v>415</v>
      </c>
      <c r="BA135" s="9">
        <f t="shared" si="1087"/>
        <v>415</v>
      </c>
      <c r="BB135" s="9">
        <f t="shared" si="1087"/>
        <v>415</v>
      </c>
      <c r="BC135" s="9">
        <f t="shared" si="1087"/>
        <v>415</v>
      </c>
      <c r="BD135" s="9">
        <f t="shared" si="1087"/>
        <v>415</v>
      </c>
      <c r="BE135" s="9">
        <f t="shared" si="1087"/>
        <v>415</v>
      </c>
      <c r="BF135" s="9">
        <f t="shared" si="1087"/>
        <v>415</v>
      </c>
      <c r="BG135" s="9">
        <f t="shared" si="1087"/>
        <v>415</v>
      </c>
      <c r="BH135" s="9">
        <f t="shared" si="1087"/>
        <v>415</v>
      </c>
      <c r="BI135" s="9">
        <f t="shared" si="1087"/>
        <v>415</v>
      </c>
      <c r="BJ135" s="9">
        <f t="shared" si="1087"/>
        <v>415</v>
      </c>
      <c r="BK135" s="319">
        <f t="shared" si="1087"/>
        <v>415</v>
      </c>
      <c r="BL135" s="9">
        <f t="shared" si="1087"/>
        <v>415</v>
      </c>
      <c r="BM135" s="9">
        <f t="shared" si="1087"/>
        <v>415</v>
      </c>
      <c r="BN135" s="9">
        <f t="shared" si="1087"/>
        <v>415</v>
      </c>
      <c r="BO135" s="9">
        <f t="shared" si="1087"/>
        <v>415</v>
      </c>
      <c r="BP135" s="9">
        <f t="shared" si="1087"/>
        <v>415</v>
      </c>
      <c r="BQ135" s="9">
        <f t="shared" si="1087"/>
        <v>415</v>
      </c>
      <c r="BR135" s="9">
        <f t="shared" si="1087"/>
        <v>415</v>
      </c>
      <c r="BS135" s="9">
        <f t="shared" si="1087"/>
        <v>415</v>
      </c>
      <c r="BT135" s="9">
        <f t="shared" si="1087"/>
        <v>415</v>
      </c>
      <c r="BU135" s="9">
        <f t="shared" si="1087"/>
        <v>415</v>
      </c>
      <c r="BV135" s="9">
        <f t="shared" si="1087"/>
        <v>415</v>
      </c>
      <c r="BW135" s="319">
        <f t="shared" si="1087"/>
        <v>415</v>
      </c>
      <c r="BX135" s="9">
        <f t="shared" si="1087"/>
        <v>415</v>
      </c>
      <c r="BY135" s="9">
        <f t="shared" si="1087"/>
        <v>415</v>
      </c>
      <c r="BZ135" s="9">
        <f t="shared" si="1087"/>
        <v>415</v>
      </c>
      <c r="CA135" s="9">
        <f t="shared" si="1087"/>
        <v>415</v>
      </c>
      <c r="CB135" s="9">
        <f t="shared" si="1087"/>
        <v>415</v>
      </c>
      <c r="CC135" s="9">
        <f t="shared" si="1087"/>
        <v>415</v>
      </c>
      <c r="CD135" s="9">
        <f t="shared" ref="CD135:DG135" si="1088">CC135</f>
        <v>415</v>
      </c>
      <c r="CE135" s="9">
        <f t="shared" si="1088"/>
        <v>415</v>
      </c>
      <c r="CF135" s="9">
        <f t="shared" si="1088"/>
        <v>415</v>
      </c>
      <c r="CG135" s="9">
        <f t="shared" si="1088"/>
        <v>415</v>
      </c>
      <c r="CH135" s="9">
        <f t="shared" si="1088"/>
        <v>415</v>
      </c>
      <c r="CI135" s="319">
        <f t="shared" si="1088"/>
        <v>415</v>
      </c>
      <c r="CJ135" s="9">
        <f t="shared" si="1088"/>
        <v>415</v>
      </c>
      <c r="CK135" s="9">
        <f t="shared" si="1088"/>
        <v>415</v>
      </c>
      <c r="CL135" s="9">
        <f t="shared" si="1088"/>
        <v>415</v>
      </c>
      <c r="CM135" s="9">
        <f t="shared" si="1088"/>
        <v>415</v>
      </c>
      <c r="CN135" s="9">
        <f t="shared" si="1088"/>
        <v>415</v>
      </c>
      <c r="CO135" s="9">
        <f t="shared" si="1088"/>
        <v>415</v>
      </c>
      <c r="CP135" s="9">
        <f t="shared" si="1088"/>
        <v>415</v>
      </c>
      <c r="CQ135" s="9">
        <f t="shared" si="1088"/>
        <v>415</v>
      </c>
      <c r="CR135" s="9">
        <f t="shared" si="1088"/>
        <v>415</v>
      </c>
      <c r="CS135" s="9">
        <f t="shared" si="1088"/>
        <v>415</v>
      </c>
      <c r="CT135" s="9">
        <f t="shared" si="1088"/>
        <v>415</v>
      </c>
      <c r="CU135" s="319">
        <f t="shared" si="1088"/>
        <v>415</v>
      </c>
      <c r="CV135" s="9">
        <f t="shared" si="1088"/>
        <v>415</v>
      </c>
      <c r="CW135" s="9">
        <f t="shared" si="1088"/>
        <v>415</v>
      </c>
      <c r="CX135" s="9">
        <f t="shared" si="1088"/>
        <v>415</v>
      </c>
      <c r="CY135" s="9">
        <f t="shared" si="1088"/>
        <v>415</v>
      </c>
      <c r="CZ135" s="9">
        <f t="shared" si="1088"/>
        <v>415</v>
      </c>
      <c r="DA135" s="9">
        <f t="shared" si="1088"/>
        <v>415</v>
      </c>
      <c r="DB135" s="9">
        <f t="shared" si="1088"/>
        <v>415</v>
      </c>
      <c r="DC135" s="9">
        <f t="shared" si="1088"/>
        <v>415</v>
      </c>
      <c r="DD135" s="9">
        <f t="shared" si="1088"/>
        <v>415</v>
      </c>
      <c r="DE135" s="9">
        <f t="shared" si="1088"/>
        <v>415</v>
      </c>
      <c r="DF135" s="9">
        <f t="shared" si="1088"/>
        <v>415</v>
      </c>
      <c r="DG135" s="9">
        <f t="shared" si="1088"/>
        <v>415</v>
      </c>
    </row>
    <row r="136" spans="1:111" x14ac:dyDescent="0.25">
      <c r="A136" s="5"/>
      <c r="B136" s="6" t="s">
        <v>367</v>
      </c>
      <c r="C136" s="6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>
        <f>SUM(AH135)</f>
        <v>1632.37</v>
      </c>
      <c r="AI136" s="54">
        <f t="shared" ref="AI136:CT136" si="1089">SUM(AI135)</f>
        <v>1297.1199999999999</v>
      </c>
      <c r="AJ136" s="54">
        <f t="shared" si="1089"/>
        <v>1225.47</v>
      </c>
      <c r="AK136" s="54">
        <f t="shared" si="1089"/>
        <v>1524.87</v>
      </c>
      <c r="AL136" s="54">
        <f t="shared" si="1089"/>
        <v>933.28</v>
      </c>
      <c r="AM136" s="573">
        <f t="shared" si="1089"/>
        <v>1426.37</v>
      </c>
      <c r="AN136" s="54">
        <f t="shared" si="1089"/>
        <v>1310.25</v>
      </c>
      <c r="AO136" s="54">
        <f t="shared" ref="AO136:AP136" si="1090">SUM(AO135)</f>
        <v>712.5</v>
      </c>
      <c r="AP136" s="54">
        <f t="shared" si="1090"/>
        <v>465.73</v>
      </c>
      <c r="AQ136" s="54">
        <f t="shared" ref="AQ136:AR136" si="1091">SUM(AQ135)</f>
        <v>880.73</v>
      </c>
      <c r="AR136" s="54">
        <f t="shared" si="1091"/>
        <v>771.25</v>
      </c>
      <c r="AS136" s="54">
        <f t="shared" ref="AS136:AT136" si="1092">SUM(AS135)</f>
        <v>281.25</v>
      </c>
      <c r="AT136" s="54">
        <f t="shared" si="1092"/>
        <v>450</v>
      </c>
      <c r="AU136" s="54">
        <f t="shared" ref="AU136:AV136" si="1093">SUM(AU135)</f>
        <v>453.75</v>
      </c>
      <c r="AV136" s="54">
        <f t="shared" si="1093"/>
        <v>337.5</v>
      </c>
      <c r="AW136" s="314">
        <f t="shared" ref="AW136" si="1094">SUM(AW135)</f>
        <v>581.25</v>
      </c>
      <c r="AX136" s="54">
        <f t="shared" ref="AX136" si="1095">SUM(AX135)</f>
        <v>415</v>
      </c>
      <c r="AY136" s="314">
        <f t="shared" si="1089"/>
        <v>415</v>
      </c>
      <c r="AZ136" s="54">
        <f t="shared" si="1089"/>
        <v>415</v>
      </c>
      <c r="BA136" s="54">
        <f t="shared" si="1089"/>
        <v>415</v>
      </c>
      <c r="BB136" s="54">
        <f t="shared" si="1089"/>
        <v>415</v>
      </c>
      <c r="BC136" s="54">
        <f t="shared" si="1089"/>
        <v>415</v>
      </c>
      <c r="BD136" s="54">
        <f t="shared" si="1089"/>
        <v>415</v>
      </c>
      <c r="BE136" s="54">
        <f t="shared" si="1089"/>
        <v>415</v>
      </c>
      <c r="BF136" s="54">
        <f t="shared" si="1089"/>
        <v>415</v>
      </c>
      <c r="BG136" s="54">
        <f t="shared" si="1089"/>
        <v>415</v>
      </c>
      <c r="BH136" s="54">
        <f t="shared" si="1089"/>
        <v>415</v>
      </c>
      <c r="BI136" s="54">
        <f t="shared" si="1089"/>
        <v>415</v>
      </c>
      <c r="BJ136" s="54">
        <f t="shared" si="1089"/>
        <v>415</v>
      </c>
      <c r="BK136" s="314">
        <f t="shared" si="1089"/>
        <v>415</v>
      </c>
      <c r="BL136" s="54">
        <f t="shared" si="1089"/>
        <v>415</v>
      </c>
      <c r="BM136" s="54">
        <f t="shared" si="1089"/>
        <v>415</v>
      </c>
      <c r="BN136" s="54">
        <f t="shared" si="1089"/>
        <v>415</v>
      </c>
      <c r="BO136" s="54">
        <f t="shared" si="1089"/>
        <v>415</v>
      </c>
      <c r="BP136" s="54">
        <f t="shared" si="1089"/>
        <v>415</v>
      </c>
      <c r="BQ136" s="54">
        <f t="shared" si="1089"/>
        <v>415</v>
      </c>
      <c r="BR136" s="54">
        <f t="shared" si="1089"/>
        <v>415</v>
      </c>
      <c r="BS136" s="54">
        <f t="shared" si="1089"/>
        <v>415</v>
      </c>
      <c r="BT136" s="54">
        <f t="shared" si="1089"/>
        <v>415</v>
      </c>
      <c r="BU136" s="54">
        <f t="shared" si="1089"/>
        <v>415</v>
      </c>
      <c r="BV136" s="54">
        <f t="shared" si="1089"/>
        <v>415</v>
      </c>
      <c r="BW136" s="314">
        <f t="shared" si="1089"/>
        <v>415</v>
      </c>
      <c r="BX136" s="54">
        <f t="shared" si="1089"/>
        <v>415</v>
      </c>
      <c r="BY136" s="54">
        <f t="shared" si="1089"/>
        <v>415</v>
      </c>
      <c r="BZ136" s="54">
        <f t="shared" si="1089"/>
        <v>415</v>
      </c>
      <c r="CA136" s="54">
        <f t="shared" si="1089"/>
        <v>415</v>
      </c>
      <c r="CB136" s="54">
        <f t="shared" si="1089"/>
        <v>415</v>
      </c>
      <c r="CC136" s="54">
        <f t="shared" si="1089"/>
        <v>415</v>
      </c>
      <c r="CD136" s="54">
        <f t="shared" si="1089"/>
        <v>415</v>
      </c>
      <c r="CE136" s="54">
        <f t="shared" si="1089"/>
        <v>415</v>
      </c>
      <c r="CF136" s="54">
        <f t="shared" si="1089"/>
        <v>415</v>
      </c>
      <c r="CG136" s="54">
        <f t="shared" si="1089"/>
        <v>415</v>
      </c>
      <c r="CH136" s="54">
        <f t="shared" si="1089"/>
        <v>415</v>
      </c>
      <c r="CI136" s="314">
        <f t="shared" si="1089"/>
        <v>415</v>
      </c>
      <c r="CJ136" s="54">
        <f t="shared" si="1089"/>
        <v>415</v>
      </c>
      <c r="CK136" s="54">
        <f t="shared" si="1089"/>
        <v>415</v>
      </c>
      <c r="CL136" s="54">
        <f t="shared" si="1089"/>
        <v>415</v>
      </c>
      <c r="CM136" s="54">
        <f t="shared" si="1089"/>
        <v>415</v>
      </c>
      <c r="CN136" s="54">
        <f t="shared" si="1089"/>
        <v>415</v>
      </c>
      <c r="CO136" s="54">
        <f t="shared" si="1089"/>
        <v>415</v>
      </c>
      <c r="CP136" s="54">
        <f t="shared" si="1089"/>
        <v>415</v>
      </c>
      <c r="CQ136" s="54">
        <f t="shared" si="1089"/>
        <v>415</v>
      </c>
      <c r="CR136" s="54">
        <f t="shared" si="1089"/>
        <v>415</v>
      </c>
      <c r="CS136" s="54">
        <f t="shared" si="1089"/>
        <v>415</v>
      </c>
      <c r="CT136" s="54">
        <f t="shared" si="1089"/>
        <v>415</v>
      </c>
      <c r="CU136" s="314">
        <f t="shared" ref="CU136:DG136" si="1096">SUM(CU135)</f>
        <v>415</v>
      </c>
      <c r="CV136" s="54">
        <f t="shared" si="1096"/>
        <v>415</v>
      </c>
      <c r="CW136" s="54">
        <f t="shared" si="1096"/>
        <v>415</v>
      </c>
      <c r="CX136" s="54">
        <f t="shared" si="1096"/>
        <v>415</v>
      </c>
      <c r="CY136" s="54">
        <f t="shared" si="1096"/>
        <v>415</v>
      </c>
      <c r="CZ136" s="54">
        <f t="shared" si="1096"/>
        <v>415</v>
      </c>
      <c r="DA136" s="54">
        <f t="shared" si="1096"/>
        <v>415</v>
      </c>
      <c r="DB136" s="54">
        <f t="shared" si="1096"/>
        <v>415</v>
      </c>
      <c r="DC136" s="54">
        <f t="shared" si="1096"/>
        <v>415</v>
      </c>
      <c r="DD136" s="54">
        <f t="shared" si="1096"/>
        <v>415</v>
      </c>
      <c r="DE136" s="54">
        <f t="shared" si="1096"/>
        <v>415</v>
      </c>
      <c r="DF136" s="54">
        <f t="shared" si="1096"/>
        <v>415</v>
      </c>
      <c r="DG136" s="54">
        <f t="shared" si="1096"/>
        <v>415</v>
      </c>
    </row>
    <row r="137" spans="1:111" s="29" customFormat="1" x14ac:dyDescent="0.25">
      <c r="A137"/>
      <c r="B137" s="1" t="s">
        <v>368</v>
      </c>
      <c r="C137" s="1"/>
      <c r="D137" s="2"/>
      <c r="E137" s="2"/>
      <c r="F137" s="2"/>
      <c r="G137" s="2"/>
      <c r="H137" s="2"/>
      <c r="I137" s="2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520"/>
      <c r="AN137" s="115"/>
      <c r="AO137" s="115"/>
      <c r="AP137" s="115"/>
      <c r="AQ137" s="115"/>
      <c r="AR137" s="115"/>
      <c r="AS137" s="115"/>
      <c r="AT137" s="115"/>
      <c r="AU137" s="115"/>
      <c r="AV137" s="115"/>
      <c r="AW137" s="187"/>
      <c r="AX137" s="223"/>
      <c r="AY137" s="31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31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31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31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31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</row>
    <row r="138" spans="1:111" s="29" customFormat="1" x14ac:dyDescent="0.25">
      <c r="A138"/>
      <c r="B138" s="1" t="s">
        <v>369</v>
      </c>
      <c r="C138" s="1"/>
      <c r="D138" s="2"/>
      <c r="E138" s="2"/>
      <c r="F138" s="2"/>
      <c r="G138" s="2"/>
      <c r="H138" s="2"/>
      <c r="I138" s="2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520"/>
      <c r="AN138" s="115"/>
      <c r="AO138" s="115"/>
      <c r="AP138" s="115"/>
      <c r="AQ138" s="115"/>
      <c r="AR138" s="115"/>
      <c r="AS138" s="115"/>
      <c r="AT138" s="714"/>
      <c r="AU138" s="714"/>
      <c r="AV138" s="714"/>
      <c r="AW138" s="715"/>
      <c r="AX138" s="223"/>
      <c r="AY138" s="31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31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31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31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31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</row>
    <row r="139" spans="1:111" s="29" customFormat="1" x14ac:dyDescent="0.25">
      <c r="A139"/>
      <c r="B139" s="1" t="s">
        <v>370</v>
      </c>
      <c r="C139" s="1"/>
      <c r="D139" s="2"/>
      <c r="E139" s="2"/>
      <c r="F139" s="2"/>
      <c r="G139" s="2"/>
      <c r="H139" s="2"/>
      <c r="I139" s="2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520"/>
      <c r="AN139" s="115">
        <v>1275</v>
      </c>
      <c r="AO139" s="115">
        <v>0</v>
      </c>
      <c r="AP139" s="115">
        <v>0</v>
      </c>
      <c r="AQ139" s="115">
        <v>0</v>
      </c>
      <c r="AR139" s="115">
        <v>0</v>
      </c>
      <c r="AS139" s="115">
        <v>0</v>
      </c>
      <c r="AT139" s="115">
        <v>0</v>
      </c>
      <c r="AU139" s="115">
        <v>0</v>
      </c>
      <c r="AV139" s="115">
        <v>0</v>
      </c>
      <c r="AW139" s="187">
        <v>0</v>
      </c>
      <c r="AX139" s="223">
        <v>0</v>
      </c>
      <c r="AY139" s="319">
        <f t="shared" ref="AY139:DB140" si="1097">+AX139</f>
        <v>0</v>
      </c>
      <c r="AZ139" s="9">
        <f t="shared" si="1097"/>
        <v>0</v>
      </c>
      <c r="BA139" s="9">
        <f t="shared" si="1097"/>
        <v>0</v>
      </c>
      <c r="BB139" s="9">
        <f t="shared" si="1097"/>
        <v>0</v>
      </c>
      <c r="BC139" s="9">
        <f t="shared" si="1097"/>
        <v>0</v>
      </c>
      <c r="BD139" s="9">
        <f t="shared" si="1097"/>
        <v>0</v>
      </c>
      <c r="BE139" s="9">
        <f t="shared" si="1097"/>
        <v>0</v>
      </c>
      <c r="BF139" s="9">
        <f t="shared" si="1097"/>
        <v>0</v>
      </c>
      <c r="BG139" s="9">
        <f t="shared" si="1097"/>
        <v>0</v>
      </c>
      <c r="BH139" s="9">
        <f t="shared" si="1097"/>
        <v>0</v>
      </c>
      <c r="BI139" s="9">
        <f t="shared" si="1097"/>
        <v>0</v>
      </c>
      <c r="BJ139" s="9">
        <f t="shared" si="1097"/>
        <v>0</v>
      </c>
      <c r="BK139" s="319">
        <f t="shared" si="1097"/>
        <v>0</v>
      </c>
      <c r="BL139" s="9">
        <f t="shared" si="1097"/>
        <v>0</v>
      </c>
      <c r="BM139" s="9">
        <f t="shared" si="1097"/>
        <v>0</v>
      </c>
      <c r="BN139" s="9">
        <f t="shared" si="1097"/>
        <v>0</v>
      </c>
      <c r="BO139" s="9">
        <f t="shared" si="1097"/>
        <v>0</v>
      </c>
      <c r="BP139" s="9">
        <f t="shared" si="1097"/>
        <v>0</v>
      </c>
      <c r="BQ139" s="9">
        <f t="shared" si="1097"/>
        <v>0</v>
      </c>
      <c r="BR139" s="9">
        <f t="shared" si="1097"/>
        <v>0</v>
      </c>
      <c r="BS139" s="9">
        <f t="shared" si="1097"/>
        <v>0</v>
      </c>
      <c r="BT139" s="9">
        <f t="shared" si="1097"/>
        <v>0</v>
      </c>
      <c r="BU139" s="9">
        <f t="shared" si="1097"/>
        <v>0</v>
      </c>
      <c r="BV139" s="9">
        <f t="shared" si="1097"/>
        <v>0</v>
      </c>
      <c r="BW139" s="319">
        <f t="shared" si="1097"/>
        <v>0</v>
      </c>
      <c r="BX139" s="9">
        <f t="shared" si="1097"/>
        <v>0</v>
      </c>
      <c r="BY139" s="9">
        <f t="shared" si="1097"/>
        <v>0</v>
      </c>
      <c r="BZ139" s="9">
        <f t="shared" si="1097"/>
        <v>0</v>
      </c>
      <c r="CA139" s="9">
        <f t="shared" si="1097"/>
        <v>0</v>
      </c>
      <c r="CB139" s="9">
        <f t="shared" si="1097"/>
        <v>0</v>
      </c>
      <c r="CC139" s="9">
        <f t="shared" si="1097"/>
        <v>0</v>
      </c>
      <c r="CD139" s="9">
        <f t="shared" si="1097"/>
        <v>0</v>
      </c>
      <c r="CE139" s="9">
        <f t="shared" si="1097"/>
        <v>0</v>
      </c>
      <c r="CF139" s="9">
        <f t="shared" si="1097"/>
        <v>0</v>
      </c>
      <c r="CG139" s="9">
        <f t="shared" si="1097"/>
        <v>0</v>
      </c>
      <c r="CH139" s="9">
        <f t="shared" si="1097"/>
        <v>0</v>
      </c>
      <c r="CI139" s="319">
        <f t="shared" si="1097"/>
        <v>0</v>
      </c>
      <c r="CJ139" s="9">
        <f t="shared" si="1097"/>
        <v>0</v>
      </c>
      <c r="CK139" s="9">
        <f t="shared" si="1097"/>
        <v>0</v>
      </c>
      <c r="CL139" s="9">
        <f t="shared" si="1097"/>
        <v>0</v>
      </c>
      <c r="CM139" s="9">
        <f t="shared" si="1097"/>
        <v>0</v>
      </c>
      <c r="CN139" s="9">
        <f t="shared" si="1097"/>
        <v>0</v>
      </c>
      <c r="CO139" s="9">
        <f t="shared" si="1097"/>
        <v>0</v>
      </c>
      <c r="CP139" s="9">
        <f t="shared" si="1097"/>
        <v>0</v>
      </c>
      <c r="CQ139" s="9">
        <f t="shared" si="1097"/>
        <v>0</v>
      </c>
      <c r="CR139" s="9">
        <f t="shared" si="1097"/>
        <v>0</v>
      </c>
      <c r="CS139" s="9">
        <f t="shared" si="1097"/>
        <v>0</v>
      </c>
      <c r="CT139" s="9">
        <f t="shared" si="1097"/>
        <v>0</v>
      </c>
      <c r="CU139" s="319">
        <f t="shared" si="1097"/>
        <v>0</v>
      </c>
      <c r="CV139" s="9">
        <f t="shared" si="1097"/>
        <v>0</v>
      </c>
      <c r="CW139" s="9">
        <f t="shared" si="1097"/>
        <v>0</v>
      </c>
      <c r="CX139" s="9">
        <f t="shared" si="1097"/>
        <v>0</v>
      </c>
      <c r="CY139" s="9">
        <f t="shared" si="1097"/>
        <v>0</v>
      </c>
      <c r="CZ139" s="9">
        <f t="shared" si="1097"/>
        <v>0</v>
      </c>
      <c r="DA139" s="9">
        <f t="shared" si="1097"/>
        <v>0</v>
      </c>
      <c r="DB139" s="9">
        <f t="shared" si="1097"/>
        <v>0</v>
      </c>
      <c r="DC139" s="9">
        <f t="shared" ref="DC139:DG141" si="1098">+DB139</f>
        <v>0</v>
      </c>
      <c r="DD139" s="9">
        <f t="shared" si="1098"/>
        <v>0</v>
      </c>
      <c r="DE139" s="9">
        <f t="shared" si="1098"/>
        <v>0</v>
      </c>
      <c r="DF139" s="9">
        <f t="shared" si="1098"/>
        <v>0</v>
      </c>
      <c r="DG139" s="9">
        <f t="shared" si="1098"/>
        <v>0</v>
      </c>
    </row>
    <row r="140" spans="1:111" s="29" customFormat="1" x14ac:dyDescent="0.25">
      <c r="A140"/>
      <c r="B140" s="1" t="s">
        <v>371</v>
      </c>
      <c r="C140" s="1"/>
      <c r="D140" s="2"/>
      <c r="E140" s="2"/>
      <c r="F140" s="2"/>
      <c r="G140" s="2"/>
      <c r="H140" s="2"/>
      <c r="I140" s="2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520"/>
      <c r="AN140" s="115">
        <v>137.07</v>
      </c>
      <c r="AO140" s="115">
        <v>0</v>
      </c>
      <c r="AP140" s="115">
        <v>0</v>
      </c>
      <c r="AQ140" s="115">
        <v>0</v>
      </c>
      <c r="AR140" s="115">
        <v>0</v>
      </c>
      <c r="AS140" s="115">
        <v>0</v>
      </c>
      <c r="AT140" s="115">
        <v>0</v>
      </c>
      <c r="AU140" s="115">
        <v>0</v>
      </c>
      <c r="AV140" s="115">
        <v>0</v>
      </c>
      <c r="AW140" s="187">
        <v>0</v>
      </c>
      <c r="AX140" s="223">
        <v>0</v>
      </c>
      <c r="AY140" s="319">
        <f t="shared" ref="AY140:BE140" si="1099">+AX140</f>
        <v>0</v>
      </c>
      <c r="AZ140" s="9">
        <f t="shared" si="1099"/>
        <v>0</v>
      </c>
      <c r="BA140" s="9">
        <f t="shared" si="1099"/>
        <v>0</v>
      </c>
      <c r="BB140" s="9">
        <f t="shared" si="1099"/>
        <v>0</v>
      </c>
      <c r="BC140" s="9">
        <f t="shared" si="1099"/>
        <v>0</v>
      </c>
      <c r="BD140" s="9">
        <f t="shared" si="1099"/>
        <v>0</v>
      </c>
      <c r="BE140" s="9">
        <f t="shared" si="1099"/>
        <v>0</v>
      </c>
      <c r="BF140" s="9">
        <f t="shared" si="1097"/>
        <v>0</v>
      </c>
      <c r="BG140" s="9">
        <f t="shared" si="1097"/>
        <v>0</v>
      </c>
      <c r="BH140" s="9">
        <f t="shared" si="1097"/>
        <v>0</v>
      </c>
      <c r="BI140" s="9">
        <f t="shared" si="1097"/>
        <v>0</v>
      </c>
      <c r="BJ140" s="9">
        <f t="shared" si="1097"/>
        <v>0</v>
      </c>
      <c r="BK140" s="319">
        <f t="shared" si="1097"/>
        <v>0</v>
      </c>
      <c r="BL140" s="9">
        <f t="shared" si="1097"/>
        <v>0</v>
      </c>
      <c r="BM140" s="9">
        <f t="shared" si="1097"/>
        <v>0</v>
      </c>
      <c r="BN140" s="9">
        <f t="shared" si="1097"/>
        <v>0</v>
      </c>
      <c r="BO140" s="9">
        <f t="shared" si="1097"/>
        <v>0</v>
      </c>
      <c r="BP140" s="9">
        <f t="shared" si="1097"/>
        <v>0</v>
      </c>
      <c r="BQ140" s="9">
        <f t="shared" si="1097"/>
        <v>0</v>
      </c>
      <c r="BR140" s="9">
        <f t="shared" si="1097"/>
        <v>0</v>
      </c>
      <c r="BS140" s="9">
        <f t="shared" si="1097"/>
        <v>0</v>
      </c>
      <c r="BT140" s="9">
        <f t="shared" si="1097"/>
        <v>0</v>
      </c>
      <c r="BU140" s="9">
        <f t="shared" si="1097"/>
        <v>0</v>
      </c>
      <c r="BV140" s="9">
        <f t="shared" si="1097"/>
        <v>0</v>
      </c>
      <c r="BW140" s="319">
        <f t="shared" si="1097"/>
        <v>0</v>
      </c>
      <c r="BX140" s="9">
        <f t="shared" si="1097"/>
        <v>0</v>
      </c>
      <c r="BY140" s="9">
        <f t="shared" si="1097"/>
        <v>0</v>
      </c>
      <c r="BZ140" s="9">
        <f t="shared" si="1097"/>
        <v>0</v>
      </c>
      <c r="CA140" s="9">
        <f t="shared" si="1097"/>
        <v>0</v>
      </c>
      <c r="CB140" s="9">
        <f t="shared" si="1097"/>
        <v>0</v>
      </c>
      <c r="CC140" s="9">
        <f t="shared" si="1097"/>
        <v>0</v>
      </c>
      <c r="CD140" s="9">
        <f t="shared" si="1097"/>
        <v>0</v>
      </c>
      <c r="CE140" s="9">
        <f t="shared" si="1097"/>
        <v>0</v>
      </c>
      <c r="CF140" s="9">
        <f t="shared" si="1097"/>
        <v>0</v>
      </c>
      <c r="CG140" s="9">
        <f t="shared" si="1097"/>
        <v>0</v>
      </c>
      <c r="CH140" s="9">
        <f t="shared" si="1097"/>
        <v>0</v>
      </c>
      <c r="CI140" s="319">
        <f t="shared" si="1097"/>
        <v>0</v>
      </c>
      <c r="CJ140" s="9">
        <f t="shared" si="1097"/>
        <v>0</v>
      </c>
      <c r="CK140" s="9">
        <f t="shared" si="1097"/>
        <v>0</v>
      </c>
      <c r="CL140" s="9">
        <f t="shared" si="1097"/>
        <v>0</v>
      </c>
      <c r="CM140" s="9">
        <f t="shared" si="1097"/>
        <v>0</v>
      </c>
      <c r="CN140" s="9">
        <f t="shared" si="1097"/>
        <v>0</v>
      </c>
      <c r="CO140" s="9">
        <f t="shared" si="1097"/>
        <v>0</v>
      </c>
      <c r="CP140" s="9">
        <f t="shared" si="1097"/>
        <v>0</v>
      </c>
      <c r="CQ140" s="9">
        <f t="shared" si="1097"/>
        <v>0</v>
      </c>
      <c r="CR140" s="9">
        <f t="shared" si="1097"/>
        <v>0</v>
      </c>
      <c r="CS140" s="9">
        <f t="shared" si="1097"/>
        <v>0</v>
      </c>
      <c r="CT140" s="9">
        <f t="shared" si="1097"/>
        <v>0</v>
      </c>
      <c r="CU140" s="319">
        <f t="shared" si="1097"/>
        <v>0</v>
      </c>
      <c r="CV140" s="9">
        <f t="shared" si="1097"/>
        <v>0</v>
      </c>
      <c r="CW140" s="9">
        <f t="shared" si="1097"/>
        <v>0</v>
      </c>
      <c r="CX140" s="9">
        <f t="shared" si="1097"/>
        <v>0</v>
      </c>
      <c r="CY140" s="9">
        <f t="shared" si="1097"/>
        <v>0</v>
      </c>
      <c r="CZ140" s="9">
        <f t="shared" si="1097"/>
        <v>0</v>
      </c>
      <c r="DA140" s="9">
        <f t="shared" si="1097"/>
        <v>0</v>
      </c>
      <c r="DB140" s="9">
        <f t="shared" si="1097"/>
        <v>0</v>
      </c>
      <c r="DC140" s="9">
        <f t="shared" si="1098"/>
        <v>0</v>
      </c>
      <c r="DD140" s="9">
        <f t="shared" si="1098"/>
        <v>0</v>
      </c>
      <c r="DE140" s="9">
        <f t="shared" si="1098"/>
        <v>0</v>
      </c>
      <c r="DF140" s="9">
        <f t="shared" si="1098"/>
        <v>0</v>
      </c>
      <c r="DG140" s="9">
        <f t="shared" si="1098"/>
        <v>0</v>
      </c>
    </row>
    <row r="141" spans="1:111" s="29" customFormat="1" x14ac:dyDescent="0.25">
      <c r="A141"/>
      <c r="B141" s="1" t="s">
        <v>372</v>
      </c>
      <c r="C141" s="1"/>
      <c r="D141" s="2"/>
      <c r="E141" s="2"/>
      <c r="F141" s="2"/>
      <c r="G141" s="2"/>
      <c r="H141" s="2"/>
      <c r="I141" s="2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520"/>
      <c r="AN141" s="115">
        <v>1717.2</v>
      </c>
      <c r="AO141" s="115">
        <v>692.93</v>
      </c>
      <c r="AP141" s="115">
        <v>692.93</v>
      </c>
      <c r="AQ141" s="115">
        <v>692.93</v>
      </c>
      <c r="AR141" s="115">
        <v>692.93</v>
      </c>
      <c r="AS141" s="115">
        <v>0</v>
      </c>
      <c r="AT141" s="115">
        <v>0</v>
      </c>
      <c r="AU141" s="115">
        <v>0</v>
      </c>
      <c r="AV141" s="115">
        <v>0</v>
      </c>
      <c r="AW141" s="187">
        <v>0</v>
      </c>
      <c r="AX141" s="223">
        <v>0</v>
      </c>
      <c r="AY141" s="319">
        <f t="shared" ref="AY141:DB141" si="1100">+AX141</f>
        <v>0</v>
      </c>
      <c r="AZ141" s="9">
        <f t="shared" si="1100"/>
        <v>0</v>
      </c>
      <c r="BA141" s="9">
        <f t="shared" si="1100"/>
        <v>0</v>
      </c>
      <c r="BB141" s="9">
        <f t="shared" si="1100"/>
        <v>0</v>
      </c>
      <c r="BC141" s="9">
        <f t="shared" si="1100"/>
        <v>0</v>
      </c>
      <c r="BD141" s="9">
        <f t="shared" si="1100"/>
        <v>0</v>
      </c>
      <c r="BE141" s="9">
        <f t="shared" si="1100"/>
        <v>0</v>
      </c>
      <c r="BF141" s="9">
        <f t="shared" si="1100"/>
        <v>0</v>
      </c>
      <c r="BG141" s="9">
        <f t="shared" si="1100"/>
        <v>0</v>
      </c>
      <c r="BH141" s="9">
        <f t="shared" si="1100"/>
        <v>0</v>
      </c>
      <c r="BI141" s="9">
        <f t="shared" si="1100"/>
        <v>0</v>
      </c>
      <c r="BJ141" s="9">
        <f t="shared" si="1100"/>
        <v>0</v>
      </c>
      <c r="BK141" s="319">
        <f t="shared" si="1100"/>
        <v>0</v>
      </c>
      <c r="BL141" s="9">
        <f t="shared" si="1100"/>
        <v>0</v>
      </c>
      <c r="BM141" s="9">
        <f t="shared" si="1100"/>
        <v>0</v>
      </c>
      <c r="BN141" s="9">
        <f t="shared" si="1100"/>
        <v>0</v>
      </c>
      <c r="BO141" s="9">
        <f t="shared" si="1100"/>
        <v>0</v>
      </c>
      <c r="BP141" s="9">
        <f t="shared" si="1100"/>
        <v>0</v>
      </c>
      <c r="BQ141" s="9">
        <f t="shared" si="1100"/>
        <v>0</v>
      </c>
      <c r="BR141" s="9">
        <f t="shared" si="1100"/>
        <v>0</v>
      </c>
      <c r="BS141" s="9">
        <f t="shared" si="1100"/>
        <v>0</v>
      </c>
      <c r="BT141" s="9">
        <f t="shared" si="1100"/>
        <v>0</v>
      </c>
      <c r="BU141" s="9">
        <f t="shared" si="1100"/>
        <v>0</v>
      </c>
      <c r="BV141" s="9">
        <f t="shared" si="1100"/>
        <v>0</v>
      </c>
      <c r="BW141" s="319">
        <f t="shared" si="1100"/>
        <v>0</v>
      </c>
      <c r="BX141" s="9">
        <f t="shared" si="1100"/>
        <v>0</v>
      </c>
      <c r="BY141" s="9">
        <f t="shared" si="1100"/>
        <v>0</v>
      </c>
      <c r="BZ141" s="9">
        <f t="shared" si="1100"/>
        <v>0</v>
      </c>
      <c r="CA141" s="9">
        <f t="shared" si="1100"/>
        <v>0</v>
      </c>
      <c r="CB141" s="9">
        <f t="shared" si="1100"/>
        <v>0</v>
      </c>
      <c r="CC141" s="9">
        <f t="shared" si="1100"/>
        <v>0</v>
      </c>
      <c r="CD141" s="9">
        <f t="shared" si="1100"/>
        <v>0</v>
      </c>
      <c r="CE141" s="9">
        <f t="shared" si="1100"/>
        <v>0</v>
      </c>
      <c r="CF141" s="9">
        <f t="shared" si="1100"/>
        <v>0</v>
      </c>
      <c r="CG141" s="9">
        <f t="shared" si="1100"/>
        <v>0</v>
      </c>
      <c r="CH141" s="9">
        <f t="shared" si="1100"/>
        <v>0</v>
      </c>
      <c r="CI141" s="319">
        <f t="shared" si="1100"/>
        <v>0</v>
      </c>
      <c r="CJ141" s="9">
        <f t="shared" si="1100"/>
        <v>0</v>
      </c>
      <c r="CK141" s="9">
        <f t="shared" si="1100"/>
        <v>0</v>
      </c>
      <c r="CL141" s="9">
        <f t="shared" si="1100"/>
        <v>0</v>
      </c>
      <c r="CM141" s="9">
        <f t="shared" si="1100"/>
        <v>0</v>
      </c>
      <c r="CN141" s="9">
        <f t="shared" si="1100"/>
        <v>0</v>
      </c>
      <c r="CO141" s="9">
        <f t="shared" si="1100"/>
        <v>0</v>
      </c>
      <c r="CP141" s="9">
        <f t="shared" si="1100"/>
        <v>0</v>
      </c>
      <c r="CQ141" s="9">
        <f t="shared" si="1100"/>
        <v>0</v>
      </c>
      <c r="CR141" s="9">
        <f t="shared" si="1100"/>
        <v>0</v>
      </c>
      <c r="CS141" s="9">
        <f t="shared" si="1100"/>
        <v>0</v>
      </c>
      <c r="CT141" s="9">
        <f t="shared" si="1100"/>
        <v>0</v>
      </c>
      <c r="CU141" s="319">
        <f t="shared" si="1100"/>
        <v>0</v>
      </c>
      <c r="CV141" s="9">
        <f t="shared" si="1100"/>
        <v>0</v>
      </c>
      <c r="CW141" s="9">
        <f t="shared" si="1100"/>
        <v>0</v>
      </c>
      <c r="CX141" s="9">
        <f t="shared" si="1100"/>
        <v>0</v>
      </c>
      <c r="CY141" s="9">
        <f t="shared" si="1100"/>
        <v>0</v>
      </c>
      <c r="CZ141" s="9">
        <f t="shared" si="1100"/>
        <v>0</v>
      </c>
      <c r="DA141" s="9">
        <f t="shared" si="1100"/>
        <v>0</v>
      </c>
      <c r="DB141" s="9">
        <f t="shared" si="1100"/>
        <v>0</v>
      </c>
      <c r="DC141" s="9">
        <f t="shared" si="1098"/>
        <v>0</v>
      </c>
      <c r="DD141" s="9">
        <f t="shared" si="1098"/>
        <v>0</v>
      </c>
      <c r="DE141" s="9">
        <f t="shared" si="1098"/>
        <v>0</v>
      </c>
      <c r="DF141" s="9">
        <f t="shared" si="1098"/>
        <v>0</v>
      </c>
      <c r="DG141" s="9">
        <f t="shared" si="1098"/>
        <v>0</v>
      </c>
    </row>
    <row r="142" spans="1:111" x14ac:dyDescent="0.25">
      <c r="A142" s="5"/>
      <c r="B142" s="6" t="s">
        <v>373</v>
      </c>
      <c r="C142" s="6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>
        <f t="shared" ref="AH142:AM142" si="1101">SUM(AH139:AH141)</f>
        <v>0</v>
      </c>
      <c r="AI142" s="54">
        <f t="shared" si="1101"/>
        <v>0</v>
      </c>
      <c r="AJ142" s="54">
        <f t="shared" si="1101"/>
        <v>0</v>
      </c>
      <c r="AK142" s="54">
        <f t="shared" si="1101"/>
        <v>0</v>
      </c>
      <c r="AL142" s="54">
        <f t="shared" si="1101"/>
        <v>0</v>
      </c>
      <c r="AM142" s="573">
        <f t="shared" si="1101"/>
        <v>0</v>
      </c>
      <c r="AN142" s="54">
        <f t="shared" ref="AN142:AS142" si="1102">SUM(AN139:AN141)</f>
        <v>3129.27</v>
      </c>
      <c r="AO142" s="54">
        <f t="shared" si="1102"/>
        <v>692.93</v>
      </c>
      <c r="AP142" s="54">
        <f t="shared" si="1102"/>
        <v>692.93</v>
      </c>
      <c r="AQ142" s="54">
        <f t="shared" si="1102"/>
        <v>692.93</v>
      </c>
      <c r="AR142" s="54">
        <f t="shared" si="1102"/>
        <v>692.93</v>
      </c>
      <c r="AS142" s="54">
        <f t="shared" si="1102"/>
        <v>0</v>
      </c>
      <c r="AT142" s="54">
        <f>SUM(AT138:AT141)</f>
        <v>0</v>
      </c>
      <c r="AU142" s="54">
        <f>SUM(AU138:AU141)</f>
        <v>0</v>
      </c>
      <c r="AV142" s="54">
        <f>SUM(AV138:AV141)</f>
        <v>0</v>
      </c>
      <c r="AW142" s="314">
        <f>SUM(AW138:AW141)</f>
        <v>0</v>
      </c>
      <c r="AX142" s="54">
        <f t="shared" ref="AX142" si="1103">SUM(AX139:AX141)</f>
        <v>0</v>
      </c>
      <c r="AY142" s="314">
        <f t="shared" ref="AY142:CZ142" si="1104">SUM(AY139:AY141)</f>
        <v>0</v>
      </c>
      <c r="AZ142" s="54">
        <f t="shared" si="1104"/>
        <v>0</v>
      </c>
      <c r="BA142" s="54">
        <f t="shared" si="1104"/>
        <v>0</v>
      </c>
      <c r="BB142" s="54">
        <f t="shared" si="1104"/>
        <v>0</v>
      </c>
      <c r="BC142" s="54">
        <f t="shared" si="1104"/>
        <v>0</v>
      </c>
      <c r="BD142" s="54">
        <f t="shared" si="1104"/>
        <v>0</v>
      </c>
      <c r="BE142" s="54">
        <f t="shared" si="1104"/>
        <v>0</v>
      </c>
      <c r="BF142" s="54">
        <f t="shared" si="1104"/>
        <v>0</v>
      </c>
      <c r="BG142" s="54">
        <f t="shared" si="1104"/>
        <v>0</v>
      </c>
      <c r="BH142" s="54">
        <f t="shared" si="1104"/>
        <v>0</v>
      </c>
      <c r="BI142" s="54">
        <f t="shared" si="1104"/>
        <v>0</v>
      </c>
      <c r="BJ142" s="54">
        <f t="shared" si="1104"/>
        <v>0</v>
      </c>
      <c r="BK142" s="314">
        <f t="shared" si="1104"/>
        <v>0</v>
      </c>
      <c r="BL142" s="54">
        <f t="shared" si="1104"/>
        <v>0</v>
      </c>
      <c r="BM142" s="54">
        <f t="shared" si="1104"/>
        <v>0</v>
      </c>
      <c r="BN142" s="54">
        <f t="shared" si="1104"/>
        <v>0</v>
      </c>
      <c r="BO142" s="54">
        <f t="shared" si="1104"/>
        <v>0</v>
      </c>
      <c r="BP142" s="54">
        <f t="shared" si="1104"/>
        <v>0</v>
      </c>
      <c r="BQ142" s="54">
        <f t="shared" si="1104"/>
        <v>0</v>
      </c>
      <c r="BR142" s="54">
        <f t="shared" si="1104"/>
        <v>0</v>
      </c>
      <c r="BS142" s="54">
        <f t="shared" si="1104"/>
        <v>0</v>
      </c>
      <c r="BT142" s="54">
        <f t="shared" si="1104"/>
        <v>0</v>
      </c>
      <c r="BU142" s="54">
        <f t="shared" si="1104"/>
        <v>0</v>
      </c>
      <c r="BV142" s="54">
        <f t="shared" si="1104"/>
        <v>0</v>
      </c>
      <c r="BW142" s="314">
        <f t="shared" si="1104"/>
        <v>0</v>
      </c>
      <c r="BX142" s="54">
        <f t="shared" si="1104"/>
        <v>0</v>
      </c>
      <c r="BY142" s="54">
        <f t="shared" si="1104"/>
        <v>0</v>
      </c>
      <c r="BZ142" s="54">
        <f t="shared" si="1104"/>
        <v>0</v>
      </c>
      <c r="CA142" s="54">
        <f t="shared" si="1104"/>
        <v>0</v>
      </c>
      <c r="CB142" s="54">
        <f t="shared" si="1104"/>
        <v>0</v>
      </c>
      <c r="CC142" s="54">
        <f t="shared" si="1104"/>
        <v>0</v>
      </c>
      <c r="CD142" s="54">
        <f t="shared" si="1104"/>
        <v>0</v>
      </c>
      <c r="CE142" s="54">
        <f t="shared" si="1104"/>
        <v>0</v>
      </c>
      <c r="CF142" s="54">
        <f t="shared" si="1104"/>
        <v>0</v>
      </c>
      <c r="CG142" s="54">
        <f t="shared" si="1104"/>
        <v>0</v>
      </c>
      <c r="CH142" s="54">
        <f t="shared" si="1104"/>
        <v>0</v>
      </c>
      <c r="CI142" s="314">
        <f t="shared" si="1104"/>
        <v>0</v>
      </c>
      <c r="CJ142" s="54">
        <f t="shared" si="1104"/>
        <v>0</v>
      </c>
      <c r="CK142" s="54">
        <f t="shared" si="1104"/>
        <v>0</v>
      </c>
      <c r="CL142" s="54">
        <f t="shared" si="1104"/>
        <v>0</v>
      </c>
      <c r="CM142" s="54">
        <f t="shared" si="1104"/>
        <v>0</v>
      </c>
      <c r="CN142" s="54">
        <f t="shared" si="1104"/>
        <v>0</v>
      </c>
      <c r="CO142" s="54">
        <f t="shared" si="1104"/>
        <v>0</v>
      </c>
      <c r="CP142" s="54">
        <f t="shared" si="1104"/>
        <v>0</v>
      </c>
      <c r="CQ142" s="54">
        <f t="shared" si="1104"/>
        <v>0</v>
      </c>
      <c r="CR142" s="54">
        <f t="shared" si="1104"/>
        <v>0</v>
      </c>
      <c r="CS142" s="54">
        <f t="shared" si="1104"/>
        <v>0</v>
      </c>
      <c r="CT142" s="54">
        <f t="shared" si="1104"/>
        <v>0</v>
      </c>
      <c r="CU142" s="314">
        <f t="shared" si="1104"/>
        <v>0</v>
      </c>
      <c r="CV142" s="54">
        <f t="shared" si="1104"/>
        <v>0</v>
      </c>
      <c r="CW142" s="54">
        <f t="shared" si="1104"/>
        <v>0</v>
      </c>
      <c r="CX142" s="54">
        <f t="shared" si="1104"/>
        <v>0</v>
      </c>
      <c r="CY142" s="54">
        <f t="shared" si="1104"/>
        <v>0</v>
      </c>
      <c r="CZ142" s="54">
        <f t="shared" si="1104"/>
        <v>0</v>
      </c>
      <c r="DA142" s="54">
        <f t="shared" ref="DA142:DG142" si="1105">SUM(DA139:DA141)</f>
        <v>0</v>
      </c>
      <c r="DB142" s="54">
        <f t="shared" si="1105"/>
        <v>0</v>
      </c>
      <c r="DC142" s="54">
        <f t="shared" si="1105"/>
        <v>0</v>
      </c>
      <c r="DD142" s="54">
        <f t="shared" si="1105"/>
        <v>0</v>
      </c>
      <c r="DE142" s="54">
        <f t="shared" si="1105"/>
        <v>0</v>
      </c>
      <c r="DF142" s="54">
        <f t="shared" si="1105"/>
        <v>0</v>
      </c>
      <c r="DG142" s="54">
        <f t="shared" si="1105"/>
        <v>0</v>
      </c>
    </row>
    <row r="143" spans="1:111" x14ac:dyDescent="0.25">
      <c r="A143" s="5"/>
      <c r="B143" s="6" t="s">
        <v>386</v>
      </c>
      <c r="C143" s="6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73"/>
      <c r="AN143" s="54"/>
      <c r="AO143" s="54"/>
      <c r="AP143" s="54"/>
      <c r="AQ143" s="54"/>
      <c r="AR143" s="54"/>
      <c r="AS143" s="54"/>
      <c r="AT143" s="115">
        <v>862.5</v>
      </c>
      <c r="AU143" s="115"/>
      <c r="AV143" s="115"/>
      <c r="AW143" s="187"/>
      <c r="AX143" s="54"/>
      <c r="AY143" s="31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31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31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31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314"/>
      <c r="CV143" s="54"/>
      <c r="CW143" s="54"/>
      <c r="CX143" s="54"/>
      <c r="CY143" s="54"/>
      <c r="CZ143" s="54"/>
      <c r="DA143" s="54"/>
      <c r="DB143" s="54"/>
      <c r="DC143" s="54"/>
      <c r="DD143" s="54"/>
      <c r="DE143" s="54"/>
      <c r="DF143" s="54"/>
      <c r="DG143" s="54"/>
    </row>
    <row r="144" spans="1:111" x14ac:dyDescent="0.25">
      <c r="A144" s="5"/>
      <c r="B144" s="6" t="s">
        <v>374</v>
      </c>
      <c r="C144" s="6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>
        <f t="shared" ref="AH144:AM144" si="1106">SUM(AH142)</f>
        <v>0</v>
      </c>
      <c r="AI144" s="54">
        <f t="shared" si="1106"/>
        <v>0</v>
      </c>
      <c r="AJ144" s="54">
        <f t="shared" si="1106"/>
        <v>0</v>
      </c>
      <c r="AK144" s="54">
        <f t="shared" si="1106"/>
        <v>0</v>
      </c>
      <c r="AL144" s="54">
        <f t="shared" si="1106"/>
        <v>0</v>
      </c>
      <c r="AM144" s="573">
        <f t="shared" si="1106"/>
        <v>0</v>
      </c>
      <c r="AN144" s="54">
        <f t="shared" ref="AN144:AR144" si="1107">SUM(AN142)</f>
        <v>3129.27</v>
      </c>
      <c r="AO144" s="54">
        <f t="shared" si="1107"/>
        <v>692.93</v>
      </c>
      <c r="AP144" s="54">
        <f t="shared" si="1107"/>
        <v>692.93</v>
      </c>
      <c r="AQ144" s="54">
        <f t="shared" si="1107"/>
        <v>692.93</v>
      </c>
      <c r="AR144" s="54">
        <f t="shared" si="1107"/>
        <v>692.93</v>
      </c>
      <c r="AS144" s="54">
        <f>SUM(AS142)</f>
        <v>0</v>
      </c>
      <c r="AT144" s="54">
        <f>SUM(AT142:AT143)</f>
        <v>862.5</v>
      </c>
      <c r="AU144" s="54">
        <f t="shared" ref="AU144:DF144" si="1108">SUM(AU142:AU143)</f>
        <v>0</v>
      </c>
      <c r="AV144" s="54">
        <f t="shared" ref="AV144:AW144" si="1109">SUM(AV142:AV143)</f>
        <v>0</v>
      </c>
      <c r="AW144" s="314">
        <f t="shared" si="1109"/>
        <v>0</v>
      </c>
      <c r="AX144" s="54">
        <f t="shared" ref="AX144" si="1110">SUM(AX142:AX143)</f>
        <v>0</v>
      </c>
      <c r="AY144" s="314">
        <f t="shared" si="1108"/>
        <v>0</v>
      </c>
      <c r="AZ144" s="54">
        <f t="shared" si="1108"/>
        <v>0</v>
      </c>
      <c r="BA144" s="54">
        <f t="shared" si="1108"/>
        <v>0</v>
      </c>
      <c r="BB144" s="54">
        <f t="shared" si="1108"/>
        <v>0</v>
      </c>
      <c r="BC144" s="54">
        <f t="shared" si="1108"/>
        <v>0</v>
      </c>
      <c r="BD144" s="54">
        <f t="shared" si="1108"/>
        <v>0</v>
      </c>
      <c r="BE144" s="54">
        <f t="shared" si="1108"/>
        <v>0</v>
      </c>
      <c r="BF144" s="54">
        <f t="shared" si="1108"/>
        <v>0</v>
      </c>
      <c r="BG144" s="54">
        <f t="shared" si="1108"/>
        <v>0</v>
      </c>
      <c r="BH144" s="54">
        <f t="shared" si="1108"/>
        <v>0</v>
      </c>
      <c r="BI144" s="54">
        <f t="shared" si="1108"/>
        <v>0</v>
      </c>
      <c r="BJ144" s="54">
        <f t="shared" si="1108"/>
        <v>0</v>
      </c>
      <c r="BK144" s="314">
        <f t="shared" si="1108"/>
        <v>0</v>
      </c>
      <c r="BL144" s="54">
        <f t="shared" si="1108"/>
        <v>0</v>
      </c>
      <c r="BM144" s="54">
        <f t="shared" si="1108"/>
        <v>0</v>
      </c>
      <c r="BN144" s="54">
        <f t="shared" si="1108"/>
        <v>0</v>
      </c>
      <c r="BO144" s="54">
        <f t="shared" si="1108"/>
        <v>0</v>
      </c>
      <c r="BP144" s="54">
        <f t="shared" si="1108"/>
        <v>0</v>
      </c>
      <c r="BQ144" s="54">
        <f t="shared" si="1108"/>
        <v>0</v>
      </c>
      <c r="BR144" s="54">
        <f t="shared" si="1108"/>
        <v>0</v>
      </c>
      <c r="BS144" s="54">
        <f t="shared" si="1108"/>
        <v>0</v>
      </c>
      <c r="BT144" s="54">
        <f t="shared" si="1108"/>
        <v>0</v>
      </c>
      <c r="BU144" s="54">
        <f t="shared" si="1108"/>
        <v>0</v>
      </c>
      <c r="BV144" s="54">
        <f t="shared" si="1108"/>
        <v>0</v>
      </c>
      <c r="BW144" s="314">
        <f t="shared" si="1108"/>
        <v>0</v>
      </c>
      <c r="BX144" s="54">
        <f t="shared" si="1108"/>
        <v>0</v>
      </c>
      <c r="BY144" s="54">
        <f t="shared" si="1108"/>
        <v>0</v>
      </c>
      <c r="BZ144" s="54">
        <f t="shared" si="1108"/>
        <v>0</v>
      </c>
      <c r="CA144" s="54">
        <f t="shared" si="1108"/>
        <v>0</v>
      </c>
      <c r="CB144" s="54">
        <f t="shared" si="1108"/>
        <v>0</v>
      </c>
      <c r="CC144" s="54">
        <f t="shared" si="1108"/>
        <v>0</v>
      </c>
      <c r="CD144" s="54">
        <f t="shared" si="1108"/>
        <v>0</v>
      </c>
      <c r="CE144" s="54">
        <f t="shared" si="1108"/>
        <v>0</v>
      </c>
      <c r="CF144" s="54">
        <f t="shared" si="1108"/>
        <v>0</v>
      </c>
      <c r="CG144" s="54">
        <f t="shared" si="1108"/>
        <v>0</v>
      </c>
      <c r="CH144" s="54">
        <f t="shared" si="1108"/>
        <v>0</v>
      </c>
      <c r="CI144" s="314">
        <f t="shared" si="1108"/>
        <v>0</v>
      </c>
      <c r="CJ144" s="54">
        <f t="shared" si="1108"/>
        <v>0</v>
      </c>
      <c r="CK144" s="54">
        <f t="shared" si="1108"/>
        <v>0</v>
      </c>
      <c r="CL144" s="54">
        <f t="shared" si="1108"/>
        <v>0</v>
      </c>
      <c r="CM144" s="54">
        <f t="shared" si="1108"/>
        <v>0</v>
      </c>
      <c r="CN144" s="54">
        <f t="shared" si="1108"/>
        <v>0</v>
      </c>
      <c r="CO144" s="54">
        <f t="shared" si="1108"/>
        <v>0</v>
      </c>
      <c r="CP144" s="54">
        <f t="shared" si="1108"/>
        <v>0</v>
      </c>
      <c r="CQ144" s="54">
        <f t="shared" si="1108"/>
        <v>0</v>
      </c>
      <c r="CR144" s="54">
        <f t="shared" si="1108"/>
        <v>0</v>
      </c>
      <c r="CS144" s="54">
        <f t="shared" si="1108"/>
        <v>0</v>
      </c>
      <c r="CT144" s="54">
        <f t="shared" si="1108"/>
        <v>0</v>
      </c>
      <c r="CU144" s="314">
        <f t="shared" si="1108"/>
        <v>0</v>
      </c>
      <c r="CV144" s="54">
        <f t="shared" si="1108"/>
        <v>0</v>
      </c>
      <c r="CW144" s="54">
        <f t="shared" si="1108"/>
        <v>0</v>
      </c>
      <c r="CX144" s="54">
        <f t="shared" si="1108"/>
        <v>0</v>
      </c>
      <c r="CY144" s="54">
        <f t="shared" si="1108"/>
        <v>0</v>
      </c>
      <c r="CZ144" s="54">
        <f t="shared" si="1108"/>
        <v>0</v>
      </c>
      <c r="DA144" s="54">
        <f t="shared" si="1108"/>
        <v>0</v>
      </c>
      <c r="DB144" s="54">
        <f t="shared" si="1108"/>
        <v>0</v>
      </c>
      <c r="DC144" s="54">
        <f t="shared" si="1108"/>
        <v>0</v>
      </c>
      <c r="DD144" s="54">
        <f t="shared" si="1108"/>
        <v>0</v>
      </c>
      <c r="DE144" s="54">
        <f t="shared" si="1108"/>
        <v>0</v>
      </c>
      <c r="DF144" s="54">
        <f t="shared" si="1108"/>
        <v>0</v>
      </c>
      <c r="DG144" s="54">
        <f t="shared" ref="DG144" si="1111">SUM(DG142:DG143)</f>
        <v>0</v>
      </c>
    </row>
    <row r="145" spans="1:111" x14ac:dyDescent="0.25">
      <c r="B145" s="1" t="s">
        <v>32</v>
      </c>
      <c r="C145" s="1"/>
      <c r="D145" s="2"/>
      <c r="E145" s="2"/>
      <c r="F145" s="2"/>
      <c r="G145" s="2"/>
      <c r="H145" s="2"/>
      <c r="I145" s="2"/>
      <c r="J145" s="54">
        <f t="shared" ref="J145:W145" si="1112">SUM(J135)</f>
        <v>0</v>
      </c>
      <c r="K145" s="54">
        <f t="shared" si="1112"/>
        <v>0</v>
      </c>
      <c r="L145" s="54">
        <f t="shared" si="1112"/>
        <v>0</v>
      </c>
      <c r="M145" s="54">
        <f t="shared" si="1112"/>
        <v>0</v>
      </c>
      <c r="N145" s="54">
        <f t="shared" si="1112"/>
        <v>0</v>
      </c>
      <c r="O145" s="54">
        <f t="shared" si="1112"/>
        <v>0</v>
      </c>
      <c r="P145" s="54">
        <f t="shared" si="1112"/>
        <v>75</v>
      </c>
      <c r="Q145" s="54">
        <f t="shared" si="1112"/>
        <v>75</v>
      </c>
      <c r="R145" s="54">
        <f t="shared" si="1112"/>
        <v>0</v>
      </c>
      <c r="S145" s="54">
        <f t="shared" si="1112"/>
        <v>75</v>
      </c>
      <c r="T145" s="54">
        <f t="shared" si="1112"/>
        <v>0</v>
      </c>
      <c r="U145" s="54">
        <f t="shared" si="1112"/>
        <v>225</v>
      </c>
      <c r="V145" s="54">
        <f t="shared" si="1112"/>
        <v>300</v>
      </c>
      <c r="W145" s="54">
        <f t="shared" si="1112"/>
        <v>375</v>
      </c>
      <c r="X145" s="54">
        <f t="shared" ref="X145:Y145" si="1113">SUM(X135)</f>
        <v>225</v>
      </c>
      <c r="Y145" s="54">
        <f t="shared" si="1113"/>
        <v>75</v>
      </c>
      <c r="Z145" s="54">
        <f t="shared" ref="Z145" si="1114">SUM(Z135)</f>
        <v>150</v>
      </c>
      <c r="AA145" s="54">
        <f t="shared" ref="AA145:AB145" si="1115">SUM(AA135)</f>
        <v>225</v>
      </c>
      <c r="AB145" s="54">
        <f t="shared" si="1115"/>
        <v>75</v>
      </c>
      <c r="AC145" s="54">
        <f t="shared" ref="AC145:AD145" si="1116">SUM(AC135)</f>
        <v>112.5</v>
      </c>
      <c r="AD145" s="54">
        <f t="shared" si="1116"/>
        <v>225</v>
      </c>
      <c r="AE145" s="54">
        <f t="shared" ref="AE145" si="1117">SUM(AE135)</f>
        <v>300</v>
      </c>
      <c r="AF145" s="54">
        <f t="shared" ref="AF145:AG145" si="1118">SUM(AF135)</f>
        <v>217.47</v>
      </c>
      <c r="AG145" s="54">
        <f t="shared" si="1118"/>
        <v>940.26</v>
      </c>
      <c r="AH145" s="54">
        <f t="shared" ref="AH145:AM145" si="1119">SUM(AH135,AH144)</f>
        <v>1632.37</v>
      </c>
      <c r="AI145" s="54">
        <f t="shared" si="1119"/>
        <v>1297.1199999999999</v>
      </c>
      <c r="AJ145" s="54">
        <f t="shared" si="1119"/>
        <v>1225.47</v>
      </c>
      <c r="AK145" s="54">
        <f t="shared" si="1119"/>
        <v>1524.87</v>
      </c>
      <c r="AL145" s="54">
        <f t="shared" si="1119"/>
        <v>933.28</v>
      </c>
      <c r="AM145" s="573">
        <f t="shared" si="1119"/>
        <v>1426.37</v>
      </c>
      <c r="AN145" s="54">
        <f t="shared" ref="AN145:AR145" si="1120">SUM(AN135,AN144)</f>
        <v>4439.5200000000004</v>
      </c>
      <c r="AO145" s="54">
        <f t="shared" si="1120"/>
        <v>1405.4299999999998</v>
      </c>
      <c r="AP145" s="54">
        <f t="shared" si="1120"/>
        <v>1158.6599999999999</v>
      </c>
      <c r="AQ145" s="54">
        <f t="shared" si="1120"/>
        <v>1573.6599999999999</v>
      </c>
      <c r="AR145" s="54">
        <f t="shared" si="1120"/>
        <v>1464.1799999999998</v>
      </c>
      <c r="AS145" s="54">
        <f>SUM(AS135,AS144)</f>
        <v>281.25</v>
      </c>
      <c r="AT145" s="54">
        <f t="shared" ref="AT145" si="1121">SUM(AT135,AT144)</f>
        <v>1312.5</v>
      </c>
      <c r="AU145" s="54">
        <f>SUM(AU135,AU144)</f>
        <v>453.75</v>
      </c>
      <c r="AV145" s="54">
        <f>SUM(AV135,AV144)</f>
        <v>337.5</v>
      </c>
      <c r="AW145" s="314">
        <f>SUM(AW135,AW144)</f>
        <v>581.25</v>
      </c>
      <c r="AX145" s="54">
        <f t="shared" ref="AX145" si="1122">SUM(AX135,AX144)</f>
        <v>415</v>
      </c>
      <c r="AY145" s="314">
        <f t="shared" ref="AY145:CB145" si="1123">SUM(AY135,AY144)</f>
        <v>415</v>
      </c>
      <c r="AZ145" s="54">
        <f t="shared" si="1123"/>
        <v>415</v>
      </c>
      <c r="BA145" s="54">
        <f t="shared" si="1123"/>
        <v>415</v>
      </c>
      <c r="BB145" s="54">
        <f t="shared" si="1123"/>
        <v>415</v>
      </c>
      <c r="BC145" s="54">
        <f t="shared" si="1123"/>
        <v>415</v>
      </c>
      <c r="BD145" s="54">
        <f t="shared" si="1123"/>
        <v>415</v>
      </c>
      <c r="BE145" s="54">
        <f t="shared" si="1123"/>
        <v>415</v>
      </c>
      <c r="BF145" s="54">
        <f t="shared" si="1123"/>
        <v>415</v>
      </c>
      <c r="BG145" s="54">
        <f t="shared" si="1123"/>
        <v>415</v>
      </c>
      <c r="BH145" s="54">
        <f t="shared" si="1123"/>
        <v>415</v>
      </c>
      <c r="BI145" s="54">
        <f t="shared" si="1123"/>
        <v>415</v>
      </c>
      <c r="BJ145" s="54">
        <f t="shared" si="1123"/>
        <v>415</v>
      </c>
      <c r="BK145" s="314">
        <f t="shared" si="1123"/>
        <v>415</v>
      </c>
      <c r="BL145" s="54">
        <f t="shared" si="1123"/>
        <v>415</v>
      </c>
      <c r="BM145" s="54">
        <f t="shared" si="1123"/>
        <v>415</v>
      </c>
      <c r="BN145" s="54">
        <f t="shared" si="1123"/>
        <v>415</v>
      </c>
      <c r="BO145" s="54">
        <f t="shared" si="1123"/>
        <v>415</v>
      </c>
      <c r="BP145" s="54">
        <f t="shared" si="1123"/>
        <v>415</v>
      </c>
      <c r="BQ145" s="54">
        <f t="shared" si="1123"/>
        <v>415</v>
      </c>
      <c r="BR145" s="54">
        <f t="shared" si="1123"/>
        <v>415</v>
      </c>
      <c r="BS145" s="54">
        <f t="shared" si="1123"/>
        <v>415</v>
      </c>
      <c r="BT145" s="54">
        <f t="shared" si="1123"/>
        <v>415</v>
      </c>
      <c r="BU145" s="54">
        <f t="shared" si="1123"/>
        <v>415</v>
      </c>
      <c r="BV145" s="54">
        <f t="shared" si="1123"/>
        <v>415</v>
      </c>
      <c r="BW145" s="314">
        <f t="shared" si="1123"/>
        <v>415</v>
      </c>
      <c r="BX145" s="54">
        <f t="shared" si="1123"/>
        <v>415</v>
      </c>
      <c r="BY145" s="54">
        <f t="shared" si="1123"/>
        <v>415</v>
      </c>
      <c r="BZ145" s="54">
        <f t="shared" si="1123"/>
        <v>415</v>
      </c>
      <c r="CA145" s="54">
        <f t="shared" si="1123"/>
        <v>415</v>
      </c>
      <c r="CB145" s="54">
        <f t="shared" si="1123"/>
        <v>415</v>
      </c>
      <c r="CC145" s="54">
        <f t="shared" ref="CC145:CZ145" si="1124">SUM(CC135,CC144)</f>
        <v>415</v>
      </c>
      <c r="CD145" s="54">
        <f t="shared" si="1124"/>
        <v>415</v>
      </c>
      <c r="CE145" s="54">
        <f t="shared" si="1124"/>
        <v>415</v>
      </c>
      <c r="CF145" s="54">
        <f t="shared" si="1124"/>
        <v>415</v>
      </c>
      <c r="CG145" s="54">
        <f t="shared" si="1124"/>
        <v>415</v>
      </c>
      <c r="CH145" s="54">
        <f t="shared" si="1124"/>
        <v>415</v>
      </c>
      <c r="CI145" s="314">
        <f t="shared" si="1124"/>
        <v>415</v>
      </c>
      <c r="CJ145" s="54">
        <f t="shared" si="1124"/>
        <v>415</v>
      </c>
      <c r="CK145" s="54">
        <f t="shared" si="1124"/>
        <v>415</v>
      </c>
      <c r="CL145" s="54">
        <f t="shared" si="1124"/>
        <v>415</v>
      </c>
      <c r="CM145" s="54">
        <f t="shared" si="1124"/>
        <v>415</v>
      </c>
      <c r="CN145" s="54">
        <f t="shared" si="1124"/>
        <v>415</v>
      </c>
      <c r="CO145" s="54">
        <f t="shared" si="1124"/>
        <v>415</v>
      </c>
      <c r="CP145" s="54">
        <f t="shared" si="1124"/>
        <v>415</v>
      </c>
      <c r="CQ145" s="54">
        <f t="shared" si="1124"/>
        <v>415</v>
      </c>
      <c r="CR145" s="54">
        <f t="shared" si="1124"/>
        <v>415</v>
      </c>
      <c r="CS145" s="54">
        <f t="shared" si="1124"/>
        <v>415</v>
      </c>
      <c r="CT145" s="54">
        <f t="shared" si="1124"/>
        <v>415</v>
      </c>
      <c r="CU145" s="314">
        <f t="shared" si="1124"/>
        <v>415</v>
      </c>
      <c r="CV145" s="54">
        <f t="shared" si="1124"/>
        <v>415</v>
      </c>
      <c r="CW145" s="54">
        <f t="shared" si="1124"/>
        <v>415</v>
      </c>
      <c r="CX145" s="54">
        <f t="shared" si="1124"/>
        <v>415</v>
      </c>
      <c r="CY145" s="54">
        <f t="shared" si="1124"/>
        <v>415</v>
      </c>
      <c r="CZ145" s="54">
        <f t="shared" si="1124"/>
        <v>415</v>
      </c>
      <c r="DA145" s="54">
        <f t="shared" ref="DA145:DG145" si="1125">SUM(DA135,DA144)</f>
        <v>415</v>
      </c>
      <c r="DB145" s="54">
        <f t="shared" si="1125"/>
        <v>415</v>
      </c>
      <c r="DC145" s="54">
        <f t="shared" si="1125"/>
        <v>415</v>
      </c>
      <c r="DD145" s="54">
        <f t="shared" si="1125"/>
        <v>415</v>
      </c>
      <c r="DE145" s="54">
        <f t="shared" si="1125"/>
        <v>415</v>
      </c>
      <c r="DF145" s="54">
        <f t="shared" si="1125"/>
        <v>415</v>
      </c>
      <c r="DG145" s="54">
        <f t="shared" si="1125"/>
        <v>415</v>
      </c>
    </row>
    <row r="146" spans="1:111" x14ac:dyDescent="0.25">
      <c r="B146" s="1" t="s">
        <v>33</v>
      </c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16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577"/>
      <c r="AN146" s="2"/>
      <c r="AO146" s="2"/>
      <c r="AP146" s="2"/>
      <c r="AQ146" s="2"/>
      <c r="AR146" s="2"/>
      <c r="AS146" s="2"/>
      <c r="AT146" s="2"/>
      <c r="AU146" s="2"/>
      <c r="AV146" s="2"/>
      <c r="AW146" s="604"/>
      <c r="AY146" s="186"/>
      <c r="BK146" s="186"/>
      <c r="BW146" s="186"/>
      <c r="CI146" s="186"/>
      <c r="CU146" s="186"/>
    </row>
    <row r="147" spans="1:111" x14ac:dyDescent="0.25">
      <c r="B147" s="1" t="s">
        <v>34</v>
      </c>
      <c r="C147" s="1"/>
      <c r="D147" s="115">
        <f>0</f>
        <v>0</v>
      </c>
      <c r="E147" s="115">
        <f>0</f>
        <v>0</v>
      </c>
      <c r="F147" s="115">
        <f>0</f>
        <v>0</v>
      </c>
      <c r="G147" s="115">
        <f>0</f>
        <v>0</v>
      </c>
      <c r="H147" s="115">
        <f>0</f>
        <v>0</v>
      </c>
      <c r="I147" s="115">
        <f>0</f>
        <v>0</v>
      </c>
      <c r="J147" s="113">
        <v>0</v>
      </c>
      <c r="K147" s="113">
        <v>255</v>
      </c>
      <c r="L147" s="113">
        <v>255</v>
      </c>
      <c r="M147" s="115">
        <v>344</v>
      </c>
      <c r="N147" s="115">
        <v>344</v>
      </c>
      <c r="O147" s="115">
        <v>344</v>
      </c>
      <c r="P147" s="115">
        <v>344</v>
      </c>
      <c r="Q147" s="115">
        <v>344</v>
      </c>
      <c r="R147" s="115">
        <v>344</v>
      </c>
      <c r="S147" s="115">
        <v>344</v>
      </c>
      <c r="T147" s="115">
        <v>662.53</v>
      </c>
      <c r="U147" s="115">
        <v>712.53</v>
      </c>
      <c r="V147" s="115">
        <v>712.53</v>
      </c>
      <c r="W147" s="115">
        <v>712.53</v>
      </c>
      <c r="X147" s="115">
        <v>712.53</v>
      </c>
      <c r="Y147" s="115">
        <v>773.75</v>
      </c>
      <c r="Z147" s="115">
        <v>873.75</v>
      </c>
      <c r="AA147" s="115">
        <v>873.75</v>
      </c>
      <c r="AB147" s="115">
        <v>873.75</v>
      </c>
      <c r="AC147" s="115">
        <v>873.75</v>
      </c>
      <c r="AD147" s="115">
        <v>873.75</v>
      </c>
      <c r="AE147" s="115">
        <v>3273.75</v>
      </c>
      <c r="AF147" s="115">
        <v>3273.75</v>
      </c>
      <c r="AG147" s="115">
        <v>3273.75</v>
      </c>
      <c r="AH147" s="115">
        <v>3273.75</v>
      </c>
      <c r="AI147" s="115">
        <v>3273.75</v>
      </c>
      <c r="AJ147" s="115">
        <v>3273.75</v>
      </c>
      <c r="AK147" s="115">
        <v>3273.75</v>
      </c>
      <c r="AL147" s="115">
        <v>3273.75</v>
      </c>
      <c r="AM147" s="520">
        <v>3273.75</v>
      </c>
      <c r="AN147" s="115">
        <v>3273.75</v>
      </c>
      <c r="AO147" s="115">
        <v>3273.75</v>
      </c>
      <c r="AP147" s="115">
        <v>3273.75</v>
      </c>
      <c r="AQ147" s="115">
        <v>23948.75</v>
      </c>
      <c r="AR147" s="115">
        <v>31669.75</v>
      </c>
      <c r="AS147" s="115">
        <v>31669.75</v>
      </c>
      <c r="AT147" s="115">
        <v>31919.75</v>
      </c>
      <c r="AU147" s="115">
        <v>31919.75</v>
      </c>
      <c r="AV147" s="115">
        <f>33919.75</f>
        <v>33919.75</v>
      </c>
      <c r="AW147" s="187">
        <f>33919.75</f>
        <v>33919.75</v>
      </c>
      <c r="AX147" s="727">
        <f>AW147</f>
        <v>33919.75</v>
      </c>
      <c r="AY147" s="187">
        <f t="shared" ref="AY147:CA147" si="1126">AX147</f>
        <v>33919.75</v>
      </c>
      <c r="AZ147" s="115">
        <f t="shared" si="1126"/>
        <v>33919.75</v>
      </c>
      <c r="BA147" s="115">
        <f t="shared" si="1126"/>
        <v>33919.75</v>
      </c>
      <c r="BB147" s="115">
        <f t="shared" si="1126"/>
        <v>33919.75</v>
      </c>
      <c r="BC147" s="115">
        <f t="shared" si="1126"/>
        <v>33919.75</v>
      </c>
      <c r="BD147" s="115">
        <f t="shared" si="1126"/>
        <v>33919.75</v>
      </c>
      <c r="BE147" s="115">
        <f t="shared" si="1126"/>
        <v>33919.75</v>
      </c>
      <c r="BF147" s="115">
        <f t="shared" si="1126"/>
        <v>33919.75</v>
      </c>
      <c r="BG147" s="115">
        <f t="shared" si="1126"/>
        <v>33919.75</v>
      </c>
      <c r="BH147" s="115">
        <f t="shared" si="1126"/>
        <v>33919.75</v>
      </c>
      <c r="BI147" s="115">
        <f t="shared" si="1126"/>
        <v>33919.75</v>
      </c>
      <c r="BJ147" s="115">
        <f t="shared" si="1126"/>
        <v>33919.75</v>
      </c>
      <c r="BK147" s="187">
        <f t="shared" si="1126"/>
        <v>33919.75</v>
      </c>
      <c r="BL147" s="115">
        <f t="shared" si="1126"/>
        <v>33919.75</v>
      </c>
      <c r="BM147" s="115">
        <f t="shared" si="1126"/>
        <v>33919.75</v>
      </c>
      <c r="BN147" s="115">
        <f t="shared" si="1126"/>
        <v>33919.75</v>
      </c>
      <c r="BO147" s="115">
        <f t="shared" si="1126"/>
        <v>33919.75</v>
      </c>
      <c r="BP147" s="115">
        <f t="shared" si="1126"/>
        <v>33919.75</v>
      </c>
      <c r="BQ147" s="115">
        <f t="shared" si="1126"/>
        <v>33919.75</v>
      </c>
      <c r="BR147" s="115">
        <f t="shared" si="1126"/>
        <v>33919.75</v>
      </c>
      <c r="BS147" s="115">
        <f t="shared" si="1126"/>
        <v>33919.75</v>
      </c>
      <c r="BT147" s="115">
        <f t="shared" si="1126"/>
        <v>33919.75</v>
      </c>
      <c r="BU147" s="115">
        <f t="shared" si="1126"/>
        <v>33919.75</v>
      </c>
      <c r="BV147" s="115">
        <f t="shared" si="1126"/>
        <v>33919.75</v>
      </c>
      <c r="BW147" s="187">
        <f t="shared" si="1126"/>
        <v>33919.75</v>
      </c>
      <c r="BX147" s="115">
        <f t="shared" si="1126"/>
        <v>33919.75</v>
      </c>
      <c r="BY147" s="115">
        <f t="shared" si="1126"/>
        <v>33919.75</v>
      </c>
      <c r="BZ147" s="115">
        <f t="shared" si="1126"/>
        <v>33919.75</v>
      </c>
      <c r="CA147" s="115">
        <f t="shared" si="1126"/>
        <v>33919.75</v>
      </c>
      <c r="CB147" s="115">
        <f t="shared" ref="CB147:DG147" si="1127">CA147</f>
        <v>33919.75</v>
      </c>
      <c r="CC147" s="115">
        <f t="shared" si="1127"/>
        <v>33919.75</v>
      </c>
      <c r="CD147" s="115">
        <f t="shared" si="1127"/>
        <v>33919.75</v>
      </c>
      <c r="CE147" s="115">
        <f t="shared" si="1127"/>
        <v>33919.75</v>
      </c>
      <c r="CF147" s="115">
        <f t="shared" si="1127"/>
        <v>33919.75</v>
      </c>
      <c r="CG147" s="115">
        <f t="shared" si="1127"/>
        <v>33919.75</v>
      </c>
      <c r="CH147" s="115">
        <f t="shared" si="1127"/>
        <v>33919.75</v>
      </c>
      <c r="CI147" s="187">
        <f t="shared" si="1127"/>
        <v>33919.75</v>
      </c>
      <c r="CJ147" s="115">
        <f t="shared" si="1127"/>
        <v>33919.75</v>
      </c>
      <c r="CK147" s="115">
        <f t="shared" si="1127"/>
        <v>33919.75</v>
      </c>
      <c r="CL147" s="115">
        <f t="shared" si="1127"/>
        <v>33919.75</v>
      </c>
      <c r="CM147" s="115">
        <f t="shared" si="1127"/>
        <v>33919.75</v>
      </c>
      <c r="CN147" s="115">
        <f t="shared" si="1127"/>
        <v>33919.75</v>
      </c>
      <c r="CO147" s="115">
        <f t="shared" si="1127"/>
        <v>33919.75</v>
      </c>
      <c r="CP147" s="115">
        <f t="shared" si="1127"/>
        <v>33919.75</v>
      </c>
      <c r="CQ147" s="115">
        <f t="shared" si="1127"/>
        <v>33919.75</v>
      </c>
      <c r="CR147" s="115">
        <f t="shared" si="1127"/>
        <v>33919.75</v>
      </c>
      <c r="CS147" s="115">
        <f t="shared" si="1127"/>
        <v>33919.75</v>
      </c>
      <c r="CT147" s="115">
        <f t="shared" si="1127"/>
        <v>33919.75</v>
      </c>
      <c r="CU147" s="187">
        <f t="shared" si="1127"/>
        <v>33919.75</v>
      </c>
      <c r="CV147" s="115">
        <f t="shared" si="1127"/>
        <v>33919.75</v>
      </c>
      <c r="CW147" s="115">
        <f t="shared" si="1127"/>
        <v>33919.75</v>
      </c>
      <c r="CX147" s="115">
        <f t="shared" si="1127"/>
        <v>33919.75</v>
      </c>
      <c r="CY147" s="115">
        <f t="shared" si="1127"/>
        <v>33919.75</v>
      </c>
      <c r="CZ147" s="115">
        <f t="shared" si="1127"/>
        <v>33919.75</v>
      </c>
      <c r="DA147" s="115">
        <f t="shared" si="1127"/>
        <v>33919.75</v>
      </c>
      <c r="DB147" s="115">
        <f t="shared" si="1127"/>
        <v>33919.75</v>
      </c>
      <c r="DC147" s="115">
        <f t="shared" si="1127"/>
        <v>33919.75</v>
      </c>
      <c r="DD147" s="115">
        <f t="shared" si="1127"/>
        <v>33919.75</v>
      </c>
      <c r="DE147" s="115">
        <f t="shared" si="1127"/>
        <v>33919.75</v>
      </c>
      <c r="DF147" s="115">
        <f t="shared" si="1127"/>
        <v>33919.75</v>
      </c>
      <c r="DG147" s="115">
        <f t="shared" si="1127"/>
        <v>33919.75</v>
      </c>
    </row>
    <row r="148" spans="1:111" x14ac:dyDescent="0.25">
      <c r="B148" s="1" t="s">
        <v>35</v>
      </c>
      <c r="C148" s="1"/>
      <c r="D148" s="115">
        <f>0</f>
        <v>0</v>
      </c>
      <c r="E148" s="115">
        <f>0</f>
        <v>0</v>
      </c>
      <c r="F148" s="115">
        <f>0</f>
        <v>0</v>
      </c>
      <c r="G148" s="115">
        <f>0</f>
        <v>0</v>
      </c>
      <c r="H148" s="115">
        <f>0</f>
        <v>0</v>
      </c>
      <c r="I148" s="115">
        <f>0</f>
        <v>0</v>
      </c>
      <c r="J148" s="113">
        <v>0</v>
      </c>
      <c r="K148" s="113">
        <v>0</v>
      </c>
      <c r="L148" s="113">
        <v>0</v>
      </c>
      <c r="M148" s="115">
        <v>-350</v>
      </c>
      <c r="N148" s="115">
        <v>-3530.76</v>
      </c>
      <c r="O148" s="115">
        <v>-6379.47</v>
      </c>
      <c r="P148" s="115">
        <v>-8379.4699999999993</v>
      </c>
      <c r="Q148" s="115">
        <v>-9429.4699999999993</v>
      </c>
      <c r="R148" s="115">
        <v>-10579.47</v>
      </c>
      <c r="S148" s="115">
        <v>-11854.47</v>
      </c>
      <c r="T148" s="115">
        <v>-14254.47</v>
      </c>
      <c r="U148" s="115">
        <v>-15524.47</v>
      </c>
      <c r="V148" s="115">
        <v>-17989.080000000002</v>
      </c>
      <c r="W148" s="115">
        <v>-24394.080000000002</v>
      </c>
      <c r="X148" s="115">
        <v>-29994.080000000002</v>
      </c>
      <c r="Y148" s="115">
        <v>-37894.080000000002</v>
      </c>
      <c r="Z148" s="115">
        <v>-41994.080000000002</v>
      </c>
      <c r="AA148" s="115">
        <v>-43419.08</v>
      </c>
      <c r="AB148" s="115">
        <v>-45319.08</v>
      </c>
      <c r="AC148" s="115">
        <v>-48644.08</v>
      </c>
      <c r="AD148" s="115">
        <v>-51864.08</v>
      </c>
      <c r="AE148" s="115">
        <v>-54189.08</v>
      </c>
      <c r="AF148" s="115">
        <v>-58289.08</v>
      </c>
      <c r="AG148" s="115">
        <v>-61039.08</v>
      </c>
      <c r="AH148" s="115">
        <v>-63943.03</v>
      </c>
      <c r="AI148" s="115">
        <v>-73718.03</v>
      </c>
      <c r="AJ148" s="115">
        <v>-80485.53</v>
      </c>
      <c r="AK148" s="115">
        <v>-92985.53</v>
      </c>
      <c r="AL148" s="115">
        <v>-100765.53</v>
      </c>
      <c r="AM148" s="520">
        <v>-108217.94</v>
      </c>
      <c r="AN148" s="115">
        <v>-110367.94</v>
      </c>
      <c r="AO148" s="115">
        <v>-110367.94</v>
      </c>
      <c r="AP148" s="115">
        <v>-110367.94</v>
      </c>
      <c r="AQ148" s="115">
        <v>-110367.94</v>
      </c>
      <c r="AR148" s="115">
        <v>-118835.43</v>
      </c>
      <c r="AS148" s="115">
        <v>-118142.5</v>
      </c>
      <c r="AT148" s="115">
        <v>-119200.28</v>
      </c>
      <c r="AU148" s="115">
        <v>-119200.28</v>
      </c>
      <c r="AV148" s="115">
        <f>-121774.5</f>
        <v>-121774.5</v>
      </c>
      <c r="AW148" s="187">
        <f>-121774.5</f>
        <v>-121774.5</v>
      </c>
      <c r="AX148" s="727">
        <f t="shared" ref="AX148" si="1128">AW148+AX155</f>
        <v>-121774.5</v>
      </c>
      <c r="AY148" s="187">
        <f t="shared" ref="AY148:BW148" si="1129">AX148+AY155</f>
        <v>-121774.5</v>
      </c>
      <c r="AZ148" s="115">
        <f t="shared" si="1129"/>
        <v>-121774.5</v>
      </c>
      <c r="BA148" s="115">
        <f t="shared" si="1129"/>
        <v>-121774.5</v>
      </c>
      <c r="BB148" s="115">
        <f t="shared" si="1129"/>
        <v>-121774.5</v>
      </c>
      <c r="BC148" s="115">
        <f t="shared" si="1129"/>
        <v>-121774.5</v>
      </c>
      <c r="BD148" s="115">
        <f t="shared" si="1129"/>
        <v>-121774.5</v>
      </c>
      <c r="BE148" s="115">
        <f t="shared" si="1129"/>
        <v>-121774.5</v>
      </c>
      <c r="BF148" s="115">
        <f t="shared" si="1129"/>
        <v>-121774.5</v>
      </c>
      <c r="BG148" s="115">
        <f t="shared" si="1129"/>
        <v>-121774.5</v>
      </c>
      <c r="BH148" s="115">
        <f t="shared" si="1129"/>
        <v>-121774.5</v>
      </c>
      <c r="BI148" s="115">
        <f t="shared" si="1129"/>
        <v>-121774.5</v>
      </c>
      <c r="BJ148" s="115">
        <f t="shared" si="1129"/>
        <v>-121774.5</v>
      </c>
      <c r="BK148" s="187">
        <f t="shared" si="1129"/>
        <v>-121774.5</v>
      </c>
      <c r="BL148" s="115">
        <f t="shared" si="1129"/>
        <v>-121774.5</v>
      </c>
      <c r="BM148" s="115">
        <f t="shared" si="1129"/>
        <v>-121774.5</v>
      </c>
      <c r="BN148" s="115">
        <f t="shared" si="1129"/>
        <v>-121774.5</v>
      </c>
      <c r="BO148" s="115">
        <f t="shared" si="1129"/>
        <v>-121774.5</v>
      </c>
      <c r="BP148" s="115">
        <f t="shared" si="1129"/>
        <v>-121774.5</v>
      </c>
      <c r="BQ148" s="115">
        <f t="shared" si="1129"/>
        <v>-121774.5</v>
      </c>
      <c r="BR148" s="115">
        <f t="shared" si="1129"/>
        <v>-121774.5</v>
      </c>
      <c r="BS148" s="115">
        <f t="shared" si="1129"/>
        <v>-121774.5</v>
      </c>
      <c r="BT148" s="115">
        <f t="shared" si="1129"/>
        <v>-121774.5</v>
      </c>
      <c r="BU148" s="115">
        <f t="shared" si="1129"/>
        <v>-121774.5</v>
      </c>
      <c r="BV148" s="115">
        <f t="shared" si="1129"/>
        <v>-121774.5</v>
      </c>
      <c r="BW148" s="187">
        <f t="shared" si="1129"/>
        <v>-121774.5</v>
      </c>
      <c r="BX148" s="115">
        <f t="shared" ref="BX148:DG148" si="1130">BW148+BX155</f>
        <v>-121774.5</v>
      </c>
      <c r="BY148" s="115">
        <f t="shared" si="1130"/>
        <v>-121774.5</v>
      </c>
      <c r="BZ148" s="115">
        <f t="shared" si="1130"/>
        <v>-121774.5</v>
      </c>
      <c r="CA148" s="115">
        <f t="shared" si="1130"/>
        <v>-121774.5</v>
      </c>
      <c r="CB148" s="115">
        <f t="shared" si="1130"/>
        <v>-121774.5</v>
      </c>
      <c r="CC148" s="115">
        <f t="shared" si="1130"/>
        <v>-121774.5</v>
      </c>
      <c r="CD148" s="115">
        <f t="shared" si="1130"/>
        <v>-121774.5</v>
      </c>
      <c r="CE148" s="115">
        <f t="shared" si="1130"/>
        <v>-121774.5</v>
      </c>
      <c r="CF148" s="115">
        <f t="shared" si="1130"/>
        <v>-121774.5</v>
      </c>
      <c r="CG148" s="115">
        <f t="shared" si="1130"/>
        <v>-121774.5</v>
      </c>
      <c r="CH148" s="115">
        <f t="shared" si="1130"/>
        <v>-121774.5</v>
      </c>
      <c r="CI148" s="187">
        <f t="shared" si="1130"/>
        <v>-121774.5</v>
      </c>
      <c r="CJ148" s="115">
        <f t="shared" si="1130"/>
        <v>-121774.5</v>
      </c>
      <c r="CK148" s="115">
        <f t="shared" si="1130"/>
        <v>-121774.5</v>
      </c>
      <c r="CL148" s="115">
        <f t="shared" si="1130"/>
        <v>-121774.5</v>
      </c>
      <c r="CM148" s="115">
        <f t="shared" si="1130"/>
        <v>-121774.5</v>
      </c>
      <c r="CN148" s="115">
        <f t="shared" si="1130"/>
        <v>-121774.5</v>
      </c>
      <c r="CO148" s="115">
        <f t="shared" si="1130"/>
        <v>-121774.5</v>
      </c>
      <c r="CP148" s="115">
        <f t="shared" si="1130"/>
        <v>-121774.5</v>
      </c>
      <c r="CQ148" s="115">
        <f t="shared" si="1130"/>
        <v>-121774.5</v>
      </c>
      <c r="CR148" s="115">
        <f t="shared" si="1130"/>
        <v>-121774.5</v>
      </c>
      <c r="CS148" s="115">
        <f t="shared" si="1130"/>
        <v>-121774.5</v>
      </c>
      <c r="CT148" s="115">
        <f t="shared" si="1130"/>
        <v>-121774.5</v>
      </c>
      <c r="CU148" s="187">
        <f t="shared" si="1130"/>
        <v>-121774.5</v>
      </c>
      <c r="CV148" s="115">
        <f t="shared" si="1130"/>
        <v>-121774.5</v>
      </c>
      <c r="CW148" s="115">
        <f t="shared" si="1130"/>
        <v>-121774.5</v>
      </c>
      <c r="CX148" s="115">
        <f t="shared" si="1130"/>
        <v>-121774.5</v>
      </c>
      <c r="CY148" s="115">
        <f t="shared" si="1130"/>
        <v>-121774.5</v>
      </c>
      <c r="CZ148" s="115">
        <f t="shared" si="1130"/>
        <v>-121774.5</v>
      </c>
      <c r="DA148" s="115">
        <f t="shared" si="1130"/>
        <v>-121774.5</v>
      </c>
      <c r="DB148" s="115">
        <f t="shared" si="1130"/>
        <v>-121774.5</v>
      </c>
      <c r="DC148" s="115">
        <f t="shared" si="1130"/>
        <v>-121774.5</v>
      </c>
      <c r="DD148" s="115">
        <f t="shared" si="1130"/>
        <v>-121774.5</v>
      </c>
      <c r="DE148" s="115">
        <f t="shared" si="1130"/>
        <v>-121774.5</v>
      </c>
      <c r="DF148" s="115">
        <f t="shared" si="1130"/>
        <v>-121774.5</v>
      </c>
      <c r="DG148" s="115">
        <f t="shared" si="1130"/>
        <v>-121774.5</v>
      </c>
    </row>
    <row r="149" spans="1:111" s="3" customFormat="1" x14ac:dyDescent="0.25">
      <c r="A149"/>
      <c r="B149" s="1" t="s">
        <v>36</v>
      </c>
      <c r="C149" s="1"/>
      <c r="D149" s="115">
        <f>0</f>
        <v>0</v>
      </c>
      <c r="E149" s="115">
        <f>0</f>
        <v>0</v>
      </c>
      <c r="F149" s="115">
        <f>0</f>
        <v>0</v>
      </c>
      <c r="G149" s="115">
        <f>0</f>
        <v>0</v>
      </c>
      <c r="H149" s="115">
        <f>0</f>
        <v>0</v>
      </c>
      <c r="I149" s="115">
        <f>0</f>
        <v>0</v>
      </c>
      <c r="J149" s="113">
        <v>0</v>
      </c>
      <c r="K149" s="113">
        <v>0</v>
      </c>
      <c r="L149" s="113">
        <v>0</v>
      </c>
      <c r="M149" s="115">
        <v>0</v>
      </c>
      <c r="N149" s="115">
        <v>0</v>
      </c>
      <c r="O149" s="115">
        <v>0</v>
      </c>
      <c r="P149" s="115">
        <v>6879.57</v>
      </c>
      <c r="Q149" s="115">
        <v>6879.57</v>
      </c>
      <c r="R149" s="115">
        <v>6879.57</v>
      </c>
      <c r="S149" s="115">
        <v>6879.57</v>
      </c>
      <c r="T149" s="115">
        <v>6879.57</v>
      </c>
      <c r="U149" s="115">
        <v>6879.57</v>
      </c>
      <c r="V149" s="115">
        <v>6879.57</v>
      </c>
      <c r="W149" s="115">
        <v>6879.57</v>
      </c>
      <c r="X149" s="115">
        <v>6879.57</v>
      </c>
      <c r="Y149" s="115">
        <v>6879.57</v>
      </c>
      <c r="Z149" s="115">
        <v>6879.57</v>
      </c>
      <c r="AA149" s="115">
        <v>6879.57</v>
      </c>
      <c r="AB149" s="115">
        <v>43377.35</v>
      </c>
      <c r="AC149" s="115">
        <v>43377.35</v>
      </c>
      <c r="AD149" s="115">
        <v>43377.35</v>
      </c>
      <c r="AE149" s="115">
        <v>43377.35</v>
      </c>
      <c r="AF149" s="115">
        <v>43377.35</v>
      </c>
      <c r="AG149" s="115">
        <v>43377.35</v>
      </c>
      <c r="AH149" s="115">
        <f t="shared" ref="AH149" si="1131">AG149</f>
        <v>43377.35</v>
      </c>
      <c r="AI149" s="115">
        <f t="shared" ref="AI149" si="1132">AH149</f>
        <v>43377.35</v>
      </c>
      <c r="AJ149" s="115">
        <f t="shared" ref="AJ149" si="1133">AI149</f>
        <v>43377.35</v>
      </c>
      <c r="AK149" s="115">
        <f t="shared" ref="AK149" si="1134">AJ149</f>
        <v>43377.35</v>
      </c>
      <c r="AL149" s="115">
        <f t="shared" ref="AL149" si="1135">AK149</f>
        <v>43377.35</v>
      </c>
      <c r="AM149" s="520">
        <f t="shared" ref="AM149:CA149" si="1136">AL149</f>
        <v>43377.35</v>
      </c>
      <c r="AN149" s="115">
        <f>+AM149+AM152</f>
        <v>107432.65</v>
      </c>
      <c r="AO149" s="115">
        <f t="shared" ref="AO149:AT149" si="1137">+AN149</f>
        <v>107432.65</v>
      </c>
      <c r="AP149" s="115">
        <f t="shared" si="1137"/>
        <v>107432.65</v>
      </c>
      <c r="AQ149" s="115">
        <f t="shared" si="1137"/>
        <v>107432.65</v>
      </c>
      <c r="AR149" s="115">
        <f t="shared" si="1137"/>
        <v>107432.65</v>
      </c>
      <c r="AS149" s="115">
        <f t="shared" si="1137"/>
        <v>107432.65</v>
      </c>
      <c r="AT149" s="115">
        <f t="shared" si="1137"/>
        <v>107432.65</v>
      </c>
      <c r="AU149" s="115">
        <f t="shared" ref="AU149:AW149" si="1138">+AT149</f>
        <v>107432.65</v>
      </c>
      <c r="AV149" s="115">
        <f t="shared" si="1138"/>
        <v>107432.65</v>
      </c>
      <c r="AW149" s="187">
        <f t="shared" si="1138"/>
        <v>107432.65</v>
      </c>
      <c r="AX149" s="223">
        <f>AW149+AW152</f>
        <v>139019.29999999999</v>
      </c>
      <c r="AY149" s="187">
        <f t="shared" si="1136"/>
        <v>139019.29999999999</v>
      </c>
      <c r="AZ149" s="223">
        <f>AY149+AY152</f>
        <v>138125.46381610364</v>
      </c>
      <c r="BA149" s="115">
        <f t="shared" si="1136"/>
        <v>138125.46381610364</v>
      </c>
      <c r="BB149" s="115">
        <f t="shared" si="1136"/>
        <v>138125.46381610364</v>
      </c>
      <c r="BC149" s="115">
        <f t="shared" si="1136"/>
        <v>138125.46381610364</v>
      </c>
      <c r="BD149" s="115">
        <f t="shared" si="1136"/>
        <v>138125.46381610364</v>
      </c>
      <c r="BE149" s="115">
        <f t="shared" si="1136"/>
        <v>138125.46381610364</v>
      </c>
      <c r="BF149" s="115">
        <f t="shared" si="1136"/>
        <v>138125.46381610364</v>
      </c>
      <c r="BG149" s="115">
        <f t="shared" si="1136"/>
        <v>138125.46381610364</v>
      </c>
      <c r="BH149" s="115">
        <f t="shared" si="1136"/>
        <v>138125.46381610364</v>
      </c>
      <c r="BI149" s="115">
        <f t="shared" si="1136"/>
        <v>138125.46381610364</v>
      </c>
      <c r="BJ149" s="115">
        <f t="shared" si="1136"/>
        <v>138125.46381610364</v>
      </c>
      <c r="BK149" s="187">
        <f t="shared" si="1136"/>
        <v>138125.46381610364</v>
      </c>
      <c r="BL149" s="223">
        <f>BK149+BK152</f>
        <v>158931.64684178142</v>
      </c>
      <c r="BM149" s="115">
        <f t="shared" si="1136"/>
        <v>158931.64684178142</v>
      </c>
      <c r="BN149" s="115">
        <f t="shared" si="1136"/>
        <v>158931.64684178142</v>
      </c>
      <c r="BO149" s="115">
        <f t="shared" si="1136"/>
        <v>158931.64684178142</v>
      </c>
      <c r="BP149" s="115">
        <f t="shared" si="1136"/>
        <v>158931.64684178142</v>
      </c>
      <c r="BQ149" s="115">
        <f t="shared" si="1136"/>
        <v>158931.64684178142</v>
      </c>
      <c r="BR149" s="115">
        <f t="shared" si="1136"/>
        <v>158931.64684178142</v>
      </c>
      <c r="BS149" s="115">
        <f t="shared" si="1136"/>
        <v>158931.64684178142</v>
      </c>
      <c r="BT149" s="115">
        <f t="shared" si="1136"/>
        <v>158931.64684178142</v>
      </c>
      <c r="BU149" s="115">
        <f t="shared" si="1136"/>
        <v>158931.64684178142</v>
      </c>
      <c r="BV149" s="115">
        <f t="shared" si="1136"/>
        <v>158931.64684178142</v>
      </c>
      <c r="BW149" s="187">
        <f t="shared" si="1136"/>
        <v>158931.64684178142</v>
      </c>
      <c r="BX149" s="223">
        <f>BW149+BW152</f>
        <v>239273.62568370637</v>
      </c>
      <c r="BY149" s="115">
        <f t="shared" si="1136"/>
        <v>239273.62568370637</v>
      </c>
      <c r="BZ149" s="115">
        <f t="shared" si="1136"/>
        <v>239273.62568370637</v>
      </c>
      <c r="CA149" s="115">
        <f t="shared" si="1136"/>
        <v>239273.62568370637</v>
      </c>
      <c r="CB149" s="115">
        <f t="shared" ref="CB149:DG149" si="1139">CA149</f>
        <v>239273.62568370637</v>
      </c>
      <c r="CC149" s="115">
        <f t="shared" si="1139"/>
        <v>239273.62568370637</v>
      </c>
      <c r="CD149" s="115">
        <f t="shared" si="1139"/>
        <v>239273.62568370637</v>
      </c>
      <c r="CE149" s="115">
        <f t="shared" si="1139"/>
        <v>239273.62568370637</v>
      </c>
      <c r="CF149" s="115">
        <f t="shared" si="1139"/>
        <v>239273.62568370637</v>
      </c>
      <c r="CG149" s="115">
        <f t="shared" si="1139"/>
        <v>239273.62568370637</v>
      </c>
      <c r="CH149" s="115">
        <f t="shared" si="1139"/>
        <v>239273.62568370637</v>
      </c>
      <c r="CI149" s="187">
        <f t="shared" si="1139"/>
        <v>239273.62568370637</v>
      </c>
      <c r="CJ149" s="223">
        <f>CI149+CI152</f>
        <v>389963.01903457398</v>
      </c>
      <c r="CK149" s="115">
        <f t="shared" si="1139"/>
        <v>389963.01903457398</v>
      </c>
      <c r="CL149" s="115">
        <f t="shared" si="1139"/>
        <v>389963.01903457398</v>
      </c>
      <c r="CM149" s="115">
        <f t="shared" si="1139"/>
        <v>389963.01903457398</v>
      </c>
      <c r="CN149" s="115">
        <f t="shared" si="1139"/>
        <v>389963.01903457398</v>
      </c>
      <c r="CO149" s="115">
        <f t="shared" si="1139"/>
        <v>389963.01903457398</v>
      </c>
      <c r="CP149" s="115">
        <f t="shared" si="1139"/>
        <v>389963.01903457398</v>
      </c>
      <c r="CQ149" s="115">
        <f t="shared" si="1139"/>
        <v>389963.01903457398</v>
      </c>
      <c r="CR149" s="115">
        <f t="shared" si="1139"/>
        <v>389963.01903457398</v>
      </c>
      <c r="CS149" s="115">
        <f t="shared" si="1139"/>
        <v>389963.01903457398</v>
      </c>
      <c r="CT149" s="115">
        <f t="shared" si="1139"/>
        <v>389963.01903457398</v>
      </c>
      <c r="CU149" s="187">
        <f t="shared" si="1139"/>
        <v>389963.01903457398</v>
      </c>
      <c r="CV149" s="223">
        <f>CU149+CU152</f>
        <v>669934.25031138409</v>
      </c>
      <c r="CW149" s="115">
        <f t="shared" si="1139"/>
        <v>669934.25031138409</v>
      </c>
      <c r="CX149" s="115">
        <f t="shared" si="1139"/>
        <v>669934.25031138409</v>
      </c>
      <c r="CY149" s="115">
        <f t="shared" si="1139"/>
        <v>669934.25031138409</v>
      </c>
      <c r="CZ149" s="115">
        <f t="shared" si="1139"/>
        <v>669934.25031138409</v>
      </c>
      <c r="DA149" s="115">
        <f t="shared" si="1139"/>
        <v>669934.25031138409</v>
      </c>
      <c r="DB149" s="115">
        <f t="shared" si="1139"/>
        <v>669934.25031138409</v>
      </c>
      <c r="DC149" s="115">
        <f t="shared" si="1139"/>
        <v>669934.25031138409</v>
      </c>
      <c r="DD149" s="115">
        <f t="shared" si="1139"/>
        <v>669934.25031138409</v>
      </c>
      <c r="DE149" s="115">
        <f t="shared" si="1139"/>
        <v>669934.25031138409</v>
      </c>
      <c r="DF149" s="115">
        <f t="shared" si="1139"/>
        <v>669934.25031138409</v>
      </c>
      <c r="DG149" s="115">
        <f t="shared" si="1139"/>
        <v>669934.25031138409</v>
      </c>
    </row>
    <row r="150" spans="1:111" x14ac:dyDescent="0.25">
      <c r="B150" s="1" t="s">
        <v>384</v>
      </c>
      <c r="C150" s="1"/>
      <c r="D150" s="115"/>
      <c r="E150" s="115"/>
      <c r="F150" s="115"/>
      <c r="G150" s="115"/>
      <c r="H150" s="115"/>
      <c r="I150" s="115"/>
      <c r="J150" s="113"/>
      <c r="K150" s="113"/>
      <c r="L150" s="113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520"/>
      <c r="AN150" s="115"/>
      <c r="AO150" s="115"/>
      <c r="AP150" s="115"/>
      <c r="AQ150" s="115">
        <v>-11813</v>
      </c>
      <c r="AR150" s="115">
        <v>-11813</v>
      </c>
      <c r="AS150" s="115">
        <v>-11813</v>
      </c>
      <c r="AT150" s="115">
        <v>-11813</v>
      </c>
      <c r="AU150" s="115">
        <v>-11813</v>
      </c>
      <c r="AV150" s="115">
        <v>-11813</v>
      </c>
      <c r="AW150" s="187">
        <v>-11813</v>
      </c>
      <c r="AX150" s="223">
        <f>+AW150</f>
        <v>-11813</v>
      </c>
      <c r="AY150" s="187">
        <f t="shared" ref="AY150:DD150" si="1140">+AX150</f>
        <v>-11813</v>
      </c>
      <c r="AZ150" s="223">
        <f t="shared" si="1140"/>
        <v>-11813</v>
      </c>
      <c r="BA150" s="115">
        <f t="shared" si="1140"/>
        <v>-11813</v>
      </c>
      <c r="BB150" s="115">
        <f t="shared" si="1140"/>
        <v>-11813</v>
      </c>
      <c r="BC150" s="115">
        <f t="shared" si="1140"/>
        <v>-11813</v>
      </c>
      <c r="BD150" s="115">
        <f t="shared" si="1140"/>
        <v>-11813</v>
      </c>
      <c r="BE150" s="115">
        <f t="shared" si="1140"/>
        <v>-11813</v>
      </c>
      <c r="BF150" s="115">
        <f t="shared" si="1140"/>
        <v>-11813</v>
      </c>
      <c r="BG150" s="115">
        <f t="shared" si="1140"/>
        <v>-11813</v>
      </c>
      <c r="BH150" s="115">
        <f t="shared" si="1140"/>
        <v>-11813</v>
      </c>
      <c r="BI150" s="115">
        <f t="shared" si="1140"/>
        <v>-11813</v>
      </c>
      <c r="BJ150" s="115">
        <f t="shared" si="1140"/>
        <v>-11813</v>
      </c>
      <c r="BK150" s="187">
        <f t="shared" si="1140"/>
        <v>-11813</v>
      </c>
      <c r="BL150" s="223">
        <f t="shared" si="1140"/>
        <v>-11813</v>
      </c>
      <c r="BM150" s="115">
        <f t="shared" si="1140"/>
        <v>-11813</v>
      </c>
      <c r="BN150" s="115">
        <f t="shared" si="1140"/>
        <v>-11813</v>
      </c>
      <c r="BO150" s="115">
        <f t="shared" si="1140"/>
        <v>-11813</v>
      </c>
      <c r="BP150" s="115">
        <f t="shared" si="1140"/>
        <v>-11813</v>
      </c>
      <c r="BQ150" s="115">
        <f t="shared" si="1140"/>
        <v>-11813</v>
      </c>
      <c r="BR150" s="115">
        <f t="shared" si="1140"/>
        <v>-11813</v>
      </c>
      <c r="BS150" s="115">
        <f t="shared" si="1140"/>
        <v>-11813</v>
      </c>
      <c r="BT150" s="115">
        <f t="shared" si="1140"/>
        <v>-11813</v>
      </c>
      <c r="BU150" s="115">
        <f t="shared" si="1140"/>
        <v>-11813</v>
      </c>
      <c r="BV150" s="115">
        <f t="shared" si="1140"/>
        <v>-11813</v>
      </c>
      <c r="BW150" s="187">
        <f t="shared" si="1140"/>
        <v>-11813</v>
      </c>
      <c r="BX150" s="223">
        <f t="shared" si="1140"/>
        <v>-11813</v>
      </c>
      <c r="BY150" s="115">
        <f t="shared" si="1140"/>
        <v>-11813</v>
      </c>
      <c r="BZ150" s="115">
        <f t="shared" si="1140"/>
        <v>-11813</v>
      </c>
      <c r="CA150" s="115">
        <f t="shared" si="1140"/>
        <v>-11813</v>
      </c>
      <c r="CB150" s="115">
        <f t="shared" si="1140"/>
        <v>-11813</v>
      </c>
      <c r="CC150" s="115">
        <f t="shared" si="1140"/>
        <v>-11813</v>
      </c>
      <c r="CD150" s="115">
        <f t="shared" si="1140"/>
        <v>-11813</v>
      </c>
      <c r="CE150" s="115">
        <f t="shared" si="1140"/>
        <v>-11813</v>
      </c>
      <c r="CF150" s="115">
        <f t="shared" si="1140"/>
        <v>-11813</v>
      </c>
      <c r="CG150" s="115">
        <f t="shared" si="1140"/>
        <v>-11813</v>
      </c>
      <c r="CH150" s="115">
        <f t="shared" si="1140"/>
        <v>-11813</v>
      </c>
      <c r="CI150" s="187">
        <f t="shared" si="1140"/>
        <v>-11813</v>
      </c>
      <c r="CJ150" s="223">
        <f t="shared" si="1140"/>
        <v>-11813</v>
      </c>
      <c r="CK150" s="115">
        <f t="shared" si="1140"/>
        <v>-11813</v>
      </c>
      <c r="CL150" s="115">
        <f t="shared" si="1140"/>
        <v>-11813</v>
      </c>
      <c r="CM150" s="115">
        <f t="shared" si="1140"/>
        <v>-11813</v>
      </c>
      <c r="CN150" s="115">
        <f t="shared" si="1140"/>
        <v>-11813</v>
      </c>
      <c r="CO150" s="115">
        <f t="shared" si="1140"/>
        <v>-11813</v>
      </c>
      <c r="CP150" s="115">
        <f t="shared" si="1140"/>
        <v>-11813</v>
      </c>
      <c r="CQ150" s="115">
        <f t="shared" si="1140"/>
        <v>-11813</v>
      </c>
      <c r="CR150" s="115">
        <f t="shared" si="1140"/>
        <v>-11813</v>
      </c>
      <c r="CS150" s="115">
        <f t="shared" si="1140"/>
        <v>-11813</v>
      </c>
      <c r="CT150" s="115">
        <f t="shared" si="1140"/>
        <v>-11813</v>
      </c>
      <c r="CU150" s="187">
        <f t="shared" si="1140"/>
        <v>-11813</v>
      </c>
      <c r="CV150" s="223">
        <f t="shared" si="1140"/>
        <v>-11813</v>
      </c>
      <c r="CW150" s="115">
        <f t="shared" si="1140"/>
        <v>-11813</v>
      </c>
      <c r="CX150" s="115">
        <f t="shared" si="1140"/>
        <v>-11813</v>
      </c>
      <c r="CY150" s="115">
        <f t="shared" si="1140"/>
        <v>-11813</v>
      </c>
      <c r="CZ150" s="115">
        <f t="shared" si="1140"/>
        <v>-11813</v>
      </c>
      <c r="DA150" s="115">
        <f t="shared" si="1140"/>
        <v>-11813</v>
      </c>
      <c r="DB150" s="115">
        <f t="shared" si="1140"/>
        <v>-11813</v>
      </c>
      <c r="DC150" s="115">
        <f t="shared" si="1140"/>
        <v>-11813</v>
      </c>
      <c r="DD150" s="115">
        <f t="shared" si="1140"/>
        <v>-11813</v>
      </c>
      <c r="DE150" s="115">
        <f t="shared" ref="DE150:DG150" si="1141">+DD150</f>
        <v>-11813</v>
      </c>
      <c r="DF150" s="115">
        <f t="shared" si="1141"/>
        <v>-11813</v>
      </c>
      <c r="DG150" s="115">
        <f t="shared" si="1141"/>
        <v>-11813</v>
      </c>
    </row>
    <row r="151" spans="1:111" x14ac:dyDescent="0.25">
      <c r="B151" s="1" t="s">
        <v>382</v>
      </c>
      <c r="C151" s="1"/>
      <c r="D151" s="115"/>
      <c r="E151" s="115"/>
      <c r="F151" s="115"/>
      <c r="G151" s="115"/>
      <c r="H151" s="115"/>
      <c r="I151" s="115"/>
      <c r="J151" s="113"/>
      <c r="K151" s="113"/>
      <c r="L151" s="113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520"/>
      <c r="AN151" s="115"/>
      <c r="AO151" s="115"/>
      <c r="AP151" s="115"/>
      <c r="AQ151" s="115">
        <v>-8861</v>
      </c>
      <c r="AR151" s="115">
        <v>-8861</v>
      </c>
      <c r="AS151" s="115">
        <v>-8898.68</v>
      </c>
      <c r="AT151" s="115">
        <v>-8898.68</v>
      </c>
      <c r="AU151" s="115">
        <v>-8898.68</v>
      </c>
      <c r="AV151" s="115">
        <v>-8898.68</v>
      </c>
      <c r="AW151" s="187">
        <v>-8898.68</v>
      </c>
      <c r="AX151" s="223">
        <f>+AW151</f>
        <v>-8898.68</v>
      </c>
      <c r="AY151" s="187">
        <f t="shared" ref="AY151:DD151" si="1142">+AX151</f>
        <v>-8898.68</v>
      </c>
      <c r="AZ151" s="223">
        <f t="shared" si="1142"/>
        <v>-8898.68</v>
      </c>
      <c r="BA151" s="115">
        <f t="shared" si="1142"/>
        <v>-8898.68</v>
      </c>
      <c r="BB151" s="115">
        <f t="shared" si="1142"/>
        <v>-8898.68</v>
      </c>
      <c r="BC151" s="115">
        <f t="shared" si="1142"/>
        <v>-8898.68</v>
      </c>
      <c r="BD151" s="115">
        <f t="shared" si="1142"/>
        <v>-8898.68</v>
      </c>
      <c r="BE151" s="115">
        <f t="shared" si="1142"/>
        <v>-8898.68</v>
      </c>
      <c r="BF151" s="115">
        <f t="shared" si="1142"/>
        <v>-8898.68</v>
      </c>
      <c r="BG151" s="115">
        <f t="shared" si="1142"/>
        <v>-8898.68</v>
      </c>
      <c r="BH151" s="115">
        <f t="shared" si="1142"/>
        <v>-8898.68</v>
      </c>
      <c r="BI151" s="115">
        <f t="shared" si="1142"/>
        <v>-8898.68</v>
      </c>
      <c r="BJ151" s="115">
        <f t="shared" si="1142"/>
        <v>-8898.68</v>
      </c>
      <c r="BK151" s="187">
        <f t="shared" si="1142"/>
        <v>-8898.68</v>
      </c>
      <c r="BL151" s="223">
        <f t="shared" si="1142"/>
        <v>-8898.68</v>
      </c>
      <c r="BM151" s="115">
        <f t="shared" si="1142"/>
        <v>-8898.68</v>
      </c>
      <c r="BN151" s="115">
        <f t="shared" si="1142"/>
        <v>-8898.68</v>
      </c>
      <c r="BO151" s="115">
        <f t="shared" si="1142"/>
        <v>-8898.68</v>
      </c>
      <c r="BP151" s="115">
        <f t="shared" si="1142"/>
        <v>-8898.68</v>
      </c>
      <c r="BQ151" s="115">
        <f t="shared" si="1142"/>
        <v>-8898.68</v>
      </c>
      <c r="BR151" s="115">
        <f t="shared" si="1142"/>
        <v>-8898.68</v>
      </c>
      <c r="BS151" s="115">
        <f t="shared" si="1142"/>
        <v>-8898.68</v>
      </c>
      <c r="BT151" s="115">
        <f t="shared" si="1142"/>
        <v>-8898.68</v>
      </c>
      <c r="BU151" s="115">
        <f t="shared" si="1142"/>
        <v>-8898.68</v>
      </c>
      <c r="BV151" s="115">
        <f t="shared" si="1142"/>
        <v>-8898.68</v>
      </c>
      <c r="BW151" s="187">
        <f t="shared" si="1142"/>
        <v>-8898.68</v>
      </c>
      <c r="BX151" s="223">
        <f t="shared" si="1142"/>
        <v>-8898.68</v>
      </c>
      <c r="BY151" s="115">
        <f t="shared" si="1142"/>
        <v>-8898.68</v>
      </c>
      <c r="BZ151" s="115">
        <f t="shared" si="1142"/>
        <v>-8898.68</v>
      </c>
      <c r="CA151" s="115">
        <f t="shared" si="1142"/>
        <v>-8898.68</v>
      </c>
      <c r="CB151" s="115">
        <f t="shared" si="1142"/>
        <v>-8898.68</v>
      </c>
      <c r="CC151" s="115">
        <f t="shared" si="1142"/>
        <v>-8898.68</v>
      </c>
      <c r="CD151" s="115">
        <f t="shared" si="1142"/>
        <v>-8898.68</v>
      </c>
      <c r="CE151" s="115">
        <f t="shared" si="1142"/>
        <v>-8898.68</v>
      </c>
      <c r="CF151" s="115">
        <f t="shared" si="1142"/>
        <v>-8898.68</v>
      </c>
      <c r="CG151" s="115">
        <f t="shared" si="1142"/>
        <v>-8898.68</v>
      </c>
      <c r="CH151" s="115">
        <f t="shared" si="1142"/>
        <v>-8898.68</v>
      </c>
      <c r="CI151" s="187">
        <f t="shared" si="1142"/>
        <v>-8898.68</v>
      </c>
      <c r="CJ151" s="223">
        <f t="shared" si="1142"/>
        <v>-8898.68</v>
      </c>
      <c r="CK151" s="115">
        <f t="shared" si="1142"/>
        <v>-8898.68</v>
      </c>
      <c r="CL151" s="115">
        <f t="shared" si="1142"/>
        <v>-8898.68</v>
      </c>
      <c r="CM151" s="115">
        <f t="shared" si="1142"/>
        <v>-8898.68</v>
      </c>
      <c r="CN151" s="115">
        <f t="shared" si="1142"/>
        <v>-8898.68</v>
      </c>
      <c r="CO151" s="115">
        <f t="shared" si="1142"/>
        <v>-8898.68</v>
      </c>
      <c r="CP151" s="115">
        <f t="shared" si="1142"/>
        <v>-8898.68</v>
      </c>
      <c r="CQ151" s="115">
        <f t="shared" si="1142"/>
        <v>-8898.68</v>
      </c>
      <c r="CR151" s="115">
        <f t="shared" si="1142"/>
        <v>-8898.68</v>
      </c>
      <c r="CS151" s="115">
        <f t="shared" si="1142"/>
        <v>-8898.68</v>
      </c>
      <c r="CT151" s="115">
        <f t="shared" si="1142"/>
        <v>-8898.68</v>
      </c>
      <c r="CU151" s="187">
        <f t="shared" si="1142"/>
        <v>-8898.68</v>
      </c>
      <c r="CV151" s="223">
        <f t="shared" si="1142"/>
        <v>-8898.68</v>
      </c>
      <c r="CW151" s="115">
        <f t="shared" si="1142"/>
        <v>-8898.68</v>
      </c>
      <c r="CX151" s="115">
        <f t="shared" si="1142"/>
        <v>-8898.68</v>
      </c>
      <c r="CY151" s="115">
        <f t="shared" si="1142"/>
        <v>-8898.68</v>
      </c>
      <c r="CZ151" s="115">
        <f t="shared" si="1142"/>
        <v>-8898.68</v>
      </c>
      <c r="DA151" s="115">
        <f t="shared" si="1142"/>
        <v>-8898.68</v>
      </c>
      <c r="DB151" s="115">
        <f t="shared" si="1142"/>
        <v>-8898.68</v>
      </c>
      <c r="DC151" s="115">
        <f t="shared" si="1142"/>
        <v>-8898.68</v>
      </c>
      <c r="DD151" s="115">
        <f t="shared" si="1142"/>
        <v>-8898.68</v>
      </c>
      <c r="DE151" s="115">
        <f t="shared" ref="DE151:DG151" si="1143">+DD151</f>
        <v>-8898.68</v>
      </c>
      <c r="DF151" s="115">
        <f t="shared" si="1143"/>
        <v>-8898.68</v>
      </c>
      <c r="DG151" s="115">
        <f t="shared" si="1143"/>
        <v>-8898.68</v>
      </c>
    </row>
    <row r="152" spans="1:111" x14ac:dyDescent="0.25">
      <c r="B152" s="1" t="s">
        <v>37</v>
      </c>
      <c r="C152" s="1"/>
      <c r="D152" s="115">
        <f>0</f>
        <v>0</v>
      </c>
      <c r="E152" s="115">
        <f t="shared" ref="E152:O152" si="1144">D152+E108</f>
        <v>0</v>
      </c>
      <c r="F152" s="115">
        <f t="shared" si="1144"/>
        <v>0</v>
      </c>
      <c r="G152" s="115">
        <f t="shared" si="1144"/>
        <v>0</v>
      </c>
      <c r="H152" s="115">
        <f t="shared" si="1144"/>
        <v>0</v>
      </c>
      <c r="I152" s="115">
        <f t="shared" si="1144"/>
        <v>0</v>
      </c>
      <c r="J152" s="113">
        <f t="shared" si="1144"/>
        <v>0</v>
      </c>
      <c r="K152" s="113">
        <f t="shared" si="1144"/>
        <v>375</v>
      </c>
      <c r="L152" s="113">
        <f t="shared" si="1144"/>
        <v>1423</v>
      </c>
      <c r="M152" s="115">
        <f t="shared" si="1144"/>
        <v>3391.36</v>
      </c>
      <c r="N152" s="115">
        <f t="shared" si="1144"/>
        <v>5009.16</v>
      </c>
      <c r="O152" s="115">
        <f t="shared" si="1144"/>
        <v>6879.57</v>
      </c>
      <c r="P152" s="115">
        <f>+P108</f>
        <v>1310.8600000000001</v>
      </c>
      <c r="Q152" s="115">
        <f t="shared" ref="Q152:AA152" si="1145">+Q108+P152</f>
        <v>2412.8500000000004</v>
      </c>
      <c r="R152" s="115">
        <f t="shared" si="1145"/>
        <v>3514.2400000000007</v>
      </c>
      <c r="S152" s="115">
        <f t="shared" si="1145"/>
        <v>5198.8200000000006</v>
      </c>
      <c r="T152" s="115">
        <f t="shared" si="1145"/>
        <v>7134.76</v>
      </c>
      <c r="U152" s="115">
        <f t="shared" si="1145"/>
        <v>8530.94</v>
      </c>
      <c r="V152" s="115">
        <f t="shared" si="1145"/>
        <v>10933.710000000001</v>
      </c>
      <c r="W152" s="115">
        <f t="shared" si="1145"/>
        <v>17160.43</v>
      </c>
      <c r="X152" s="115">
        <f t="shared" si="1145"/>
        <v>24270.16</v>
      </c>
      <c r="Y152" s="115">
        <f t="shared" si="1145"/>
        <v>31119.06</v>
      </c>
      <c r="Z152" s="115">
        <f t="shared" si="1145"/>
        <v>35150.75</v>
      </c>
      <c r="AA152" s="115">
        <f t="shared" si="1145"/>
        <v>36497.78</v>
      </c>
      <c r="AB152" s="115">
        <f>+AB108</f>
        <v>2584.7600000000002</v>
      </c>
      <c r="AC152" s="115">
        <f t="shared" ref="AC152:AM152" si="1146">+AC108+AB152</f>
        <v>5326.8</v>
      </c>
      <c r="AD152" s="115">
        <f t="shared" si="1146"/>
        <v>7863.27</v>
      </c>
      <c r="AE152" s="115">
        <f t="shared" si="1146"/>
        <v>9098.4700000000012</v>
      </c>
      <c r="AF152" s="115">
        <f t="shared" si="1146"/>
        <v>13828.600000000002</v>
      </c>
      <c r="AG152" s="115">
        <f t="shared" si="1146"/>
        <v>15867.180000000002</v>
      </c>
      <c r="AH152" s="115">
        <f t="shared" si="1146"/>
        <v>21466.050000000003</v>
      </c>
      <c r="AI152" s="115">
        <f t="shared" si="1146"/>
        <v>32601.800000000003</v>
      </c>
      <c r="AJ152" s="115">
        <f t="shared" si="1146"/>
        <v>40083.980000000003</v>
      </c>
      <c r="AK152" s="115">
        <f t="shared" si="1146"/>
        <v>54239.73</v>
      </c>
      <c r="AL152" s="115">
        <f t="shared" si="1146"/>
        <v>60870.55</v>
      </c>
      <c r="AM152" s="520">
        <f t="shared" si="1146"/>
        <v>64055.3</v>
      </c>
      <c r="AN152" s="115">
        <f>+AN108</f>
        <v>1533.3599999999997</v>
      </c>
      <c r="AO152" s="115">
        <f t="shared" ref="AO152:AT152" si="1147">+AO108+AN152</f>
        <v>1720.6100000000001</v>
      </c>
      <c r="AP152" s="115">
        <f t="shared" si="1147"/>
        <v>1206.0700000000002</v>
      </c>
      <c r="AQ152" s="115">
        <f t="shared" si="1147"/>
        <v>423.41000000000042</v>
      </c>
      <c r="AR152" s="115">
        <f t="shared" si="1147"/>
        <v>1826.6800000000003</v>
      </c>
      <c r="AS152" s="115">
        <f>+AS108+AR152</f>
        <v>3821.28</v>
      </c>
      <c r="AT152" s="115">
        <f t="shared" si="1147"/>
        <v>6883.1400000000012</v>
      </c>
      <c r="AU152" s="115">
        <f t="shared" ref="AU152:AW152" si="1148">+AU108+AT152</f>
        <v>8280.7800000000007</v>
      </c>
      <c r="AV152" s="115">
        <f t="shared" si="1148"/>
        <v>18266.979999999996</v>
      </c>
      <c r="AW152" s="187">
        <f t="shared" si="1148"/>
        <v>31586.65</v>
      </c>
      <c r="AX152" s="223">
        <f>+AX108</f>
        <v>-2694.1973181109042</v>
      </c>
      <c r="AY152" s="187">
        <f t="shared" ref="AY152" si="1149">+AY108+AX152</f>
        <v>-893.83618389634285</v>
      </c>
      <c r="AZ152" s="115">
        <f>+AZ108</f>
        <v>2704.9220095309593</v>
      </c>
      <c r="BA152" s="115">
        <f t="shared" ref="BA152:BK152" si="1150">+BA108+AZ152</f>
        <v>2327.612948117725</v>
      </c>
      <c r="BB152" s="115">
        <f t="shared" si="1150"/>
        <v>-617.02561678146776</v>
      </c>
      <c r="BC152" s="115">
        <f t="shared" si="1150"/>
        <v>-9137.7812021470236</v>
      </c>
      <c r="BD152" s="115">
        <f t="shared" si="1150"/>
        <v>-15295.939782943744</v>
      </c>
      <c r="BE152" s="115">
        <f t="shared" si="1150"/>
        <v>-17900.098597028627</v>
      </c>
      <c r="BF152" s="115">
        <f t="shared" si="1150"/>
        <v>-16301.340387565837</v>
      </c>
      <c r="BG152" s="115">
        <f t="shared" si="1150"/>
        <v>-12512.636777652602</v>
      </c>
      <c r="BH152" s="115">
        <f t="shared" si="1150"/>
        <v>-1907.0316265821311</v>
      </c>
      <c r="BI152" s="115">
        <f t="shared" si="1150"/>
        <v>16160.40804728651</v>
      </c>
      <c r="BJ152" s="115">
        <f t="shared" si="1150"/>
        <v>16307.011516776713</v>
      </c>
      <c r="BK152" s="187">
        <f t="shared" si="1150"/>
        <v>20806.183025677768</v>
      </c>
      <c r="BL152" s="115">
        <f>+BL108</f>
        <v>4427.8869230716955</v>
      </c>
      <c r="BM152" s="115">
        <f t="shared" ref="BM152:BW152" si="1151">+BM108+BL152</f>
        <v>6958.8836812197333</v>
      </c>
      <c r="BN152" s="115">
        <f t="shared" si="1151"/>
        <v>7507.9333447373992</v>
      </c>
      <c r="BO152" s="115">
        <f t="shared" si="1151"/>
        <v>355.91097654621262</v>
      </c>
      <c r="BP152" s="115">
        <f t="shared" si="1151"/>
        <v>-3545.8404845669684</v>
      </c>
      <c r="BQ152" s="115">
        <f t="shared" si="1151"/>
        <v>-2453.2414496491856</v>
      </c>
      <c r="BR152" s="115">
        <f t="shared" si="1151"/>
        <v>3751.1630419636858</v>
      </c>
      <c r="BS152" s="115">
        <f t="shared" si="1151"/>
        <v>14775.420628515889</v>
      </c>
      <c r="BT152" s="115">
        <f t="shared" si="1151"/>
        <v>34173.367202821297</v>
      </c>
      <c r="BU152" s="115">
        <f t="shared" si="1151"/>
        <v>62062.487227499056</v>
      </c>
      <c r="BV152" s="115">
        <f t="shared" si="1151"/>
        <v>69180.373593279044</v>
      </c>
      <c r="BW152" s="187">
        <f t="shared" si="1151"/>
        <v>80341.978841924967</v>
      </c>
      <c r="BX152" s="115">
        <f>+BX108</f>
        <v>9472.9086733945041</v>
      </c>
      <c r="BY152" s="115">
        <f t="shared" ref="BY152:CI152" si="1152">+BY108+BX152</f>
        <v>17094.713749383944</v>
      </c>
      <c r="BZ152" s="115">
        <f t="shared" si="1152"/>
        <v>21310.542891793135</v>
      </c>
      <c r="CA152" s="115">
        <f t="shared" si="1152"/>
        <v>13926.065700046369</v>
      </c>
      <c r="CB152" s="115">
        <f t="shared" si="1152"/>
        <v>12759.838519303208</v>
      </c>
      <c r="CC152" s="115">
        <f t="shared" si="1152"/>
        <v>17219.736758606305</v>
      </c>
      <c r="CD152" s="115">
        <f t="shared" si="1152"/>
        <v>28063.994238739397</v>
      </c>
      <c r="CE152" s="115">
        <f t="shared" si="1152"/>
        <v>48187.942396126018</v>
      </c>
      <c r="CF152" s="115">
        <f t="shared" si="1152"/>
        <v>76318.361702944909</v>
      </c>
      <c r="CG152" s="115">
        <f t="shared" si="1152"/>
        <v>120928.99367532735</v>
      </c>
      <c r="CH152" s="115">
        <f t="shared" si="1152"/>
        <v>134866.84115100978</v>
      </c>
      <c r="CI152" s="187">
        <f t="shared" si="1152"/>
        <v>150689.39335086761</v>
      </c>
      <c r="CJ152" s="115">
        <f>+CJ108</f>
        <v>21814.779793338923</v>
      </c>
      <c r="CK152" s="115">
        <f t="shared" ref="CK152:CU152" si="1153">+CK108+CJ152</f>
        <v>36195.311978618069</v>
      </c>
      <c r="CL152" s="115">
        <f t="shared" si="1153"/>
        <v>45872.212856244427</v>
      </c>
      <c r="CM152" s="115">
        <f t="shared" si="1153"/>
        <v>41389.900543213218</v>
      </c>
      <c r="CN152" s="115">
        <f t="shared" si="1153"/>
        <v>44822.781855580935</v>
      </c>
      <c r="CO152" s="115">
        <f t="shared" si="1153"/>
        <v>55172.28045749382</v>
      </c>
      <c r="CP152" s="115">
        <f t="shared" si="1153"/>
        <v>77445.559525513905</v>
      </c>
      <c r="CQ152" s="115">
        <f t="shared" si="1153"/>
        <v>111060.80175886925</v>
      </c>
      <c r="CR152" s="115">
        <f t="shared" si="1153"/>
        <v>153337.64222463992</v>
      </c>
      <c r="CS152" s="115">
        <f t="shared" si="1153"/>
        <v>226148.18520140974</v>
      </c>
      <c r="CT152" s="115">
        <f t="shared" si="1153"/>
        <v>251856.4901711788</v>
      </c>
      <c r="CU152" s="187">
        <f t="shared" si="1153"/>
        <v>279971.23127681011</v>
      </c>
      <c r="CV152" s="115">
        <f>+CV108</f>
        <v>37282.475149118647</v>
      </c>
      <c r="CW152" s="115">
        <f t="shared" ref="CW152:DG152" si="1154">+CW108+CV152</f>
        <v>63767.558506191344</v>
      </c>
      <c r="CX152" s="115">
        <f t="shared" si="1154"/>
        <v>80041.167190856533</v>
      </c>
      <c r="CY152" s="115">
        <f t="shared" si="1154"/>
        <v>80750.976498158372</v>
      </c>
      <c r="CZ152" s="115">
        <f t="shared" si="1154"/>
        <v>91634.611008726075</v>
      </c>
      <c r="DA152" s="115">
        <f t="shared" si="1154"/>
        <v>110502.32489867219</v>
      </c>
      <c r="DB152" s="115">
        <f t="shared" si="1154"/>
        <v>150652.81915514386</v>
      </c>
      <c r="DC152" s="115">
        <f t="shared" si="1154"/>
        <v>201214.59770477255</v>
      </c>
      <c r="DD152" s="115">
        <f t="shared" si="1154"/>
        <v>270848.00600667542</v>
      </c>
      <c r="DE152" s="115">
        <f t="shared" si="1154"/>
        <v>379366.77634440362</v>
      </c>
      <c r="DF152" s="115">
        <f t="shared" si="1154"/>
        <v>418830.61569550983</v>
      </c>
      <c r="DG152" s="115">
        <f t="shared" si="1154"/>
        <v>467132.82934984274</v>
      </c>
    </row>
    <row r="153" spans="1:111" x14ac:dyDescent="0.25">
      <c r="A153" s="5"/>
      <c r="B153" s="6" t="s">
        <v>38</v>
      </c>
      <c r="C153" s="6"/>
      <c r="D153" s="54">
        <f t="shared" ref="D153:AI153" si="1155">SUM(D147:D152)</f>
        <v>0</v>
      </c>
      <c r="E153" s="54">
        <f t="shared" si="1155"/>
        <v>0</v>
      </c>
      <c r="F153" s="54">
        <f t="shared" si="1155"/>
        <v>0</v>
      </c>
      <c r="G153" s="54">
        <f t="shared" si="1155"/>
        <v>0</v>
      </c>
      <c r="H153" s="54">
        <f t="shared" si="1155"/>
        <v>0</v>
      </c>
      <c r="I153" s="54">
        <f t="shared" si="1155"/>
        <v>0</v>
      </c>
      <c r="J153" s="54">
        <f t="shared" si="1155"/>
        <v>0</v>
      </c>
      <c r="K153" s="54">
        <f t="shared" si="1155"/>
        <v>630</v>
      </c>
      <c r="L153" s="54">
        <f t="shared" si="1155"/>
        <v>1678</v>
      </c>
      <c r="M153" s="54">
        <f t="shared" si="1155"/>
        <v>3385.36</v>
      </c>
      <c r="N153" s="54">
        <f t="shared" si="1155"/>
        <v>1822.3999999999996</v>
      </c>
      <c r="O153" s="54">
        <f t="shared" si="1155"/>
        <v>844.09999999999945</v>
      </c>
      <c r="P153" s="54">
        <f t="shared" si="1155"/>
        <v>154.96000000000049</v>
      </c>
      <c r="Q153" s="54">
        <f t="shared" si="1155"/>
        <v>206.95000000000073</v>
      </c>
      <c r="R153" s="54">
        <f t="shared" si="1155"/>
        <v>158.34000000000106</v>
      </c>
      <c r="S153" s="54">
        <f t="shared" si="1155"/>
        <v>567.92000000000098</v>
      </c>
      <c r="T153" s="54">
        <f t="shared" si="1155"/>
        <v>422.39000000000124</v>
      </c>
      <c r="U153" s="54">
        <f t="shared" si="1155"/>
        <v>598.57000000000153</v>
      </c>
      <c r="V153" s="54">
        <f t="shared" si="1155"/>
        <v>536.72999999999774</v>
      </c>
      <c r="W153" s="54">
        <f t="shared" si="1155"/>
        <v>358.44999999999709</v>
      </c>
      <c r="X153" s="54">
        <f t="shared" si="1155"/>
        <v>1868.1799999999967</v>
      </c>
      <c r="Y153" s="54">
        <f t="shared" si="1155"/>
        <v>878.29999999999927</v>
      </c>
      <c r="Z153" s="54">
        <f t="shared" si="1155"/>
        <v>909.98999999999796</v>
      </c>
      <c r="AA153" s="54">
        <f t="shared" si="1155"/>
        <v>832.0199999999968</v>
      </c>
      <c r="AB153" s="54">
        <f t="shared" si="1155"/>
        <v>1516.779999999997</v>
      </c>
      <c r="AC153" s="54">
        <f t="shared" si="1155"/>
        <v>933.81999999999698</v>
      </c>
      <c r="AD153" s="54">
        <f t="shared" si="1155"/>
        <v>250.28999999999724</v>
      </c>
      <c r="AE153" s="54">
        <f t="shared" si="1155"/>
        <v>1560.489999999998</v>
      </c>
      <c r="AF153" s="54">
        <f t="shared" si="1155"/>
        <v>2190.619999999999</v>
      </c>
      <c r="AG153" s="54">
        <f t="shared" si="1155"/>
        <v>1479.1999999999989</v>
      </c>
      <c r="AH153" s="54">
        <f t="shared" si="1155"/>
        <v>4174.1200000000026</v>
      </c>
      <c r="AI153" s="54">
        <f t="shared" si="1155"/>
        <v>5534.8700000000026</v>
      </c>
      <c r="AJ153" s="54">
        <f t="shared" ref="AJ153:BO153" si="1156">SUM(AJ147:AJ152)</f>
        <v>6249.5500000000029</v>
      </c>
      <c r="AK153" s="54">
        <f t="shared" si="1156"/>
        <v>7905.3000000000029</v>
      </c>
      <c r="AL153" s="54">
        <f t="shared" si="1156"/>
        <v>6756.1200000000026</v>
      </c>
      <c r="AM153" s="573">
        <f t="shared" si="1156"/>
        <v>2488.4599999999991</v>
      </c>
      <c r="AN153" s="54">
        <f t="shared" si="1156"/>
        <v>1871.8199999999915</v>
      </c>
      <c r="AO153" s="54">
        <f t="shared" si="1156"/>
        <v>2059.069999999992</v>
      </c>
      <c r="AP153" s="54">
        <f t="shared" si="1156"/>
        <v>1544.529999999992</v>
      </c>
      <c r="AQ153" s="54">
        <f t="shared" si="1156"/>
        <v>762.86999999999227</v>
      </c>
      <c r="AR153" s="54">
        <f t="shared" si="1156"/>
        <v>1419.6500000000015</v>
      </c>
      <c r="AS153" s="54">
        <f t="shared" ref="AS153:AT153" si="1157">SUM(AS147:AS152)</f>
        <v>4069.4999999999941</v>
      </c>
      <c r="AT153" s="54">
        <f t="shared" si="1157"/>
        <v>6323.5799999999963</v>
      </c>
      <c r="AU153" s="54">
        <f t="shared" ref="AU153:AV153" si="1158">SUM(AU147:AU152)</f>
        <v>7721.2199999999957</v>
      </c>
      <c r="AV153" s="54">
        <f t="shared" si="1158"/>
        <v>17133.19999999999</v>
      </c>
      <c r="AW153" s="314">
        <f t="shared" ref="AW153" si="1159">SUM(AW147:AW152)</f>
        <v>30452.869999999995</v>
      </c>
      <c r="AX153" s="54">
        <f t="shared" ref="AX153" si="1160">SUM(AX147:AX152)</f>
        <v>27758.672681889082</v>
      </c>
      <c r="AY153" s="314">
        <f t="shared" si="1156"/>
        <v>29559.033816103645</v>
      </c>
      <c r="AZ153" s="54">
        <f t="shared" si="1156"/>
        <v>32263.955825634599</v>
      </c>
      <c r="BA153" s="54">
        <f t="shared" si="1156"/>
        <v>31886.646764221368</v>
      </c>
      <c r="BB153" s="54">
        <f t="shared" si="1156"/>
        <v>28942.008199322176</v>
      </c>
      <c r="BC153" s="54">
        <f t="shared" si="1156"/>
        <v>20421.252613956618</v>
      </c>
      <c r="BD153" s="54">
        <f t="shared" si="1156"/>
        <v>14263.094033159898</v>
      </c>
      <c r="BE153" s="54">
        <f t="shared" si="1156"/>
        <v>11658.935219075014</v>
      </c>
      <c r="BF153" s="54">
        <f t="shared" si="1156"/>
        <v>13257.693428537805</v>
      </c>
      <c r="BG153" s="54">
        <f t="shared" si="1156"/>
        <v>17046.397038451039</v>
      </c>
      <c r="BH153" s="54">
        <f t="shared" si="1156"/>
        <v>27652.00218952151</v>
      </c>
      <c r="BI153" s="54">
        <f t="shared" si="1156"/>
        <v>45719.441863390151</v>
      </c>
      <c r="BJ153" s="54">
        <f t="shared" si="1156"/>
        <v>45866.045332880356</v>
      </c>
      <c r="BK153" s="314">
        <f t="shared" si="1156"/>
        <v>50365.21684178141</v>
      </c>
      <c r="BL153" s="54">
        <f t="shared" si="1156"/>
        <v>54793.103764853113</v>
      </c>
      <c r="BM153" s="54">
        <f t="shared" si="1156"/>
        <v>57324.100523001151</v>
      </c>
      <c r="BN153" s="54">
        <f t="shared" si="1156"/>
        <v>57873.150186518818</v>
      </c>
      <c r="BO153" s="54">
        <f t="shared" si="1156"/>
        <v>50721.12781832763</v>
      </c>
      <c r="BP153" s="54">
        <f t="shared" ref="BP153:CU153" si="1161">SUM(BP147:BP152)</f>
        <v>46819.376357214453</v>
      </c>
      <c r="BQ153" s="54">
        <f t="shared" si="1161"/>
        <v>47911.975392132234</v>
      </c>
      <c r="BR153" s="54">
        <f t="shared" si="1161"/>
        <v>54116.379883745103</v>
      </c>
      <c r="BS153" s="54">
        <f t="shared" si="1161"/>
        <v>65140.637470297304</v>
      </c>
      <c r="BT153" s="54">
        <f t="shared" si="1161"/>
        <v>84538.584044602714</v>
      </c>
      <c r="BU153" s="54">
        <f t="shared" si="1161"/>
        <v>112427.70406928047</v>
      </c>
      <c r="BV153" s="54">
        <f t="shared" si="1161"/>
        <v>119545.59043506047</v>
      </c>
      <c r="BW153" s="314">
        <f t="shared" si="1161"/>
        <v>130707.19568370638</v>
      </c>
      <c r="BX153" s="54">
        <f t="shared" si="1161"/>
        <v>140180.10435710088</v>
      </c>
      <c r="BY153" s="54">
        <f t="shared" si="1161"/>
        <v>147801.90943309033</v>
      </c>
      <c r="BZ153" s="54">
        <f t="shared" si="1161"/>
        <v>152017.7385754995</v>
      </c>
      <c r="CA153" s="54">
        <f t="shared" si="1161"/>
        <v>144633.26138375275</v>
      </c>
      <c r="CB153" s="54">
        <f t="shared" si="1161"/>
        <v>143467.03420300959</v>
      </c>
      <c r="CC153" s="54">
        <f t="shared" si="1161"/>
        <v>147926.93244231268</v>
      </c>
      <c r="CD153" s="54">
        <f t="shared" si="1161"/>
        <v>158771.18992244577</v>
      </c>
      <c r="CE153" s="54">
        <f t="shared" si="1161"/>
        <v>178895.1380798324</v>
      </c>
      <c r="CF153" s="54">
        <f t="shared" si="1161"/>
        <v>207025.55738665129</v>
      </c>
      <c r="CG153" s="54">
        <f t="shared" si="1161"/>
        <v>251636.18935903371</v>
      </c>
      <c r="CH153" s="54">
        <f t="shared" si="1161"/>
        <v>265574.03683471616</v>
      </c>
      <c r="CI153" s="314">
        <f t="shared" si="1161"/>
        <v>281396.58903457399</v>
      </c>
      <c r="CJ153" s="54">
        <f t="shared" si="1161"/>
        <v>303211.3688279129</v>
      </c>
      <c r="CK153" s="54">
        <f t="shared" si="1161"/>
        <v>317591.90101319208</v>
      </c>
      <c r="CL153" s="54">
        <f t="shared" si="1161"/>
        <v>327268.8018908184</v>
      </c>
      <c r="CM153" s="54">
        <f t="shared" si="1161"/>
        <v>322786.48957778723</v>
      </c>
      <c r="CN153" s="54">
        <f t="shared" si="1161"/>
        <v>326219.37089015491</v>
      </c>
      <c r="CO153" s="54">
        <f t="shared" si="1161"/>
        <v>336568.86949206784</v>
      </c>
      <c r="CP153" s="54">
        <f t="shared" si="1161"/>
        <v>358842.1485600879</v>
      </c>
      <c r="CQ153" s="54">
        <f t="shared" si="1161"/>
        <v>392457.39079344325</v>
      </c>
      <c r="CR153" s="54">
        <f t="shared" si="1161"/>
        <v>434734.23125921388</v>
      </c>
      <c r="CS153" s="54">
        <f t="shared" si="1161"/>
        <v>507544.77423598373</v>
      </c>
      <c r="CT153" s="54">
        <f t="shared" si="1161"/>
        <v>533253.07920575282</v>
      </c>
      <c r="CU153" s="314">
        <f t="shared" si="1161"/>
        <v>561367.82031138404</v>
      </c>
      <c r="CV153" s="54">
        <f t="shared" ref="CV153:DG153" si="1162">SUM(CV147:CV152)</f>
        <v>598650.29546050273</v>
      </c>
      <c r="CW153" s="54">
        <f t="shared" si="1162"/>
        <v>625135.3788175754</v>
      </c>
      <c r="CX153" s="54">
        <f t="shared" si="1162"/>
        <v>641408.98750224058</v>
      </c>
      <c r="CY153" s="54">
        <f t="shared" si="1162"/>
        <v>642118.79680954246</v>
      </c>
      <c r="CZ153" s="54">
        <f t="shared" si="1162"/>
        <v>653002.4313201101</v>
      </c>
      <c r="DA153" s="54">
        <f t="shared" si="1162"/>
        <v>671870.14521005622</v>
      </c>
      <c r="DB153" s="54">
        <f t="shared" si="1162"/>
        <v>712020.63946652785</v>
      </c>
      <c r="DC153" s="54">
        <f t="shared" si="1162"/>
        <v>762582.41801615665</v>
      </c>
      <c r="DD153" s="54">
        <f t="shared" si="1162"/>
        <v>832215.82631805947</v>
      </c>
      <c r="DE153" s="54">
        <f t="shared" si="1162"/>
        <v>940734.59665578767</v>
      </c>
      <c r="DF153" s="54">
        <f t="shared" si="1162"/>
        <v>980198.43600689387</v>
      </c>
      <c r="DG153" s="54">
        <f t="shared" si="1162"/>
        <v>1028500.6496612268</v>
      </c>
    </row>
    <row r="154" spans="1:111" x14ac:dyDescent="0.25">
      <c r="A154" s="3"/>
      <c r="B154" s="4" t="s">
        <v>39</v>
      </c>
      <c r="C154" s="4"/>
      <c r="D154" s="55">
        <f t="shared" ref="D154:I154" si="1163">D153</f>
        <v>0</v>
      </c>
      <c r="E154" s="55">
        <f t="shared" si="1163"/>
        <v>0</v>
      </c>
      <c r="F154" s="55">
        <f t="shared" si="1163"/>
        <v>0</v>
      </c>
      <c r="G154" s="55">
        <f t="shared" si="1163"/>
        <v>0</v>
      </c>
      <c r="H154" s="55">
        <f t="shared" si="1163"/>
        <v>0</v>
      </c>
      <c r="I154" s="55">
        <f t="shared" si="1163"/>
        <v>0</v>
      </c>
      <c r="J154" s="55">
        <f t="shared" ref="J154:AO154" si="1164">J153+J145</f>
        <v>0</v>
      </c>
      <c r="K154" s="55">
        <f t="shared" si="1164"/>
        <v>630</v>
      </c>
      <c r="L154" s="55">
        <f t="shared" si="1164"/>
        <v>1678</v>
      </c>
      <c r="M154" s="55">
        <f t="shared" si="1164"/>
        <v>3385.36</v>
      </c>
      <c r="N154" s="55">
        <f t="shared" si="1164"/>
        <v>1822.3999999999996</v>
      </c>
      <c r="O154" s="55">
        <f t="shared" si="1164"/>
        <v>844.09999999999945</v>
      </c>
      <c r="P154" s="55">
        <f t="shared" si="1164"/>
        <v>229.96000000000049</v>
      </c>
      <c r="Q154" s="55">
        <f t="shared" si="1164"/>
        <v>281.95000000000073</v>
      </c>
      <c r="R154" s="55">
        <f t="shared" si="1164"/>
        <v>158.34000000000106</v>
      </c>
      <c r="S154" s="55">
        <f t="shared" si="1164"/>
        <v>642.92000000000098</v>
      </c>
      <c r="T154" s="55">
        <f t="shared" si="1164"/>
        <v>422.39000000000124</v>
      </c>
      <c r="U154" s="55">
        <f t="shared" si="1164"/>
        <v>823.57000000000153</v>
      </c>
      <c r="V154" s="55">
        <f t="shared" si="1164"/>
        <v>836.72999999999774</v>
      </c>
      <c r="W154" s="55">
        <f t="shared" si="1164"/>
        <v>733.44999999999709</v>
      </c>
      <c r="X154" s="55">
        <f t="shared" si="1164"/>
        <v>2093.1799999999967</v>
      </c>
      <c r="Y154" s="55">
        <f t="shared" si="1164"/>
        <v>953.29999999999927</v>
      </c>
      <c r="Z154" s="55">
        <f t="shared" si="1164"/>
        <v>1059.989999999998</v>
      </c>
      <c r="AA154" s="55">
        <f t="shared" si="1164"/>
        <v>1057.0199999999968</v>
      </c>
      <c r="AB154" s="55">
        <f t="shared" si="1164"/>
        <v>1591.779999999997</v>
      </c>
      <c r="AC154" s="55">
        <f t="shared" si="1164"/>
        <v>1046.319999999997</v>
      </c>
      <c r="AD154" s="55">
        <f t="shared" si="1164"/>
        <v>475.28999999999724</v>
      </c>
      <c r="AE154" s="55">
        <f t="shared" si="1164"/>
        <v>1860.489999999998</v>
      </c>
      <c r="AF154" s="55">
        <f t="shared" si="1164"/>
        <v>2408.0899999999988</v>
      </c>
      <c r="AG154" s="55">
        <f t="shared" si="1164"/>
        <v>2419.4599999999991</v>
      </c>
      <c r="AH154" s="55">
        <f t="shared" si="1164"/>
        <v>5806.4900000000025</v>
      </c>
      <c r="AI154" s="55">
        <f t="shared" si="1164"/>
        <v>6831.9900000000025</v>
      </c>
      <c r="AJ154" s="55">
        <f t="shared" si="1164"/>
        <v>7475.0200000000032</v>
      </c>
      <c r="AK154" s="55">
        <f t="shared" si="1164"/>
        <v>9430.1700000000019</v>
      </c>
      <c r="AL154" s="55">
        <f t="shared" si="1164"/>
        <v>7689.4000000000024</v>
      </c>
      <c r="AM154" s="521">
        <f t="shared" si="1164"/>
        <v>3914.829999999999</v>
      </c>
      <c r="AN154" s="55">
        <f t="shared" si="1164"/>
        <v>6311.339999999992</v>
      </c>
      <c r="AO154" s="55">
        <f t="shared" si="1164"/>
        <v>3464.4999999999918</v>
      </c>
      <c r="AP154" s="55">
        <f t="shared" ref="AP154:BU154" si="1165">AP153+AP145</f>
        <v>2703.1899999999919</v>
      </c>
      <c r="AQ154" s="55">
        <f t="shared" si="1165"/>
        <v>2336.529999999992</v>
      </c>
      <c r="AR154" s="55">
        <f t="shared" si="1165"/>
        <v>2883.8300000000013</v>
      </c>
      <c r="AS154" s="55">
        <f t="shared" ref="AS154" si="1166">AS153+AS145</f>
        <v>4350.7499999999945</v>
      </c>
      <c r="AT154" s="55">
        <f>AT153+AT145</f>
        <v>7636.0799999999963</v>
      </c>
      <c r="AU154" s="55">
        <f>AU153+AU145</f>
        <v>8174.9699999999957</v>
      </c>
      <c r="AV154" s="55">
        <f>AV153+AV145</f>
        <v>17470.69999999999</v>
      </c>
      <c r="AW154" s="312">
        <f>AW153+AW145</f>
        <v>31034.119999999995</v>
      </c>
      <c r="AX154" s="55">
        <f t="shared" ref="AX154" si="1167">AX153+AX145</f>
        <v>28173.672681889082</v>
      </c>
      <c r="AY154" s="312">
        <f t="shared" si="1165"/>
        <v>29974.033816103645</v>
      </c>
      <c r="AZ154" s="55">
        <f t="shared" si="1165"/>
        <v>32678.955825634599</v>
      </c>
      <c r="BA154" s="55">
        <f t="shared" si="1165"/>
        <v>32301.646764221368</v>
      </c>
      <c r="BB154" s="55">
        <f t="shared" si="1165"/>
        <v>29357.008199322176</v>
      </c>
      <c r="BC154" s="55">
        <f t="shared" si="1165"/>
        <v>20836.252613956618</v>
      </c>
      <c r="BD154" s="55">
        <f t="shared" si="1165"/>
        <v>14678.094033159898</v>
      </c>
      <c r="BE154" s="55">
        <f t="shared" si="1165"/>
        <v>12073.935219075014</v>
      </c>
      <c r="BF154" s="55">
        <f t="shared" si="1165"/>
        <v>13672.693428537805</v>
      </c>
      <c r="BG154" s="55">
        <f t="shared" si="1165"/>
        <v>17461.397038451039</v>
      </c>
      <c r="BH154" s="55">
        <f t="shared" si="1165"/>
        <v>28067.00218952151</v>
      </c>
      <c r="BI154" s="55">
        <f t="shared" si="1165"/>
        <v>46134.441863390151</v>
      </c>
      <c r="BJ154" s="55">
        <f t="shared" si="1165"/>
        <v>46281.045332880356</v>
      </c>
      <c r="BK154" s="312">
        <f t="shared" si="1165"/>
        <v>50780.21684178141</v>
      </c>
      <c r="BL154" s="55">
        <f t="shared" si="1165"/>
        <v>55208.103764853113</v>
      </c>
      <c r="BM154" s="55">
        <f t="shared" si="1165"/>
        <v>57739.100523001151</v>
      </c>
      <c r="BN154" s="55">
        <f t="shared" si="1165"/>
        <v>58288.150186518818</v>
      </c>
      <c r="BO154" s="55">
        <f t="shared" si="1165"/>
        <v>51136.12781832763</v>
      </c>
      <c r="BP154" s="55">
        <f t="shared" si="1165"/>
        <v>47234.376357214453</v>
      </c>
      <c r="BQ154" s="55">
        <f t="shared" si="1165"/>
        <v>48326.975392132234</v>
      </c>
      <c r="BR154" s="55">
        <f t="shared" si="1165"/>
        <v>54531.379883745103</v>
      </c>
      <c r="BS154" s="55">
        <f t="shared" si="1165"/>
        <v>65555.637470297312</v>
      </c>
      <c r="BT154" s="55">
        <f t="shared" si="1165"/>
        <v>84953.584044602714</v>
      </c>
      <c r="BU154" s="55">
        <f t="shared" si="1165"/>
        <v>112842.70406928047</v>
      </c>
      <c r="BV154" s="55">
        <f t="shared" ref="BV154:DA154" si="1168">BV153+BV145</f>
        <v>119960.59043506047</v>
      </c>
      <c r="BW154" s="312">
        <f t="shared" si="1168"/>
        <v>131122.19568370638</v>
      </c>
      <c r="BX154" s="55">
        <f t="shared" si="1168"/>
        <v>140595.10435710088</v>
      </c>
      <c r="BY154" s="55">
        <f t="shared" si="1168"/>
        <v>148216.90943309033</v>
      </c>
      <c r="BZ154" s="55">
        <f t="shared" si="1168"/>
        <v>152432.7385754995</v>
      </c>
      <c r="CA154" s="55">
        <f t="shared" si="1168"/>
        <v>145048.26138375275</v>
      </c>
      <c r="CB154" s="55">
        <f t="shared" si="1168"/>
        <v>143882.03420300959</v>
      </c>
      <c r="CC154" s="55">
        <f t="shared" si="1168"/>
        <v>148341.93244231268</v>
      </c>
      <c r="CD154" s="55">
        <f t="shared" si="1168"/>
        <v>159186.18992244577</v>
      </c>
      <c r="CE154" s="55">
        <f t="shared" si="1168"/>
        <v>179310.1380798324</v>
      </c>
      <c r="CF154" s="55">
        <f t="shared" si="1168"/>
        <v>207440.55738665129</v>
      </c>
      <c r="CG154" s="55">
        <f t="shared" si="1168"/>
        <v>252051.18935903371</v>
      </c>
      <c r="CH154" s="55">
        <f t="shared" si="1168"/>
        <v>265989.03683471616</v>
      </c>
      <c r="CI154" s="312">
        <f t="shared" si="1168"/>
        <v>281811.58903457399</v>
      </c>
      <c r="CJ154" s="55">
        <f t="shared" si="1168"/>
        <v>303626.3688279129</v>
      </c>
      <c r="CK154" s="55">
        <f t="shared" si="1168"/>
        <v>318006.90101319208</v>
      </c>
      <c r="CL154" s="55">
        <f t="shared" si="1168"/>
        <v>327683.8018908184</v>
      </c>
      <c r="CM154" s="55">
        <f t="shared" si="1168"/>
        <v>323201.48957778723</v>
      </c>
      <c r="CN154" s="55">
        <f t="shared" si="1168"/>
        <v>326634.37089015491</v>
      </c>
      <c r="CO154" s="55">
        <f t="shared" si="1168"/>
        <v>336983.86949206784</v>
      </c>
      <c r="CP154" s="55">
        <f t="shared" si="1168"/>
        <v>359257.1485600879</v>
      </c>
      <c r="CQ154" s="55">
        <f t="shared" si="1168"/>
        <v>392872.39079344325</v>
      </c>
      <c r="CR154" s="55">
        <f t="shared" si="1168"/>
        <v>435149.23125921388</v>
      </c>
      <c r="CS154" s="55">
        <f t="shared" si="1168"/>
        <v>507959.77423598373</v>
      </c>
      <c r="CT154" s="55">
        <f t="shared" si="1168"/>
        <v>533668.07920575282</v>
      </c>
      <c r="CU154" s="312">
        <f t="shared" si="1168"/>
        <v>561782.82031138404</v>
      </c>
      <c r="CV154" s="55">
        <f t="shared" si="1168"/>
        <v>599065.29546050273</v>
      </c>
      <c r="CW154" s="55">
        <f t="shared" si="1168"/>
        <v>625550.3788175754</v>
      </c>
      <c r="CX154" s="55">
        <f t="shared" si="1168"/>
        <v>641823.98750224058</v>
      </c>
      <c r="CY154" s="55">
        <f t="shared" si="1168"/>
        <v>642533.79680954246</v>
      </c>
      <c r="CZ154" s="55">
        <f t="shared" si="1168"/>
        <v>653417.4313201101</v>
      </c>
      <c r="DA154" s="55">
        <f t="shared" si="1168"/>
        <v>672285.14521005622</v>
      </c>
      <c r="DB154" s="55">
        <f t="shared" ref="DB154:DG154" si="1169">DB153+DB145</f>
        <v>712435.63946652785</v>
      </c>
      <c r="DC154" s="55">
        <f t="shared" si="1169"/>
        <v>762997.41801615665</v>
      </c>
      <c r="DD154" s="55">
        <f t="shared" si="1169"/>
        <v>832630.82631805947</v>
      </c>
      <c r="DE154" s="55">
        <f t="shared" si="1169"/>
        <v>941149.59665578767</v>
      </c>
      <c r="DF154" s="55">
        <f t="shared" si="1169"/>
        <v>980613.43600689387</v>
      </c>
      <c r="DG154" s="55">
        <f t="shared" si="1169"/>
        <v>1028915.6496612268</v>
      </c>
    </row>
    <row r="155" spans="1:111" x14ac:dyDescent="0.25">
      <c r="A155" s="64"/>
      <c r="B155" s="61"/>
      <c r="C155" s="62" t="s">
        <v>347</v>
      </c>
      <c r="D155" s="63">
        <v>0</v>
      </c>
      <c r="E155" s="63">
        <f t="shared" ref="E155:AA155" si="1170">IFERROR(AVERAGE(D153:E153)/(E33/30.4333), 0)</f>
        <v>0</v>
      </c>
      <c r="F155" s="63">
        <f t="shared" si="1170"/>
        <v>0</v>
      </c>
      <c r="G155" s="63">
        <f t="shared" si="1170"/>
        <v>0</v>
      </c>
      <c r="H155" s="63">
        <f t="shared" si="1170"/>
        <v>0</v>
      </c>
      <c r="I155" s="63">
        <f t="shared" si="1170"/>
        <v>0</v>
      </c>
      <c r="J155" s="63">
        <f t="shared" si="1170"/>
        <v>0</v>
      </c>
      <c r="K155" s="63">
        <f t="shared" si="1170"/>
        <v>191.72979000000001</v>
      </c>
      <c r="L155" s="63">
        <f t="shared" si="1170"/>
        <v>792.24249660465114</v>
      </c>
      <c r="M155" s="63">
        <f t="shared" si="1170"/>
        <v>1473.4159734310758</v>
      </c>
      <c r="N155" s="63">
        <f t="shared" si="1170"/>
        <v>1687.2667098459331</v>
      </c>
      <c r="O155" s="63">
        <f t="shared" si="1170"/>
        <v>578.93270333333305</v>
      </c>
      <c r="P155" s="63">
        <f t="shared" si="1170"/>
        <v>258.91356306908193</v>
      </c>
      <c r="Q155" s="63">
        <f t="shared" si="1170"/>
        <v>93.191302633386726</v>
      </c>
      <c r="R155" s="63">
        <f t="shared" si="1170"/>
        <v>96.729473087632527</v>
      </c>
      <c r="S155" s="63">
        <f t="shared" si="1170"/>
        <v>238.53718366374511</v>
      </c>
      <c r="T155" s="63">
        <f t="shared" si="1170"/>
        <v>256.00790048307613</v>
      </c>
      <c r="U155" s="63">
        <f t="shared" si="1170"/>
        <v>319.31351762869377</v>
      </c>
      <c r="V155" s="63">
        <f t="shared" si="1170"/>
        <v>322.90584570093438</v>
      </c>
      <c r="W155" s="63">
        <f t="shared" si="1170"/>
        <v>203.01626279670046</v>
      </c>
      <c r="X155" s="63">
        <f t="shared" si="1170"/>
        <v>504.97212172667685</v>
      </c>
      <c r="Y155" s="63">
        <f t="shared" si="1170"/>
        <v>694.72103401078664</v>
      </c>
      <c r="Z155" s="63">
        <f t="shared" si="1170"/>
        <v>462.8866399346303</v>
      </c>
      <c r="AA155" s="63">
        <f t="shared" si="1170"/>
        <v>426.44471816005938</v>
      </c>
      <c r="AB155" s="514">
        <f t="shared" ref="AB155:AM155" si="1171">+AB148-AA148</f>
        <v>-1900</v>
      </c>
      <c r="AC155" s="514">
        <f t="shared" si="1171"/>
        <v>-3325</v>
      </c>
      <c r="AD155" s="514">
        <f t="shared" si="1171"/>
        <v>-3220</v>
      </c>
      <c r="AE155" s="514">
        <f t="shared" si="1171"/>
        <v>-2325</v>
      </c>
      <c r="AF155" s="514">
        <f t="shared" si="1171"/>
        <v>-4100</v>
      </c>
      <c r="AG155" s="514">
        <f t="shared" si="1171"/>
        <v>-2750</v>
      </c>
      <c r="AH155" s="514">
        <f t="shared" si="1171"/>
        <v>-2903.9499999999971</v>
      </c>
      <c r="AI155" s="514">
        <f t="shared" si="1171"/>
        <v>-9775</v>
      </c>
      <c r="AJ155" s="514">
        <f t="shared" si="1171"/>
        <v>-6767.5</v>
      </c>
      <c r="AK155" s="514">
        <f t="shared" si="1171"/>
        <v>-12500</v>
      </c>
      <c r="AL155" s="514">
        <f t="shared" si="1171"/>
        <v>-7780</v>
      </c>
      <c r="AM155" s="578">
        <f t="shared" si="1171"/>
        <v>-7452.4100000000035</v>
      </c>
      <c r="AN155" s="514">
        <f t="shared" ref="AN155:AP155" si="1172">+SUM(AN148,AN150:AN151)-SUM(AM148,AM150:AM151)</f>
        <v>-2150</v>
      </c>
      <c r="AO155" s="514">
        <f t="shared" si="1172"/>
        <v>0</v>
      </c>
      <c r="AP155" s="514">
        <f t="shared" si="1172"/>
        <v>0</v>
      </c>
      <c r="AQ155" s="514">
        <f>+SUM(AQ148,AQ150:AQ151)-SUM(AP148,AP150:AP151)</f>
        <v>-20674</v>
      </c>
      <c r="AR155" s="514">
        <f t="shared" ref="AR155:AW155" si="1173">+AR148-AQ148</f>
        <v>-8467.4899999999907</v>
      </c>
      <c r="AS155" s="514">
        <f t="shared" si="1173"/>
        <v>692.92999999999302</v>
      </c>
      <c r="AT155" s="514">
        <f t="shared" si="1173"/>
        <v>-1057.7799999999988</v>
      </c>
      <c r="AU155" s="514">
        <f t="shared" si="1173"/>
        <v>0</v>
      </c>
      <c r="AV155" s="514">
        <f t="shared" si="1173"/>
        <v>-2574.2200000000012</v>
      </c>
      <c r="AW155" s="515">
        <f t="shared" si="1173"/>
        <v>0</v>
      </c>
      <c r="AX155" s="728">
        <v>0</v>
      </c>
      <c r="AY155" s="515">
        <f t="shared" ref="AY155" si="1174">AX155</f>
        <v>0</v>
      </c>
      <c r="AZ155" s="514">
        <f t="shared" ref="AZ155" si="1175">AY155</f>
        <v>0</v>
      </c>
      <c r="BA155" s="514">
        <f t="shared" ref="BA155" si="1176">AZ155</f>
        <v>0</v>
      </c>
      <c r="BB155" s="514">
        <f t="shared" ref="BB155" si="1177">BA155</f>
        <v>0</v>
      </c>
      <c r="BC155" s="514">
        <f t="shared" ref="BC155" si="1178">BB155</f>
        <v>0</v>
      </c>
      <c r="BD155" s="514">
        <f t="shared" ref="BD155" si="1179">BC155</f>
        <v>0</v>
      </c>
      <c r="BE155" s="514">
        <f t="shared" ref="BE155" si="1180">BD155</f>
        <v>0</v>
      </c>
      <c r="BF155" s="514">
        <f t="shared" ref="BF155" si="1181">BE155</f>
        <v>0</v>
      </c>
      <c r="BG155" s="514">
        <f t="shared" ref="BG155" si="1182">BF155</f>
        <v>0</v>
      </c>
      <c r="BH155" s="514">
        <f t="shared" ref="BH155" si="1183">BG155</f>
        <v>0</v>
      </c>
      <c r="BI155" s="514">
        <f t="shared" ref="BI155" si="1184">BH155</f>
        <v>0</v>
      </c>
      <c r="BJ155" s="514">
        <f t="shared" ref="BJ155" si="1185">BI155</f>
        <v>0</v>
      </c>
      <c r="BK155" s="515">
        <f t="shared" ref="BK155" si="1186">BJ155</f>
        <v>0</v>
      </c>
      <c r="BL155" s="514">
        <f t="shared" ref="BL155" si="1187">BK155</f>
        <v>0</v>
      </c>
      <c r="BM155" s="514">
        <f t="shared" ref="BM155" si="1188">BL155</f>
        <v>0</v>
      </c>
      <c r="BN155" s="514">
        <f t="shared" ref="BN155" si="1189">BM155</f>
        <v>0</v>
      </c>
      <c r="BO155" s="514">
        <f t="shared" ref="BO155" si="1190">BN155</f>
        <v>0</v>
      </c>
      <c r="BP155" s="514">
        <f t="shared" ref="BP155" si="1191">BO155</f>
        <v>0</v>
      </c>
      <c r="BQ155" s="514">
        <f t="shared" ref="BQ155" si="1192">BP155</f>
        <v>0</v>
      </c>
      <c r="BR155" s="514">
        <f t="shared" ref="BR155" si="1193">BQ155</f>
        <v>0</v>
      </c>
      <c r="BS155" s="514">
        <f t="shared" ref="BS155" si="1194">BR155</f>
        <v>0</v>
      </c>
      <c r="BT155" s="514">
        <f t="shared" ref="BT155" si="1195">BS155</f>
        <v>0</v>
      </c>
      <c r="BU155" s="514">
        <f t="shared" ref="BU155" si="1196">BT155</f>
        <v>0</v>
      </c>
      <c r="BV155" s="514">
        <f t="shared" ref="BV155" si="1197">BU155</f>
        <v>0</v>
      </c>
      <c r="BW155" s="515">
        <f t="shared" ref="BW155" si="1198">BV155</f>
        <v>0</v>
      </c>
      <c r="BX155" s="514">
        <f t="shared" ref="BX155" si="1199">BW155</f>
        <v>0</v>
      </c>
      <c r="BY155" s="514">
        <f t="shared" ref="BY155" si="1200">BX155</f>
        <v>0</v>
      </c>
      <c r="BZ155" s="514">
        <f t="shared" ref="BZ155" si="1201">BY155</f>
        <v>0</v>
      </c>
      <c r="CA155" s="514">
        <f t="shared" ref="CA155" si="1202">BZ155</f>
        <v>0</v>
      </c>
      <c r="CB155" s="514">
        <f t="shared" ref="CB155" si="1203">CA155</f>
        <v>0</v>
      </c>
      <c r="CC155" s="514">
        <f t="shared" ref="CC155" si="1204">CB155</f>
        <v>0</v>
      </c>
      <c r="CD155" s="514">
        <f t="shared" ref="CD155" si="1205">CC155</f>
        <v>0</v>
      </c>
      <c r="CE155" s="514">
        <f t="shared" ref="CE155" si="1206">CD155</f>
        <v>0</v>
      </c>
      <c r="CF155" s="514">
        <f t="shared" ref="CF155" si="1207">CE155</f>
        <v>0</v>
      </c>
      <c r="CG155" s="514">
        <f t="shared" ref="CG155" si="1208">CF155</f>
        <v>0</v>
      </c>
      <c r="CH155" s="514">
        <f t="shared" ref="CH155" si="1209">CG155</f>
        <v>0</v>
      </c>
      <c r="CI155" s="515">
        <f t="shared" ref="CI155" si="1210">CH155</f>
        <v>0</v>
      </c>
      <c r="CJ155" s="514">
        <f t="shared" ref="CJ155" si="1211">CI155</f>
        <v>0</v>
      </c>
      <c r="CK155" s="514">
        <f t="shared" ref="CK155" si="1212">CJ155</f>
        <v>0</v>
      </c>
      <c r="CL155" s="514">
        <f t="shared" ref="CL155" si="1213">CK155</f>
        <v>0</v>
      </c>
      <c r="CM155" s="514">
        <f t="shared" ref="CM155" si="1214">CL155</f>
        <v>0</v>
      </c>
      <c r="CN155" s="514">
        <f t="shared" ref="CN155" si="1215">CM155</f>
        <v>0</v>
      </c>
      <c r="CO155" s="514">
        <f t="shared" ref="CO155" si="1216">CN155</f>
        <v>0</v>
      </c>
      <c r="CP155" s="514">
        <f t="shared" ref="CP155" si="1217">CO155</f>
        <v>0</v>
      </c>
      <c r="CQ155" s="514">
        <f t="shared" ref="CQ155" si="1218">CP155</f>
        <v>0</v>
      </c>
      <c r="CR155" s="514">
        <f t="shared" ref="CR155" si="1219">CQ155</f>
        <v>0</v>
      </c>
      <c r="CS155" s="514">
        <f t="shared" ref="CS155" si="1220">CR155</f>
        <v>0</v>
      </c>
      <c r="CT155" s="514">
        <f t="shared" ref="CT155" si="1221">CS155</f>
        <v>0</v>
      </c>
      <c r="CU155" s="515">
        <f t="shared" ref="CU155" si="1222">CT155</f>
        <v>0</v>
      </c>
      <c r="CV155" s="514">
        <f t="shared" ref="CV155" si="1223">CU155</f>
        <v>0</v>
      </c>
      <c r="CW155" s="514">
        <f t="shared" ref="CW155" si="1224">CV155</f>
        <v>0</v>
      </c>
      <c r="CX155" s="514">
        <f t="shared" ref="CX155" si="1225">CW155</f>
        <v>0</v>
      </c>
      <c r="CY155" s="514">
        <f t="shared" ref="CY155" si="1226">CX155</f>
        <v>0</v>
      </c>
      <c r="CZ155" s="514">
        <f t="shared" ref="CZ155" si="1227">CY155</f>
        <v>0</v>
      </c>
      <c r="DA155" s="514">
        <f t="shared" ref="DA155" si="1228">CZ155</f>
        <v>0</v>
      </c>
      <c r="DB155" s="514">
        <f t="shared" ref="DB155" si="1229">DA155</f>
        <v>0</v>
      </c>
      <c r="DC155" s="514">
        <f t="shared" ref="DC155" si="1230">DB155</f>
        <v>0</v>
      </c>
      <c r="DD155" s="514">
        <f t="shared" ref="DD155" si="1231">DC155</f>
        <v>0</v>
      </c>
      <c r="DE155" s="514">
        <f t="shared" ref="DE155" si="1232">DD155</f>
        <v>0</v>
      </c>
      <c r="DF155" s="514">
        <f t="shared" ref="DF155" si="1233">DE155</f>
        <v>0</v>
      </c>
      <c r="DG155" s="514">
        <f t="shared" ref="DG155" si="1234">DF155</f>
        <v>0</v>
      </c>
    </row>
    <row r="156" spans="1:111" s="3" customFormat="1" x14ac:dyDescent="0.25">
      <c r="A156"/>
      <c r="B156" s="1"/>
      <c r="C156" s="58" t="s">
        <v>48</v>
      </c>
      <c r="D156" s="57">
        <f t="shared" ref="D156:AI156" si="1235">D154-D132</f>
        <v>0</v>
      </c>
      <c r="E156" s="57">
        <f t="shared" si="1235"/>
        <v>0</v>
      </c>
      <c r="F156" s="57">
        <f t="shared" si="1235"/>
        <v>0</v>
      </c>
      <c r="G156" s="57">
        <f t="shared" si="1235"/>
        <v>0</v>
      </c>
      <c r="H156" s="57">
        <f t="shared" si="1235"/>
        <v>0</v>
      </c>
      <c r="I156" s="57">
        <f t="shared" si="1235"/>
        <v>0</v>
      </c>
      <c r="J156" s="57">
        <f t="shared" si="1235"/>
        <v>0</v>
      </c>
      <c r="K156" s="57">
        <f t="shared" si="1235"/>
        <v>0</v>
      </c>
      <c r="L156" s="57">
        <f t="shared" si="1235"/>
        <v>0</v>
      </c>
      <c r="M156" s="57">
        <f t="shared" si="1235"/>
        <v>0</v>
      </c>
      <c r="N156" s="57">
        <f t="shared" si="1235"/>
        <v>0</v>
      </c>
      <c r="O156" s="57">
        <f t="shared" si="1235"/>
        <v>0</v>
      </c>
      <c r="P156" s="57">
        <f t="shared" si="1235"/>
        <v>5.1159076974727213E-13</v>
      </c>
      <c r="Q156" s="57">
        <f t="shared" si="1235"/>
        <v>7.3896444519050419E-13</v>
      </c>
      <c r="R156" s="57">
        <f t="shared" si="1235"/>
        <v>1.0800249583553523E-12</v>
      </c>
      <c r="S156" s="57">
        <f t="shared" si="1235"/>
        <v>9.0949470177292824E-13</v>
      </c>
      <c r="T156" s="57">
        <f t="shared" si="1235"/>
        <v>1.2505552149377763E-12</v>
      </c>
      <c r="U156" s="57">
        <f t="shared" si="1235"/>
        <v>1.5916157281026244E-12</v>
      </c>
      <c r="V156" s="57">
        <f t="shared" si="1235"/>
        <v>-2.2737367544323206E-12</v>
      </c>
      <c r="W156" s="57">
        <f t="shared" si="1235"/>
        <v>-2.9558577807620168E-12</v>
      </c>
      <c r="X156" s="57">
        <f t="shared" si="1235"/>
        <v>-3.637978807091713E-12</v>
      </c>
      <c r="Y156" s="57">
        <f t="shared" si="1235"/>
        <v>0</v>
      </c>
      <c r="Z156" s="57">
        <f t="shared" si="1235"/>
        <v>-2.0463630789890885E-12</v>
      </c>
      <c r="AA156" s="57">
        <f t="shared" si="1235"/>
        <v>-3.1832314562052488E-12</v>
      </c>
      <c r="AB156" s="57">
        <f t="shared" si="1235"/>
        <v>-2.9558577807620168E-12</v>
      </c>
      <c r="AC156" s="57">
        <f t="shared" si="1235"/>
        <v>-3.1832314562052488E-12</v>
      </c>
      <c r="AD156" s="57">
        <f t="shared" si="1235"/>
        <v>-2.7284841053187847E-12</v>
      </c>
      <c r="AE156" s="57">
        <f t="shared" si="1235"/>
        <v>-2.0463630789890885E-12</v>
      </c>
      <c r="AF156" s="57">
        <f t="shared" si="1235"/>
        <v>0</v>
      </c>
      <c r="AG156" s="57">
        <f t="shared" si="1235"/>
        <v>0</v>
      </c>
      <c r="AH156" s="57">
        <f t="shared" si="1235"/>
        <v>0</v>
      </c>
      <c r="AI156" s="57">
        <f t="shared" si="1235"/>
        <v>0</v>
      </c>
      <c r="AJ156" s="57">
        <f t="shared" ref="AJ156:AQ156" si="1236">AJ154-AJ132</f>
        <v>0</v>
      </c>
      <c r="AK156" s="57">
        <f t="shared" si="1236"/>
        <v>0</v>
      </c>
      <c r="AL156" s="57">
        <f t="shared" si="1236"/>
        <v>0</v>
      </c>
      <c r="AM156" s="523">
        <f t="shared" si="1236"/>
        <v>0</v>
      </c>
      <c r="AN156" s="57">
        <f t="shared" si="1236"/>
        <v>-8.1854523159563541E-12</v>
      </c>
      <c r="AO156" s="57">
        <f t="shared" si="1236"/>
        <v>-8.1854523159563541E-12</v>
      </c>
      <c r="AP156" s="57">
        <f t="shared" si="1236"/>
        <v>-8.1854523159563541E-12</v>
      </c>
      <c r="AQ156" s="57">
        <f t="shared" si="1236"/>
        <v>-7.73070496506989E-12</v>
      </c>
      <c r="AR156" s="57">
        <f t="shared" ref="AR156:AS156" si="1237">AR154-AR132</f>
        <v>0</v>
      </c>
      <c r="AS156" s="57">
        <f t="shared" si="1237"/>
        <v>0</v>
      </c>
      <c r="AT156" s="57">
        <f t="shared" ref="AT156:AU156" si="1238">AT154-AT132</f>
        <v>0</v>
      </c>
      <c r="AU156" s="57">
        <f t="shared" si="1238"/>
        <v>0</v>
      </c>
      <c r="AV156" s="57">
        <f t="shared" ref="AV156:AW156" si="1239">AV154-AV132</f>
        <v>0</v>
      </c>
      <c r="AW156" s="313">
        <f t="shared" si="1239"/>
        <v>0</v>
      </c>
      <c r="AX156" s="57">
        <f t="shared" ref="AX156" si="1240">AX154-AX132</f>
        <v>0</v>
      </c>
      <c r="AY156" s="313">
        <f t="shared" ref="AY156:BO156" si="1241">AY154-AY132</f>
        <v>0</v>
      </c>
      <c r="AZ156" s="57">
        <f t="shared" si="1241"/>
        <v>0</v>
      </c>
      <c r="BA156" s="57">
        <f t="shared" si="1241"/>
        <v>0</v>
      </c>
      <c r="BB156" s="57">
        <f t="shared" si="1241"/>
        <v>0</v>
      </c>
      <c r="BC156" s="57">
        <f t="shared" si="1241"/>
        <v>0</v>
      </c>
      <c r="BD156" s="57">
        <f t="shared" si="1241"/>
        <v>-1.4551915228366852E-11</v>
      </c>
      <c r="BE156" s="57">
        <f t="shared" si="1241"/>
        <v>0</v>
      </c>
      <c r="BF156" s="57">
        <f t="shared" si="1241"/>
        <v>-1.4551915228366852E-11</v>
      </c>
      <c r="BG156" s="57">
        <f t="shared" si="1241"/>
        <v>0</v>
      </c>
      <c r="BH156" s="57">
        <f t="shared" si="1241"/>
        <v>0</v>
      </c>
      <c r="BI156" s="57">
        <f t="shared" si="1241"/>
        <v>0</v>
      </c>
      <c r="BJ156" s="57">
        <f t="shared" si="1241"/>
        <v>0</v>
      </c>
      <c r="BK156" s="313">
        <f t="shared" si="1241"/>
        <v>0</v>
      </c>
      <c r="BL156" s="57">
        <f t="shared" si="1241"/>
        <v>0</v>
      </c>
      <c r="BM156" s="57">
        <f t="shared" si="1241"/>
        <v>0</v>
      </c>
      <c r="BN156" s="57">
        <f t="shared" si="1241"/>
        <v>0</v>
      </c>
      <c r="BO156" s="57">
        <f t="shared" si="1241"/>
        <v>0</v>
      </c>
      <c r="BP156" s="57">
        <f t="shared" ref="BP156:CU156" si="1242">BP154-BP132</f>
        <v>0</v>
      </c>
      <c r="BQ156" s="57">
        <f t="shared" si="1242"/>
        <v>0</v>
      </c>
      <c r="BR156" s="57">
        <f t="shared" si="1242"/>
        <v>0</v>
      </c>
      <c r="BS156" s="57">
        <f t="shared" si="1242"/>
        <v>0</v>
      </c>
      <c r="BT156" s="57">
        <f t="shared" si="1242"/>
        <v>0</v>
      </c>
      <c r="BU156" s="57">
        <f t="shared" si="1242"/>
        <v>0</v>
      </c>
      <c r="BV156" s="57">
        <f t="shared" si="1242"/>
        <v>0</v>
      </c>
      <c r="BW156" s="313">
        <f t="shared" si="1242"/>
        <v>0</v>
      </c>
      <c r="BX156" s="57">
        <f t="shared" si="1242"/>
        <v>0</v>
      </c>
      <c r="BY156" s="57">
        <f t="shared" si="1242"/>
        <v>0</v>
      </c>
      <c r="BZ156" s="57">
        <f t="shared" si="1242"/>
        <v>0</v>
      </c>
      <c r="CA156" s="57">
        <f t="shared" si="1242"/>
        <v>0</v>
      </c>
      <c r="CB156" s="57">
        <f t="shared" si="1242"/>
        <v>0</v>
      </c>
      <c r="CC156" s="57">
        <f t="shared" si="1242"/>
        <v>0</v>
      </c>
      <c r="CD156" s="57">
        <f t="shared" si="1242"/>
        <v>0</v>
      </c>
      <c r="CE156" s="57">
        <f t="shared" si="1242"/>
        <v>0</v>
      </c>
      <c r="CF156" s="57">
        <f t="shared" si="1242"/>
        <v>0</v>
      </c>
      <c r="CG156" s="57">
        <f t="shared" si="1242"/>
        <v>0</v>
      </c>
      <c r="CH156" s="57">
        <f t="shared" si="1242"/>
        <v>0</v>
      </c>
      <c r="CI156" s="313">
        <f t="shared" si="1242"/>
        <v>0</v>
      </c>
      <c r="CJ156" s="57">
        <f t="shared" si="1242"/>
        <v>0</v>
      </c>
      <c r="CK156" s="57">
        <f t="shared" si="1242"/>
        <v>0</v>
      </c>
      <c r="CL156" s="57">
        <f t="shared" si="1242"/>
        <v>0</v>
      </c>
      <c r="CM156" s="57">
        <f t="shared" si="1242"/>
        <v>0</v>
      </c>
      <c r="CN156" s="57">
        <f t="shared" si="1242"/>
        <v>0</v>
      </c>
      <c r="CO156" s="57">
        <f t="shared" si="1242"/>
        <v>0</v>
      </c>
      <c r="CP156" s="57">
        <f t="shared" si="1242"/>
        <v>0</v>
      </c>
      <c r="CQ156" s="57">
        <f t="shared" si="1242"/>
        <v>0</v>
      </c>
      <c r="CR156" s="57">
        <f t="shared" si="1242"/>
        <v>0</v>
      </c>
      <c r="CS156" s="57">
        <f t="shared" si="1242"/>
        <v>0</v>
      </c>
      <c r="CT156" s="57">
        <f t="shared" si="1242"/>
        <v>0</v>
      </c>
      <c r="CU156" s="313">
        <f t="shared" si="1242"/>
        <v>0</v>
      </c>
      <c r="CV156" s="57">
        <f t="shared" ref="CV156:DG156" si="1243">CV154-CV132</f>
        <v>0</v>
      </c>
      <c r="CW156" s="57">
        <f t="shared" si="1243"/>
        <v>0</v>
      </c>
      <c r="CX156" s="57">
        <f t="shared" si="1243"/>
        <v>0</v>
      </c>
      <c r="CY156" s="57">
        <f t="shared" si="1243"/>
        <v>0</v>
      </c>
      <c r="CZ156" s="57">
        <f t="shared" si="1243"/>
        <v>0</v>
      </c>
      <c r="DA156" s="57">
        <f t="shared" si="1243"/>
        <v>0</v>
      </c>
      <c r="DB156" s="57">
        <f t="shared" si="1243"/>
        <v>0</v>
      </c>
      <c r="DC156" s="57">
        <f t="shared" si="1243"/>
        <v>0</v>
      </c>
      <c r="DD156" s="57">
        <f t="shared" si="1243"/>
        <v>0</v>
      </c>
      <c r="DE156" s="57">
        <f t="shared" si="1243"/>
        <v>0</v>
      </c>
      <c r="DF156" s="57">
        <f t="shared" si="1243"/>
        <v>0</v>
      </c>
      <c r="DG156" s="57">
        <f t="shared" si="1243"/>
        <v>0</v>
      </c>
    </row>
    <row r="157" spans="1:111" x14ac:dyDescent="0.25">
      <c r="P157" s="163"/>
      <c r="Q157" s="163"/>
      <c r="R157" s="163"/>
      <c r="AW157" s="186"/>
      <c r="AY157" s="186"/>
      <c r="BK157" s="186"/>
      <c r="BW157" s="186"/>
      <c r="CI157" s="186"/>
      <c r="CU157" s="186"/>
    </row>
    <row r="158" spans="1:11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579"/>
      <c r="AN158" s="29"/>
      <c r="AO158" s="29"/>
      <c r="AP158" s="29"/>
      <c r="AQ158" s="29"/>
      <c r="AR158" s="29"/>
      <c r="AS158" s="29"/>
      <c r="AT158" s="29"/>
      <c r="AU158" s="29"/>
      <c r="AV158" s="29"/>
      <c r="AW158" s="317"/>
      <c r="AX158" s="29"/>
      <c r="AY158" s="317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317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317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317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317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</row>
    <row r="159" spans="1:111" x14ac:dyDescent="0.25">
      <c r="AW159" s="186"/>
      <c r="AY159" s="186"/>
      <c r="BK159" s="186"/>
      <c r="BW159" s="186"/>
      <c r="CI159" s="186"/>
      <c r="CU159" s="186"/>
    </row>
    <row r="160" spans="1:111" x14ac:dyDescent="0.25">
      <c r="B160" s="1" t="s">
        <v>16</v>
      </c>
      <c r="D160" s="115">
        <f t="shared" ref="D160:AI160" si="1244">D108</f>
        <v>0</v>
      </c>
      <c r="E160" s="115">
        <f t="shared" si="1244"/>
        <v>0</v>
      </c>
      <c r="F160" s="115">
        <f t="shared" si="1244"/>
        <v>0</v>
      </c>
      <c r="G160" s="115">
        <f t="shared" si="1244"/>
        <v>0</v>
      </c>
      <c r="H160" s="115">
        <f t="shared" si="1244"/>
        <v>0</v>
      </c>
      <c r="I160" s="115">
        <f t="shared" si="1244"/>
        <v>0</v>
      </c>
      <c r="J160" s="115">
        <f t="shared" si="1244"/>
        <v>0</v>
      </c>
      <c r="K160" s="115">
        <f t="shared" si="1244"/>
        <v>375</v>
      </c>
      <c r="L160" s="115">
        <f t="shared" si="1244"/>
        <v>1048</v>
      </c>
      <c r="M160" s="115">
        <f t="shared" si="1244"/>
        <v>1968.3600000000001</v>
      </c>
      <c r="N160" s="115">
        <f t="shared" si="1244"/>
        <v>1617.8</v>
      </c>
      <c r="O160" s="115">
        <f t="shared" si="1244"/>
        <v>1870.41</v>
      </c>
      <c r="P160" s="115">
        <f t="shared" si="1244"/>
        <v>1310.8600000000001</v>
      </c>
      <c r="Q160" s="115">
        <f t="shared" si="1244"/>
        <v>1101.99</v>
      </c>
      <c r="R160" s="115">
        <f t="shared" si="1244"/>
        <v>1101.3900000000001</v>
      </c>
      <c r="S160" s="115">
        <f t="shared" si="1244"/>
        <v>1684.5800000000002</v>
      </c>
      <c r="T160" s="115">
        <f t="shared" si="1244"/>
        <v>1935.9399999999998</v>
      </c>
      <c r="U160" s="115">
        <f t="shared" si="1244"/>
        <v>1396.18</v>
      </c>
      <c r="V160" s="115">
        <f t="shared" si="1244"/>
        <v>2402.77</v>
      </c>
      <c r="W160" s="115">
        <f t="shared" si="1244"/>
        <v>6226.72</v>
      </c>
      <c r="X160" s="115">
        <f t="shared" si="1244"/>
        <v>7109.73</v>
      </c>
      <c r="Y160" s="115">
        <f t="shared" si="1244"/>
        <v>6848.9000000000005</v>
      </c>
      <c r="Z160" s="115">
        <f t="shared" si="1244"/>
        <v>4031.6899999999996</v>
      </c>
      <c r="AA160" s="115">
        <f t="shared" si="1244"/>
        <v>1347.03</v>
      </c>
      <c r="AB160" s="115">
        <f t="shared" si="1244"/>
        <v>2584.7600000000002</v>
      </c>
      <c r="AC160" s="115">
        <f t="shared" si="1244"/>
        <v>2742.04</v>
      </c>
      <c r="AD160" s="115">
        <f t="shared" si="1244"/>
        <v>2536.4700000000003</v>
      </c>
      <c r="AE160" s="115">
        <f t="shared" si="1244"/>
        <v>1235.1999999999998</v>
      </c>
      <c r="AF160" s="115">
        <f t="shared" si="1244"/>
        <v>4730.13</v>
      </c>
      <c r="AG160" s="115">
        <f t="shared" si="1244"/>
        <v>2038.5800000000002</v>
      </c>
      <c r="AH160" s="115">
        <f t="shared" si="1244"/>
        <v>5598.8700000000008</v>
      </c>
      <c r="AI160" s="115">
        <f t="shared" si="1244"/>
        <v>11135.75</v>
      </c>
      <c r="AJ160" s="115">
        <f t="shared" ref="AJ160:AQ160" si="1245">AJ108</f>
        <v>7482.18</v>
      </c>
      <c r="AK160" s="115">
        <f t="shared" si="1245"/>
        <v>14155.750000000002</v>
      </c>
      <c r="AL160" s="115">
        <f t="shared" si="1245"/>
        <v>6630.82</v>
      </c>
      <c r="AM160" s="520">
        <f t="shared" si="1245"/>
        <v>3184.75</v>
      </c>
      <c r="AN160" s="115">
        <f t="shared" si="1245"/>
        <v>1533.3599999999997</v>
      </c>
      <c r="AO160" s="115">
        <f t="shared" si="1245"/>
        <v>187.25000000000057</v>
      </c>
      <c r="AP160" s="115">
        <f t="shared" si="1245"/>
        <v>-514.53999999999985</v>
      </c>
      <c r="AQ160" s="115">
        <f t="shared" si="1245"/>
        <v>-782.65999999999974</v>
      </c>
      <c r="AR160" s="115">
        <f t="shared" ref="AR160" si="1246">AR108</f>
        <v>1403.27</v>
      </c>
      <c r="AS160" s="115">
        <f t="shared" ref="AS160:AT160" si="1247">AS108</f>
        <v>1994.6</v>
      </c>
      <c r="AT160" s="115">
        <f t="shared" si="1247"/>
        <v>3061.8600000000006</v>
      </c>
      <c r="AU160" s="115">
        <f t="shared" ref="AU160:AV160" si="1248">AU108</f>
        <v>1397.639999999999</v>
      </c>
      <c r="AV160" s="115">
        <f t="shared" si="1248"/>
        <v>9986.1999999999971</v>
      </c>
      <c r="AW160" s="187">
        <f t="shared" ref="AW160" si="1249">AW108</f>
        <v>13319.670000000006</v>
      </c>
      <c r="AX160" s="115">
        <f t="shared" ref="AX160" si="1250">AX108</f>
        <v>-2694.1973181109042</v>
      </c>
      <c r="AY160" s="187">
        <f t="shared" ref="AY160:BO160" si="1251">AY108</f>
        <v>1800.3611342145614</v>
      </c>
      <c r="AZ160" s="115">
        <f t="shared" si="1251"/>
        <v>2704.9220095309593</v>
      </c>
      <c r="BA160" s="115">
        <f t="shared" si="1251"/>
        <v>-377.3090614132343</v>
      </c>
      <c r="BB160" s="115">
        <f t="shared" si="1251"/>
        <v>-2944.6385648991927</v>
      </c>
      <c r="BC160" s="115">
        <f t="shared" si="1251"/>
        <v>-8520.7555853655558</v>
      </c>
      <c r="BD160" s="115">
        <f t="shared" si="1251"/>
        <v>-6158.1585807967203</v>
      </c>
      <c r="BE160" s="115">
        <f t="shared" si="1251"/>
        <v>-2604.1588140848853</v>
      </c>
      <c r="BF160" s="115">
        <f t="shared" si="1251"/>
        <v>1598.7582094627905</v>
      </c>
      <c r="BG160" s="115">
        <f t="shared" si="1251"/>
        <v>3788.7036099132347</v>
      </c>
      <c r="BH160" s="115">
        <f t="shared" si="1251"/>
        <v>10605.605151070471</v>
      </c>
      <c r="BI160" s="115">
        <f t="shared" si="1251"/>
        <v>18067.439673868641</v>
      </c>
      <c r="BJ160" s="115">
        <f t="shared" si="1251"/>
        <v>146.60346949020277</v>
      </c>
      <c r="BK160" s="187">
        <f t="shared" si="1251"/>
        <v>4499.1715089010559</v>
      </c>
      <c r="BL160" s="115">
        <f t="shared" si="1251"/>
        <v>4427.8869230716955</v>
      </c>
      <c r="BM160" s="115">
        <f t="shared" si="1251"/>
        <v>2530.9967581480378</v>
      </c>
      <c r="BN160" s="115">
        <f t="shared" si="1251"/>
        <v>549.04966351766598</v>
      </c>
      <c r="BO160" s="115">
        <f t="shared" si="1251"/>
        <v>-7152.0223681911866</v>
      </c>
      <c r="BP160" s="115">
        <f t="shared" ref="BP160:CU160" si="1252">BP108</f>
        <v>-3901.751461113181</v>
      </c>
      <c r="BQ160" s="115">
        <f t="shared" si="1252"/>
        <v>1092.5990349177828</v>
      </c>
      <c r="BR160" s="115">
        <f t="shared" si="1252"/>
        <v>6204.4044916128714</v>
      </c>
      <c r="BS160" s="115">
        <f t="shared" si="1252"/>
        <v>11024.257586552203</v>
      </c>
      <c r="BT160" s="115">
        <f t="shared" si="1252"/>
        <v>19397.94657430541</v>
      </c>
      <c r="BU160" s="115">
        <f t="shared" si="1252"/>
        <v>27889.120024677759</v>
      </c>
      <c r="BV160" s="115">
        <f t="shared" si="1252"/>
        <v>7117.886365779992</v>
      </c>
      <c r="BW160" s="187">
        <f t="shared" si="1252"/>
        <v>11161.605248645919</v>
      </c>
      <c r="BX160" s="115">
        <f t="shared" si="1252"/>
        <v>9472.9086733945041</v>
      </c>
      <c r="BY160" s="115">
        <f t="shared" si="1252"/>
        <v>7621.8050759894395</v>
      </c>
      <c r="BZ160" s="115">
        <f t="shared" si="1252"/>
        <v>4215.8291424091913</v>
      </c>
      <c r="CA160" s="115">
        <f t="shared" si="1252"/>
        <v>-7384.477191746766</v>
      </c>
      <c r="CB160" s="115">
        <f t="shared" si="1252"/>
        <v>-1166.2271807431607</v>
      </c>
      <c r="CC160" s="115">
        <f t="shared" si="1252"/>
        <v>4459.8982393030965</v>
      </c>
      <c r="CD160" s="115">
        <f t="shared" si="1252"/>
        <v>10844.257480133092</v>
      </c>
      <c r="CE160" s="115">
        <f t="shared" si="1252"/>
        <v>20123.948157386621</v>
      </c>
      <c r="CF160" s="115">
        <f t="shared" si="1252"/>
        <v>28130.419306818891</v>
      </c>
      <c r="CG160" s="115">
        <f t="shared" si="1252"/>
        <v>44610.631972382442</v>
      </c>
      <c r="CH160" s="115">
        <f t="shared" si="1252"/>
        <v>13937.847475682425</v>
      </c>
      <c r="CI160" s="187">
        <f t="shared" si="1252"/>
        <v>15822.55219985783</v>
      </c>
      <c r="CJ160" s="115">
        <f t="shared" si="1252"/>
        <v>21814.779793338923</v>
      </c>
      <c r="CK160" s="115">
        <f t="shared" si="1252"/>
        <v>14380.532185279146</v>
      </c>
      <c r="CL160" s="115">
        <f t="shared" si="1252"/>
        <v>9676.9008776263545</v>
      </c>
      <c r="CM160" s="115">
        <f t="shared" si="1252"/>
        <v>-4482.3123130312088</v>
      </c>
      <c r="CN160" s="115">
        <f t="shared" si="1252"/>
        <v>3432.881312367721</v>
      </c>
      <c r="CO160" s="115">
        <f t="shared" si="1252"/>
        <v>10349.498601912881</v>
      </c>
      <c r="CP160" s="115">
        <f t="shared" si="1252"/>
        <v>22273.279068020092</v>
      </c>
      <c r="CQ160" s="115">
        <f t="shared" si="1252"/>
        <v>33615.24223335534</v>
      </c>
      <c r="CR160" s="115">
        <f t="shared" si="1252"/>
        <v>42276.840465770671</v>
      </c>
      <c r="CS160" s="115">
        <f t="shared" si="1252"/>
        <v>72810.542976769837</v>
      </c>
      <c r="CT160" s="115">
        <f t="shared" si="1252"/>
        <v>25708.304969769059</v>
      </c>
      <c r="CU160" s="187">
        <f t="shared" si="1252"/>
        <v>28114.741105631329</v>
      </c>
      <c r="CV160" s="115">
        <f t="shared" ref="CV160:DG160" si="1253">CV108</f>
        <v>37282.475149118647</v>
      </c>
      <c r="CW160" s="115">
        <f t="shared" si="1253"/>
        <v>26485.083357072701</v>
      </c>
      <c r="CX160" s="115">
        <f t="shared" si="1253"/>
        <v>16273.608684665181</v>
      </c>
      <c r="CY160" s="115">
        <f t="shared" si="1253"/>
        <v>709.80930730184264</v>
      </c>
      <c r="CZ160" s="115">
        <f t="shared" si="1253"/>
        <v>10883.634510567699</v>
      </c>
      <c r="DA160" s="115">
        <f t="shared" si="1253"/>
        <v>18867.71388994611</v>
      </c>
      <c r="DB160" s="115">
        <f t="shared" si="1253"/>
        <v>40150.494256471677</v>
      </c>
      <c r="DC160" s="115">
        <f t="shared" si="1253"/>
        <v>50561.778549628689</v>
      </c>
      <c r="DD160" s="115">
        <f t="shared" si="1253"/>
        <v>69633.408301902891</v>
      </c>
      <c r="DE160" s="115">
        <f t="shared" si="1253"/>
        <v>108518.77033772819</v>
      </c>
      <c r="DF160" s="115">
        <f t="shared" si="1253"/>
        <v>39463.839351106188</v>
      </c>
      <c r="DG160" s="115">
        <f t="shared" si="1253"/>
        <v>48302.21365433294</v>
      </c>
    </row>
    <row r="161" spans="1:111" x14ac:dyDescent="0.25">
      <c r="B161" s="11" t="s">
        <v>41</v>
      </c>
      <c r="D161" s="115">
        <f t="shared" ref="D161:AI161" si="1254">-(D123-C123)</f>
        <v>0</v>
      </c>
      <c r="E161" s="115">
        <f t="shared" si="1254"/>
        <v>0</v>
      </c>
      <c r="F161" s="115">
        <f t="shared" si="1254"/>
        <v>0</v>
      </c>
      <c r="G161" s="115">
        <f t="shared" si="1254"/>
        <v>0</v>
      </c>
      <c r="H161" s="115">
        <f t="shared" si="1254"/>
        <v>0</v>
      </c>
      <c r="I161" s="115">
        <f t="shared" si="1254"/>
        <v>0</v>
      </c>
      <c r="J161" s="115">
        <f t="shared" si="1254"/>
        <v>0</v>
      </c>
      <c r="K161" s="115">
        <f t="shared" si="1254"/>
        <v>-375</v>
      </c>
      <c r="L161" s="115">
        <f t="shared" si="1254"/>
        <v>-825</v>
      </c>
      <c r="M161" s="115">
        <f t="shared" si="1254"/>
        <v>-1165</v>
      </c>
      <c r="N161" s="115">
        <f t="shared" si="1254"/>
        <v>1405</v>
      </c>
      <c r="O161" s="115">
        <f t="shared" si="1254"/>
        <v>60</v>
      </c>
      <c r="P161" s="115">
        <f t="shared" si="1254"/>
        <v>840</v>
      </c>
      <c r="Q161" s="115">
        <f t="shared" si="1254"/>
        <v>-9</v>
      </c>
      <c r="R161" s="115">
        <f t="shared" si="1254"/>
        <v>-6</v>
      </c>
      <c r="S161" s="115">
        <f t="shared" si="1254"/>
        <v>-112.5</v>
      </c>
      <c r="T161" s="115">
        <f t="shared" si="1254"/>
        <v>151.57</v>
      </c>
      <c r="U161" s="115">
        <f t="shared" si="1254"/>
        <v>-354.07</v>
      </c>
      <c r="V161" s="115">
        <f t="shared" si="1254"/>
        <v>120</v>
      </c>
      <c r="W161" s="115">
        <f t="shared" si="1254"/>
        <v>180</v>
      </c>
      <c r="X161" s="115">
        <f t="shared" si="1254"/>
        <v>-1022</v>
      </c>
      <c r="Y161" s="115">
        <f t="shared" si="1254"/>
        <v>812</v>
      </c>
      <c r="Z161" s="115">
        <f t="shared" si="1254"/>
        <v>140</v>
      </c>
      <c r="AA161" s="115">
        <f t="shared" si="1254"/>
        <v>100</v>
      </c>
      <c r="AB161" s="115">
        <f t="shared" si="1254"/>
        <v>-180</v>
      </c>
      <c r="AC161" s="115">
        <f t="shared" si="1254"/>
        <v>-195</v>
      </c>
      <c r="AD161" s="115">
        <f t="shared" si="1254"/>
        <v>360</v>
      </c>
      <c r="AE161" s="115">
        <f t="shared" si="1254"/>
        <v>-382.5</v>
      </c>
      <c r="AF161" s="115">
        <f t="shared" si="1254"/>
        <v>-537.5</v>
      </c>
      <c r="AG161" s="115">
        <f t="shared" si="1254"/>
        <v>269.99</v>
      </c>
      <c r="AH161" s="115">
        <f t="shared" si="1254"/>
        <v>-1735.0000000000002</v>
      </c>
      <c r="AI161" s="115">
        <f t="shared" si="1254"/>
        <v>-856.87999999999965</v>
      </c>
      <c r="AJ161" s="115">
        <f t="shared" ref="AJ161:AQ161" si="1255">-(AJ123-AI123)</f>
        <v>154.38999999999987</v>
      </c>
      <c r="AK161" s="115">
        <f t="shared" si="1255"/>
        <v>7.5</v>
      </c>
      <c r="AL161" s="115">
        <f t="shared" si="1255"/>
        <v>-240</v>
      </c>
      <c r="AM161" s="520">
        <f t="shared" si="1255"/>
        <v>25</v>
      </c>
      <c r="AN161" s="115">
        <f t="shared" si="1255"/>
        <v>1106.25</v>
      </c>
      <c r="AO161" s="115">
        <f t="shared" si="1255"/>
        <v>-473</v>
      </c>
      <c r="AP161" s="115">
        <f t="shared" si="1255"/>
        <v>1299.25</v>
      </c>
      <c r="AQ161" s="115">
        <f t="shared" si="1255"/>
        <v>685</v>
      </c>
      <c r="AR161" s="115">
        <f t="shared" ref="AR161" si="1256">-(AR123-AQ123)</f>
        <v>-1462.25</v>
      </c>
      <c r="AS161" s="115">
        <f t="shared" ref="AS161:AW161" si="1257">-(AS123-AR123)</f>
        <v>-992.5</v>
      </c>
      <c r="AT161" s="115">
        <f t="shared" si="1257"/>
        <v>-989</v>
      </c>
      <c r="AU161" s="115">
        <f t="shared" si="1257"/>
        <v>48.75</v>
      </c>
      <c r="AV161" s="115">
        <f t="shared" si="1257"/>
        <v>-7190</v>
      </c>
      <c r="AW161" s="187">
        <f t="shared" si="1257"/>
        <v>-9433.75</v>
      </c>
      <c r="AX161" s="115">
        <f t="shared" ref="AX161:BO161" si="1258">-(AX123-AW123)</f>
        <v>18671.208768678298</v>
      </c>
      <c r="AY161" s="187">
        <f t="shared" si="1258"/>
        <v>-864.42881749235494</v>
      </c>
      <c r="AZ161" s="115">
        <f t="shared" si="1258"/>
        <v>-555.01228600832883</v>
      </c>
      <c r="BA161" s="115">
        <f t="shared" si="1258"/>
        <v>210.47829431550235</v>
      </c>
      <c r="BB161" s="115">
        <f t="shared" si="1258"/>
        <v>-76.72461034549724</v>
      </c>
      <c r="BC161" s="115">
        <f t="shared" si="1258"/>
        <v>1883.9299875695949</v>
      </c>
      <c r="BD161" s="115">
        <f t="shared" si="1258"/>
        <v>-1093.2855984241639</v>
      </c>
      <c r="BE161" s="115">
        <f t="shared" si="1258"/>
        <v>382.70247768192075</v>
      </c>
      <c r="BF161" s="115">
        <f t="shared" si="1258"/>
        <v>-1132.7092008992631</v>
      </c>
      <c r="BG161" s="115">
        <f t="shared" si="1258"/>
        <v>-273.28532014907114</v>
      </c>
      <c r="BH161" s="115">
        <f t="shared" si="1258"/>
        <v>-1431.68257719134</v>
      </c>
      <c r="BI161" s="115">
        <f t="shared" si="1258"/>
        <v>-750.40105112753736</v>
      </c>
      <c r="BJ161" s="115">
        <f t="shared" si="1258"/>
        <v>3190.7635344261221</v>
      </c>
      <c r="BK161" s="187">
        <f t="shared" si="1258"/>
        <v>-991.09557732320081</v>
      </c>
      <c r="BL161" s="115">
        <f t="shared" si="1258"/>
        <v>-331.2130738675728</v>
      </c>
      <c r="BM161" s="115">
        <f t="shared" si="1258"/>
        <v>-197.83394051259984</v>
      </c>
      <c r="BN161" s="115">
        <f t="shared" si="1258"/>
        <v>-424.4315540317366</v>
      </c>
      <c r="BO161" s="115">
        <f t="shared" si="1258"/>
        <v>2566.6803491306491</v>
      </c>
      <c r="BP161" s="115">
        <f t="shared" ref="BP161:CU161" si="1259">-(BP123-BO123)</f>
        <v>-1571.8681738711346</v>
      </c>
      <c r="BQ161" s="115">
        <f t="shared" si="1259"/>
        <v>498.14379802473468</v>
      </c>
      <c r="BR161" s="115">
        <f t="shared" si="1259"/>
        <v>-1365.6545868510207</v>
      </c>
      <c r="BS161" s="115">
        <f t="shared" si="1259"/>
        <v>-812.44280147615518</v>
      </c>
      <c r="BT161" s="115">
        <f t="shared" si="1259"/>
        <v>-1754.2990745604229</v>
      </c>
      <c r="BU161" s="115">
        <f t="shared" si="1259"/>
        <v>-678.7155139551578</v>
      </c>
      <c r="BV161" s="115">
        <f t="shared" si="1259"/>
        <v>3859.7753481919281</v>
      </c>
      <c r="BW161" s="187">
        <f t="shared" si="1259"/>
        <v>-1208.1650634269045</v>
      </c>
      <c r="BX161" s="115">
        <f t="shared" si="1259"/>
        <v>-486.33519323230485</v>
      </c>
      <c r="BY161" s="115">
        <f t="shared" si="1259"/>
        <v>-532.78855415634007</v>
      </c>
      <c r="BZ161" s="115">
        <f t="shared" si="1259"/>
        <v>-326.5427747494432</v>
      </c>
      <c r="CA161" s="115">
        <f t="shared" si="1259"/>
        <v>3825.7717739338941</v>
      </c>
      <c r="CB161" s="115">
        <f t="shared" si="1259"/>
        <v>-2919.1937393080652</v>
      </c>
      <c r="CC161" s="115">
        <f t="shared" si="1259"/>
        <v>1219.5632051933808</v>
      </c>
      <c r="CD161" s="115">
        <f t="shared" si="1259"/>
        <v>-1691.53767461798</v>
      </c>
      <c r="CE161" s="115">
        <f t="shared" si="1259"/>
        <v>-1739.6567292666141</v>
      </c>
      <c r="CF161" s="115">
        <f t="shared" si="1259"/>
        <v>-1647.2676696988519</v>
      </c>
      <c r="CG161" s="115">
        <f t="shared" si="1259"/>
        <v>-1868.4882116610206</v>
      </c>
      <c r="CH161" s="115">
        <f t="shared" si="1259"/>
        <v>5889.3228667386766</v>
      </c>
      <c r="CI161" s="187">
        <f t="shared" si="1259"/>
        <v>-1101.4160607774693</v>
      </c>
      <c r="CJ161" s="115">
        <f t="shared" si="1259"/>
        <v>-2073.1581507590508</v>
      </c>
      <c r="CK161" s="115">
        <f t="shared" si="1259"/>
        <v>385.63180852757159</v>
      </c>
      <c r="CL161" s="115">
        <f t="shared" si="1259"/>
        <v>-452.26415601099598</v>
      </c>
      <c r="CM161" s="115">
        <f t="shared" si="1259"/>
        <v>4792.7270352114938</v>
      </c>
      <c r="CN161" s="115">
        <f t="shared" si="1259"/>
        <v>-3899.4867478115984</v>
      </c>
      <c r="CO161" s="115">
        <f t="shared" si="1259"/>
        <v>1923.1989692900852</v>
      </c>
      <c r="CP161" s="115">
        <f t="shared" si="1259"/>
        <v>-3007.7734595119455</v>
      </c>
      <c r="CQ161" s="115">
        <f t="shared" si="1259"/>
        <v>-2086.1347183959642</v>
      </c>
      <c r="CR161" s="115">
        <f t="shared" si="1259"/>
        <v>-1755.9627087359895</v>
      </c>
      <c r="CS161" s="115">
        <f t="shared" si="1259"/>
        <v>-4075.8490928237916</v>
      </c>
      <c r="CT161" s="115">
        <f t="shared" si="1259"/>
        <v>9072.3288329677089</v>
      </c>
      <c r="CU161" s="187">
        <f t="shared" si="1259"/>
        <v>-1560.0563610126492</v>
      </c>
      <c r="CV161" s="115">
        <f t="shared" ref="CV161:DG161" si="1260">-(CV123-CU123)</f>
        <v>-2882.0040182189714</v>
      </c>
      <c r="CW161" s="115">
        <f t="shared" si="1260"/>
        <v>578.70880992778621</v>
      </c>
      <c r="CX161" s="115">
        <f t="shared" si="1260"/>
        <v>-60.834629648914415</v>
      </c>
      <c r="CY161" s="115">
        <f t="shared" si="1260"/>
        <v>5976.7905129249311</v>
      </c>
      <c r="CZ161" s="115">
        <f t="shared" si="1260"/>
        <v>-5244.9123515579895</v>
      </c>
      <c r="DA161" s="115">
        <f t="shared" si="1260"/>
        <v>3101.9281581733703</v>
      </c>
      <c r="DB161" s="115">
        <f t="shared" si="1260"/>
        <v>-5215.8665627100654</v>
      </c>
      <c r="DC161" s="115">
        <f t="shared" si="1260"/>
        <v>-1717.9046780278914</v>
      </c>
      <c r="DD161" s="115">
        <f t="shared" si="1260"/>
        <v>-3990.803942372213</v>
      </c>
      <c r="DE161" s="115">
        <f t="shared" si="1260"/>
        <v>-4828.6536696632465</v>
      </c>
      <c r="DF161" s="115">
        <f t="shared" si="1260"/>
        <v>13277.887527792916</v>
      </c>
      <c r="DG161" s="115">
        <f t="shared" si="1260"/>
        <v>-3270.8277316004333</v>
      </c>
    </row>
    <row r="162" spans="1:111" x14ac:dyDescent="0.25">
      <c r="B162" s="1" t="s">
        <v>42</v>
      </c>
      <c r="D162" s="115">
        <v>0</v>
      </c>
      <c r="E162" s="115">
        <v>0</v>
      </c>
      <c r="F162" s="115">
        <v>0</v>
      </c>
      <c r="G162" s="115">
        <v>0</v>
      </c>
      <c r="H162" s="115">
        <v>0</v>
      </c>
      <c r="I162" s="115">
        <v>0</v>
      </c>
      <c r="J162" s="115">
        <f t="shared" ref="J162:O162" si="1261">J145-H145</f>
        <v>0</v>
      </c>
      <c r="K162" s="115">
        <f t="shared" si="1261"/>
        <v>0</v>
      </c>
      <c r="L162" s="115">
        <f t="shared" si="1261"/>
        <v>0</v>
      </c>
      <c r="M162" s="115">
        <f t="shared" si="1261"/>
        <v>0</v>
      </c>
      <c r="N162" s="115">
        <f t="shared" si="1261"/>
        <v>0</v>
      </c>
      <c r="O162" s="115">
        <f t="shared" si="1261"/>
        <v>0</v>
      </c>
      <c r="P162" s="115">
        <f t="shared" ref="P162:AQ162" si="1262">P145-O145-(P130-O130)</f>
        <v>75</v>
      </c>
      <c r="Q162" s="115">
        <f t="shared" si="1262"/>
        <v>0</v>
      </c>
      <c r="R162" s="115">
        <f t="shared" si="1262"/>
        <v>-30.950000000000003</v>
      </c>
      <c r="S162" s="115">
        <f t="shared" si="1262"/>
        <v>-29.049999999999997</v>
      </c>
      <c r="T162" s="115">
        <f t="shared" si="1262"/>
        <v>-101.25</v>
      </c>
      <c r="U162" s="115">
        <f t="shared" si="1262"/>
        <v>311.25</v>
      </c>
      <c r="V162" s="115">
        <f t="shared" si="1262"/>
        <v>75</v>
      </c>
      <c r="W162" s="115">
        <f t="shared" si="1262"/>
        <v>-65</v>
      </c>
      <c r="X162" s="115">
        <f t="shared" si="1262"/>
        <v>-250</v>
      </c>
      <c r="Y162" s="115">
        <f t="shared" si="1262"/>
        <v>90</v>
      </c>
      <c r="Z162" s="115">
        <f t="shared" si="1262"/>
        <v>-97.5</v>
      </c>
      <c r="AA162" s="115">
        <f t="shared" si="1262"/>
        <v>247.5</v>
      </c>
      <c r="AB162" s="115">
        <f t="shared" si="1262"/>
        <v>-210</v>
      </c>
      <c r="AC162" s="115">
        <f t="shared" si="1262"/>
        <v>37.5</v>
      </c>
      <c r="AD162" s="115">
        <f t="shared" si="1262"/>
        <v>-50</v>
      </c>
      <c r="AE162" s="115">
        <f t="shared" si="1262"/>
        <v>237.5</v>
      </c>
      <c r="AF162" s="115">
        <f t="shared" si="1262"/>
        <v>-157.53</v>
      </c>
      <c r="AG162" s="115">
        <f t="shared" si="1262"/>
        <v>779.04</v>
      </c>
      <c r="AH162" s="115">
        <f t="shared" si="1262"/>
        <v>583.3599999999999</v>
      </c>
      <c r="AI162" s="115">
        <f t="shared" si="1262"/>
        <v>-470.25</v>
      </c>
      <c r="AJ162" s="115">
        <f t="shared" si="1262"/>
        <v>175.85000000000014</v>
      </c>
      <c r="AK162" s="115">
        <f t="shared" si="1262"/>
        <v>-471.10000000000014</v>
      </c>
      <c r="AL162" s="115">
        <f t="shared" si="1262"/>
        <v>-326.08999999999992</v>
      </c>
      <c r="AM162" s="520">
        <f t="shared" si="1262"/>
        <v>821.08999999999992</v>
      </c>
      <c r="AN162" s="115">
        <f t="shared" si="1262"/>
        <v>3041.1500000000005</v>
      </c>
      <c r="AO162" s="115">
        <f t="shared" si="1262"/>
        <v>-3043.5900000000006</v>
      </c>
      <c r="AP162" s="115">
        <f t="shared" si="1262"/>
        <v>-293.77</v>
      </c>
      <c r="AQ162" s="115">
        <f t="shared" si="1262"/>
        <v>443</v>
      </c>
      <c r="AR162" s="115">
        <f t="shared" ref="AR162" si="1263">AR145-AQ145-(AR130-AQ130)</f>
        <v>31.019999999999982</v>
      </c>
      <c r="AS162" s="115">
        <f t="shared" ref="AS162:AW162" si="1264">AS145-AR145-(AS130-AR130)</f>
        <v>-1154.9299999999998</v>
      </c>
      <c r="AT162" s="115">
        <f t="shared" si="1264"/>
        <v>834.25</v>
      </c>
      <c r="AU162" s="115">
        <f t="shared" si="1264"/>
        <v>-605.75</v>
      </c>
      <c r="AV162" s="115">
        <f t="shared" si="1264"/>
        <v>-88.25</v>
      </c>
      <c r="AW162" s="187">
        <f t="shared" si="1264"/>
        <v>243.75</v>
      </c>
      <c r="AX162" s="115">
        <f>AX145-AW145-(AX130-AW130)</f>
        <v>-474.25</v>
      </c>
      <c r="AY162" s="187">
        <f t="shared" ref="AY162:CA162" si="1265">AY145-AX145-(AY130-AX130)</f>
        <v>0</v>
      </c>
      <c r="AZ162" s="115">
        <f t="shared" si="1265"/>
        <v>0</v>
      </c>
      <c r="BA162" s="115">
        <f t="shared" si="1265"/>
        <v>0</v>
      </c>
      <c r="BB162" s="115">
        <f t="shared" si="1265"/>
        <v>0</v>
      </c>
      <c r="BC162" s="115">
        <f t="shared" si="1265"/>
        <v>0</v>
      </c>
      <c r="BD162" s="115">
        <f t="shared" si="1265"/>
        <v>0</v>
      </c>
      <c r="BE162" s="115">
        <f t="shared" si="1265"/>
        <v>0</v>
      </c>
      <c r="BF162" s="115">
        <f t="shared" si="1265"/>
        <v>0</v>
      </c>
      <c r="BG162" s="115">
        <f t="shared" si="1265"/>
        <v>0</v>
      </c>
      <c r="BH162" s="115">
        <f t="shared" si="1265"/>
        <v>0</v>
      </c>
      <c r="BI162" s="115">
        <f t="shared" si="1265"/>
        <v>0</v>
      </c>
      <c r="BJ162" s="115">
        <f t="shared" si="1265"/>
        <v>0</v>
      </c>
      <c r="BK162" s="187">
        <f t="shared" si="1265"/>
        <v>0</v>
      </c>
      <c r="BL162" s="115">
        <f t="shared" si="1265"/>
        <v>0</v>
      </c>
      <c r="BM162" s="115">
        <f t="shared" si="1265"/>
        <v>0</v>
      </c>
      <c r="BN162" s="115">
        <f t="shared" si="1265"/>
        <v>0</v>
      </c>
      <c r="BO162" s="115">
        <f t="shared" si="1265"/>
        <v>0</v>
      </c>
      <c r="BP162" s="115">
        <f t="shared" si="1265"/>
        <v>0</v>
      </c>
      <c r="BQ162" s="115">
        <f t="shared" si="1265"/>
        <v>0</v>
      </c>
      <c r="BR162" s="115">
        <f t="shared" si="1265"/>
        <v>0</v>
      </c>
      <c r="BS162" s="115">
        <f t="shared" si="1265"/>
        <v>0</v>
      </c>
      <c r="BT162" s="115">
        <f t="shared" si="1265"/>
        <v>0</v>
      </c>
      <c r="BU162" s="115">
        <f t="shared" si="1265"/>
        <v>0</v>
      </c>
      <c r="BV162" s="115">
        <f t="shared" si="1265"/>
        <v>0</v>
      </c>
      <c r="BW162" s="187">
        <f t="shared" si="1265"/>
        <v>0</v>
      </c>
      <c r="BX162" s="115">
        <f t="shared" si="1265"/>
        <v>0</v>
      </c>
      <c r="BY162" s="115">
        <f t="shared" si="1265"/>
        <v>0</v>
      </c>
      <c r="BZ162" s="115">
        <f t="shared" si="1265"/>
        <v>0</v>
      </c>
      <c r="CA162" s="115">
        <f t="shared" si="1265"/>
        <v>0</v>
      </c>
      <c r="CB162" s="115">
        <f t="shared" ref="CB162:DG162" si="1266">CB145-CA145-(CB130-CA130)</f>
        <v>0</v>
      </c>
      <c r="CC162" s="115">
        <f t="shared" si="1266"/>
        <v>0</v>
      </c>
      <c r="CD162" s="115">
        <f t="shared" si="1266"/>
        <v>0</v>
      </c>
      <c r="CE162" s="115">
        <f t="shared" si="1266"/>
        <v>0</v>
      </c>
      <c r="CF162" s="115">
        <f t="shared" si="1266"/>
        <v>0</v>
      </c>
      <c r="CG162" s="115">
        <f t="shared" si="1266"/>
        <v>0</v>
      </c>
      <c r="CH162" s="115">
        <f t="shared" si="1266"/>
        <v>0</v>
      </c>
      <c r="CI162" s="187">
        <f t="shared" si="1266"/>
        <v>0</v>
      </c>
      <c r="CJ162" s="115">
        <f t="shared" si="1266"/>
        <v>0</v>
      </c>
      <c r="CK162" s="115">
        <f t="shared" si="1266"/>
        <v>0</v>
      </c>
      <c r="CL162" s="115">
        <f t="shared" si="1266"/>
        <v>0</v>
      </c>
      <c r="CM162" s="115">
        <f t="shared" si="1266"/>
        <v>0</v>
      </c>
      <c r="CN162" s="115">
        <f t="shared" si="1266"/>
        <v>0</v>
      </c>
      <c r="CO162" s="115">
        <f t="shared" si="1266"/>
        <v>0</v>
      </c>
      <c r="CP162" s="115">
        <f t="shared" si="1266"/>
        <v>0</v>
      </c>
      <c r="CQ162" s="115">
        <f t="shared" si="1266"/>
        <v>0</v>
      </c>
      <c r="CR162" s="115">
        <f t="shared" si="1266"/>
        <v>0</v>
      </c>
      <c r="CS162" s="115">
        <f t="shared" si="1266"/>
        <v>0</v>
      </c>
      <c r="CT162" s="115">
        <f t="shared" si="1266"/>
        <v>0</v>
      </c>
      <c r="CU162" s="187">
        <f t="shared" si="1266"/>
        <v>0</v>
      </c>
      <c r="CV162" s="115">
        <f t="shared" si="1266"/>
        <v>0</v>
      </c>
      <c r="CW162" s="115">
        <f t="shared" si="1266"/>
        <v>0</v>
      </c>
      <c r="CX162" s="115">
        <f t="shared" si="1266"/>
        <v>0</v>
      </c>
      <c r="CY162" s="115">
        <f t="shared" si="1266"/>
        <v>0</v>
      </c>
      <c r="CZ162" s="115">
        <f t="shared" si="1266"/>
        <v>0</v>
      </c>
      <c r="DA162" s="115">
        <f t="shared" si="1266"/>
        <v>0</v>
      </c>
      <c r="DB162" s="115">
        <f t="shared" si="1266"/>
        <v>0</v>
      </c>
      <c r="DC162" s="115">
        <f t="shared" si="1266"/>
        <v>0</v>
      </c>
      <c r="DD162" s="115">
        <f t="shared" si="1266"/>
        <v>0</v>
      </c>
      <c r="DE162" s="115">
        <f t="shared" si="1266"/>
        <v>0</v>
      </c>
      <c r="DF162" s="115">
        <f t="shared" si="1266"/>
        <v>0</v>
      </c>
      <c r="DG162" s="115">
        <f t="shared" si="1266"/>
        <v>0</v>
      </c>
    </row>
    <row r="163" spans="1:111" s="3" customFormat="1" x14ac:dyDescent="0.25">
      <c r="A163"/>
      <c r="B163" s="4" t="s">
        <v>40</v>
      </c>
      <c r="D163" s="10">
        <f>SUM(D160:D162)</f>
        <v>0</v>
      </c>
      <c r="E163" s="10">
        <f t="shared" ref="E163:BP163" si="1267">SUM(E160:E162)</f>
        <v>0</v>
      </c>
      <c r="F163" s="10">
        <f t="shared" si="1267"/>
        <v>0</v>
      </c>
      <c r="G163" s="10">
        <f t="shared" si="1267"/>
        <v>0</v>
      </c>
      <c r="H163" s="10">
        <f t="shared" si="1267"/>
        <v>0</v>
      </c>
      <c r="I163" s="10">
        <f t="shared" si="1267"/>
        <v>0</v>
      </c>
      <c r="J163" s="10">
        <f t="shared" si="1267"/>
        <v>0</v>
      </c>
      <c r="K163" s="10">
        <f t="shared" si="1267"/>
        <v>0</v>
      </c>
      <c r="L163" s="10">
        <f t="shared" si="1267"/>
        <v>223</v>
      </c>
      <c r="M163" s="10">
        <f t="shared" si="1267"/>
        <v>803.36000000000013</v>
      </c>
      <c r="N163" s="10">
        <f t="shared" si="1267"/>
        <v>3022.8</v>
      </c>
      <c r="O163" s="10">
        <f t="shared" si="1267"/>
        <v>1930.41</v>
      </c>
      <c r="P163" s="10">
        <f>SUM(P160:P162)</f>
        <v>2225.86</v>
      </c>
      <c r="Q163" s="10">
        <f t="shared" si="1267"/>
        <v>1092.99</v>
      </c>
      <c r="R163" s="10">
        <f t="shared" si="1267"/>
        <v>1064.44</v>
      </c>
      <c r="S163" s="10">
        <f t="shared" si="1267"/>
        <v>1543.0300000000002</v>
      </c>
      <c r="T163" s="10">
        <f t="shared" si="1267"/>
        <v>1986.2599999999998</v>
      </c>
      <c r="U163" s="10">
        <f t="shared" si="1267"/>
        <v>1353.3600000000001</v>
      </c>
      <c r="V163" s="10">
        <f t="shared" si="1267"/>
        <v>2597.77</v>
      </c>
      <c r="W163" s="10">
        <f t="shared" si="1267"/>
        <v>6341.72</v>
      </c>
      <c r="X163" s="10">
        <f t="shared" si="1267"/>
        <v>5837.73</v>
      </c>
      <c r="Y163" s="10">
        <f t="shared" si="1267"/>
        <v>7750.9000000000005</v>
      </c>
      <c r="Z163" s="10">
        <f t="shared" si="1267"/>
        <v>4074.1899999999996</v>
      </c>
      <c r="AA163" s="10">
        <f t="shared" ref="AA163:AB163" si="1268">SUM(AA160:AA162)</f>
        <v>1694.53</v>
      </c>
      <c r="AB163" s="10">
        <f t="shared" si="1268"/>
        <v>2194.7600000000002</v>
      </c>
      <c r="AC163" s="10">
        <f t="shared" ref="AC163" si="1269">SUM(AC160:AC162)</f>
        <v>2584.54</v>
      </c>
      <c r="AD163" s="10">
        <f t="shared" si="1267"/>
        <v>2846.4700000000003</v>
      </c>
      <c r="AE163" s="10">
        <f t="shared" si="1267"/>
        <v>1090.1999999999998</v>
      </c>
      <c r="AF163" s="10">
        <f t="shared" si="1267"/>
        <v>4035.1</v>
      </c>
      <c r="AG163" s="10">
        <f t="shared" ref="AG163:AH163" si="1270">SUM(AG160:AG162)</f>
        <v>3087.61</v>
      </c>
      <c r="AH163" s="10">
        <f t="shared" si="1270"/>
        <v>4447.2300000000005</v>
      </c>
      <c r="AI163" s="10">
        <f t="shared" ref="AI163" si="1271">SUM(AI160:AI162)</f>
        <v>9808.6200000000008</v>
      </c>
      <c r="AJ163" s="10">
        <f t="shared" ref="AJ163" si="1272">SUM(AJ160:AJ162)</f>
        <v>7812.42</v>
      </c>
      <c r="AK163" s="10">
        <f t="shared" si="1267"/>
        <v>13692.150000000001</v>
      </c>
      <c r="AL163" s="10">
        <f t="shared" si="1267"/>
        <v>6064.73</v>
      </c>
      <c r="AM163" s="580">
        <f t="shared" ref="AM163" si="1273">SUM(AM160:AM162)</f>
        <v>4030.84</v>
      </c>
      <c r="AN163" s="10">
        <f t="shared" ref="AN163:AO163" si="1274">SUM(AN160:AN162)</f>
        <v>5680.76</v>
      </c>
      <c r="AO163" s="10">
        <f t="shared" si="1274"/>
        <v>-3329.34</v>
      </c>
      <c r="AP163" s="10">
        <f t="shared" ref="AP163:AQ163" si="1275">SUM(AP160:AP162)</f>
        <v>490.94000000000017</v>
      </c>
      <c r="AQ163" s="10">
        <f t="shared" si="1275"/>
        <v>345.34000000000026</v>
      </c>
      <c r="AR163" s="10">
        <f t="shared" ref="AR163" si="1276">SUM(AR160:AR162)</f>
        <v>-27.960000000000036</v>
      </c>
      <c r="AS163" s="10">
        <f t="shared" ref="AS163:AT163" si="1277">SUM(AS160:AS162)</f>
        <v>-152.82999999999993</v>
      </c>
      <c r="AT163" s="10">
        <f t="shared" si="1277"/>
        <v>2907.1100000000006</v>
      </c>
      <c r="AU163" s="10">
        <f t="shared" ref="AU163:AV163" si="1278">SUM(AU160:AU162)</f>
        <v>840.63999999999896</v>
      </c>
      <c r="AV163" s="10">
        <f t="shared" si="1278"/>
        <v>2707.9499999999971</v>
      </c>
      <c r="AW163" s="318">
        <f t="shared" ref="AW163" si="1279">SUM(AW160:AW162)</f>
        <v>4129.6700000000055</v>
      </c>
      <c r="AX163" s="10">
        <f t="shared" ref="AX163" si="1280">SUM(AX160:AX162)</f>
        <v>15502.761450567394</v>
      </c>
      <c r="AY163" s="318">
        <f t="shared" si="1267"/>
        <v>935.93231672220645</v>
      </c>
      <c r="AZ163" s="10">
        <f t="shared" si="1267"/>
        <v>2149.9097235226304</v>
      </c>
      <c r="BA163" s="10">
        <f t="shared" si="1267"/>
        <v>-166.83076709773195</v>
      </c>
      <c r="BB163" s="10">
        <f t="shared" si="1267"/>
        <v>-3021.36317524469</v>
      </c>
      <c r="BC163" s="10">
        <f t="shared" si="1267"/>
        <v>-6636.8255977959607</v>
      </c>
      <c r="BD163" s="10">
        <f t="shared" si="1267"/>
        <v>-7251.4441792208845</v>
      </c>
      <c r="BE163" s="10">
        <f t="shared" si="1267"/>
        <v>-2221.4563364029646</v>
      </c>
      <c r="BF163" s="10">
        <f t="shared" si="1267"/>
        <v>466.04900856352742</v>
      </c>
      <c r="BG163" s="10">
        <f t="shared" si="1267"/>
        <v>3515.4182897641635</v>
      </c>
      <c r="BH163" s="10">
        <f t="shared" si="1267"/>
        <v>9173.922573879132</v>
      </c>
      <c r="BI163" s="10">
        <f t="shared" si="1267"/>
        <v>17317.038622741104</v>
      </c>
      <c r="BJ163" s="10">
        <f t="shared" si="1267"/>
        <v>3337.3670039163248</v>
      </c>
      <c r="BK163" s="318">
        <f t="shared" si="1267"/>
        <v>3508.075931577855</v>
      </c>
      <c r="BL163" s="10">
        <f t="shared" si="1267"/>
        <v>4096.6738492041222</v>
      </c>
      <c r="BM163" s="10">
        <f t="shared" si="1267"/>
        <v>2333.1628176354379</v>
      </c>
      <c r="BN163" s="10">
        <f t="shared" si="1267"/>
        <v>124.61810948592938</v>
      </c>
      <c r="BO163" s="10">
        <f t="shared" si="1267"/>
        <v>-4585.3420190605375</v>
      </c>
      <c r="BP163" s="10">
        <f t="shared" si="1267"/>
        <v>-5473.6196349843158</v>
      </c>
      <c r="BQ163" s="10">
        <f t="shared" ref="BQ163:DG163" si="1281">SUM(BQ160:BQ162)</f>
        <v>1590.7428329425175</v>
      </c>
      <c r="BR163" s="10">
        <f t="shared" si="1281"/>
        <v>4838.7499047618512</v>
      </c>
      <c r="BS163" s="10">
        <f t="shared" si="1281"/>
        <v>10211.814785076047</v>
      </c>
      <c r="BT163" s="10">
        <f t="shared" si="1281"/>
        <v>17643.647499744988</v>
      </c>
      <c r="BU163" s="10">
        <f t="shared" si="1281"/>
        <v>27210.404510722601</v>
      </c>
      <c r="BV163" s="10">
        <f t="shared" si="1281"/>
        <v>10977.66171397192</v>
      </c>
      <c r="BW163" s="318">
        <f t="shared" si="1281"/>
        <v>9953.4401852190149</v>
      </c>
      <c r="BX163" s="10">
        <f t="shared" si="1281"/>
        <v>8986.5734801621984</v>
      </c>
      <c r="BY163" s="10">
        <f t="shared" si="1281"/>
        <v>7089.0165218330994</v>
      </c>
      <c r="BZ163" s="10">
        <f t="shared" si="1281"/>
        <v>3889.2863676597481</v>
      </c>
      <c r="CA163" s="10">
        <f t="shared" si="1281"/>
        <v>-3558.7054178128719</v>
      </c>
      <c r="CB163" s="10">
        <f t="shared" si="1281"/>
        <v>-4085.4209200512259</v>
      </c>
      <c r="CC163" s="10">
        <f t="shared" si="1281"/>
        <v>5679.4614444964773</v>
      </c>
      <c r="CD163" s="10">
        <f t="shared" si="1281"/>
        <v>9152.719805515113</v>
      </c>
      <c r="CE163" s="10">
        <f t="shared" si="1281"/>
        <v>18384.291428120006</v>
      </c>
      <c r="CF163" s="10">
        <f t="shared" si="1281"/>
        <v>26483.151637120038</v>
      </c>
      <c r="CG163" s="10">
        <f t="shared" si="1281"/>
        <v>42742.143760721417</v>
      </c>
      <c r="CH163" s="10">
        <f t="shared" si="1281"/>
        <v>19827.170342421101</v>
      </c>
      <c r="CI163" s="318">
        <f t="shared" si="1281"/>
        <v>14721.136139080361</v>
      </c>
      <c r="CJ163" s="10">
        <f t="shared" si="1281"/>
        <v>19741.62164257987</v>
      </c>
      <c r="CK163" s="10">
        <f t="shared" si="1281"/>
        <v>14766.163993806716</v>
      </c>
      <c r="CL163" s="10">
        <f t="shared" si="1281"/>
        <v>9224.6367216153594</v>
      </c>
      <c r="CM163" s="10">
        <f t="shared" si="1281"/>
        <v>310.41472218028503</v>
      </c>
      <c r="CN163" s="10">
        <f t="shared" si="1281"/>
        <v>-466.60543544387747</v>
      </c>
      <c r="CO163" s="10">
        <f t="shared" si="1281"/>
        <v>12272.697571202967</v>
      </c>
      <c r="CP163" s="10">
        <f t="shared" si="1281"/>
        <v>19265.505608508145</v>
      </c>
      <c r="CQ163" s="10">
        <f t="shared" si="1281"/>
        <v>31529.107514959374</v>
      </c>
      <c r="CR163" s="10">
        <f t="shared" si="1281"/>
        <v>40520.877757034679</v>
      </c>
      <c r="CS163" s="10">
        <f t="shared" si="1281"/>
        <v>68734.693883946049</v>
      </c>
      <c r="CT163" s="10">
        <f t="shared" si="1281"/>
        <v>34780.633802736767</v>
      </c>
      <c r="CU163" s="318">
        <f t="shared" si="1281"/>
        <v>26554.68474461868</v>
      </c>
      <c r="CV163" s="10">
        <f t="shared" si="1281"/>
        <v>34400.471130899678</v>
      </c>
      <c r="CW163" s="10">
        <f t="shared" si="1281"/>
        <v>27063.792167000487</v>
      </c>
      <c r="CX163" s="10">
        <f t="shared" si="1281"/>
        <v>16212.774055016267</v>
      </c>
      <c r="CY163" s="10">
        <f t="shared" si="1281"/>
        <v>6686.5998202267738</v>
      </c>
      <c r="CZ163" s="10">
        <f t="shared" si="1281"/>
        <v>5638.7221590097097</v>
      </c>
      <c r="DA163" s="10">
        <f t="shared" si="1281"/>
        <v>21969.64204811948</v>
      </c>
      <c r="DB163" s="10">
        <f t="shared" si="1281"/>
        <v>34934.627693761613</v>
      </c>
      <c r="DC163" s="10">
        <f t="shared" si="1281"/>
        <v>48843.873871600794</v>
      </c>
      <c r="DD163" s="10">
        <f t="shared" si="1281"/>
        <v>65642.604359530684</v>
      </c>
      <c r="DE163" s="10">
        <f t="shared" si="1281"/>
        <v>103690.11666806493</v>
      </c>
      <c r="DF163" s="10">
        <f t="shared" si="1281"/>
        <v>52741.726878899106</v>
      </c>
      <c r="DG163" s="10">
        <f t="shared" si="1281"/>
        <v>45031.385922732508</v>
      </c>
    </row>
    <row r="164" spans="1:111" x14ac:dyDescent="0.25">
      <c r="AW164" s="186"/>
      <c r="AY164" s="186"/>
      <c r="BK164" s="186"/>
      <c r="BW164" s="186"/>
      <c r="CI164" s="186"/>
      <c r="CU164" s="186"/>
    </row>
    <row r="165" spans="1:111" x14ac:dyDescent="0.25">
      <c r="AW165" s="186"/>
      <c r="AY165" s="186"/>
      <c r="BK165" s="186"/>
      <c r="BW165" s="186"/>
      <c r="CI165" s="186"/>
      <c r="CU165" s="186"/>
    </row>
    <row r="166" spans="1:111" x14ac:dyDescent="0.25">
      <c r="B166" s="1" t="s">
        <v>43</v>
      </c>
      <c r="E166" s="115">
        <f t="shared" ref="E166:J166" si="1282">SUM(E147:E149)-SUM(D147:D149)</f>
        <v>0</v>
      </c>
      <c r="F166" s="115">
        <f t="shared" si="1282"/>
        <v>0</v>
      </c>
      <c r="G166" s="115">
        <f t="shared" si="1282"/>
        <v>0</v>
      </c>
      <c r="H166" s="115">
        <f t="shared" si="1282"/>
        <v>0</v>
      </c>
      <c r="I166" s="115">
        <f t="shared" si="1282"/>
        <v>0</v>
      </c>
      <c r="J166" s="115">
        <f t="shared" si="1282"/>
        <v>0</v>
      </c>
      <c r="K166" s="115">
        <f t="shared" ref="K166:AP166" si="1283">SUM(K147:K148)-SUM(J147:J148)</f>
        <v>255</v>
      </c>
      <c r="L166" s="115">
        <f t="shared" si="1283"/>
        <v>0</v>
      </c>
      <c r="M166" s="115">
        <f t="shared" si="1283"/>
        <v>-261</v>
      </c>
      <c r="N166" s="115">
        <f t="shared" si="1283"/>
        <v>-3180.76</v>
      </c>
      <c r="O166" s="115">
        <f t="shared" si="1283"/>
        <v>-2848.71</v>
      </c>
      <c r="P166" s="115">
        <f t="shared" si="1283"/>
        <v>-1999.9999999999991</v>
      </c>
      <c r="Q166" s="115">
        <f t="shared" si="1283"/>
        <v>-1050</v>
      </c>
      <c r="R166" s="115">
        <f t="shared" si="1283"/>
        <v>-1150</v>
      </c>
      <c r="S166" s="115">
        <f t="shared" si="1283"/>
        <v>-1275</v>
      </c>
      <c r="T166" s="115">
        <f t="shared" si="1283"/>
        <v>-2081.4699999999993</v>
      </c>
      <c r="U166" s="115">
        <f t="shared" si="1283"/>
        <v>-1220</v>
      </c>
      <c r="V166" s="115">
        <f t="shared" si="1283"/>
        <v>-2464.6100000000042</v>
      </c>
      <c r="W166" s="115">
        <f t="shared" si="1283"/>
        <v>-6405</v>
      </c>
      <c r="X166" s="115">
        <f t="shared" si="1283"/>
        <v>-5600</v>
      </c>
      <c r="Y166" s="115">
        <f t="shared" si="1283"/>
        <v>-7838.7799999999988</v>
      </c>
      <c r="Z166" s="115">
        <f t="shared" si="1283"/>
        <v>-4000</v>
      </c>
      <c r="AA166" s="115">
        <f t="shared" si="1283"/>
        <v>-1425</v>
      </c>
      <c r="AB166" s="115">
        <f t="shared" si="1283"/>
        <v>-1900</v>
      </c>
      <c r="AC166" s="115">
        <f t="shared" si="1283"/>
        <v>-3325</v>
      </c>
      <c r="AD166" s="115">
        <f t="shared" si="1283"/>
        <v>-3220</v>
      </c>
      <c r="AE166" s="115">
        <f t="shared" si="1283"/>
        <v>75</v>
      </c>
      <c r="AF166" s="115">
        <f t="shared" si="1283"/>
        <v>-4100</v>
      </c>
      <c r="AG166" s="115">
        <f t="shared" si="1283"/>
        <v>-2750</v>
      </c>
      <c r="AH166" s="115">
        <f t="shared" si="1283"/>
        <v>-2903.9499999999971</v>
      </c>
      <c r="AI166" s="115">
        <f t="shared" si="1283"/>
        <v>-9775</v>
      </c>
      <c r="AJ166" s="115">
        <f t="shared" si="1283"/>
        <v>-6767.5</v>
      </c>
      <c r="AK166" s="115">
        <f t="shared" si="1283"/>
        <v>-12500</v>
      </c>
      <c r="AL166" s="115">
        <f t="shared" si="1283"/>
        <v>-7780</v>
      </c>
      <c r="AM166" s="520">
        <f t="shared" si="1283"/>
        <v>-7452.4100000000035</v>
      </c>
      <c r="AN166" s="115">
        <f t="shared" si="1283"/>
        <v>-2150</v>
      </c>
      <c r="AO166" s="115">
        <f t="shared" si="1283"/>
        <v>0</v>
      </c>
      <c r="AP166" s="115">
        <f t="shared" si="1283"/>
        <v>0</v>
      </c>
      <c r="AQ166" s="115">
        <f>SUM(AQ147:AQ148)-SUM(AP147:AP148)-SUM(AP150:AP151)+SUM(AQ150:AQ151)</f>
        <v>1</v>
      </c>
      <c r="AR166" s="115">
        <f>SUM(AR147:AR148)-SUM(AQ147:AQ148)-SUM(AQ150:AQ151)+SUM(AR150:AR151)</f>
        <v>-746.48999999999069</v>
      </c>
      <c r="AS166" s="115">
        <f t="shared" ref="AS166:DC166" si="1284">SUM(AS147:AS148)-SUM(AR147:AR148)-SUM(AR150:AR151)+SUM(AS150:AS151)</f>
        <v>655.24999999999272</v>
      </c>
      <c r="AT166" s="115">
        <f t="shared" si="1284"/>
        <v>-807.77999999999884</v>
      </c>
      <c r="AU166" s="115">
        <f t="shared" si="1284"/>
        <v>0</v>
      </c>
      <c r="AV166" s="115">
        <f t="shared" si="1284"/>
        <v>-574.22000000000116</v>
      </c>
      <c r="AW166" s="187">
        <f t="shared" si="1284"/>
        <v>0</v>
      </c>
      <c r="AX166" s="115">
        <f t="shared" si="1284"/>
        <v>0</v>
      </c>
      <c r="AY166" s="187">
        <f t="shared" si="1284"/>
        <v>0</v>
      </c>
      <c r="AZ166" s="115">
        <f t="shared" si="1284"/>
        <v>0</v>
      </c>
      <c r="BA166" s="115">
        <f t="shared" si="1284"/>
        <v>0</v>
      </c>
      <c r="BB166" s="115">
        <f t="shared" si="1284"/>
        <v>0</v>
      </c>
      <c r="BC166" s="115">
        <f t="shared" si="1284"/>
        <v>0</v>
      </c>
      <c r="BD166" s="115">
        <f t="shared" si="1284"/>
        <v>0</v>
      </c>
      <c r="BE166" s="115">
        <f t="shared" si="1284"/>
        <v>0</v>
      </c>
      <c r="BF166" s="115">
        <f t="shared" si="1284"/>
        <v>0</v>
      </c>
      <c r="BG166" s="115">
        <f t="shared" si="1284"/>
        <v>0</v>
      </c>
      <c r="BH166" s="115">
        <f t="shared" si="1284"/>
        <v>0</v>
      </c>
      <c r="BI166" s="115">
        <f t="shared" si="1284"/>
        <v>0</v>
      </c>
      <c r="BJ166" s="115">
        <f t="shared" si="1284"/>
        <v>0</v>
      </c>
      <c r="BK166" s="187">
        <f t="shared" si="1284"/>
        <v>0</v>
      </c>
      <c r="BL166" s="115">
        <f t="shared" si="1284"/>
        <v>0</v>
      </c>
      <c r="BM166" s="115">
        <f t="shared" si="1284"/>
        <v>0</v>
      </c>
      <c r="BN166" s="115">
        <f t="shared" si="1284"/>
        <v>0</v>
      </c>
      <c r="BO166" s="115">
        <f t="shared" si="1284"/>
        <v>0</v>
      </c>
      <c r="BP166" s="115">
        <f t="shared" si="1284"/>
        <v>0</v>
      </c>
      <c r="BQ166" s="115">
        <f t="shared" si="1284"/>
        <v>0</v>
      </c>
      <c r="BR166" s="115">
        <f t="shared" si="1284"/>
        <v>0</v>
      </c>
      <c r="BS166" s="115">
        <f t="shared" si="1284"/>
        <v>0</v>
      </c>
      <c r="BT166" s="115">
        <f t="shared" si="1284"/>
        <v>0</v>
      </c>
      <c r="BU166" s="115">
        <f t="shared" si="1284"/>
        <v>0</v>
      </c>
      <c r="BV166" s="115">
        <f t="shared" si="1284"/>
        <v>0</v>
      </c>
      <c r="BW166" s="187">
        <f t="shared" si="1284"/>
        <v>0</v>
      </c>
      <c r="BX166" s="115">
        <f t="shared" si="1284"/>
        <v>0</v>
      </c>
      <c r="BY166" s="115">
        <f t="shared" si="1284"/>
        <v>0</v>
      </c>
      <c r="BZ166" s="115">
        <f t="shared" si="1284"/>
        <v>0</v>
      </c>
      <c r="CA166" s="115">
        <f t="shared" si="1284"/>
        <v>0</v>
      </c>
      <c r="CB166" s="115">
        <f t="shared" si="1284"/>
        <v>0</v>
      </c>
      <c r="CC166" s="115">
        <f t="shared" si="1284"/>
        <v>0</v>
      </c>
      <c r="CD166" s="115">
        <f t="shared" si="1284"/>
        <v>0</v>
      </c>
      <c r="CE166" s="115">
        <f t="shared" si="1284"/>
        <v>0</v>
      </c>
      <c r="CF166" s="115">
        <f t="shared" si="1284"/>
        <v>0</v>
      </c>
      <c r="CG166" s="115">
        <f t="shared" si="1284"/>
        <v>0</v>
      </c>
      <c r="CH166" s="115">
        <f t="shared" si="1284"/>
        <v>0</v>
      </c>
      <c r="CI166" s="187">
        <f t="shared" si="1284"/>
        <v>0</v>
      </c>
      <c r="CJ166" s="115">
        <f t="shared" si="1284"/>
        <v>0</v>
      </c>
      <c r="CK166" s="115">
        <f t="shared" si="1284"/>
        <v>0</v>
      </c>
      <c r="CL166" s="115">
        <f t="shared" si="1284"/>
        <v>0</v>
      </c>
      <c r="CM166" s="115">
        <f t="shared" si="1284"/>
        <v>0</v>
      </c>
      <c r="CN166" s="115">
        <f t="shared" si="1284"/>
        <v>0</v>
      </c>
      <c r="CO166" s="115">
        <f t="shared" si="1284"/>
        <v>0</v>
      </c>
      <c r="CP166" s="115">
        <f t="shared" si="1284"/>
        <v>0</v>
      </c>
      <c r="CQ166" s="115">
        <f t="shared" si="1284"/>
        <v>0</v>
      </c>
      <c r="CR166" s="115">
        <f t="shared" si="1284"/>
        <v>0</v>
      </c>
      <c r="CS166" s="115">
        <f t="shared" si="1284"/>
        <v>0</v>
      </c>
      <c r="CT166" s="115">
        <f t="shared" si="1284"/>
        <v>0</v>
      </c>
      <c r="CU166" s="187">
        <f t="shared" si="1284"/>
        <v>0</v>
      </c>
      <c r="CV166" s="115">
        <f t="shared" si="1284"/>
        <v>0</v>
      </c>
      <c r="CW166" s="115">
        <f t="shared" si="1284"/>
        <v>0</v>
      </c>
      <c r="CX166" s="115">
        <f t="shared" si="1284"/>
        <v>0</v>
      </c>
      <c r="CY166" s="115">
        <f t="shared" si="1284"/>
        <v>0</v>
      </c>
      <c r="CZ166" s="115">
        <f t="shared" si="1284"/>
        <v>0</v>
      </c>
      <c r="DA166" s="115">
        <f t="shared" si="1284"/>
        <v>0</v>
      </c>
      <c r="DB166" s="115">
        <f t="shared" si="1284"/>
        <v>0</v>
      </c>
      <c r="DC166" s="115">
        <f t="shared" si="1284"/>
        <v>0</v>
      </c>
      <c r="DD166" s="115">
        <f t="shared" ref="DD166:DG166" si="1285">SUM(DD147:DD148)-SUM(DC147:DC148)-SUM(DC150:DC151)+SUM(DD150:DD151)</f>
        <v>0</v>
      </c>
      <c r="DE166" s="115">
        <f t="shared" si="1285"/>
        <v>0</v>
      </c>
      <c r="DF166" s="115">
        <f t="shared" si="1285"/>
        <v>0</v>
      </c>
      <c r="DG166" s="115">
        <f t="shared" si="1285"/>
        <v>0</v>
      </c>
    </row>
    <row r="167" spans="1:111" x14ac:dyDescent="0.25">
      <c r="A167" s="3"/>
      <c r="B167" s="4" t="s">
        <v>44</v>
      </c>
      <c r="C167" s="3"/>
      <c r="D167" s="10">
        <v>0</v>
      </c>
      <c r="E167" s="10">
        <f>E166</f>
        <v>0</v>
      </c>
      <c r="F167" s="10">
        <f t="shared" ref="F167:BQ167" si="1286">F166</f>
        <v>0</v>
      </c>
      <c r="G167" s="10">
        <f t="shared" si="1286"/>
        <v>0</v>
      </c>
      <c r="H167" s="10">
        <f t="shared" si="1286"/>
        <v>0</v>
      </c>
      <c r="I167" s="10">
        <f t="shared" si="1286"/>
        <v>0</v>
      </c>
      <c r="J167" s="10">
        <f t="shared" si="1286"/>
        <v>0</v>
      </c>
      <c r="K167" s="10">
        <f t="shared" si="1286"/>
        <v>255</v>
      </c>
      <c r="L167" s="10">
        <f t="shared" si="1286"/>
        <v>0</v>
      </c>
      <c r="M167" s="10">
        <f t="shared" si="1286"/>
        <v>-261</v>
      </c>
      <c r="N167" s="10">
        <f t="shared" si="1286"/>
        <v>-3180.76</v>
      </c>
      <c r="O167" s="10">
        <f t="shared" si="1286"/>
        <v>-2848.71</v>
      </c>
      <c r="P167" s="10">
        <f>P166</f>
        <v>-1999.9999999999991</v>
      </c>
      <c r="Q167" s="10">
        <f t="shared" si="1286"/>
        <v>-1050</v>
      </c>
      <c r="R167" s="10">
        <f t="shared" si="1286"/>
        <v>-1150</v>
      </c>
      <c r="S167" s="10">
        <f t="shared" si="1286"/>
        <v>-1275</v>
      </c>
      <c r="T167" s="10">
        <f t="shared" si="1286"/>
        <v>-2081.4699999999993</v>
      </c>
      <c r="U167" s="10">
        <f t="shared" si="1286"/>
        <v>-1220</v>
      </c>
      <c r="V167" s="10">
        <f t="shared" si="1286"/>
        <v>-2464.6100000000042</v>
      </c>
      <c r="W167" s="10">
        <f t="shared" si="1286"/>
        <v>-6405</v>
      </c>
      <c r="X167" s="10">
        <f t="shared" si="1286"/>
        <v>-5600</v>
      </c>
      <c r="Y167" s="10">
        <f t="shared" si="1286"/>
        <v>-7838.7799999999988</v>
      </c>
      <c r="Z167" s="10">
        <f t="shared" si="1286"/>
        <v>-4000</v>
      </c>
      <c r="AA167" s="10">
        <f t="shared" ref="AA167:AB167" si="1287">AA166</f>
        <v>-1425</v>
      </c>
      <c r="AB167" s="10">
        <f t="shared" si="1287"/>
        <v>-1900</v>
      </c>
      <c r="AC167" s="10">
        <f t="shared" ref="AC167" si="1288">AC166</f>
        <v>-3325</v>
      </c>
      <c r="AD167" s="10">
        <f t="shared" si="1286"/>
        <v>-3220</v>
      </c>
      <c r="AE167" s="10">
        <f t="shared" si="1286"/>
        <v>75</v>
      </c>
      <c r="AF167" s="10">
        <f t="shared" si="1286"/>
        <v>-4100</v>
      </c>
      <c r="AG167" s="10">
        <f t="shared" ref="AG167:AH167" si="1289">AG166</f>
        <v>-2750</v>
      </c>
      <c r="AH167" s="10">
        <f t="shared" si="1289"/>
        <v>-2903.9499999999971</v>
      </c>
      <c r="AI167" s="10">
        <f t="shared" ref="AI167" si="1290">AI166</f>
        <v>-9775</v>
      </c>
      <c r="AJ167" s="10">
        <f t="shared" ref="AJ167" si="1291">AJ166</f>
        <v>-6767.5</v>
      </c>
      <c r="AK167" s="10">
        <f t="shared" si="1286"/>
        <v>-12500</v>
      </c>
      <c r="AL167" s="10">
        <f t="shared" si="1286"/>
        <v>-7780</v>
      </c>
      <c r="AM167" s="580">
        <f t="shared" ref="AM167" si="1292">AM166</f>
        <v>-7452.4100000000035</v>
      </c>
      <c r="AN167" s="10">
        <f t="shared" ref="AN167:AO167" si="1293">AN166</f>
        <v>-2150</v>
      </c>
      <c r="AO167" s="10">
        <f t="shared" si="1293"/>
        <v>0</v>
      </c>
      <c r="AP167" s="10">
        <f t="shared" ref="AP167:AQ167" si="1294">AP166</f>
        <v>0</v>
      </c>
      <c r="AQ167" s="10">
        <f t="shared" si="1294"/>
        <v>1</v>
      </c>
      <c r="AR167" s="10">
        <f t="shared" ref="AR167" si="1295">AR166</f>
        <v>-746.48999999999069</v>
      </c>
      <c r="AS167" s="10">
        <f t="shared" ref="AS167:AT167" si="1296">AS166</f>
        <v>655.24999999999272</v>
      </c>
      <c r="AT167" s="10">
        <f t="shared" si="1296"/>
        <v>-807.77999999999884</v>
      </c>
      <c r="AU167" s="10">
        <f t="shared" ref="AU167:AV167" si="1297">AU166</f>
        <v>0</v>
      </c>
      <c r="AV167" s="10">
        <f t="shared" si="1297"/>
        <v>-574.22000000000116</v>
      </c>
      <c r="AW167" s="318">
        <f t="shared" ref="AW167" si="1298">AW166</f>
        <v>0</v>
      </c>
      <c r="AX167" s="10">
        <f t="shared" ref="AX167" si="1299">AX166</f>
        <v>0</v>
      </c>
      <c r="AY167" s="318">
        <f t="shared" si="1286"/>
        <v>0</v>
      </c>
      <c r="AZ167" s="10">
        <f t="shared" si="1286"/>
        <v>0</v>
      </c>
      <c r="BA167" s="10">
        <f t="shared" si="1286"/>
        <v>0</v>
      </c>
      <c r="BB167" s="10">
        <f t="shared" si="1286"/>
        <v>0</v>
      </c>
      <c r="BC167" s="10">
        <f t="shared" si="1286"/>
        <v>0</v>
      </c>
      <c r="BD167" s="10">
        <f t="shared" si="1286"/>
        <v>0</v>
      </c>
      <c r="BE167" s="10">
        <f t="shared" si="1286"/>
        <v>0</v>
      </c>
      <c r="BF167" s="10">
        <f t="shared" si="1286"/>
        <v>0</v>
      </c>
      <c r="BG167" s="10">
        <f t="shared" si="1286"/>
        <v>0</v>
      </c>
      <c r="BH167" s="10">
        <f t="shared" si="1286"/>
        <v>0</v>
      </c>
      <c r="BI167" s="10">
        <f t="shared" si="1286"/>
        <v>0</v>
      </c>
      <c r="BJ167" s="10">
        <f t="shared" si="1286"/>
        <v>0</v>
      </c>
      <c r="BK167" s="318">
        <f t="shared" si="1286"/>
        <v>0</v>
      </c>
      <c r="BL167" s="10">
        <f t="shared" si="1286"/>
        <v>0</v>
      </c>
      <c r="BM167" s="10">
        <f t="shared" si="1286"/>
        <v>0</v>
      </c>
      <c r="BN167" s="10">
        <f t="shared" si="1286"/>
        <v>0</v>
      </c>
      <c r="BO167" s="10">
        <f t="shared" si="1286"/>
        <v>0</v>
      </c>
      <c r="BP167" s="10">
        <f t="shared" si="1286"/>
        <v>0</v>
      </c>
      <c r="BQ167" s="10">
        <f t="shared" si="1286"/>
        <v>0</v>
      </c>
      <c r="BR167" s="10">
        <f t="shared" ref="BR167:DG167" si="1300">BR166</f>
        <v>0</v>
      </c>
      <c r="BS167" s="10">
        <f t="shared" si="1300"/>
        <v>0</v>
      </c>
      <c r="BT167" s="10">
        <f t="shared" si="1300"/>
        <v>0</v>
      </c>
      <c r="BU167" s="10">
        <f t="shared" si="1300"/>
        <v>0</v>
      </c>
      <c r="BV167" s="10">
        <f t="shared" si="1300"/>
        <v>0</v>
      </c>
      <c r="BW167" s="318">
        <f t="shared" si="1300"/>
        <v>0</v>
      </c>
      <c r="BX167" s="10">
        <f t="shared" si="1300"/>
        <v>0</v>
      </c>
      <c r="BY167" s="10">
        <f t="shared" si="1300"/>
        <v>0</v>
      </c>
      <c r="BZ167" s="10">
        <f t="shared" si="1300"/>
        <v>0</v>
      </c>
      <c r="CA167" s="10">
        <f t="shared" si="1300"/>
        <v>0</v>
      </c>
      <c r="CB167" s="10">
        <f t="shared" si="1300"/>
        <v>0</v>
      </c>
      <c r="CC167" s="10">
        <f t="shared" si="1300"/>
        <v>0</v>
      </c>
      <c r="CD167" s="10">
        <f t="shared" si="1300"/>
        <v>0</v>
      </c>
      <c r="CE167" s="10">
        <f t="shared" si="1300"/>
        <v>0</v>
      </c>
      <c r="CF167" s="10">
        <f t="shared" si="1300"/>
        <v>0</v>
      </c>
      <c r="CG167" s="10">
        <f t="shared" si="1300"/>
        <v>0</v>
      </c>
      <c r="CH167" s="10">
        <f t="shared" si="1300"/>
        <v>0</v>
      </c>
      <c r="CI167" s="318">
        <f t="shared" si="1300"/>
        <v>0</v>
      </c>
      <c r="CJ167" s="10">
        <f t="shared" si="1300"/>
        <v>0</v>
      </c>
      <c r="CK167" s="10">
        <f t="shared" si="1300"/>
        <v>0</v>
      </c>
      <c r="CL167" s="10">
        <f t="shared" si="1300"/>
        <v>0</v>
      </c>
      <c r="CM167" s="10">
        <f t="shared" si="1300"/>
        <v>0</v>
      </c>
      <c r="CN167" s="10">
        <f t="shared" si="1300"/>
        <v>0</v>
      </c>
      <c r="CO167" s="10">
        <f t="shared" si="1300"/>
        <v>0</v>
      </c>
      <c r="CP167" s="10">
        <f t="shared" si="1300"/>
        <v>0</v>
      </c>
      <c r="CQ167" s="10">
        <f t="shared" si="1300"/>
        <v>0</v>
      </c>
      <c r="CR167" s="10">
        <f t="shared" si="1300"/>
        <v>0</v>
      </c>
      <c r="CS167" s="10">
        <f t="shared" si="1300"/>
        <v>0</v>
      </c>
      <c r="CT167" s="10">
        <f t="shared" si="1300"/>
        <v>0</v>
      </c>
      <c r="CU167" s="318">
        <f t="shared" si="1300"/>
        <v>0</v>
      </c>
      <c r="CV167" s="10">
        <f t="shared" si="1300"/>
        <v>0</v>
      </c>
      <c r="CW167" s="10">
        <f t="shared" si="1300"/>
        <v>0</v>
      </c>
      <c r="CX167" s="10">
        <f t="shared" si="1300"/>
        <v>0</v>
      </c>
      <c r="CY167" s="10">
        <f t="shared" si="1300"/>
        <v>0</v>
      </c>
      <c r="CZ167" s="10">
        <f t="shared" si="1300"/>
        <v>0</v>
      </c>
      <c r="DA167" s="10">
        <f t="shared" si="1300"/>
        <v>0</v>
      </c>
      <c r="DB167" s="10">
        <f t="shared" si="1300"/>
        <v>0</v>
      </c>
      <c r="DC167" s="10">
        <f t="shared" si="1300"/>
        <v>0</v>
      </c>
      <c r="DD167" s="10">
        <f t="shared" si="1300"/>
        <v>0</v>
      </c>
      <c r="DE167" s="10">
        <f t="shared" si="1300"/>
        <v>0</v>
      </c>
      <c r="DF167" s="10">
        <f t="shared" si="1300"/>
        <v>0</v>
      </c>
      <c r="DG167" s="10">
        <f t="shared" si="1300"/>
        <v>0</v>
      </c>
    </row>
    <row r="168" spans="1:111" x14ac:dyDescent="0.25">
      <c r="AW168" s="186"/>
      <c r="AY168" s="186"/>
      <c r="BK168" s="186"/>
      <c r="BW168" s="186"/>
      <c r="CI168" s="186"/>
      <c r="CU168" s="186"/>
    </row>
    <row r="169" spans="1:111" x14ac:dyDescent="0.25">
      <c r="B169" s="1" t="s">
        <v>45</v>
      </c>
      <c r="D169" s="9">
        <f>D167+D163</f>
        <v>0</v>
      </c>
      <c r="E169" s="9">
        <f t="shared" ref="E169:BP169" si="1301">E167+E163</f>
        <v>0</v>
      </c>
      <c r="F169" s="9">
        <f t="shared" si="1301"/>
        <v>0</v>
      </c>
      <c r="G169" s="9">
        <f t="shared" si="1301"/>
        <v>0</v>
      </c>
      <c r="H169" s="9">
        <f t="shared" si="1301"/>
        <v>0</v>
      </c>
      <c r="I169" s="9">
        <f t="shared" si="1301"/>
        <v>0</v>
      </c>
      <c r="J169" s="9">
        <f t="shared" si="1301"/>
        <v>0</v>
      </c>
      <c r="K169" s="9">
        <f>K167+K163</f>
        <v>255</v>
      </c>
      <c r="L169" s="9">
        <f t="shared" si="1301"/>
        <v>223</v>
      </c>
      <c r="M169" s="9">
        <f t="shared" si="1301"/>
        <v>542.36000000000013</v>
      </c>
      <c r="N169" s="9">
        <f t="shared" si="1301"/>
        <v>-157.96000000000004</v>
      </c>
      <c r="O169" s="9">
        <f t="shared" si="1301"/>
        <v>-918.3</v>
      </c>
      <c r="P169" s="9">
        <f t="shared" si="1301"/>
        <v>225.86000000000104</v>
      </c>
      <c r="Q169" s="9">
        <f t="shared" si="1301"/>
        <v>42.990000000000009</v>
      </c>
      <c r="R169" s="9">
        <f t="shared" si="1301"/>
        <v>-85.559999999999945</v>
      </c>
      <c r="S169" s="9">
        <f t="shared" si="1301"/>
        <v>268.0300000000002</v>
      </c>
      <c r="T169" s="9">
        <f t="shared" si="1301"/>
        <v>-95.209999999999582</v>
      </c>
      <c r="U169" s="9">
        <f t="shared" si="1301"/>
        <v>133.36000000000013</v>
      </c>
      <c r="V169" s="9">
        <f t="shared" si="1301"/>
        <v>133.15999999999576</v>
      </c>
      <c r="W169" s="9">
        <f t="shared" si="1301"/>
        <v>-63.279999999999745</v>
      </c>
      <c r="X169" s="9">
        <f t="shared" si="1301"/>
        <v>237.72999999999956</v>
      </c>
      <c r="Y169" s="9">
        <f t="shared" si="1301"/>
        <v>-87.87999999999829</v>
      </c>
      <c r="Z169" s="9">
        <f t="shared" si="1301"/>
        <v>74.1899999999996</v>
      </c>
      <c r="AA169" s="9">
        <f t="shared" ref="AA169:AB169" si="1302">AA167+AA163</f>
        <v>269.52999999999997</v>
      </c>
      <c r="AB169" s="9">
        <f t="shared" si="1302"/>
        <v>294.76000000000022</v>
      </c>
      <c r="AC169" s="9">
        <f t="shared" ref="AC169" si="1303">AC167+AC163</f>
        <v>-740.46</v>
      </c>
      <c r="AD169" s="9">
        <f t="shared" si="1301"/>
        <v>-373.52999999999975</v>
      </c>
      <c r="AE169" s="9">
        <f t="shared" si="1301"/>
        <v>1165.1999999999998</v>
      </c>
      <c r="AF169" s="9">
        <f t="shared" si="1301"/>
        <v>-64.900000000000091</v>
      </c>
      <c r="AG169" s="9">
        <f t="shared" ref="AG169:AH169" si="1304">AG167+AG163</f>
        <v>337.61000000000013</v>
      </c>
      <c r="AH169" s="9">
        <f t="shared" si="1304"/>
        <v>1543.2800000000034</v>
      </c>
      <c r="AI169" s="9">
        <f t="shared" ref="AI169" si="1305">AI167+AI163</f>
        <v>33.6200000000008</v>
      </c>
      <c r="AJ169" s="9">
        <f t="shared" ref="AJ169" si="1306">AJ167+AJ163</f>
        <v>1044.92</v>
      </c>
      <c r="AK169" s="9">
        <f t="shared" si="1301"/>
        <v>1192.1500000000015</v>
      </c>
      <c r="AL169" s="9">
        <f t="shared" si="1301"/>
        <v>-1715.2700000000004</v>
      </c>
      <c r="AM169" s="581">
        <f t="shared" ref="AM169" si="1307">AM167+AM163</f>
        <v>-3421.5700000000033</v>
      </c>
      <c r="AN169" s="9">
        <f t="shared" ref="AN169:AO169" si="1308">AN167+AN163</f>
        <v>3530.76</v>
      </c>
      <c r="AO169" s="9">
        <f t="shared" si="1308"/>
        <v>-3329.34</v>
      </c>
      <c r="AP169" s="9">
        <f t="shared" ref="AP169:AQ169" si="1309">AP167+AP163</f>
        <v>490.94000000000017</v>
      </c>
      <c r="AQ169" s="9">
        <f t="shared" si="1309"/>
        <v>346.34000000000026</v>
      </c>
      <c r="AR169" s="9">
        <f t="shared" ref="AR169" si="1310">AR167+AR163</f>
        <v>-774.44999999999072</v>
      </c>
      <c r="AS169" s="9">
        <f t="shared" ref="AS169:AT169" si="1311">AS167+AS163</f>
        <v>502.4199999999928</v>
      </c>
      <c r="AT169" s="9">
        <f t="shared" si="1311"/>
        <v>2099.3300000000017</v>
      </c>
      <c r="AU169" s="9">
        <f t="shared" ref="AU169:AV169" si="1312">AU167+AU163</f>
        <v>840.63999999999896</v>
      </c>
      <c r="AV169" s="9">
        <f t="shared" si="1312"/>
        <v>2133.7299999999959</v>
      </c>
      <c r="AW169" s="319">
        <f t="shared" ref="AW169" si="1313">AW167+AW163</f>
        <v>4129.6700000000055</v>
      </c>
      <c r="AX169" s="9">
        <f t="shared" ref="AX169" si="1314">AX167+AX163</f>
        <v>15502.761450567394</v>
      </c>
      <c r="AY169" s="319">
        <f t="shared" si="1301"/>
        <v>935.93231672220645</v>
      </c>
      <c r="AZ169" s="9">
        <f t="shared" si="1301"/>
        <v>2149.9097235226304</v>
      </c>
      <c r="BA169" s="9">
        <f t="shared" si="1301"/>
        <v>-166.83076709773195</v>
      </c>
      <c r="BB169" s="9">
        <f t="shared" si="1301"/>
        <v>-3021.36317524469</v>
      </c>
      <c r="BC169" s="9">
        <f t="shared" si="1301"/>
        <v>-6636.8255977959607</v>
      </c>
      <c r="BD169" s="9">
        <f t="shared" si="1301"/>
        <v>-7251.4441792208845</v>
      </c>
      <c r="BE169" s="9">
        <f t="shared" si="1301"/>
        <v>-2221.4563364029646</v>
      </c>
      <c r="BF169" s="9">
        <f t="shared" si="1301"/>
        <v>466.04900856352742</v>
      </c>
      <c r="BG169" s="9">
        <f t="shared" si="1301"/>
        <v>3515.4182897641635</v>
      </c>
      <c r="BH169" s="9">
        <f t="shared" si="1301"/>
        <v>9173.922573879132</v>
      </c>
      <c r="BI169" s="9">
        <f t="shared" si="1301"/>
        <v>17317.038622741104</v>
      </c>
      <c r="BJ169" s="9">
        <f t="shared" si="1301"/>
        <v>3337.3670039163248</v>
      </c>
      <c r="BK169" s="319">
        <f t="shared" si="1301"/>
        <v>3508.075931577855</v>
      </c>
      <c r="BL169" s="9">
        <f t="shared" si="1301"/>
        <v>4096.6738492041222</v>
      </c>
      <c r="BM169" s="9">
        <f t="shared" si="1301"/>
        <v>2333.1628176354379</v>
      </c>
      <c r="BN169" s="9">
        <f t="shared" si="1301"/>
        <v>124.61810948592938</v>
      </c>
      <c r="BO169" s="9">
        <f t="shared" si="1301"/>
        <v>-4585.3420190605375</v>
      </c>
      <c r="BP169" s="9">
        <f t="shared" si="1301"/>
        <v>-5473.6196349843158</v>
      </c>
      <c r="BQ169" s="9">
        <f t="shared" ref="BQ169:DG169" si="1315">BQ167+BQ163</f>
        <v>1590.7428329425175</v>
      </c>
      <c r="BR169" s="9">
        <f t="shared" si="1315"/>
        <v>4838.7499047618512</v>
      </c>
      <c r="BS169" s="9">
        <f t="shared" si="1315"/>
        <v>10211.814785076047</v>
      </c>
      <c r="BT169" s="9">
        <f t="shared" si="1315"/>
        <v>17643.647499744988</v>
      </c>
      <c r="BU169" s="9">
        <f t="shared" si="1315"/>
        <v>27210.404510722601</v>
      </c>
      <c r="BV169" s="9">
        <f t="shared" si="1315"/>
        <v>10977.66171397192</v>
      </c>
      <c r="BW169" s="319">
        <f t="shared" si="1315"/>
        <v>9953.4401852190149</v>
      </c>
      <c r="BX169" s="9">
        <f t="shared" si="1315"/>
        <v>8986.5734801621984</v>
      </c>
      <c r="BY169" s="9">
        <f t="shared" si="1315"/>
        <v>7089.0165218330994</v>
      </c>
      <c r="BZ169" s="9">
        <f t="shared" si="1315"/>
        <v>3889.2863676597481</v>
      </c>
      <c r="CA169" s="9">
        <f t="shared" si="1315"/>
        <v>-3558.7054178128719</v>
      </c>
      <c r="CB169" s="9">
        <f t="shared" si="1315"/>
        <v>-4085.4209200512259</v>
      </c>
      <c r="CC169" s="9">
        <f t="shared" si="1315"/>
        <v>5679.4614444964773</v>
      </c>
      <c r="CD169" s="9">
        <f t="shared" si="1315"/>
        <v>9152.719805515113</v>
      </c>
      <c r="CE169" s="9">
        <f t="shared" si="1315"/>
        <v>18384.291428120006</v>
      </c>
      <c r="CF169" s="9">
        <f t="shared" si="1315"/>
        <v>26483.151637120038</v>
      </c>
      <c r="CG169" s="9">
        <f t="shared" si="1315"/>
        <v>42742.143760721417</v>
      </c>
      <c r="CH169" s="9">
        <f t="shared" si="1315"/>
        <v>19827.170342421101</v>
      </c>
      <c r="CI169" s="319">
        <f t="shared" si="1315"/>
        <v>14721.136139080361</v>
      </c>
      <c r="CJ169" s="9">
        <f t="shared" si="1315"/>
        <v>19741.62164257987</v>
      </c>
      <c r="CK169" s="9">
        <f t="shared" si="1315"/>
        <v>14766.163993806716</v>
      </c>
      <c r="CL169" s="9">
        <f t="shared" si="1315"/>
        <v>9224.6367216153594</v>
      </c>
      <c r="CM169" s="9">
        <f t="shared" si="1315"/>
        <v>310.41472218028503</v>
      </c>
      <c r="CN169" s="9">
        <f t="shared" si="1315"/>
        <v>-466.60543544387747</v>
      </c>
      <c r="CO169" s="9">
        <f t="shared" si="1315"/>
        <v>12272.697571202967</v>
      </c>
      <c r="CP169" s="9">
        <f t="shared" si="1315"/>
        <v>19265.505608508145</v>
      </c>
      <c r="CQ169" s="9">
        <f t="shared" si="1315"/>
        <v>31529.107514959374</v>
      </c>
      <c r="CR169" s="9">
        <f t="shared" si="1315"/>
        <v>40520.877757034679</v>
      </c>
      <c r="CS169" s="9">
        <f t="shared" si="1315"/>
        <v>68734.693883946049</v>
      </c>
      <c r="CT169" s="9">
        <f t="shared" si="1315"/>
        <v>34780.633802736767</v>
      </c>
      <c r="CU169" s="319">
        <f t="shared" si="1315"/>
        <v>26554.68474461868</v>
      </c>
      <c r="CV169" s="9">
        <f t="shared" si="1315"/>
        <v>34400.471130899678</v>
      </c>
      <c r="CW169" s="9">
        <f t="shared" si="1315"/>
        <v>27063.792167000487</v>
      </c>
      <c r="CX169" s="9">
        <f t="shared" si="1315"/>
        <v>16212.774055016267</v>
      </c>
      <c r="CY169" s="9">
        <f t="shared" si="1315"/>
        <v>6686.5998202267738</v>
      </c>
      <c r="CZ169" s="9">
        <f t="shared" si="1315"/>
        <v>5638.7221590097097</v>
      </c>
      <c r="DA169" s="9">
        <f t="shared" si="1315"/>
        <v>21969.64204811948</v>
      </c>
      <c r="DB169" s="9">
        <f t="shared" si="1315"/>
        <v>34934.627693761613</v>
      </c>
      <c r="DC169" s="9">
        <f t="shared" si="1315"/>
        <v>48843.873871600794</v>
      </c>
      <c r="DD169" s="9">
        <f t="shared" si="1315"/>
        <v>65642.604359530684</v>
      </c>
      <c r="DE169" s="9">
        <f t="shared" si="1315"/>
        <v>103690.11666806493</v>
      </c>
      <c r="DF169" s="9">
        <f t="shared" si="1315"/>
        <v>52741.726878899106</v>
      </c>
      <c r="DG169" s="9">
        <f t="shared" si="1315"/>
        <v>45031.385922732508</v>
      </c>
    </row>
    <row r="170" spans="1:111" x14ac:dyDescent="0.25">
      <c r="AW170" s="186"/>
      <c r="AY170" s="186"/>
      <c r="BK170" s="186"/>
      <c r="BW170" s="186"/>
      <c r="CI170" s="186"/>
      <c r="CU170" s="186"/>
    </row>
    <row r="171" spans="1:111" x14ac:dyDescent="0.25">
      <c r="B171" s="1" t="s">
        <v>46</v>
      </c>
      <c r="D171" s="9">
        <v>0</v>
      </c>
      <c r="E171" s="9">
        <f>D172</f>
        <v>0</v>
      </c>
      <c r="F171" s="9">
        <f t="shared" ref="F171:BQ171" si="1316">E172</f>
        <v>0</v>
      </c>
      <c r="G171" s="9">
        <f t="shared" si="1316"/>
        <v>0</v>
      </c>
      <c r="H171" s="9">
        <f t="shared" si="1316"/>
        <v>0</v>
      </c>
      <c r="I171" s="9">
        <f t="shared" si="1316"/>
        <v>0</v>
      </c>
      <c r="J171" s="9">
        <f t="shared" si="1316"/>
        <v>0</v>
      </c>
      <c r="K171" s="9">
        <f t="shared" si="1316"/>
        <v>0</v>
      </c>
      <c r="L171" s="9">
        <f t="shared" si="1316"/>
        <v>255</v>
      </c>
      <c r="M171" s="9">
        <f t="shared" si="1316"/>
        <v>478</v>
      </c>
      <c r="N171" s="9">
        <f t="shared" si="1316"/>
        <v>1020.3600000000001</v>
      </c>
      <c r="O171" s="9">
        <f t="shared" si="1316"/>
        <v>862.40000000000009</v>
      </c>
      <c r="P171" s="9">
        <f t="shared" si="1316"/>
        <v>-55.899999999999864</v>
      </c>
      <c r="Q171" s="9">
        <f t="shared" si="1316"/>
        <v>169.96000000000117</v>
      </c>
      <c r="R171" s="9">
        <f t="shared" si="1316"/>
        <v>212.95000000000118</v>
      </c>
      <c r="S171" s="9">
        <f t="shared" si="1316"/>
        <v>127.39000000000124</v>
      </c>
      <c r="T171" s="9">
        <f t="shared" si="1316"/>
        <v>395.42000000000144</v>
      </c>
      <c r="U171" s="9">
        <f t="shared" si="1316"/>
        <v>300.21000000000186</v>
      </c>
      <c r="V171" s="9">
        <f t="shared" si="1316"/>
        <v>433.57000000000198</v>
      </c>
      <c r="W171" s="9">
        <f t="shared" si="1316"/>
        <v>566.72999999999774</v>
      </c>
      <c r="X171" s="9">
        <f t="shared" si="1316"/>
        <v>503.449999999998</v>
      </c>
      <c r="Y171" s="9">
        <f t="shared" si="1316"/>
        <v>741.17999999999756</v>
      </c>
      <c r="Z171" s="9">
        <f t="shared" si="1316"/>
        <v>653.29999999999927</v>
      </c>
      <c r="AA171" s="9">
        <f t="shared" si="1316"/>
        <v>727.48999999999887</v>
      </c>
      <c r="AB171" s="9">
        <f t="shared" si="1316"/>
        <v>997.01999999999884</v>
      </c>
      <c r="AC171" s="9">
        <f t="shared" si="1316"/>
        <v>1291.7799999999991</v>
      </c>
      <c r="AD171" s="9">
        <f t="shared" si="1316"/>
        <v>551.31999999999903</v>
      </c>
      <c r="AE171" s="9">
        <f t="shared" si="1316"/>
        <v>177.78999999999928</v>
      </c>
      <c r="AF171" s="9">
        <f t="shared" si="1316"/>
        <v>1342.9899999999991</v>
      </c>
      <c r="AG171" s="9">
        <f t="shared" si="1316"/>
        <v>1278.089999999999</v>
      </c>
      <c r="AH171" s="9">
        <f t="shared" si="1316"/>
        <v>1615.6999999999991</v>
      </c>
      <c r="AI171" s="9">
        <f t="shared" si="1316"/>
        <v>3158.9800000000023</v>
      </c>
      <c r="AJ171" s="9">
        <f t="shared" si="1316"/>
        <v>3192.6000000000031</v>
      </c>
      <c r="AK171" s="9">
        <f t="shared" si="1316"/>
        <v>4237.5200000000032</v>
      </c>
      <c r="AL171" s="9">
        <f t="shared" si="1316"/>
        <v>5429.6700000000046</v>
      </c>
      <c r="AM171" s="581">
        <f t="shared" si="1316"/>
        <v>3714.4000000000042</v>
      </c>
      <c r="AN171" s="9">
        <f t="shared" si="1316"/>
        <v>292.83000000000084</v>
      </c>
      <c r="AO171" s="9">
        <f t="shared" si="1316"/>
        <v>3823.5900000000011</v>
      </c>
      <c r="AP171" s="9">
        <f t="shared" si="1316"/>
        <v>494.25000000000091</v>
      </c>
      <c r="AQ171" s="9">
        <f t="shared" si="1316"/>
        <v>985.19000000000108</v>
      </c>
      <c r="AR171" s="9">
        <f t="shared" si="1316"/>
        <v>1331.5300000000013</v>
      </c>
      <c r="AS171" s="9">
        <f t="shared" ref="AS171:AW171" si="1317">AR172</f>
        <v>557.08000000001061</v>
      </c>
      <c r="AT171" s="9">
        <f t="shared" si="1317"/>
        <v>1059.5000000000034</v>
      </c>
      <c r="AU171" s="9">
        <f t="shared" si="1317"/>
        <v>3158.8300000000054</v>
      </c>
      <c r="AV171" s="9">
        <f t="shared" si="1317"/>
        <v>3999.4700000000043</v>
      </c>
      <c r="AW171" s="319">
        <f t="shared" si="1317"/>
        <v>6133.2000000000007</v>
      </c>
      <c r="AX171" s="9">
        <f t="shared" si="1316"/>
        <v>10262.870000000006</v>
      </c>
      <c r="AY171" s="319">
        <f t="shared" si="1316"/>
        <v>25765.631450567402</v>
      </c>
      <c r="AZ171" s="9">
        <f t="shared" si="1316"/>
        <v>26701.563767289608</v>
      </c>
      <c r="BA171" s="9">
        <f t="shared" si="1316"/>
        <v>28851.473490812237</v>
      </c>
      <c r="BB171" s="9">
        <f t="shared" si="1316"/>
        <v>28684.642723714504</v>
      </c>
      <c r="BC171" s="9">
        <f t="shared" si="1316"/>
        <v>25663.279548469814</v>
      </c>
      <c r="BD171" s="9">
        <f t="shared" si="1316"/>
        <v>19026.453950673855</v>
      </c>
      <c r="BE171" s="9">
        <f t="shared" si="1316"/>
        <v>11775.009771452969</v>
      </c>
      <c r="BF171" s="9">
        <f t="shared" si="1316"/>
        <v>9553.5534350500056</v>
      </c>
      <c r="BG171" s="9">
        <f t="shared" si="1316"/>
        <v>10019.602443613534</v>
      </c>
      <c r="BH171" s="9">
        <f t="shared" si="1316"/>
        <v>13535.020733377698</v>
      </c>
      <c r="BI171" s="9">
        <f t="shared" si="1316"/>
        <v>22708.943307256828</v>
      </c>
      <c r="BJ171" s="9">
        <f t="shared" si="1316"/>
        <v>40025.981929997928</v>
      </c>
      <c r="BK171" s="319">
        <f t="shared" si="1316"/>
        <v>43363.348933914254</v>
      </c>
      <c r="BL171" s="9">
        <f t="shared" si="1316"/>
        <v>46871.42486549211</v>
      </c>
      <c r="BM171" s="9">
        <f t="shared" si="1316"/>
        <v>50968.098714696229</v>
      </c>
      <c r="BN171" s="9">
        <f t="shared" si="1316"/>
        <v>53301.261532331664</v>
      </c>
      <c r="BO171" s="9">
        <f t="shared" si="1316"/>
        <v>53425.879641817592</v>
      </c>
      <c r="BP171" s="9">
        <f t="shared" si="1316"/>
        <v>48840.537622757052</v>
      </c>
      <c r="BQ171" s="9">
        <f t="shared" si="1316"/>
        <v>43366.917987772737</v>
      </c>
      <c r="BR171" s="9">
        <f t="shared" ref="BR171:DG171" si="1318">BQ172</f>
        <v>44957.660820715253</v>
      </c>
      <c r="BS171" s="9">
        <f t="shared" si="1318"/>
        <v>49796.410725477108</v>
      </c>
      <c r="BT171" s="9">
        <f t="shared" si="1318"/>
        <v>60008.225510553151</v>
      </c>
      <c r="BU171" s="9">
        <f t="shared" si="1318"/>
        <v>77651.873010298135</v>
      </c>
      <c r="BV171" s="9">
        <f t="shared" si="1318"/>
        <v>104862.27752102073</v>
      </c>
      <c r="BW171" s="319">
        <f t="shared" si="1318"/>
        <v>115839.93923499265</v>
      </c>
      <c r="BX171" s="9">
        <f t="shared" si="1318"/>
        <v>125793.37942021167</v>
      </c>
      <c r="BY171" s="9">
        <f t="shared" si="1318"/>
        <v>134779.95290037387</v>
      </c>
      <c r="BZ171" s="9">
        <f t="shared" si="1318"/>
        <v>141868.96942220698</v>
      </c>
      <c r="CA171" s="9">
        <f t="shared" si="1318"/>
        <v>145758.25578986673</v>
      </c>
      <c r="CB171" s="9">
        <f t="shared" si="1318"/>
        <v>142199.55037205387</v>
      </c>
      <c r="CC171" s="9">
        <f t="shared" si="1318"/>
        <v>138114.12945200264</v>
      </c>
      <c r="CD171" s="9">
        <f t="shared" si="1318"/>
        <v>143793.59089649911</v>
      </c>
      <c r="CE171" s="9">
        <f t="shared" si="1318"/>
        <v>152946.31070201422</v>
      </c>
      <c r="CF171" s="9">
        <f t="shared" si="1318"/>
        <v>171330.60213013424</v>
      </c>
      <c r="CG171" s="9">
        <f t="shared" si="1318"/>
        <v>197813.75376725427</v>
      </c>
      <c r="CH171" s="9">
        <f t="shared" si="1318"/>
        <v>240555.89752797567</v>
      </c>
      <c r="CI171" s="319">
        <f t="shared" si="1318"/>
        <v>260383.06787039677</v>
      </c>
      <c r="CJ171" s="9">
        <f t="shared" si="1318"/>
        <v>275104.20400947711</v>
      </c>
      <c r="CK171" s="9">
        <f t="shared" si="1318"/>
        <v>294845.82565205696</v>
      </c>
      <c r="CL171" s="9">
        <f t="shared" si="1318"/>
        <v>309611.98964586365</v>
      </c>
      <c r="CM171" s="9">
        <f t="shared" si="1318"/>
        <v>318836.62636747898</v>
      </c>
      <c r="CN171" s="9">
        <f t="shared" si="1318"/>
        <v>319147.04108965927</v>
      </c>
      <c r="CO171" s="9">
        <f t="shared" si="1318"/>
        <v>318680.4356542154</v>
      </c>
      <c r="CP171" s="9">
        <f t="shared" si="1318"/>
        <v>330953.13322541839</v>
      </c>
      <c r="CQ171" s="9">
        <f t="shared" si="1318"/>
        <v>350218.63883392652</v>
      </c>
      <c r="CR171" s="9">
        <f t="shared" si="1318"/>
        <v>381747.74634888588</v>
      </c>
      <c r="CS171" s="9">
        <f t="shared" si="1318"/>
        <v>422268.62410592055</v>
      </c>
      <c r="CT171" s="9">
        <f t="shared" si="1318"/>
        <v>491003.3179898666</v>
      </c>
      <c r="CU171" s="319">
        <f t="shared" si="1318"/>
        <v>525783.95179260336</v>
      </c>
      <c r="CV171" s="9">
        <f t="shared" si="1318"/>
        <v>552338.63653722208</v>
      </c>
      <c r="CW171" s="9">
        <f t="shared" si="1318"/>
        <v>586739.10766812181</v>
      </c>
      <c r="CX171" s="9">
        <f t="shared" si="1318"/>
        <v>613802.89983512228</v>
      </c>
      <c r="CY171" s="9">
        <f t="shared" si="1318"/>
        <v>630015.67389013851</v>
      </c>
      <c r="CZ171" s="9">
        <f t="shared" si="1318"/>
        <v>636702.27371036529</v>
      </c>
      <c r="DA171" s="9">
        <f t="shared" si="1318"/>
        <v>642340.99586937495</v>
      </c>
      <c r="DB171" s="9">
        <f t="shared" si="1318"/>
        <v>664310.6379174944</v>
      </c>
      <c r="DC171" s="9">
        <f t="shared" si="1318"/>
        <v>699245.26561125601</v>
      </c>
      <c r="DD171" s="9">
        <f t="shared" si="1318"/>
        <v>748089.13948285684</v>
      </c>
      <c r="DE171" s="9">
        <f t="shared" si="1318"/>
        <v>813731.74384238757</v>
      </c>
      <c r="DF171" s="9">
        <f t="shared" si="1318"/>
        <v>917421.86051045253</v>
      </c>
      <c r="DG171" s="9">
        <f t="shared" si="1318"/>
        <v>970163.58738935168</v>
      </c>
    </row>
    <row r="172" spans="1:111" x14ac:dyDescent="0.25">
      <c r="B172" s="1" t="s">
        <v>47</v>
      </c>
      <c r="D172" s="9">
        <v>0</v>
      </c>
      <c r="E172" s="9">
        <f>E171+E169</f>
        <v>0</v>
      </c>
      <c r="F172" s="9">
        <f t="shared" ref="F172:BQ172" si="1319">F171+F169</f>
        <v>0</v>
      </c>
      <c r="G172" s="9">
        <f t="shared" si="1319"/>
        <v>0</v>
      </c>
      <c r="H172" s="9">
        <f t="shared" si="1319"/>
        <v>0</v>
      </c>
      <c r="I172" s="9">
        <f t="shared" si="1319"/>
        <v>0</v>
      </c>
      <c r="J172" s="9">
        <f t="shared" si="1319"/>
        <v>0</v>
      </c>
      <c r="K172" s="9">
        <f t="shared" si="1319"/>
        <v>255</v>
      </c>
      <c r="L172" s="9">
        <f t="shared" si="1319"/>
        <v>478</v>
      </c>
      <c r="M172" s="9">
        <f t="shared" si="1319"/>
        <v>1020.3600000000001</v>
      </c>
      <c r="N172" s="9">
        <f t="shared" si="1319"/>
        <v>862.40000000000009</v>
      </c>
      <c r="O172" s="9">
        <f t="shared" si="1319"/>
        <v>-55.899999999999864</v>
      </c>
      <c r="P172" s="9">
        <f>P171+P169</f>
        <v>169.96000000000117</v>
      </c>
      <c r="Q172" s="9">
        <f t="shared" si="1319"/>
        <v>212.95000000000118</v>
      </c>
      <c r="R172" s="9">
        <f t="shared" si="1319"/>
        <v>127.39000000000124</v>
      </c>
      <c r="S172" s="9">
        <f t="shared" si="1319"/>
        <v>395.42000000000144</v>
      </c>
      <c r="T172" s="9">
        <f t="shared" si="1319"/>
        <v>300.21000000000186</v>
      </c>
      <c r="U172" s="9">
        <f t="shared" si="1319"/>
        <v>433.57000000000198</v>
      </c>
      <c r="V172" s="9">
        <f t="shared" si="1319"/>
        <v>566.72999999999774</v>
      </c>
      <c r="W172" s="9">
        <f t="shared" si="1319"/>
        <v>503.449999999998</v>
      </c>
      <c r="X172" s="9">
        <f t="shared" si="1319"/>
        <v>741.17999999999756</v>
      </c>
      <c r="Y172" s="9">
        <f t="shared" si="1319"/>
        <v>653.29999999999927</v>
      </c>
      <c r="Z172" s="9">
        <f t="shared" si="1319"/>
        <v>727.48999999999887</v>
      </c>
      <c r="AA172" s="9">
        <f t="shared" ref="AA172:AB172" si="1320">AA171+AA169</f>
        <v>997.01999999999884</v>
      </c>
      <c r="AB172" s="9">
        <f t="shared" si="1320"/>
        <v>1291.7799999999991</v>
      </c>
      <c r="AC172" s="9">
        <f t="shared" ref="AC172" si="1321">AC171+AC169</f>
        <v>551.31999999999903</v>
      </c>
      <c r="AD172" s="9">
        <f t="shared" si="1319"/>
        <v>177.78999999999928</v>
      </c>
      <c r="AE172" s="9">
        <f t="shared" si="1319"/>
        <v>1342.9899999999991</v>
      </c>
      <c r="AF172" s="9">
        <f t="shared" si="1319"/>
        <v>1278.089999999999</v>
      </c>
      <c r="AG172" s="9">
        <f t="shared" ref="AG172:AH172" si="1322">AG171+AG169</f>
        <v>1615.6999999999991</v>
      </c>
      <c r="AH172" s="9">
        <f t="shared" si="1322"/>
        <v>3158.9800000000023</v>
      </c>
      <c r="AI172" s="9">
        <f t="shared" ref="AI172" si="1323">AI171+AI169</f>
        <v>3192.6000000000031</v>
      </c>
      <c r="AJ172" s="9">
        <f t="shared" ref="AJ172" si="1324">AJ171+AJ169</f>
        <v>4237.5200000000032</v>
      </c>
      <c r="AK172" s="9">
        <f t="shared" si="1319"/>
        <v>5429.6700000000046</v>
      </c>
      <c r="AL172" s="9">
        <f t="shared" si="1319"/>
        <v>3714.4000000000042</v>
      </c>
      <c r="AM172" s="581">
        <f t="shared" ref="AM172" si="1325">AM171+AM169</f>
        <v>292.83000000000084</v>
      </c>
      <c r="AN172" s="9">
        <f t="shared" ref="AN172:AO172" si="1326">AN171+AN169</f>
        <v>3823.5900000000011</v>
      </c>
      <c r="AO172" s="9">
        <f t="shared" si="1326"/>
        <v>494.25000000000091</v>
      </c>
      <c r="AP172" s="9">
        <f t="shared" ref="AP172:AQ172" si="1327">AP171+AP169</f>
        <v>985.19000000000108</v>
      </c>
      <c r="AQ172" s="9">
        <f t="shared" si="1327"/>
        <v>1331.5300000000013</v>
      </c>
      <c r="AR172" s="9">
        <f t="shared" ref="AR172" si="1328">AR171+AR169</f>
        <v>557.08000000001061</v>
      </c>
      <c r="AS172" s="9">
        <f t="shared" ref="AS172:AT172" si="1329">AS171+AS169</f>
        <v>1059.5000000000034</v>
      </c>
      <c r="AT172" s="9">
        <f t="shared" si="1329"/>
        <v>3158.8300000000054</v>
      </c>
      <c r="AU172" s="9">
        <f t="shared" ref="AU172:AV172" si="1330">AU171+AU169</f>
        <v>3999.4700000000043</v>
      </c>
      <c r="AV172" s="9">
        <f t="shared" si="1330"/>
        <v>6133.2000000000007</v>
      </c>
      <c r="AW172" s="319">
        <f t="shared" ref="AW172" si="1331">AW171+AW169</f>
        <v>10262.870000000006</v>
      </c>
      <c r="AX172" s="9">
        <f t="shared" ref="AX172" si="1332">AX171+AX169</f>
        <v>25765.631450567402</v>
      </c>
      <c r="AY172" s="319">
        <f t="shared" si="1319"/>
        <v>26701.563767289608</v>
      </c>
      <c r="AZ172" s="9">
        <f t="shared" si="1319"/>
        <v>28851.473490812237</v>
      </c>
      <c r="BA172" s="9">
        <f t="shared" si="1319"/>
        <v>28684.642723714504</v>
      </c>
      <c r="BB172" s="9">
        <f t="shared" si="1319"/>
        <v>25663.279548469814</v>
      </c>
      <c r="BC172" s="9">
        <f t="shared" si="1319"/>
        <v>19026.453950673855</v>
      </c>
      <c r="BD172" s="9">
        <f t="shared" si="1319"/>
        <v>11775.009771452969</v>
      </c>
      <c r="BE172" s="9">
        <f t="shared" si="1319"/>
        <v>9553.5534350500056</v>
      </c>
      <c r="BF172" s="9">
        <f t="shared" si="1319"/>
        <v>10019.602443613534</v>
      </c>
      <c r="BG172" s="9">
        <f t="shared" si="1319"/>
        <v>13535.020733377698</v>
      </c>
      <c r="BH172" s="9">
        <f t="shared" si="1319"/>
        <v>22708.943307256828</v>
      </c>
      <c r="BI172" s="9">
        <f t="shared" si="1319"/>
        <v>40025.981929997928</v>
      </c>
      <c r="BJ172" s="9">
        <f t="shared" si="1319"/>
        <v>43363.348933914254</v>
      </c>
      <c r="BK172" s="319">
        <f t="shared" si="1319"/>
        <v>46871.42486549211</v>
      </c>
      <c r="BL172" s="9">
        <f t="shared" si="1319"/>
        <v>50968.098714696229</v>
      </c>
      <c r="BM172" s="9">
        <f t="shared" si="1319"/>
        <v>53301.261532331664</v>
      </c>
      <c r="BN172" s="9">
        <f t="shared" si="1319"/>
        <v>53425.879641817592</v>
      </c>
      <c r="BO172" s="9">
        <f t="shared" si="1319"/>
        <v>48840.537622757052</v>
      </c>
      <c r="BP172" s="9">
        <f t="shared" si="1319"/>
        <v>43366.917987772737</v>
      </c>
      <c r="BQ172" s="9">
        <f t="shared" si="1319"/>
        <v>44957.660820715253</v>
      </c>
      <c r="BR172" s="9">
        <f t="shared" ref="BR172:DG172" si="1333">BR171+BR169</f>
        <v>49796.410725477108</v>
      </c>
      <c r="BS172" s="9">
        <f t="shared" si="1333"/>
        <v>60008.225510553151</v>
      </c>
      <c r="BT172" s="9">
        <f t="shared" si="1333"/>
        <v>77651.873010298135</v>
      </c>
      <c r="BU172" s="9">
        <f t="shared" si="1333"/>
        <v>104862.27752102073</v>
      </c>
      <c r="BV172" s="9">
        <f t="shared" si="1333"/>
        <v>115839.93923499265</v>
      </c>
      <c r="BW172" s="319">
        <f t="shared" si="1333"/>
        <v>125793.37942021167</v>
      </c>
      <c r="BX172" s="9">
        <f t="shared" si="1333"/>
        <v>134779.95290037387</v>
      </c>
      <c r="BY172" s="9">
        <f t="shared" si="1333"/>
        <v>141868.96942220698</v>
      </c>
      <c r="BZ172" s="9">
        <f t="shared" si="1333"/>
        <v>145758.25578986673</v>
      </c>
      <c r="CA172" s="9">
        <f t="shared" si="1333"/>
        <v>142199.55037205387</v>
      </c>
      <c r="CB172" s="9">
        <f t="shared" si="1333"/>
        <v>138114.12945200264</v>
      </c>
      <c r="CC172" s="9">
        <f t="shared" si="1333"/>
        <v>143793.59089649911</v>
      </c>
      <c r="CD172" s="9">
        <f t="shared" si="1333"/>
        <v>152946.31070201422</v>
      </c>
      <c r="CE172" s="9">
        <f t="shared" si="1333"/>
        <v>171330.60213013424</v>
      </c>
      <c r="CF172" s="9">
        <f t="shared" si="1333"/>
        <v>197813.75376725427</v>
      </c>
      <c r="CG172" s="9">
        <f t="shared" si="1333"/>
        <v>240555.89752797567</v>
      </c>
      <c r="CH172" s="9">
        <f t="shared" si="1333"/>
        <v>260383.06787039677</v>
      </c>
      <c r="CI172" s="319">
        <f t="shared" si="1333"/>
        <v>275104.20400947711</v>
      </c>
      <c r="CJ172" s="9">
        <f t="shared" si="1333"/>
        <v>294845.82565205696</v>
      </c>
      <c r="CK172" s="9">
        <f t="shared" si="1333"/>
        <v>309611.98964586365</v>
      </c>
      <c r="CL172" s="9">
        <f t="shared" si="1333"/>
        <v>318836.62636747898</v>
      </c>
      <c r="CM172" s="9">
        <f t="shared" si="1333"/>
        <v>319147.04108965927</v>
      </c>
      <c r="CN172" s="9">
        <f t="shared" si="1333"/>
        <v>318680.4356542154</v>
      </c>
      <c r="CO172" s="9">
        <f t="shared" si="1333"/>
        <v>330953.13322541839</v>
      </c>
      <c r="CP172" s="9">
        <f t="shared" si="1333"/>
        <v>350218.63883392652</v>
      </c>
      <c r="CQ172" s="9">
        <f t="shared" si="1333"/>
        <v>381747.74634888588</v>
      </c>
      <c r="CR172" s="9">
        <f t="shared" si="1333"/>
        <v>422268.62410592055</v>
      </c>
      <c r="CS172" s="9">
        <f t="shared" si="1333"/>
        <v>491003.3179898666</v>
      </c>
      <c r="CT172" s="9">
        <f t="shared" si="1333"/>
        <v>525783.95179260336</v>
      </c>
      <c r="CU172" s="319">
        <f t="shared" si="1333"/>
        <v>552338.63653722208</v>
      </c>
      <c r="CV172" s="9">
        <f t="shared" si="1333"/>
        <v>586739.10766812181</v>
      </c>
      <c r="CW172" s="9">
        <f t="shared" si="1333"/>
        <v>613802.89983512228</v>
      </c>
      <c r="CX172" s="9">
        <f t="shared" si="1333"/>
        <v>630015.67389013851</v>
      </c>
      <c r="CY172" s="9">
        <f t="shared" si="1333"/>
        <v>636702.27371036529</v>
      </c>
      <c r="CZ172" s="9">
        <f t="shared" si="1333"/>
        <v>642340.99586937495</v>
      </c>
      <c r="DA172" s="9">
        <f t="shared" si="1333"/>
        <v>664310.6379174944</v>
      </c>
      <c r="DB172" s="9">
        <f t="shared" si="1333"/>
        <v>699245.26561125601</v>
      </c>
      <c r="DC172" s="9">
        <f t="shared" si="1333"/>
        <v>748089.13948285684</v>
      </c>
      <c r="DD172" s="9">
        <f t="shared" si="1333"/>
        <v>813731.74384238757</v>
      </c>
      <c r="DE172" s="9">
        <f t="shared" si="1333"/>
        <v>917421.86051045253</v>
      </c>
      <c r="DF172" s="9">
        <f t="shared" si="1333"/>
        <v>970163.58738935168</v>
      </c>
      <c r="DG172" s="9">
        <f t="shared" si="1333"/>
        <v>1015194.9733120842</v>
      </c>
    </row>
    <row r="173" spans="1:111" x14ac:dyDescent="0.25">
      <c r="C173" s="8" t="s">
        <v>48</v>
      </c>
      <c r="D173" s="9">
        <f t="shared" ref="D173:AI173" si="1334">D172-D120</f>
        <v>0</v>
      </c>
      <c r="E173" s="9">
        <f t="shared" si="1334"/>
        <v>0</v>
      </c>
      <c r="F173" s="9">
        <f t="shared" si="1334"/>
        <v>0</v>
      </c>
      <c r="G173" s="9">
        <f t="shared" si="1334"/>
        <v>0</v>
      </c>
      <c r="H173" s="9">
        <f t="shared" si="1334"/>
        <v>0</v>
      </c>
      <c r="I173" s="9">
        <f t="shared" si="1334"/>
        <v>0</v>
      </c>
      <c r="J173" s="9">
        <f t="shared" si="1334"/>
        <v>0</v>
      </c>
      <c r="K173" s="9">
        <f t="shared" si="1334"/>
        <v>0</v>
      </c>
      <c r="L173" s="9">
        <f t="shared" si="1334"/>
        <v>0</v>
      </c>
      <c r="M173" s="9">
        <f t="shared" si="1334"/>
        <v>0</v>
      </c>
      <c r="N173" s="134">
        <f t="shared" si="1334"/>
        <v>0</v>
      </c>
      <c r="O173" s="134">
        <f t="shared" si="1334"/>
        <v>1.3500311979441904E-13</v>
      </c>
      <c r="P173" s="134">
        <f t="shared" si="1334"/>
        <v>1.1937117960769683E-12</v>
      </c>
      <c r="Q173" s="9">
        <f t="shared" si="1334"/>
        <v>1.1937117960769683E-12</v>
      </c>
      <c r="R173" s="134">
        <f t="shared" si="1334"/>
        <v>1.2363443602225743E-12</v>
      </c>
      <c r="S173" s="9">
        <f t="shared" si="1334"/>
        <v>1.4210854715202004E-12</v>
      </c>
      <c r="T173" s="9">
        <f t="shared" si="1334"/>
        <v>1.8758328224066645E-12</v>
      </c>
      <c r="U173" s="9">
        <f t="shared" si="1334"/>
        <v>1.9895196601282805E-12</v>
      </c>
      <c r="V173" s="134">
        <f t="shared" si="1334"/>
        <v>-2.2737367544323206E-12</v>
      </c>
      <c r="W173" s="134">
        <f t="shared" si="1334"/>
        <v>-1.9895196601282805E-12</v>
      </c>
      <c r="X173" s="134">
        <f t="shared" si="1334"/>
        <v>-2.5011104298755527E-12</v>
      </c>
      <c r="Y173" s="134">
        <f t="shared" si="1334"/>
        <v>0</v>
      </c>
      <c r="Z173" s="134">
        <f t="shared" si="1334"/>
        <v>-1.1368683772161603E-12</v>
      </c>
      <c r="AA173" s="134">
        <f t="shared" si="1334"/>
        <v>-1.1368683772161603E-12</v>
      </c>
      <c r="AB173" s="134">
        <f t="shared" si="1334"/>
        <v>0</v>
      </c>
      <c r="AC173" s="9">
        <f t="shared" si="1334"/>
        <v>-1.0231815394945443E-12</v>
      </c>
      <c r="AD173" s="134">
        <f t="shared" si="1334"/>
        <v>-7.1054273576010019E-13</v>
      </c>
      <c r="AE173" s="134">
        <f t="shared" si="1334"/>
        <v>0</v>
      </c>
      <c r="AF173" s="134">
        <f t="shared" si="1334"/>
        <v>0</v>
      </c>
      <c r="AG173" s="134">
        <f t="shared" si="1334"/>
        <v>0</v>
      </c>
      <c r="AH173" s="134">
        <f t="shared" si="1334"/>
        <v>0</v>
      </c>
      <c r="AI173" s="134">
        <f t="shared" si="1334"/>
        <v>0</v>
      </c>
      <c r="AJ173" s="134">
        <f t="shared" ref="AJ173:AS173" si="1335">AJ172-AJ120</f>
        <v>0</v>
      </c>
      <c r="AK173" s="134">
        <f t="shared" si="1335"/>
        <v>0</v>
      </c>
      <c r="AL173" s="9">
        <f t="shared" si="1335"/>
        <v>4.5474735088646412E-12</v>
      </c>
      <c r="AM173" s="582">
        <f t="shared" si="1335"/>
        <v>8.5265128291212022E-13</v>
      </c>
      <c r="AN173" s="134">
        <f t="shared" si="1335"/>
        <v>0</v>
      </c>
      <c r="AO173" s="134">
        <f t="shared" si="1335"/>
        <v>9.0949470177292824E-13</v>
      </c>
      <c r="AP173" s="134">
        <f t="shared" si="1335"/>
        <v>1.0231815394945443E-12</v>
      </c>
      <c r="AQ173" s="134">
        <f t="shared" si="1335"/>
        <v>0</v>
      </c>
      <c r="AR173" s="134">
        <f t="shared" si="1335"/>
        <v>1.0686562745831907E-11</v>
      </c>
      <c r="AS173" s="134">
        <f t="shared" si="1335"/>
        <v>3.4106051316484809E-12</v>
      </c>
      <c r="AT173" s="134">
        <f t="shared" ref="AT173:AU173" si="1336">AT172-AT120</f>
        <v>5.0022208597511053E-12</v>
      </c>
      <c r="AU173" s="134">
        <f t="shared" si="1336"/>
        <v>4.0927261579781771E-12</v>
      </c>
      <c r="AV173" s="134">
        <f t="shared" ref="AV173:AW173" si="1337">AV172-AV120</f>
        <v>0</v>
      </c>
      <c r="AW173" s="320">
        <f t="shared" si="1337"/>
        <v>0</v>
      </c>
      <c r="AX173" s="9">
        <f t="shared" ref="AX173" si="1338">AX172-AX120</f>
        <v>0</v>
      </c>
      <c r="AY173" s="320">
        <f t="shared" ref="AY173:BO173" si="1339">AY172-AY120</f>
        <v>0</v>
      </c>
      <c r="AZ173" s="9">
        <f t="shared" si="1339"/>
        <v>0</v>
      </c>
      <c r="BA173" s="9">
        <f t="shared" si="1339"/>
        <v>0</v>
      </c>
      <c r="BB173" s="9">
        <f t="shared" si="1339"/>
        <v>0</v>
      </c>
      <c r="BC173" s="9">
        <f t="shared" si="1339"/>
        <v>0</v>
      </c>
      <c r="BD173" s="9">
        <f t="shared" si="1339"/>
        <v>0</v>
      </c>
      <c r="BE173" s="9">
        <f t="shared" si="1339"/>
        <v>0</v>
      </c>
      <c r="BF173" s="9">
        <f t="shared" si="1339"/>
        <v>0</v>
      </c>
      <c r="BG173" s="9">
        <f t="shared" si="1339"/>
        <v>0</v>
      </c>
      <c r="BH173" s="9">
        <f t="shared" si="1339"/>
        <v>0</v>
      </c>
      <c r="BI173" s="9">
        <f t="shared" si="1339"/>
        <v>0</v>
      </c>
      <c r="BJ173" s="9">
        <f t="shared" si="1339"/>
        <v>0</v>
      </c>
      <c r="BK173" s="320">
        <f t="shared" si="1339"/>
        <v>0</v>
      </c>
      <c r="BL173" s="9">
        <f t="shared" si="1339"/>
        <v>0</v>
      </c>
      <c r="BM173" s="9">
        <f t="shared" si="1339"/>
        <v>0</v>
      </c>
      <c r="BN173" s="9">
        <f t="shared" si="1339"/>
        <v>0</v>
      </c>
      <c r="BO173" s="9">
        <f t="shared" si="1339"/>
        <v>0</v>
      </c>
      <c r="BP173" s="9">
        <f t="shared" ref="BP173:CU173" si="1340">BP172-BP120</f>
        <v>0</v>
      </c>
      <c r="BQ173" s="9">
        <f t="shared" si="1340"/>
        <v>0</v>
      </c>
      <c r="BR173" s="9">
        <f t="shared" si="1340"/>
        <v>0</v>
      </c>
      <c r="BS173" s="9">
        <f t="shared" si="1340"/>
        <v>0</v>
      </c>
      <c r="BT173" s="9">
        <f t="shared" si="1340"/>
        <v>0</v>
      </c>
      <c r="BU173" s="9">
        <f t="shared" si="1340"/>
        <v>0</v>
      </c>
      <c r="BV173" s="9">
        <f t="shared" si="1340"/>
        <v>0</v>
      </c>
      <c r="BW173" s="320">
        <f t="shared" si="1340"/>
        <v>0</v>
      </c>
      <c r="BX173" s="9">
        <f t="shared" si="1340"/>
        <v>0</v>
      </c>
      <c r="BY173" s="9">
        <f t="shared" si="1340"/>
        <v>0</v>
      </c>
      <c r="BZ173" s="9">
        <f t="shared" si="1340"/>
        <v>0</v>
      </c>
      <c r="CA173" s="9">
        <f t="shared" si="1340"/>
        <v>0</v>
      </c>
      <c r="CB173" s="9">
        <f t="shared" si="1340"/>
        <v>0</v>
      </c>
      <c r="CC173" s="9">
        <f t="shared" si="1340"/>
        <v>0</v>
      </c>
      <c r="CD173" s="9">
        <f t="shared" si="1340"/>
        <v>0</v>
      </c>
      <c r="CE173" s="9">
        <f t="shared" si="1340"/>
        <v>0</v>
      </c>
      <c r="CF173" s="9">
        <f t="shared" si="1340"/>
        <v>0</v>
      </c>
      <c r="CG173" s="9">
        <f t="shared" si="1340"/>
        <v>0</v>
      </c>
      <c r="CH173" s="9">
        <f t="shared" si="1340"/>
        <v>0</v>
      </c>
      <c r="CI173" s="320">
        <f t="shared" si="1340"/>
        <v>0</v>
      </c>
      <c r="CJ173" s="9">
        <f t="shared" si="1340"/>
        <v>0</v>
      </c>
      <c r="CK173" s="9">
        <f t="shared" si="1340"/>
        <v>0</v>
      </c>
      <c r="CL173" s="9">
        <f t="shared" si="1340"/>
        <v>0</v>
      </c>
      <c r="CM173" s="9">
        <f t="shared" si="1340"/>
        <v>0</v>
      </c>
      <c r="CN173" s="9">
        <f t="shared" si="1340"/>
        <v>0</v>
      </c>
      <c r="CO173" s="9">
        <f t="shared" si="1340"/>
        <v>0</v>
      </c>
      <c r="CP173" s="9">
        <f t="shared" si="1340"/>
        <v>0</v>
      </c>
      <c r="CQ173" s="9">
        <f t="shared" si="1340"/>
        <v>0</v>
      </c>
      <c r="CR173" s="9">
        <f t="shared" si="1340"/>
        <v>0</v>
      </c>
      <c r="CS173" s="9">
        <f t="shared" si="1340"/>
        <v>0</v>
      </c>
      <c r="CT173" s="9">
        <f t="shared" si="1340"/>
        <v>0</v>
      </c>
      <c r="CU173" s="320">
        <f t="shared" si="1340"/>
        <v>0</v>
      </c>
      <c r="CV173" s="9">
        <f t="shared" ref="CV173:DG173" si="1341">CV172-CV120</f>
        <v>0</v>
      </c>
      <c r="CW173" s="9">
        <f t="shared" si="1341"/>
        <v>0</v>
      </c>
      <c r="CX173" s="9">
        <f t="shared" si="1341"/>
        <v>0</v>
      </c>
      <c r="CY173" s="9">
        <f t="shared" si="1341"/>
        <v>0</v>
      </c>
      <c r="CZ173" s="9">
        <f t="shared" si="1341"/>
        <v>0</v>
      </c>
      <c r="DA173" s="9">
        <f t="shared" si="1341"/>
        <v>0</v>
      </c>
      <c r="DB173" s="9">
        <f t="shared" si="1341"/>
        <v>0</v>
      </c>
      <c r="DC173" s="9">
        <f t="shared" si="1341"/>
        <v>0</v>
      </c>
      <c r="DD173" s="9">
        <f t="shared" si="1341"/>
        <v>0</v>
      </c>
      <c r="DE173" s="9">
        <f t="shared" si="1341"/>
        <v>0</v>
      </c>
      <c r="DF173" s="9">
        <f t="shared" si="1341"/>
        <v>0</v>
      </c>
      <c r="DG173" s="9">
        <f t="shared" si="1341"/>
        <v>0</v>
      </c>
    </row>
    <row r="174" spans="1:1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59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58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</row>
  </sheetData>
  <conditionalFormatting sqref="P172:DG172">
    <cfRule type="cellIs" dxfId="0" priority="1" operator="lessThan">
      <formula>0</formula>
    </cfRule>
  </conditionalFormatting>
  <pageMargins left="0.7" right="0.7" top="0.75" bottom="0.75" header="0.3" footer="0.3"/>
  <pageSetup scale="11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04F9-EB95-4406-8456-593F4CDE8E21}">
  <dimension ref="A1"/>
  <sheetViews>
    <sheetView showGridLines="0" zoomScaleNormal="100" workbookViewId="0">
      <selection activeCell="A2" sqref="A2"/>
    </sheetView>
  </sheetViews>
  <sheetFormatPr defaultColWidth="8.7109375"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1969-6692-436E-A9D4-61C76D6D34C8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40625" defaultRowHeight="15" x14ac:dyDescent="0.25"/>
  <cols>
    <col min="1" max="1" width="17.28515625" style="37" bestFit="1" customWidth="1"/>
    <col min="2" max="2" width="7.42578125" style="37" bestFit="1" customWidth="1"/>
    <col min="3" max="3" width="8.42578125" style="37" bestFit="1" customWidth="1"/>
    <col min="4" max="4" width="12.7109375" style="37" bestFit="1" customWidth="1"/>
    <col min="5" max="5" width="7.28515625" style="37" bestFit="1" customWidth="1"/>
    <col min="6" max="6" width="31.42578125" style="37" bestFit="1" customWidth="1"/>
    <col min="7" max="7" width="21" style="37" bestFit="1" customWidth="1"/>
    <col min="8" max="8" width="43.28515625" style="37" bestFit="1" customWidth="1"/>
    <col min="9" max="9" width="7" style="37" bestFit="1" customWidth="1"/>
    <col min="10" max="10" width="106.140625" style="37" bestFit="1" customWidth="1"/>
    <col min="11" max="11" width="8.42578125" style="37" bestFit="1" customWidth="1"/>
    <col min="12" max="13" width="9.140625" style="37"/>
    <col min="14" max="14" width="39.140625" style="37" bestFit="1" customWidth="1"/>
    <col min="15" max="15" width="17.28515625" style="37" bestFit="1" customWidth="1"/>
    <col min="16" max="16" width="12.7109375" style="37" bestFit="1" customWidth="1"/>
    <col min="17" max="17" width="11.42578125" style="37" bestFit="1" customWidth="1"/>
    <col min="18" max="16384" width="9.140625" style="37"/>
  </cols>
  <sheetData>
    <row r="1" spans="1:14" x14ac:dyDescent="0.25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8" t="s">
        <v>77</v>
      </c>
      <c r="K1" s="37" t="s">
        <v>78</v>
      </c>
    </row>
    <row r="2" spans="1:14" x14ac:dyDescent="0.25">
      <c r="A2" s="39" t="s">
        <v>79</v>
      </c>
      <c r="B2" s="40">
        <v>44836</v>
      </c>
      <c r="C2" s="39">
        <v>1</v>
      </c>
      <c r="D2" s="39">
        <v>50</v>
      </c>
      <c r="E2" s="39">
        <v>50</v>
      </c>
      <c r="F2" s="39" t="s">
        <v>80</v>
      </c>
      <c r="G2" s="39" t="s">
        <v>80</v>
      </c>
      <c r="H2" s="39" t="s">
        <v>81</v>
      </c>
      <c r="I2" s="39" t="s">
        <v>82</v>
      </c>
      <c r="J2" s="41" t="s">
        <v>82</v>
      </c>
      <c r="K2" s="39">
        <v>50</v>
      </c>
      <c r="N2" s="37" t="s">
        <v>83</v>
      </c>
    </row>
    <row r="3" spans="1:14" x14ac:dyDescent="0.25">
      <c r="A3" s="39" t="s">
        <v>79</v>
      </c>
      <c r="B3" s="40">
        <v>44846</v>
      </c>
      <c r="C3" s="39">
        <v>2</v>
      </c>
      <c r="D3" s="39">
        <v>50</v>
      </c>
      <c r="E3" s="39">
        <v>100</v>
      </c>
      <c r="F3" s="39" t="s">
        <v>80</v>
      </c>
      <c r="G3" s="39" t="s">
        <v>80</v>
      </c>
      <c r="H3" s="39" t="s">
        <v>84</v>
      </c>
      <c r="I3" s="39" t="s">
        <v>82</v>
      </c>
      <c r="J3" s="39" t="s">
        <v>85</v>
      </c>
      <c r="K3" s="39">
        <v>100</v>
      </c>
    </row>
    <row r="4" spans="1:14" x14ac:dyDescent="0.25">
      <c r="A4" s="39" t="s">
        <v>79</v>
      </c>
      <c r="B4" s="40">
        <v>44858</v>
      </c>
      <c r="C4" s="39">
        <v>1</v>
      </c>
      <c r="D4" s="39">
        <v>50</v>
      </c>
      <c r="E4" s="39">
        <v>50</v>
      </c>
      <c r="F4" s="39" t="s">
        <v>80</v>
      </c>
      <c r="G4" s="39" t="s">
        <v>80</v>
      </c>
      <c r="H4" s="39" t="s">
        <v>86</v>
      </c>
      <c r="I4" s="39" t="s">
        <v>82</v>
      </c>
      <c r="J4" s="39" t="s">
        <v>85</v>
      </c>
      <c r="K4" s="39">
        <v>50</v>
      </c>
    </row>
    <row r="5" spans="1:14" x14ac:dyDescent="0.25">
      <c r="A5" s="39" t="s">
        <v>79</v>
      </c>
      <c r="B5" s="40">
        <v>44859</v>
      </c>
      <c r="C5" s="39">
        <v>0.75</v>
      </c>
      <c r="D5" s="39">
        <v>50</v>
      </c>
      <c r="E5" s="39">
        <v>37.5</v>
      </c>
      <c r="F5" s="39" t="s">
        <v>80</v>
      </c>
      <c r="G5" s="39" t="s">
        <v>80</v>
      </c>
      <c r="H5" s="39" t="s">
        <v>87</v>
      </c>
      <c r="I5" s="39" t="s">
        <v>82</v>
      </c>
      <c r="J5" s="39" t="s">
        <v>85</v>
      </c>
      <c r="K5" s="39">
        <v>37.5</v>
      </c>
    </row>
    <row r="6" spans="1:14" x14ac:dyDescent="0.25">
      <c r="A6" s="39" t="s">
        <v>79</v>
      </c>
      <c r="B6" s="40">
        <v>44861</v>
      </c>
      <c r="C6" s="39">
        <v>1</v>
      </c>
      <c r="D6" s="39">
        <v>50</v>
      </c>
      <c r="E6" s="39">
        <v>50</v>
      </c>
      <c r="F6" s="39" t="s">
        <v>80</v>
      </c>
      <c r="G6" s="39" t="s">
        <v>80</v>
      </c>
      <c r="H6" s="39" t="s">
        <v>88</v>
      </c>
      <c r="I6" s="39" t="s">
        <v>82</v>
      </c>
      <c r="J6" s="39" t="s">
        <v>85</v>
      </c>
      <c r="K6" s="39">
        <v>50</v>
      </c>
    </row>
    <row r="7" spans="1:14" x14ac:dyDescent="0.25">
      <c r="A7" s="39" t="s">
        <v>89</v>
      </c>
      <c r="B7" s="40">
        <v>44849</v>
      </c>
      <c r="C7" s="39">
        <v>1</v>
      </c>
      <c r="D7" s="39">
        <v>60</v>
      </c>
      <c r="E7" s="39">
        <v>60</v>
      </c>
      <c r="F7" s="39" t="s">
        <v>80</v>
      </c>
      <c r="G7" s="39" t="s">
        <v>80</v>
      </c>
      <c r="H7" s="39" t="s">
        <v>90</v>
      </c>
      <c r="I7" s="39" t="s">
        <v>82</v>
      </c>
      <c r="J7" s="39" t="s">
        <v>85</v>
      </c>
      <c r="K7" s="39">
        <v>60</v>
      </c>
    </row>
    <row r="8" spans="1:14" x14ac:dyDescent="0.25">
      <c r="A8" s="39" t="s">
        <v>91</v>
      </c>
      <c r="B8" s="40">
        <v>44852</v>
      </c>
      <c r="C8" s="39">
        <v>3.5</v>
      </c>
      <c r="D8" s="39">
        <v>50</v>
      </c>
      <c r="E8" s="39">
        <v>175</v>
      </c>
      <c r="F8" s="39" t="s">
        <v>80</v>
      </c>
      <c r="G8" s="39" t="s">
        <v>80</v>
      </c>
      <c r="H8" s="39" t="s">
        <v>92</v>
      </c>
      <c r="I8" s="39" t="s">
        <v>80</v>
      </c>
      <c r="J8" s="39" t="s">
        <v>93</v>
      </c>
      <c r="K8" s="39">
        <v>200</v>
      </c>
    </row>
    <row r="9" spans="1:14" x14ac:dyDescent="0.25">
      <c r="A9" s="39" t="s">
        <v>91</v>
      </c>
      <c r="B9" s="40">
        <v>44857</v>
      </c>
      <c r="C9" s="39">
        <v>1</v>
      </c>
      <c r="D9" s="39">
        <v>50</v>
      </c>
      <c r="E9" s="39">
        <v>50</v>
      </c>
      <c r="F9" s="39" t="s">
        <v>80</v>
      </c>
      <c r="G9" s="39" t="s">
        <v>80</v>
      </c>
      <c r="H9" s="39" t="s">
        <v>94</v>
      </c>
      <c r="I9" s="39" t="s">
        <v>82</v>
      </c>
      <c r="J9" s="39" t="s">
        <v>95</v>
      </c>
      <c r="K9" s="39">
        <v>50</v>
      </c>
    </row>
    <row r="10" spans="1:14" x14ac:dyDescent="0.25">
      <c r="A10" s="39" t="s">
        <v>96</v>
      </c>
      <c r="B10" s="40">
        <v>44837</v>
      </c>
      <c r="C10" s="39">
        <v>1</v>
      </c>
      <c r="D10" s="39">
        <v>50</v>
      </c>
      <c r="E10" s="39">
        <v>50</v>
      </c>
      <c r="F10" s="39" t="s">
        <v>80</v>
      </c>
      <c r="G10" s="39" t="s">
        <v>80</v>
      </c>
      <c r="H10" s="39" t="s">
        <v>97</v>
      </c>
      <c r="I10" s="39" t="s">
        <v>82</v>
      </c>
      <c r="J10" s="39" t="s">
        <v>85</v>
      </c>
      <c r="K10" s="39">
        <v>50</v>
      </c>
    </row>
    <row r="11" spans="1:14" x14ac:dyDescent="0.25">
      <c r="A11" s="39" t="s">
        <v>98</v>
      </c>
      <c r="B11" s="40">
        <v>44842</v>
      </c>
      <c r="C11" s="39">
        <v>1</v>
      </c>
      <c r="D11" s="39">
        <v>60</v>
      </c>
      <c r="E11" s="39">
        <v>60</v>
      </c>
      <c r="F11" s="39" t="s">
        <v>80</v>
      </c>
      <c r="G11" s="39" t="s">
        <v>80</v>
      </c>
      <c r="H11" s="39" t="s">
        <v>99</v>
      </c>
      <c r="I11" s="39" t="s">
        <v>82</v>
      </c>
      <c r="J11" s="39" t="s">
        <v>85</v>
      </c>
      <c r="K11" s="39">
        <v>60</v>
      </c>
    </row>
    <row r="12" spans="1:14" x14ac:dyDescent="0.25">
      <c r="A12" s="39" t="s">
        <v>98</v>
      </c>
      <c r="B12" s="40">
        <v>44846</v>
      </c>
      <c r="C12" s="39">
        <v>1</v>
      </c>
      <c r="D12" s="39">
        <v>60</v>
      </c>
      <c r="E12" s="39">
        <v>60</v>
      </c>
      <c r="F12" s="39" t="s">
        <v>80</v>
      </c>
      <c r="G12" s="39" t="s">
        <v>80</v>
      </c>
      <c r="H12" s="39" t="s">
        <v>99</v>
      </c>
      <c r="I12" s="39" t="s">
        <v>82</v>
      </c>
      <c r="J12" s="39" t="s">
        <v>85</v>
      </c>
      <c r="K12" s="39">
        <v>60</v>
      </c>
    </row>
    <row r="13" spans="1:14" x14ac:dyDescent="0.25">
      <c r="A13" s="39" t="s">
        <v>98</v>
      </c>
      <c r="B13" s="40">
        <v>44853</v>
      </c>
      <c r="C13" s="39">
        <v>1.25</v>
      </c>
      <c r="D13" s="39">
        <v>60</v>
      </c>
      <c r="E13" s="39">
        <v>75</v>
      </c>
      <c r="F13" s="39" t="s">
        <v>80</v>
      </c>
      <c r="G13" s="39" t="s">
        <v>80</v>
      </c>
      <c r="H13" s="39" t="s">
        <v>100</v>
      </c>
      <c r="I13" s="39" t="s">
        <v>82</v>
      </c>
      <c r="J13" s="39" t="s">
        <v>85</v>
      </c>
      <c r="K13" s="39">
        <v>75</v>
      </c>
    </row>
    <row r="14" spans="1:14" x14ac:dyDescent="0.25">
      <c r="A14" s="39" t="s">
        <v>101</v>
      </c>
      <c r="B14" s="40">
        <v>44856</v>
      </c>
      <c r="C14" s="39">
        <v>1</v>
      </c>
      <c r="D14" s="39">
        <v>60</v>
      </c>
      <c r="E14" s="39">
        <v>60</v>
      </c>
      <c r="F14" s="39" t="s">
        <v>80</v>
      </c>
      <c r="G14" s="39" t="s">
        <v>80</v>
      </c>
      <c r="H14" s="39" t="s">
        <v>99</v>
      </c>
      <c r="I14" s="39" t="s">
        <v>82</v>
      </c>
      <c r="J14" s="39" t="s">
        <v>85</v>
      </c>
      <c r="K14" s="39">
        <v>60</v>
      </c>
      <c r="N14" s="37" t="s">
        <v>102</v>
      </c>
    </row>
    <row r="15" spans="1:14" x14ac:dyDescent="0.25">
      <c r="A15" s="39" t="s">
        <v>103</v>
      </c>
      <c r="B15" s="40">
        <v>44845</v>
      </c>
      <c r="C15" s="39">
        <v>1</v>
      </c>
      <c r="D15" s="39">
        <v>50</v>
      </c>
      <c r="E15" s="39">
        <v>50</v>
      </c>
      <c r="F15" s="39" t="s">
        <v>80</v>
      </c>
      <c r="G15" s="39" t="s">
        <v>80</v>
      </c>
      <c r="H15" s="39" t="s">
        <v>104</v>
      </c>
      <c r="I15" s="39" t="s">
        <v>82</v>
      </c>
      <c r="J15" s="39" t="s">
        <v>85</v>
      </c>
      <c r="K15" s="39">
        <v>50</v>
      </c>
    </row>
    <row r="16" spans="1:14" x14ac:dyDescent="0.25">
      <c r="A16" s="39" t="s">
        <v>103</v>
      </c>
      <c r="B16" s="40">
        <v>44851</v>
      </c>
      <c r="C16" s="39">
        <v>1.5</v>
      </c>
      <c r="D16" s="39">
        <v>50</v>
      </c>
      <c r="E16" s="39">
        <v>75</v>
      </c>
      <c r="F16" s="39" t="s">
        <v>80</v>
      </c>
      <c r="G16" s="39" t="s">
        <v>80</v>
      </c>
      <c r="H16" s="39" t="s">
        <v>105</v>
      </c>
      <c r="I16" s="39" t="s">
        <v>82</v>
      </c>
      <c r="J16" s="39" t="s">
        <v>85</v>
      </c>
      <c r="K16" s="39">
        <v>75</v>
      </c>
    </row>
    <row r="17" spans="1:17" x14ac:dyDescent="0.25">
      <c r="A17" s="39" t="s">
        <v>106</v>
      </c>
      <c r="B17" s="40">
        <v>44851</v>
      </c>
      <c r="C17" s="39">
        <v>1.5</v>
      </c>
      <c r="D17" s="39">
        <v>50</v>
      </c>
      <c r="E17" s="39">
        <v>75</v>
      </c>
      <c r="F17" s="39" t="s">
        <v>80</v>
      </c>
      <c r="G17" s="39" t="s">
        <v>80</v>
      </c>
      <c r="H17" s="39" t="s">
        <v>107</v>
      </c>
      <c r="I17" s="39" t="s">
        <v>82</v>
      </c>
      <c r="J17" s="39" t="s">
        <v>85</v>
      </c>
      <c r="K17" s="39">
        <v>75</v>
      </c>
    </row>
    <row r="18" spans="1:17" x14ac:dyDescent="0.25">
      <c r="A18" s="39" t="s">
        <v>106</v>
      </c>
      <c r="B18" s="40">
        <v>44857</v>
      </c>
      <c r="C18" s="39">
        <v>1.5</v>
      </c>
      <c r="D18" s="39">
        <v>50</v>
      </c>
      <c r="E18" s="39">
        <v>75</v>
      </c>
      <c r="F18" s="39" t="s">
        <v>80</v>
      </c>
      <c r="G18" s="39" t="s">
        <v>80</v>
      </c>
      <c r="H18" s="39" t="s">
        <v>107</v>
      </c>
      <c r="I18" s="39" t="s">
        <v>82</v>
      </c>
      <c r="J18" s="39" t="s">
        <v>85</v>
      </c>
      <c r="K18" s="39">
        <v>75</v>
      </c>
      <c r="O18" s="47" t="s">
        <v>149</v>
      </c>
      <c r="P18" t="s">
        <v>151</v>
      </c>
      <c r="Q18" t="s">
        <v>152</v>
      </c>
    </row>
    <row r="19" spans="1:17" x14ac:dyDescent="0.25">
      <c r="A19" s="39" t="s">
        <v>108</v>
      </c>
      <c r="B19" s="40">
        <v>44836</v>
      </c>
      <c r="C19" s="39">
        <v>1.5</v>
      </c>
      <c r="D19" s="39">
        <v>50</v>
      </c>
      <c r="E19" s="39">
        <v>75</v>
      </c>
      <c r="F19" s="39" t="s">
        <v>80</v>
      </c>
      <c r="G19" s="39" t="s">
        <v>80</v>
      </c>
      <c r="H19" s="39" t="s">
        <v>109</v>
      </c>
      <c r="I19" s="39" t="s">
        <v>82</v>
      </c>
      <c r="J19" s="41" t="s">
        <v>82</v>
      </c>
      <c r="K19" s="39">
        <v>75</v>
      </c>
      <c r="O19" s="48" t="s">
        <v>79</v>
      </c>
      <c r="P19">
        <v>5.75</v>
      </c>
      <c r="Q19">
        <v>287.5</v>
      </c>
    </row>
    <row r="20" spans="1:17" x14ac:dyDescent="0.25">
      <c r="A20" s="39" t="s">
        <v>110</v>
      </c>
      <c r="B20" s="40">
        <v>44836</v>
      </c>
      <c r="C20" s="39">
        <v>2</v>
      </c>
      <c r="D20" s="39">
        <v>50</v>
      </c>
      <c r="E20" s="39">
        <v>100</v>
      </c>
      <c r="F20" s="39" t="s">
        <v>80</v>
      </c>
      <c r="G20" s="39" t="s">
        <v>80</v>
      </c>
      <c r="H20" s="39" t="s">
        <v>111</v>
      </c>
      <c r="I20" s="39" t="s">
        <v>82</v>
      </c>
      <c r="J20" s="41" t="s">
        <v>82</v>
      </c>
      <c r="K20" s="39">
        <v>100</v>
      </c>
      <c r="O20" s="48" t="s">
        <v>89</v>
      </c>
      <c r="P20">
        <v>1</v>
      </c>
      <c r="Q20">
        <v>60</v>
      </c>
    </row>
    <row r="21" spans="1:17" ht="14.25" customHeight="1" x14ac:dyDescent="0.25">
      <c r="A21" s="39" t="s">
        <v>110</v>
      </c>
      <c r="B21" s="40">
        <v>44854</v>
      </c>
      <c r="C21" s="39">
        <v>1.5</v>
      </c>
      <c r="D21" s="39">
        <v>50</v>
      </c>
      <c r="E21" s="39">
        <v>75</v>
      </c>
      <c r="F21" s="39" t="s">
        <v>80</v>
      </c>
      <c r="G21" s="39" t="s">
        <v>80</v>
      </c>
      <c r="H21" s="39" t="s">
        <v>111</v>
      </c>
      <c r="I21" s="39" t="s">
        <v>82</v>
      </c>
      <c r="J21" s="39" t="s">
        <v>112</v>
      </c>
      <c r="K21" s="39">
        <v>75</v>
      </c>
      <c r="O21" s="48" t="s">
        <v>91</v>
      </c>
      <c r="P21">
        <v>4.5</v>
      </c>
      <c r="Q21">
        <v>225</v>
      </c>
    </row>
    <row r="22" spans="1:17" x14ac:dyDescent="0.25">
      <c r="A22" s="39" t="s">
        <v>113</v>
      </c>
      <c r="B22" s="40">
        <v>44847</v>
      </c>
      <c r="C22" s="39">
        <v>2</v>
      </c>
      <c r="D22" s="39">
        <v>50</v>
      </c>
      <c r="E22" s="39">
        <v>100</v>
      </c>
      <c r="F22" s="39" t="s">
        <v>80</v>
      </c>
      <c r="G22" s="39" t="s">
        <v>80</v>
      </c>
      <c r="H22" s="39" t="s">
        <v>114</v>
      </c>
      <c r="I22" s="39" t="s">
        <v>82</v>
      </c>
      <c r="J22" s="39" t="s">
        <v>85</v>
      </c>
      <c r="K22" s="39">
        <v>100</v>
      </c>
      <c r="O22" s="48" t="s">
        <v>96</v>
      </c>
      <c r="P22">
        <v>1</v>
      </c>
      <c r="Q22">
        <v>50</v>
      </c>
    </row>
    <row r="23" spans="1:17" x14ac:dyDescent="0.25">
      <c r="A23" s="39" t="s">
        <v>115</v>
      </c>
      <c r="B23" s="40">
        <v>44856</v>
      </c>
      <c r="C23" s="39">
        <v>0.5</v>
      </c>
      <c r="D23" s="39">
        <v>60</v>
      </c>
      <c r="E23" s="39">
        <v>30</v>
      </c>
      <c r="F23" s="39" t="s">
        <v>80</v>
      </c>
      <c r="G23" s="39" t="s">
        <v>80</v>
      </c>
      <c r="H23" s="39" t="s">
        <v>116</v>
      </c>
      <c r="I23" s="39" t="s">
        <v>82</v>
      </c>
      <c r="J23" s="39" t="s">
        <v>85</v>
      </c>
      <c r="K23" s="39">
        <v>30</v>
      </c>
      <c r="O23" s="48" t="s">
        <v>98</v>
      </c>
      <c r="P23">
        <v>3.25</v>
      </c>
      <c r="Q23">
        <v>195</v>
      </c>
    </row>
    <row r="24" spans="1:17" x14ac:dyDescent="0.25">
      <c r="A24" s="39" t="s">
        <v>117</v>
      </c>
      <c r="B24" s="40">
        <v>44857</v>
      </c>
      <c r="C24" s="39">
        <v>2</v>
      </c>
      <c r="D24" s="39">
        <v>50</v>
      </c>
      <c r="E24" s="39">
        <v>100</v>
      </c>
      <c r="F24" s="39" t="s">
        <v>80</v>
      </c>
      <c r="G24" s="39" t="s">
        <v>80</v>
      </c>
      <c r="H24" s="39" t="s">
        <v>118</v>
      </c>
      <c r="I24" s="39" t="s">
        <v>82</v>
      </c>
      <c r="J24" s="39" t="s">
        <v>85</v>
      </c>
      <c r="K24" s="39">
        <v>100</v>
      </c>
      <c r="O24" s="48" t="s">
        <v>101</v>
      </c>
      <c r="P24">
        <v>1</v>
      </c>
      <c r="Q24">
        <v>60</v>
      </c>
    </row>
    <row r="25" spans="1:17" x14ac:dyDescent="0.25">
      <c r="A25" s="39" t="s">
        <v>117</v>
      </c>
      <c r="B25" s="40">
        <v>44863</v>
      </c>
      <c r="C25" s="39">
        <v>1</v>
      </c>
      <c r="D25" s="39">
        <v>50</v>
      </c>
      <c r="E25" s="39">
        <v>50</v>
      </c>
      <c r="F25" s="39" t="s">
        <v>80</v>
      </c>
      <c r="G25" s="39" t="s">
        <v>80</v>
      </c>
      <c r="H25" s="39" t="s">
        <v>119</v>
      </c>
      <c r="I25" s="39" t="s">
        <v>82</v>
      </c>
      <c r="J25" s="39" t="s">
        <v>85</v>
      </c>
      <c r="K25" s="39">
        <v>50</v>
      </c>
      <c r="O25" s="48" t="s">
        <v>103</v>
      </c>
      <c r="P25">
        <v>2.5</v>
      </c>
      <c r="Q25">
        <v>125</v>
      </c>
    </row>
    <row r="26" spans="1:17" x14ac:dyDescent="0.25">
      <c r="A26" s="39" t="s">
        <v>117</v>
      </c>
      <c r="B26" s="40">
        <v>44865</v>
      </c>
      <c r="C26" s="39">
        <v>1</v>
      </c>
      <c r="D26" s="39">
        <v>50</v>
      </c>
      <c r="E26" s="39">
        <v>50</v>
      </c>
      <c r="F26" s="39" t="s">
        <v>80</v>
      </c>
      <c r="G26" s="39" t="s">
        <v>80</v>
      </c>
      <c r="H26" s="39" t="s">
        <v>119</v>
      </c>
      <c r="I26" s="39" t="s">
        <v>82</v>
      </c>
      <c r="J26" s="39" t="s">
        <v>85</v>
      </c>
      <c r="K26" s="39">
        <v>50</v>
      </c>
      <c r="O26" s="48" t="s">
        <v>106</v>
      </c>
      <c r="P26">
        <v>3</v>
      </c>
      <c r="Q26">
        <v>150</v>
      </c>
    </row>
    <row r="27" spans="1:17" x14ac:dyDescent="0.25">
      <c r="A27" s="39" t="s">
        <v>120</v>
      </c>
      <c r="B27" s="40">
        <v>44838</v>
      </c>
      <c r="C27" s="39">
        <v>1</v>
      </c>
      <c r="D27" s="39">
        <v>50</v>
      </c>
      <c r="E27" s="39">
        <v>50</v>
      </c>
      <c r="F27" s="39" t="s">
        <v>80</v>
      </c>
      <c r="G27" s="39" t="s">
        <v>80</v>
      </c>
      <c r="H27" s="39" t="s">
        <v>121</v>
      </c>
      <c r="I27" s="39" t="s">
        <v>82</v>
      </c>
      <c r="J27" s="39" t="s">
        <v>85</v>
      </c>
      <c r="K27" s="39">
        <v>50</v>
      </c>
      <c r="O27" s="48" t="s">
        <v>108</v>
      </c>
      <c r="P27">
        <v>1.5</v>
      </c>
      <c r="Q27">
        <v>75</v>
      </c>
    </row>
    <row r="28" spans="1:17" x14ac:dyDescent="0.25">
      <c r="A28" s="39" t="s">
        <v>120</v>
      </c>
      <c r="B28" s="40">
        <v>44840</v>
      </c>
      <c r="C28" s="39">
        <v>2</v>
      </c>
      <c r="D28" s="39">
        <v>50</v>
      </c>
      <c r="E28" s="39">
        <v>100</v>
      </c>
      <c r="F28" s="39" t="s">
        <v>80</v>
      </c>
      <c r="G28" s="39" t="s">
        <v>80</v>
      </c>
      <c r="H28" s="39" t="s">
        <v>121</v>
      </c>
      <c r="I28" s="39" t="s">
        <v>82</v>
      </c>
      <c r="J28" s="39" t="s">
        <v>85</v>
      </c>
      <c r="K28" s="39">
        <v>100</v>
      </c>
      <c r="O28" s="48" t="s">
        <v>110</v>
      </c>
      <c r="P28">
        <v>3.5</v>
      </c>
      <c r="Q28">
        <v>175</v>
      </c>
    </row>
    <row r="29" spans="1:17" x14ac:dyDescent="0.25">
      <c r="A29" s="39" t="s">
        <v>120</v>
      </c>
      <c r="B29" s="40">
        <v>44851</v>
      </c>
      <c r="C29" s="39">
        <v>1.5</v>
      </c>
      <c r="D29" s="39">
        <v>50</v>
      </c>
      <c r="E29" s="39">
        <v>75</v>
      </c>
      <c r="F29" s="39" t="s">
        <v>80</v>
      </c>
      <c r="G29" s="39" t="s">
        <v>80</v>
      </c>
      <c r="H29" s="39" t="s">
        <v>122</v>
      </c>
      <c r="I29" s="39" t="s">
        <v>82</v>
      </c>
      <c r="J29" s="39" t="s">
        <v>85</v>
      </c>
      <c r="K29" s="39">
        <v>75</v>
      </c>
      <c r="O29" s="48" t="s">
        <v>113</v>
      </c>
      <c r="P29">
        <v>2</v>
      </c>
      <c r="Q29">
        <v>100</v>
      </c>
    </row>
    <row r="30" spans="1:17" x14ac:dyDescent="0.25">
      <c r="A30" s="39" t="s">
        <v>120</v>
      </c>
      <c r="B30" s="40">
        <v>44857</v>
      </c>
      <c r="C30" s="39">
        <v>1</v>
      </c>
      <c r="D30" s="39">
        <v>50</v>
      </c>
      <c r="E30" s="39">
        <v>75</v>
      </c>
      <c r="F30" s="39" t="s">
        <v>80</v>
      </c>
      <c r="G30" s="39" t="s">
        <v>80</v>
      </c>
      <c r="H30" s="39" t="s">
        <v>121</v>
      </c>
      <c r="I30" s="39" t="s">
        <v>82</v>
      </c>
      <c r="J30" s="39" t="s">
        <v>85</v>
      </c>
      <c r="K30" s="39">
        <v>75</v>
      </c>
      <c r="O30" s="48" t="s">
        <v>115</v>
      </c>
      <c r="P30">
        <v>0.5</v>
      </c>
      <c r="Q30">
        <v>30</v>
      </c>
    </row>
    <row r="31" spans="1:17" x14ac:dyDescent="0.25">
      <c r="A31" s="39" t="s">
        <v>120</v>
      </c>
      <c r="B31" s="40">
        <v>44858</v>
      </c>
      <c r="C31" s="39">
        <v>1</v>
      </c>
      <c r="D31" s="39">
        <v>50</v>
      </c>
      <c r="E31" s="39">
        <v>50</v>
      </c>
      <c r="F31" s="39" t="s">
        <v>80</v>
      </c>
      <c r="G31" s="39" t="s">
        <v>80</v>
      </c>
      <c r="H31" s="39" t="s">
        <v>121</v>
      </c>
      <c r="I31" s="39" t="s">
        <v>82</v>
      </c>
      <c r="J31" s="39" t="s">
        <v>85</v>
      </c>
      <c r="K31" s="39">
        <v>50</v>
      </c>
      <c r="O31" s="48" t="s">
        <v>117</v>
      </c>
      <c r="P31">
        <v>4</v>
      </c>
      <c r="Q31">
        <v>200</v>
      </c>
    </row>
    <row r="32" spans="1:17" x14ac:dyDescent="0.25">
      <c r="A32" s="39" t="s">
        <v>120</v>
      </c>
      <c r="B32" s="40">
        <v>44859</v>
      </c>
      <c r="C32" s="39">
        <v>1</v>
      </c>
      <c r="D32" s="39">
        <v>50</v>
      </c>
      <c r="E32" s="39">
        <v>50</v>
      </c>
      <c r="F32" s="39" t="s">
        <v>80</v>
      </c>
      <c r="G32" s="39" t="s">
        <v>80</v>
      </c>
      <c r="H32" s="39" t="s">
        <v>121</v>
      </c>
      <c r="I32" s="39" t="s">
        <v>82</v>
      </c>
      <c r="J32" s="39" t="s">
        <v>85</v>
      </c>
      <c r="K32" s="39">
        <v>50</v>
      </c>
      <c r="O32" s="48" t="s">
        <v>120</v>
      </c>
      <c r="P32">
        <v>8.75</v>
      </c>
      <c r="Q32">
        <v>462.5</v>
      </c>
    </row>
    <row r="33" spans="1:17" x14ac:dyDescent="0.25">
      <c r="A33" s="39" t="s">
        <v>120</v>
      </c>
      <c r="B33" s="40">
        <v>44860</v>
      </c>
      <c r="C33" s="39">
        <v>1.25</v>
      </c>
      <c r="D33" s="39">
        <v>50</v>
      </c>
      <c r="E33" s="39">
        <v>62.5</v>
      </c>
      <c r="F33" s="39" t="s">
        <v>80</v>
      </c>
      <c r="G33" s="39" t="s">
        <v>80</v>
      </c>
      <c r="H33" s="39" t="s">
        <v>121</v>
      </c>
      <c r="I33" s="39" t="s">
        <v>82</v>
      </c>
      <c r="J33" s="39" t="s">
        <v>85</v>
      </c>
      <c r="K33" s="39">
        <v>62.5</v>
      </c>
      <c r="O33" s="48" t="s">
        <v>123</v>
      </c>
      <c r="P33">
        <v>1.5</v>
      </c>
      <c r="Q33">
        <v>75</v>
      </c>
    </row>
    <row r="34" spans="1:17" x14ac:dyDescent="0.25">
      <c r="A34" s="39" t="s">
        <v>123</v>
      </c>
      <c r="B34" s="40">
        <v>44846</v>
      </c>
      <c r="C34" s="39">
        <v>1.5</v>
      </c>
      <c r="D34" s="39">
        <v>50</v>
      </c>
      <c r="E34" s="39">
        <v>75</v>
      </c>
      <c r="F34" s="39" t="s">
        <v>80</v>
      </c>
      <c r="G34" s="39" t="s">
        <v>80</v>
      </c>
      <c r="H34" s="39" t="s">
        <v>124</v>
      </c>
      <c r="I34" s="39" t="s">
        <v>82</v>
      </c>
      <c r="J34" s="39" t="s">
        <v>85</v>
      </c>
      <c r="K34" s="39">
        <v>75</v>
      </c>
      <c r="O34" s="48" t="s">
        <v>125</v>
      </c>
      <c r="P34">
        <v>2</v>
      </c>
      <c r="Q34">
        <v>120</v>
      </c>
    </row>
    <row r="35" spans="1:17" x14ac:dyDescent="0.25">
      <c r="A35" s="39" t="s">
        <v>125</v>
      </c>
      <c r="B35" s="40">
        <v>44860</v>
      </c>
      <c r="C35" s="39">
        <v>1</v>
      </c>
      <c r="D35" s="39">
        <v>60</v>
      </c>
      <c r="E35" s="39">
        <v>60</v>
      </c>
      <c r="F35" s="39" t="s">
        <v>126</v>
      </c>
      <c r="G35" s="39" t="s">
        <v>80</v>
      </c>
      <c r="H35" s="39" t="s">
        <v>127</v>
      </c>
      <c r="I35" s="39" t="s">
        <v>82</v>
      </c>
      <c r="J35" s="39" t="s">
        <v>85</v>
      </c>
      <c r="K35" s="39">
        <v>60</v>
      </c>
      <c r="O35" s="48" t="s">
        <v>128</v>
      </c>
      <c r="P35">
        <v>11.5</v>
      </c>
      <c r="Q35">
        <v>450</v>
      </c>
    </row>
    <row r="36" spans="1:17" x14ac:dyDescent="0.25">
      <c r="A36" s="39" t="s">
        <v>125</v>
      </c>
      <c r="B36" s="40">
        <v>44861</v>
      </c>
      <c r="C36" s="39">
        <v>1</v>
      </c>
      <c r="D36" s="39">
        <v>60</v>
      </c>
      <c r="E36" s="39">
        <v>60</v>
      </c>
      <c r="F36" s="39" t="s">
        <v>80</v>
      </c>
      <c r="G36" s="39" t="s">
        <v>80</v>
      </c>
      <c r="H36" s="39" t="s">
        <v>127</v>
      </c>
      <c r="I36" s="39" t="s">
        <v>82</v>
      </c>
      <c r="J36" s="39" t="s">
        <v>85</v>
      </c>
      <c r="K36" s="39">
        <v>60</v>
      </c>
      <c r="O36" s="48" t="s">
        <v>150</v>
      </c>
      <c r="P36">
        <v>57.25</v>
      </c>
      <c r="Q36">
        <v>2840</v>
      </c>
    </row>
    <row r="37" spans="1:17" x14ac:dyDescent="0.25">
      <c r="A37" s="39" t="s">
        <v>128</v>
      </c>
      <c r="B37" s="40">
        <v>44840</v>
      </c>
      <c r="C37" s="39">
        <v>1.5</v>
      </c>
      <c r="D37" s="39">
        <v>50</v>
      </c>
      <c r="E37" s="39">
        <v>75</v>
      </c>
      <c r="F37" s="39" t="s">
        <v>80</v>
      </c>
      <c r="G37" s="39" t="s">
        <v>80</v>
      </c>
      <c r="H37" s="39" t="s">
        <v>129</v>
      </c>
      <c r="I37" s="39" t="s">
        <v>82</v>
      </c>
      <c r="J37" s="39" t="s">
        <v>85</v>
      </c>
      <c r="K37" s="39">
        <v>75</v>
      </c>
    </row>
    <row r="38" spans="1:17" x14ac:dyDescent="0.25">
      <c r="A38" s="39" t="s">
        <v>128</v>
      </c>
      <c r="B38" s="40">
        <v>44855</v>
      </c>
      <c r="C38" s="39">
        <v>2</v>
      </c>
      <c r="D38" s="39">
        <v>50</v>
      </c>
      <c r="E38" s="39">
        <v>100</v>
      </c>
      <c r="F38" s="39" t="s">
        <v>80</v>
      </c>
      <c r="G38" s="39" t="s">
        <v>80</v>
      </c>
      <c r="H38" s="39" t="s">
        <v>114</v>
      </c>
      <c r="I38" s="39" t="s">
        <v>82</v>
      </c>
      <c r="J38" s="39" t="s">
        <v>85</v>
      </c>
      <c r="K38" s="39">
        <v>100</v>
      </c>
    </row>
    <row r="39" spans="1:17" x14ac:dyDescent="0.25">
      <c r="A39" s="39" t="s">
        <v>128</v>
      </c>
      <c r="B39" s="40">
        <v>44857</v>
      </c>
      <c r="C39" s="39">
        <v>0.5</v>
      </c>
      <c r="D39" s="39">
        <v>50</v>
      </c>
      <c r="E39" s="39">
        <v>25</v>
      </c>
      <c r="F39" s="39" t="s">
        <v>82</v>
      </c>
      <c r="G39" s="39" t="s">
        <v>80</v>
      </c>
      <c r="H39" s="39" t="s">
        <v>114</v>
      </c>
      <c r="I39" s="39" t="s">
        <v>82</v>
      </c>
      <c r="J39" s="39" t="s">
        <v>85</v>
      </c>
      <c r="K39" s="39">
        <v>25</v>
      </c>
    </row>
    <row r="40" spans="1:17" x14ac:dyDescent="0.25">
      <c r="A40" s="39" t="s">
        <v>128</v>
      </c>
      <c r="B40" s="40">
        <v>44863</v>
      </c>
      <c r="C40" s="39">
        <v>5</v>
      </c>
      <c r="D40" s="39">
        <v>50</v>
      </c>
      <c r="E40" s="39">
        <v>125</v>
      </c>
      <c r="F40" s="39" t="s">
        <v>80</v>
      </c>
      <c r="G40" s="39" t="s">
        <v>80</v>
      </c>
      <c r="H40" s="39" t="s">
        <v>114</v>
      </c>
      <c r="I40" s="39" t="s">
        <v>82</v>
      </c>
      <c r="J40" s="39" t="s">
        <v>85</v>
      </c>
      <c r="K40" s="39">
        <v>250</v>
      </c>
    </row>
    <row r="41" spans="1:17" x14ac:dyDescent="0.25">
      <c r="A41" s="39" t="s">
        <v>128</v>
      </c>
      <c r="B41" s="40">
        <v>44864</v>
      </c>
      <c r="C41" s="39">
        <v>2.5</v>
      </c>
      <c r="D41" s="39">
        <v>50</v>
      </c>
      <c r="E41" s="39">
        <v>125</v>
      </c>
      <c r="F41" s="39" t="s">
        <v>80</v>
      </c>
      <c r="G41" s="39" t="s">
        <v>80</v>
      </c>
      <c r="H41" s="39" t="s">
        <v>114</v>
      </c>
      <c r="I41" s="39" t="s">
        <v>82</v>
      </c>
      <c r="J41" s="39" t="s">
        <v>130</v>
      </c>
      <c r="K41" s="39">
        <v>125</v>
      </c>
    </row>
    <row r="42" spans="1:17" x14ac:dyDescent="0.25">
      <c r="B42" s="42"/>
    </row>
    <row r="43" spans="1:17" x14ac:dyDescent="0.25">
      <c r="B43" s="42"/>
      <c r="K43" s="37">
        <f>SUM(K2:K41)</f>
        <v>2990</v>
      </c>
    </row>
  </sheetData>
  <autoFilter ref="A1:K41" xr:uid="{D3EF0EA6-529F-4507-9157-BE315FC3F571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0884-CA0A-40B5-9B91-41BC9D88A1A2}">
  <dimension ref="A1:Q27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6.28515625" style="37" bestFit="1" customWidth="1"/>
    <col min="2" max="2" width="7" style="37" bestFit="1" customWidth="1"/>
    <col min="3" max="3" width="6.140625" style="37" bestFit="1" customWidth="1"/>
    <col min="4" max="4" width="10.42578125" style="37" bestFit="1" customWidth="1"/>
    <col min="5" max="5" width="5" style="37" bestFit="1" customWidth="1"/>
    <col min="6" max="6" width="7.140625" style="37" bestFit="1" customWidth="1"/>
    <col min="7" max="7" width="38.42578125" style="37" bestFit="1" customWidth="1"/>
    <col min="8" max="8" width="27.140625" style="37" bestFit="1" customWidth="1"/>
    <col min="9" max="9" width="4.7109375" style="37" bestFit="1" customWidth="1"/>
    <col min="10" max="10" width="6.28515625" style="37" bestFit="1" customWidth="1"/>
    <col min="11" max="14" width="9.140625" style="37"/>
    <col min="15" max="15" width="16.28515625" style="37" bestFit="1" customWidth="1"/>
    <col min="16" max="16" width="12.7109375" style="37" bestFit="1" customWidth="1"/>
    <col min="17" max="17" width="11.42578125" style="37" bestFit="1" customWidth="1"/>
    <col min="18" max="16384" width="9.140625" style="37"/>
  </cols>
  <sheetData>
    <row r="1" spans="1:17" x14ac:dyDescent="0.25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7" t="s">
        <v>78</v>
      </c>
    </row>
    <row r="2" spans="1:17" x14ac:dyDescent="0.25">
      <c r="A2" s="43" t="s">
        <v>120</v>
      </c>
      <c r="B2" s="44">
        <v>44822</v>
      </c>
      <c r="C2" s="43">
        <v>1</v>
      </c>
      <c r="D2" s="43">
        <v>50</v>
      </c>
      <c r="E2" s="43">
        <v>50</v>
      </c>
      <c r="F2" s="43" t="s">
        <v>80</v>
      </c>
      <c r="G2" s="43" t="s">
        <v>80</v>
      </c>
      <c r="H2" s="43" t="s">
        <v>131</v>
      </c>
      <c r="I2" s="43" t="s">
        <v>82</v>
      </c>
      <c r="J2" s="43">
        <v>50</v>
      </c>
      <c r="M2" s="37" t="s">
        <v>83</v>
      </c>
    </row>
    <row r="3" spans="1:17" x14ac:dyDescent="0.25">
      <c r="A3" s="43" t="s">
        <v>110</v>
      </c>
      <c r="B3" s="44">
        <v>44822</v>
      </c>
      <c r="C3" s="43">
        <v>2</v>
      </c>
      <c r="D3" s="43">
        <v>50</v>
      </c>
      <c r="E3" s="43">
        <v>100</v>
      </c>
      <c r="F3" s="43" t="s">
        <v>80</v>
      </c>
      <c r="G3" s="43" t="s">
        <v>80</v>
      </c>
      <c r="H3" s="43" t="s">
        <v>114</v>
      </c>
      <c r="I3" s="43" t="s">
        <v>82</v>
      </c>
      <c r="J3" s="43">
        <v>100</v>
      </c>
    </row>
    <row r="4" spans="1:17" x14ac:dyDescent="0.25">
      <c r="A4" s="43" t="s">
        <v>91</v>
      </c>
      <c r="B4" s="44">
        <v>44822</v>
      </c>
      <c r="C4" s="43">
        <v>1.5</v>
      </c>
      <c r="D4" s="43">
        <v>50</v>
      </c>
      <c r="E4" s="43">
        <v>75</v>
      </c>
      <c r="F4" s="43" t="s">
        <v>80</v>
      </c>
      <c r="G4" s="43" t="s">
        <v>80</v>
      </c>
      <c r="H4" s="43" t="s">
        <v>132</v>
      </c>
      <c r="I4" s="43">
        <v>25</v>
      </c>
      <c r="J4" s="43">
        <v>100</v>
      </c>
    </row>
    <row r="5" spans="1:17" x14ac:dyDescent="0.25">
      <c r="A5" s="43" t="s">
        <v>106</v>
      </c>
      <c r="B5" s="44">
        <v>44822</v>
      </c>
      <c r="C5" s="43">
        <v>1.5</v>
      </c>
      <c r="D5" s="43">
        <v>50</v>
      </c>
      <c r="E5" s="43">
        <v>75</v>
      </c>
      <c r="F5" s="43" t="s">
        <v>80</v>
      </c>
      <c r="G5" s="43" t="s">
        <v>80</v>
      </c>
      <c r="H5" s="43" t="s">
        <v>133</v>
      </c>
      <c r="I5" s="43" t="s">
        <v>82</v>
      </c>
      <c r="J5" s="43">
        <v>75</v>
      </c>
    </row>
    <row r="6" spans="1:17" x14ac:dyDescent="0.25">
      <c r="A6" s="43" t="s">
        <v>108</v>
      </c>
      <c r="B6" s="44">
        <v>44822</v>
      </c>
      <c r="C6" s="43">
        <v>1.5</v>
      </c>
      <c r="D6" s="43">
        <v>50</v>
      </c>
      <c r="E6" s="43">
        <v>75</v>
      </c>
      <c r="F6" s="43" t="s">
        <v>80</v>
      </c>
      <c r="G6" s="43" t="s">
        <v>80</v>
      </c>
      <c r="H6" s="43" t="s">
        <v>114</v>
      </c>
      <c r="I6" s="43" t="s">
        <v>82</v>
      </c>
      <c r="J6" s="43">
        <v>75</v>
      </c>
    </row>
    <row r="7" spans="1:17" x14ac:dyDescent="0.25">
      <c r="A7" s="43" t="s">
        <v>79</v>
      </c>
      <c r="B7" s="44">
        <v>44823</v>
      </c>
      <c r="C7" s="43">
        <v>2</v>
      </c>
      <c r="D7" s="43">
        <v>50</v>
      </c>
      <c r="E7" s="43">
        <v>100</v>
      </c>
      <c r="F7" s="43" t="s">
        <v>80</v>
      </c>
      <c r="G7" s="43" t="s">
        <v>80</v>
      </c>
      <c r="H7" s="43" t="s">
        <v>134</v>
      </c>
      <c r="I7" s="43" t="s">
        <v>82</v>
      </c>
      <c r="J7" s="43">
        <v>100</v>
      </c>
    </row>
    <row r="8" spans="1:17" x14ac:dyDescent="0.25">
      <c r="A8" s="43" t="s">
        <v>106</v>
      </c>
      <c r="B8" s="44">
        <v>44823</v>
      </c>
      <c r="C8" s="43">
        <v>1</v>
      </c>
      <c r="D8" s="43">
        <v>50</v>
      </c>
      <c r="E8" s="43">
        <v>50</v>
      </c>
      <c r="F8" s="43" t="s">
        <v>80</v>
      </c>
      <c r="G8" s="43" t="s">
        <v>80</v>
      </c>
      <c r="H8" s="43" t="s">
        <v>133</v>
      </c>
      <c r="I8" s="43" t="s">
        <v>82</v>
      </c>
      <c r="J8" s="43">
        <v>50</v>
      </c>
    </row>
    <row r="9" spans="1:17" x14ac:dyDescent="0.25">
      <c r="A9" s="43" t="s">
        <v>110</v>
      </c>
      <c r="B9" s="44">
        <v>44826</v>
      </c>
      <c r="C9" s="43">
        <v>1</v>
      </c>
      <c r="D9" s="43">
        <v>50</v>
      </c>
      <c r="E9" s="43">
        <v>50</v>
      </c>
      <c r="F9" s="43" t="s">
        <v>80</v>
      </c>
      <c r="G9" s="43" t="s">
        <v>80</v>
      </c>
      <c r="H9" s="43" t="s">
        <v>135</v>
      </c>
      <c r="I9" s="43" t="s">
        <v>82</v>
      </c>
      <c r="J9" s="43">
        <v>50</v>
      </c>
    </row>
    <row r="10" spans="1:17" x14ac:dyDescent="0.25">
      <c r="A10" s="43" t="s">
        <v>136</v>
      </c>
      <c r="B10" s="44">
        <v>44827</v>
      </c>
      <c r="C10" s="43">
        <v>0.5</v>
      </c>
      <c r="D10" s="43">
        <v>50</v>
      </c>
      <c r="E10" s="43">
        <v>25</v>
      </c>
      <c r="F10" s="43" t="s">
        <v>82</v>
      </c>
      <c r="G10" s="43" t="s">
        <v>137</v>
      </c>
      <c r="H10" s="43" t="s">
        <v>138</v>
      </c>
      <c r="I10" s="43"/>
      <c r="J10" s="43"/>
      <c r="O10" s="47" t="s">
        <v>149</v>
      </c>
      <c r="P10" t="s">
        <v>151</v>
      </c>
      <c r="Q10" t="s">
        <v>152</v>
      </c>
    </row>
    <row r="11" spans="1:17" x14ac:dyDescent="0.25">
      <c r="A11" s="43" t="s">
        <v>110</v>
      </c>
      <c r="B11" s="44">
        <v>44827</v>
      </c>
      <c r="C11" s="43">
        <v>1</v>
      </c>
      <c r="D11" s="43">
        <v>50</v>
      </c>
      <c r="E11" s="43">
        <v>50</v>
      </c>
      <c r="F11" s="43" t="s">
        <v>80</v>
      </c>
      <c r="G11" s="43" t="s">
        <v>80</v>
      </c>
      <c r="H11" s="43" t="s">
        <v>139</v>
      </c>
      <c r="I11" s="43" t="s">
        <v>82</v>
      </c>
      <c r="J11" s="43">
        <v>50</v>
      </c>
      <c r="O11" s="48" t="s">
        <v>79</v>
      </c>
      <c r="P11">
        <v>2</v>
      </c>
      <c r="Q11">
        <v>100</v>
      </c>
    </row>
    <row r="12" spans="1:17" x14ac:dyDescent="0.25">
      <c r="A12" s="43" t="s">
        <v>96</v>
      </c>
      <c r="B12" s="44">
        <v>44829</v>
      </c>
      <c r="C12" s="43">
        <v>1</v>
      </c>
      <c r="D12" s="43">
        <v>50</v>
      </c>
      <c r="E12" s="43">
        <v>50</v>
      </c>
      <c r="F12" s="43" t="s">
        <v>80</v>
      </c>
      <c r="G12" s="43" t="s">
        <v>80</v>
      </c>
      <c r="H12" s="43" t="s">
        <v>140</v>
      </c>
      <c r="I12" s="43" t="s">
        <v>82</v>
      </c>
      <c r="J12" s="43">
        <v>50</v>
      </c>
      <c r="O12" s="48" t="s">
        <v>91</v>
      </c>
      <c r="P12">
        <v>1.5</v>
      </c>
      <c r="Q12">
        <v>75</v>
      </c>
    </row>
    <row r="13" spans="1:17" x14ac:dyDescent="0.25">
      <c r="A13" s="43" t="s">
        <v>110</v>
      </c>
      <c r="B13" s="44">
        <v>44829</v>
      </c>
      <c r="C13" s="43">
        <v>2</v>
      </c>
      <c r="D13" s="43">
        <v>100</v>
      </c>
      <c r="E13" s="43">
        <v>100</v>
      </c>
      <c r="F13" s="43" t="s">
        <v>80</v>
      </c>
      <c r="G13" s="43" t="s">
        <v>80</v>
      </c>
      <c r="H13" s="43" t="s">
        <v>129</v>
      </c>
      <c r="I13" s="43" t="s">
        <v>82</v>
      </c>
      <c r="J13" s="43">
        <v>100</v>
      </c>
      <c r="O13" s="48" t="s">
        <v>96</v>
      </c>
      <c r="P13">
        <v>2</v>
      </c>
      <c r="Q13">
        <v>100</v>
      </c>
    </row>
    <row r="14" spans="1:17" x14ac:dyDescent="0.25">
      <c r="A14" s="43" t="s">
        <v>141</v>
      </c>
      <c r="B14" s="44">
        <v>44829</v>
      </c>
      <c r="C14" s="43">
        <v>2</v>
      </c>
      <c r="D14" s="43">
        <v>100</v>
      </c>
      <c r="E14" s="43">
        <v>100</v>
      </c>
      <c r="F14" s="43" t="s">
        <v>80</v>
      </c>
      <c r="G14" s="43" t="s">
        <v>80</v>
      </c>
      <c r="H14" s="43" t="s">
        <v>129</v>
      </c>
      <c r="I14" s="43" t="s">
        <v>82</v>
      </c>
      <c r="J14" s="43">
        <v>100</v>
      </c>
      <c r="O14" s="48" t="s">
        <v>106</v>
      </c>
      <c r="P14">
        <v>2.5</v>
      </c>
      <c r="Q14">
        <v>125</v>
      </c>
    </row>
    <row r="15" spans="1:17" x14ac:dyDescent="0.25">
      <c r="A15" s="43" t="s">
        <v>96</v>
      </c>
      <c r="B15" s="44">
        <v>44830</v>
      </c>
      <c r="C15" s="43">
        <v>1</v>
      </c>
      <c r="D15" s="43">
        <v>50</v>
      </c>
      <c r="E15" s="43">
        <v>50</v>
      </c>
      <c r="F15" s="43" t="s">
        <v>80</v>
      </c>
      <c r="G15" s="43" t="s">
        <v>80</v>
      </c>
      <c r="H15" s="43" t="s">
        <v>140</v>
      </c>
      <c r="I15" s="43" t="s">
        <v>82</v>
      </c>
      <c r="J15" s="43">
        <v>50</v>
      </c>
      <c r="O15" s="48" t="s">
        <v>108</v>
      </c>
      <c r="P15">
        <v>1.5</v>
      </c>
      <c r="Q15">
        <v>75</v>
      </c>
    </row>
    <row r="16" spans="1:17" x14ac:dyDescent="0.25">
      <c r="A16" s="43" t="s">
        <v>110</v>
      </c>
      <c r="B16" s="44">
        <v>44832</v>
      </c>
      <c r="C16" s="43">
        <v>1.5</v>
      </c>
      <c r="D16" s="43">
        <v>50</v>
      </c>
      <c r="E16" s="43">
        <v>75</v>
      </c>
      <c r="F16" s="43" t="s">
        <v>80</v>
      </c>
      <c r="G16" s="43" t="s">
        <v>80</v>
      </c>
      <c r="H16" s="43" t="s">
        <v>129</v>
      </c>
      <c r="I16" s="43" t="s">
        <v>82</v>
      </c>
      <c r="J16" s="43">
        <v>75</v>
      </c>
      <c r="O16" s="48" t="s">
        <v>110</v>
      </c>
      <c r="P16">
        <v>7.5</v>
      </c>
      <c r="Q16">
        <v>375</v>
      </c>
    </row>
    <row r="17" spans="2:17" x14ac:dyDescent="0.25">
      <c r="B17" s="42"/>
      <c r="O17" s="48" t="s">
        <v>136</v>
      </c>
      <c r="P17">
        <v>0.5</v>
      </c>
      <c r="Q17">
        <v>25</v>
      </c>
    </row>
    <row r="18" spans="2:17" x14ac:dyDescent="0.25">
      <c r="J18" s="37">
        <f>SUM(J2:J16)</f>
        <v>1025</v>
      </c>
      <c r="O18" s="48" t="s">
        <v>120</v>
      </c>
      <c r="P18">
        <v>1</v>
      </c>
      <c r="Q18">
        <v>50</v>
      </c>
    </row>
    <row r="19" spans="2:17" x14ac:dyDescent="0.25">
      <c r="O19" s="48" t="s">
        <v>141</v>
      </c>
      <c r="P19">
        <v>2</v>
      </c>
      <c r="Q19">
        <v>100</v>
      </c>
    </row>
    <row r="20" spans="2:17" x14ac:dyDescent="0.25">
      <c r="O20" s="48" t="s">
        <v>150</v>
      </c>
      <c r="P20">
        <v>20.5</v>
      </c>
      <c r="Q20">
        <v>1025</v>
      </c>
    </row>
    <row r="21" spans="2:17" x14ac:dyDescent="0.25">
      <c r="O21"/>
      <c r="P21"/>
      <c r="Q21"/>
    </row>
    <row r="22" spans="2:17" x14ac:dyDescent="0.25">
      <c r="O22"/>
      <c r="P22"/>
      <c r="Q22"/>
    </row>
    <row r="23" spans="2:17" x14ac:dyDescent="0.25">
      <c r="O23"/>
      <c r="P23"/>
      <c r="Q23"/>
    </row>
    <row r="24" spans="2:17" x14ac:dyDescent="0.25">
      <c r="O24"/>
      <c r="P24"/>
      <c r="Q24"/>
    </row>
    <row r="25" spans="2:17" x14ac:dyDescent="0.25">
      <c r="O25"/>
      <c r="P25"/>
      <c r="Q25"/>
    </row>
    <row r="26" spans="2:17" x14ac:dyDescent="0.25">
      <c r="O26"/>
      <c r="P26"/>
      <c r="Q26"/>
    </row>
    <row r="27" spans="2:17" x14ac:dyDescent="0.25">
      <c r="O27"/>
      <c r="P27"/>
      <c r="Q27"/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0D3-5430-4040-A2C7-88AE9FBF77B5}">
  <dimension ref="A1:Q2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5.140625" style="37" bestFit="1" customWidth="1"/>
    <col min="2" max="2" width="9.7109375" style="37" bestFit="1" customWidth="1"/>
    <col min="3" max="3" width="6.140625" style="37" bestFit="1" customWidth="1"/>
    <col min="4" max="6" width="9.140625" style="37"/>
    <col min="7" max="7" width="18.7109375" style="37" bestFit="1" customWidth="1"/>
    <col min="8" max="14" width="9.140625" style="37"/>
    <col min="15" max="15" width="16.28515625" style="37" bestFit="1" customWidth="1"/>
    <col min="16" max="16" width="12.7109375" style="37" bestFit="1" customWidth="1"/>
    <col min="17" max="17" width="11.42578125" style="37" bestFit="1" customWidth="1"/>
    <col min="18" max="16384" width="9.140625" style="37"/>
  </cols>
  <sheetData>
    <row r="1" spans="1:17" x14ac:dyDescent="0.25">
      <c r="A1" s="37" t="s">
        <v>68</v>
      </c>
      <c r="B1" s="37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75</v>
      </c>
      <c r="I1" s="37" t="s">
        <v>76</v>
      </c>
      <c r="J1" s="37" t="s">
        <v>78</v>
      </c>
    </row>
    <row r="2" spans="1:17" x14ac:dyDescent="0.25">
      <c r="A2" s="45" t="s">
        <v>91</v>
      </c>
      <c r="B2" s="46">
        <v>44793</v>
      </c>
      <c r="C2" s="45">
        <v>0.5</v>
      </c>
      <c r="D2" s="45">
        <v>50</v>
      </c>
      <c r="E2" s="45">
        <f t="shared" ref="E2:E7" si="0">C2*D2</f>
        <v>25</v>
      </c>
      <c r="F2" s="45" t="s">
        <v>80</v>
      </c>
      <c r="G2" s="45" t="s">
        <v>80</v>
      </c>
      <c r="H2" s="45" t="s">
        <v>142</v>
      </c>
      <c r="I2" s="45">
        <v>10</v>
      </c>
      <c r="J2" s="45">
        <f t="shared" ref="J2:J7" si="1">E2+I2</f>
        <v>35</v>
      </c>
    </row>
    <row r="3" spans="1:17" x14ac:dyDescent="0.25">
      <c r="A3" s="45" t="s">
        <v>117</v>
      </c>
      <c r="B3" s="46">
        <v>44794</v>
      </c>
      <c r="C3" s="45">
        <v>1.5</v>
      </c>
      <c r="D3" s="45">
        <v>50</v>
      </c>
      <c r="E3" s="45">
        <f t="shared" si="0"/>
        <v>75</v>
      </c>
      <c r="F3" s="45" t="s">
        <v>82</v>
      </c>
      <c r="G3" s="45" t="s">
        <v>80</v>
      </c>
      <c r="H3" s="45" t="s">
        <v>143</v>
      </c>
      <c r="I3" s="45">
        <v>0</v>
      </c>
      <c r="J3" s="45">
        <f t="shared" si="1"/>
        <v>75</v>
      </c>
    </row>
    <row r="4" spans="1:17" x14ac:dyDescent="0.25">
      <c r="A4" s="45" t="s">
        <v>110</v>
      </c>
      <c r="B4" s="46">
        <v>44794</v>
      </c>
      <c r="C4" s="45">
        <v>1</v>
      </c>
      <c r="D4" s="45">
        <v>50</v>
      </c>
      <c r="E4" s="45">
        <f t="shared" si="0"/>
        <v>50</v>
      </c>
      <c r="F4" s="45" t="s">
        <v>82</v>
      </c>
      <c r="G4" s="45" t="s">
        <v>82</v>
      </c>
      <c r="H4" s="45" t="s">
        <v>144</v>
      </c>
      <c r="I4" s="45"/>
      <c r="J4" s="45">
        <f t="shared" si="1"/>
        <v>50</v>
      </c>
    </row>
    <row r="5" spans="1:17" x14ac:dyDescent="0.25">
      <c r="A5" s="45" t="s">
        <v>128</v>
      </c>
      <c r="B5" s="46">
        <v>44796</v>
      </c>
      <c r="C5" s="45">
        <v>2</v>
      </c>
      <c r="D5" s="45">
        <v>50</v>
      </c>
      <c r="E5" s="45">
        <f t="shared" si="0"/>
        <v>100</v>
      </c>
      <c r="F5" s="45" t="s">
        <v>80</v>
      </c>
      <c r="G5" s="45" t="s">
        <v>80</v>
      </c>
      <c r="H5" s="45" t="s">
        <v>145</v>
      </c>
      <c r="I5" s="45"/>
      <c r="J5" s="45">
        <f t="shared" si="1"/>
        <v>100</v>
      </c>
      <c r="O5" s="47" t="s">
        <v>149</v>
      </c>
      <c r="P5" t="s">
        <v>151</v>
      </c>
      <c r="Q5" t="s">
        <v>152</v>
      </c>
    </row>
    <row r="6" spans="1:17" x14ac:dyDescent="0.25">
      <c r="A6" s="45" t="s">
        <v>110</v>
      </c>
      <c r="B6" s="46">
        <v>44796</v>
      </c>
      <c r="C6" s="45">
        <v>2</v>
      </c>
      <c r="D6" s="45">
        <v>50</v>
      </c>
      <c r="E6" s="45">
        <f t="shared" si="0"/>
        <v>100</v>
      </c>
      <c r="F6" s="45" t="s">
        <v>82</v>
      </c>
      <c r="G6" s="45" t="s">
        <v>82</v>
      </c>
      <c r="H6" s="45" t="s">
        <v>146</v>
      </c>
      <c r="I6" s="45"/>
      <c r="J6" s="45">
        <f t="shared" si="1"/>
        <v>100</v>
      </c>
      <c r="O6" s="48" t="s">
        <v>91</v>
      </c>
      <c r="P6">
        <v>0.5</v>
      </c>
      <c r="Q6">
        <v>25</v>
      </c>
    </row>
    <row r="7" spans="1:17" x14ac:dyDescent="0.25">
      <c r="A7" s="45" t="s">
        <v>147</v>
      </c>
      <c r="B7" s="46">
        <v>44796</v>
      </c>
      <c r="C7" s="45">
        <v>0.5</v>
      </c>
      <c r="D7" s="45">
        <v>50</v>
      </c>
      <c r="E7" s="45">
        <f t="shared" si="0"/>
        <v>25</v>
      </c>
      <c r="F7" s="45" t="s">
        <v>80</v>
      </c>
      <c r="G7" s="45" t="s">
        <v>80</v>
      </c>
      <c r="H7" s="45" t="s">
        <v>148</v>
      </c>
      <c r="I7" s="45"/>
      <c r="J7" s="45">
        <f t="shared" si="1"/>
        <v>25</v>
      </c>
      <c r="O7" s="48" t="s">
        <v>110</v>
      </c>
      <c r="P7">
        <v>3</v>
      </c>
      <c r="Q7">
        <v>150</v>
      </c>
    </row>
    <row r="8" spans="1:17" x14ac:dyDescent="0.25">
      <c r="O8" s="48" t="s">
        <v>147</v>
      </c>
      <c r="P8">
        <v>0.5</v>
      </c>
      <c r="Q8">
        <v>25</v>
      </c>
    </row>
    <row r="9" spans="1:17" x14ac:dyDescent="0.25">
      <c r="O9" s="48" t="s">
        <v>117</v>
      </c>
      <c r="P9">
        <v>1.5</v>
      </c>
      <c r="Q9">
        <v>75</v>
      </c>
    </row>
    <row r="10" spans="1:17" x14ac:dyDescent="0.25">
      <c r="J10" s="37">
        <f>SUM(J2:J7)</f>
        <v>385</v>
      </c>
      <c r="O10" s="48" t="s">
        <v>128</v>
      </c>
      <c r="P10">
        <v>2</v>
      </c>
      <c r="Q10">
        <v>100</v>
      </c>
    </row>
    <row r="11" spans="1:17" x14ac:dyDescent="0.25">
      <c r="O11" s="48" t="s">
        <v>150</v>
      </c>
      <c r="P11">
        <v>7.5</v>
      </c>
      <c r="Q11">
        <v>375</v>
      </c>
    </row>
    <row r="12" spans="1:17" x14ac:dyDescent="0.25">
      <c r="J12" s="37" t="s">
        <v>83</v>
      </c>
      <c r="O12"/>
      <c r="P12"/>
      <c r="Q12"/>
    </row>
    <row r="13" spans="1:17" x14ac:dyDescent="0.25">
      <c r="O13"/>
      <c r="P13"/>
      <c r="Q13"/>
    </row>
    <row r="14" spans="1:17" x14ac:dyDescent="0.25">
      <c r="O14"/>
      <c r="P14"/>
      <c r="Q14"/>
    </row>
    <row r="15" spans="1:17" x14ac:dyDescent="0.25">
      <c r="O15"/>
      <c r="P15"/>
      <c r="Q15"/>
    </row>
    <row r="16" spans="1:17" x14ac:dyDescent="0.25">
      <c r="O16"/>
      <c r="P16"/>
      <c r="Q16"/>
    </row>
    <row r="17" spans="15:17" x14ac:dyDescent="0.25">
      <c r="O17"/>
      <c r="P17"/>
      <c r="Q17"/>
    </row>
    <row r="18" spans="15:17" x14ac:dyDescent="0.25">
      <c r="O18"/>
      <c r="P18"/>
      <c r="Q18"/>
    </row>
    <row r="19" spans="15:17" x14ac:dyDescent="0.25">
      <c r="O19"/>
      <c r="P19"/>
      <c r="Q19"/>
    </row>
    <row r="20" spans="15:17" x14ac:dyDescent="0.25">
      <c r="O20"/>
      <c r="P20"/>
      <c r="Q20"/>
    </row>
    <row r="21" spans="15:17" x14ac:dyDescent="0.25">
      <c r="O21"/>
      <c r="P21"/>
      <c r="Q21"/>
    </row>
    <row r="22" spans="15:17" x14ac:dyDescent="0.25">
      <c r="O22"/>
      <c r="P22"/>
      <c r="Q22"/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49F8-A9A6-4785-B089-A14F637AAFCD}">
  <sheetPr>
    <tabColor theme="0" tint="-0.249977111117893"/>
  </sheetPr>
  <dimension ref="B1:FB21"/>
  <sheetViews>
    <sheetView topLeftCell="A2" zoomScale="130" zoomScaleNormal="130" workbookViewId="0">
      <selection activeCell="S13" sqref="S13"/>
    </sheetView>
  </sheetViews>
  <sheetFormatPr defaultColWidth="8.7109375" defaultRowHeight="15" outlineLevelCol="1" x14ac:dyDescent="0.25"/>
  <cols>
    <col min="3" max="3" width="14.42578125" bestFit="1" customWidth="1"/>
    <col min="4" max="4" width="11.28515625" bestFit="1" customWidth="1"/>
    <col min="5" max="5" width="10.42578125" bestFit="1" customWidth="1"/>
    <col min="6" max="6" width="24.28515625" bestFit="1" customWidth="1"/>
    <col min="7" max="7" width="0.28515625" customWidth="1"/>
    <col min="8" max="11" width="9.42578125" hidden="1" customWidth="1" outlineLevel="1"/>
    <col min="12" max="12" width="11" hidden="1" customWidth="1" outlineLevel="1"/>
    <col min="13" max="13" width="11.28515625" hidden="1" customWidth="1" outlineLevel="1"/>
    <col min="14" max="14" width="10.42578125" hidden="1" customWidth="1" outlineLevel="1"/>
    <col min="15" max="17" width="9.42578125" hidden="1" customWidth="1" outlineLevel="1"/>
    <col min="18" max="18" width="9.42578125" bestFit="1" customWidth="1" collapsed="1"/>
    <col min="19" max="24" width="9.42578125" bestFit="1" customWidth="1"/>
    <col min="25" max="26" width="10.42578125" bestFit="1" customWidth="1"/>
    <col min="27" max="35" width="9.42578125" bestFit="1" customWidth="1"/>
    <col min="36" max="38" width="10.42578125" bestFit="1" customWidth="1"/>
    <col min="39" max="47" width="9.42578125" bestFit="1" customWidth="1"/>
    <col min="48" max="50" width="10.42578125" bestFit="1" customWidth="1"/>
    <col min="51" max="59" width="9.42578125" bestFit="1" customWidth="1"/>
    <col min="60" max="62" width="10.42578125" bestFit="1" customWidth="1"/>
    <col min="63" max="71" width="9.42578125" bestFit="1" customWidth="1"/>
    <col min="72" max="74" width="10.42578125" bestFit="1" customWidth="1"/>
    <col min="75" max="83" width="9.42578125" bestFit="1" customWidth="1"/>
    <col min="84" max="86" width="10.42578125" bestFit="1" customWidth="1"/>
    <col min="87" max="95" width="9.42578125" bestFit="1" customWidth="1"/>
    <col min="96" max="98" width="10.42578125" bestFit="1" customWidth="1"/>
    <col min="99" max="107" width="9.42578125" bestFit="1" customWidth="1"/>
    <col min="108" max="110" width="10.42578125" bestFit="1" customWidth="1"/>
    <col min="111" max="119" width="9.42578125" bestFit="1" customWidth="1"/>
    <col min="120" max="122" width="10.42578125" bestFit="1" customWidth="1"/>
    <col min="123" max="131" width="9.42578125" bestFit="1" customWidth="1"/>
    <col min="132" max="134" width="10.42578125" bestFit="1" customWidth="1"/>
    <col min="135" max="143" width="9.42578125" bestFit="1" customWidth="1"/>
    <col min="144" max="146" width="10.42578125" bestFit="1" customWidth="1"/>
    <col min="147" max="155" width="9.42578125" bestFit="1" customWidth="1"/>
    <col min="156" max="158" width="10.42578125" bestFit="1" customWidth="1"/>
  </cols>
  <sheetData>
    <row r="1" spans="2:158" ht="15.75" thickBot="1" x14ac:dyDescent="0.3"/>
    <row r="2" spans="2:158" ht="15.75" thickTop="1" x14ac:dyDescent="0.25">
      <c r="B2" s="446"/>
      <c r="C2" s="447"/>
      <c r="D2" s="447"/>
      <c r="E2" s="447"/>
      <c r="F2" s="447"/>
      <c r="G2" s="447"/>
      <c r="H2" s="448">
        <v>45473</v>
      </c>
      <c r="I2" s="452">
        <f>EOMONTH(H2,1)</f>
        <v>45504</v>
      </c>
      <c r="J2" s="452">
        <f t="shared" ref="J2:BU2" si="0">EOMONTH(I2,1)</f>
        <v>45535</v>
      </c>
      <c r="K2" s="452">
        <f t="shared" si="0"/>
        <v>45565</v>
      </c>
      <c r="L2" s="452">
        <f t="shared" si="0"/>
        <v>45596</v>
      </c>
      <c r="M2" s="452">
        <f t="shared" si="0"/>
        <v>45626</v>
      </c>
      <c r="N2" s="452">
        <f t="shared" si="0"/>
        <v>45657</v>
      </c>
      <c r="O2" s="452">
        <f t="shared" si="0"/>
        <v>45688</v>
      </c>
      <c r="P2" s="452">
        <f t="shared" si="0"/>
        <v>45716</v>
      </c>
      <c r="Q2" s="452">
        <f t="shared" ref="Q2:S2" si="1">EOMONTH(P2,1)</f>
        <v>45747</v>
      </c>
      <c r="R2" s="452">
        <f t="shared" si="1"/>
        <v>45777</v>
      </c>
      <c r="S2" s="452">
        <f t="shared" si="1"/>
        <v>45808</v>
      </c>
      <c r="T2" s="452">
        <f t="shared" si="0"/>
        <v>45838</v>
      </c>
      <c r="U2" s="452">
        <f t="shared" si="0"/>
        <v>45869</v>
      </c>
      <c r="V2" s="452">
        <f t="shared" si="0"/>
        <v>45900</v>
      </c>
      <c r="W2" s="452">
        <f t="shared" si="0"/>
        <v>45930</v>
      </c>
      <c r="X2" s="453">
        <f t="shared" si="0"/>
        <v>45961</v>
      </c>
      <c r="Y2" s="452">
        <f t="shared" si="0"/>
        <v>45991</v>
      </c>
      <c r="Z2" s="452">
        <f t="shared" si="0"/>
        <v>46022</v>
      </c>
      <c r="AA2" s="452">
        <f t="shared" si="0"/>
        <v>46053</v>
      </c>
      <c r="AB2" s="452">
        <f t="shared" si="0"/>
        <v>46081</v>
      </c>
      <c r="AC2" s="452">
        <f t="shared" si="0"/>
        <v>46112</v>
      </c>
      <c r="AD2" s="452">
        <f t="shared" si="0"/>
        <v>46142</v>
      </c>
      <c r="AE2" s="452">
        <f t="shared" si="0"/>
        <v>46173</v>
      </c>
      <c r="AF2" s="452">
        <f t="shared" si="0"/>
        <v>46203</v>
      </c>
      <c r="AG2" s="452">
        <f t="shared" si="0"/>
        <v>46234</v>
      </c>
      <c r="AH2" s="452">
        <f t="shared" si="0"/>
        <v>46265</v>
      </c>
      <c r="AI2" s="452">
        <f t="shared" si="0"/>
        <v>46295</v>
      </c>
      <c r="AJ2" s="452">
        <f t="shared" si="0"/>
        <v>46326</v>
      </c>
      <c r="AK2" s="452">
        <f t="shared" si="0"/>
        <v>46356</v>
      </c>
      <c r="AL2" s="452">
        <f t="shared" si="0"/>
        <v>46387</v>
      </c>
      <c r="AM2" s="452">
        <f t="shared" si="0"/>
        <v>46418</v>
      </c>
      <c r="AN2" s="452">
        <f t="shared" si="0"/>
        <v>46446</v>
      </c>
      <c r="AO2" s="452">
        <f t="shared" si="0"/>
        <v>46477</v>
      </c>
      <c r="AP2" s="452">
        <f t="shared" si="0"/>
        <v>46507</v>
      </c>
      <c r="AQ2" s="452">
        <f t="shared" si="0"/>
        <v>46538</v>
      </c>
      <c r="AR2" s="452">
        <f t="shared" si="0"/>
        <v>46568</v>
      </c>
      <c r="AS2" s="452">
        <f t="shared" si="0"/>
        <v>46599</v>
      </c>
      <c r="AT2" s="452">
        <f t="shared" si="0"/>
        <v>46630</v>
      </c>
      <c r="AU2" s="452">
        <f t="shared" si="0"/>
        <v>46660</v>
      </c>
      <c r="AV2" s="452">
        <f t="shared" si="0"/>
        <v>46691</v>
      </c>
      <c r="AW2" s="452">
        <f t="shared" si="0"/>
        <v>46721</v>
      </c>
      <c r="AX2" s="452">
        <f t="shared" si="0"/>
        <v>46752</v>
      </c>
      <c r="AY2" s="452">
        <f t="shared" si="0"/>
        <v>46783</v>
      </c>
      <c r="AZ2" s="452">
        <f t="shared" si="0"/>
        <v>46812</v>
      </c>
      <c r="BA2" s="452">
        <f t="shared" si="0"/>
        <v>46843</v>
      </c>
      <c r="BB2" s="452">
        <f t="shared" si="0"/>
        <v>46873</v>
      </c>
      <c r="BC2" s="452">
        <f t="shared" si="0"/>
        <v>46904</v>
      </c>
      <c r="BD2" s="452">
        <f t="shared" si="0"/>
        <v>46934</v>
      </c>
      <c r="BE2" s="452">
        <f t="shared" si="0"/>
        <v>46965</v>
      </c>
      <c r="BF2" s="452">
        <f t="shared" si="0"/>
        <v>46996</v>
      </c>
      <c r="BG2" s="452">
        <f t="shared" si="0"/>
        <v>47026</v>
      </c>
      <c r="BH2" s="452">
        <f t="shared" si="0"/>
        <v>47057</v>
      </c>
      <c r="BI2" s="452">
        <f t="shared" si="0"/>
        <v>47087</v>
      </c>
      <c r="BJ2" s="452">
        <f t="shared" si="0"/>
        <v>47118</v>
      </c>
      <c r="BK2" s="452">
        <f t="shared" si="0"/>
        <v>47149</v>
      </c>
      <c r="BL2" s="452">
        <f t="shared" si="0"/>
        <v>47177</v>
      </c>
      <c r="BM2" s="452">
        <f t="shared" si="0"/>
        <v>47208</v>
      </c>
      <c r="BN2" s="452">
        <f t="shared" si="0"/>
        <v>47238</v>
      </c>
      <c r="BO2" s="452">
        <f t="shared" si="0"/>
        <v>47269</v>
      </c>
      <c r="BP2" s="452">
        <f t="shared" si="0"/>
        <v>47299</v>
      </c>
      <c r="BQ2" s="452">
        <f t="shared" si="0"/>
        <v>47330</v>
      </c>
      <c r="BR2" s="452">
        <f t="shared" si="0"/>
        <v>47361</v>
      </c>
      <c r="BS2" s="452">
        <f t="shared" si="0"/>
        <v>47391</v>
      </c>
      <c r="BT2" s="452">
        <f t="shared" si="0"/>
        <v>47422</v>
      </c>
      <c r="BU2" s="452">
        <f t="shared" si="0"/>
        <v>47452</v>
      </c>
      <c r="BV2" s="452">
        <f t="shared" ref="BV2:EG2" si="2">EOMONTH(BU2,1)</f>
        <v>47483</v>
      </c>
      <c r="BW2" s="452">
        <f t="shared" si="2"/>
        <v>47514</v>
      </c>
      <c r="BX2" s="452">
        <f t="shared" si="2"/>
        <v>47542</v>
      </c>
      <c r="BY2" s="452">
        <f t="shared" si="2"/>
        <v>47573</v>
      </c>
      <c r="BZ2" s="452">
        <f t="shared" si="2"/>
        <v>47603</v>
      </c>
      <c r="CA2" s="452">
        <f t="shared" si="2"/>
        <v>47634</v>
      </c>
      <c r="CB2" s="452">
        <f t="shared" si="2"/>
        <v>47664</v>
      </c>
      <c r="CC2" s="452">
        <f t="shared" si="2"/>
        <v>47695</v>
      </c>
      <c r="CD2" s="452">
        <f t="shared" si="2"/>
        <v>47726</v>
      </c>
      <c r="CE2" s="452">
        <f t="shared" si="2"/>
        <v>47756</v>
      </c>
      <c r="CF2" s="452">
        <f t="shared" si="2"/>
        <v>47787</v>
      </c>
      <c r="CG2" s="452">
        <f t="shared" si="2"/>
        <v>47817</v>
      </c>
      <c r="CH2" s="452">
        <f t="shared" si="2"/>
        <v>47848</v>
      </c>
      <c r="CI2" s="452">
        <f t="shared" si="2"/>
        <v>47879</v>
      </c>
      <c r="CJ2" s="452">
        <f t="shared" si="2"/>
        <v>47907</v>
      </c>
      <c r="CK2" s="452">
        <f t="shared" si="2"/>
        <v>47938</v>
      </c>
      <c r="CL2" s="452">
        <f t="shared" si="2"/>
        <v>47968</v>
      </c>
      <c r="CM2" s="452">
        <f t="shared" si="2"/>
        <v>47999</v>
      </c>
      <c r="CN2" s="452">
        <f t="shared" si="2"/>
        <v>48029</v>
      </c>
      <c r="CO2" s="452">
        <f t="shared" si="2"/>
        <v>48060</v>
      </c>
      <c r="CP2" s="452">
        <f t="shared" si="2"/>
        <v>48091</v>
      </c>
      <c r="CQ2" s="452">
        <f t="shared" si="2"/>
        <v>48121</v>
      </c>
      <c r="CR2" s="452">
        <f t="shared" si="2"/>
        <v>48152</v>
      </c>
      <c r="CS2" s="452">
        <f t="shared" si="2"/>
        <v>48182</v>
      </c>
      <c r="CT2" s="452">
        <f t="shared" si="2"/>
        <v>48213</v>
      </c>
      <c r="CU2" s="452">
        <f t="shared" si="2"/>
        <v>48244</v>
      </c>
      <c r="CV2" s="452">
        <f t="shared" si="2"/>
        <v>48273</v>
      </c>
      <c r="CW2" s="452">
        <f t="shared" si="2"/>
        <v>48304</v>
      </c>
      <c r="CX2" s="452">
        <f t="shared" si="2"/>
        <v>48334</v>
      </c>
      <c r="CY2" s="452">
        <f t="shared" si="2"/>
        <v>48365</v>
      </c>
      <c r="CZ2" s="452">
        <f t="shared" si="2"/>
        <v>48395</v>
      </c>
      <c r="DA2" s="452">
        <f t="shared" si="2"/>
        <v>48426</v>
      </c>
      <c r="DB2" s="452">
        <f t="shared" si="2"/>
        <v>48457</v>
      </c>
      <c r="DC2" s="452">
        <f t="shared" si="2"/>
        <v>48487</v>
      </c>
      <c r="DD2" s="452">
        <f t="shared" si="2"/>
        <v>48518</v>
      </c>
      <c r="DE2" s="452">
        <f t="shared" si="2"/>
        <v>48548</v>
      </c>
      <c r="DF2" s="452">
        <f t="shared" si="2"/>
        <v>48579</v>
      </c>
      <c r="DG2" s="452">
        <f t="shared" si="2"/>
        <v>48610</v>
      </c>
      <c r="DH2" s="452">
        <f t="shared" si="2"/>
        <v>48638</v>
      </c>
      <c r="DI2" s="452">
        <f t="shared" si="2"/>
        <v>48669</v>
      </c>
      <c r="DJ2" s="452">
        <f t="shared" si="2"/>
        <v>48699</v>
      </c>
      <c r="DK2" s="452">
        <f t="shared" si="2"/>
        <v>48730</v>
      </c>
      <c r="DL2" s="452">
        <f t="shared" si="2"/>
        <v>48760</v>
      </c>
      <c r="DM2" s="452">
        <f t="shared" si="2"/>
        <v>48791</v>
      </c>
      <c r="DN2" s="452">
        <f t="shared" si="2"/>
        <v>48822</v>
      </c>
      <c r="DO2" s="452">
        <f t="shared" si="2"/>
        <v>48852</v>
      </c>
      <c r="DP2" s="452">
        <f t="shared" si="2"/>
        <v>48883</v>
      </c>
      <c r="DQ2" s="452">
        <f t="shared" si="2"/>
        <v>48913</v>
      </c>
      <c r="DR2" s="452">
        <f t="shared" si="2"/>
        <v>48944</v>
      </c>
      <c r="DS2" s="452">
        <f t="shared" si="2"/>
        <v>48975</v>
      </c>
      <c r="DT2" s="452">
        <f t="shared" si="2"/>
        <v>49003</v>
      </c>
      <c r="DU2" s="452">
        <f t="shared" si="2"/>
        <v>49034</v>
      </c>
      <c r="DV2" s="452">
        <f t="shared" si="2"/>
        <v>49064</v>
      </c>
      <c r="DW2" s="452">
        <f t="shared" si="2"/>
        <v>49095</v>
      </c>
      <c r="DX2" s="452">
        <f t="shared" si="2"/>
        <v>49125</v>
      </c>
      <c r="DY2" s="452">
        <f t="shared" si="2"/>
        <v>49156</v>
      </c>
      <c r="DZ2" s="452">
        <f t="shared" si="2"/>
        <v>49187</v>
      </c>
      <c r="EA2" s="452">
        <f t="shared" si="2"/>
        <v>49217</v>
      </c>
      <c r="EB2" s="452">
        <f t="shared" si="2"/>
        <v>49248</v>
      </c>
      <c r="EC2" s="452">
        <f t="shared" si="2"/>
        <v>49278</v>
      </c>
      <c r="ED2" s="452">
        <f t="shared" si="2"/>
        <v>49309</v>
      </c>
      <c r="EE2" s="452">
        <f t="shared" si="2"/>
        <v>49340</v>
      </c>
      <c r="EF2" s="452">
        <f t="shared" si="2"/>
        <v>49368</v>
      </c>
      <c r="EG2" s="452">
        <f t="shared" si="2"/>
        <v>49399</v>
      </c>
      <c r="EH2" s="452">
        <f t="shared" ref="EH2:FB2" si="3">EOMONTH(EG2,1)</f>
        <v>49429</v>
      </c>
      <c r="EI2" s="452">
        <f t="shared" si="3"/>
        <v>49460</v>
      </c>
      <c r="EJ2" s="452">
        <f t="shared" si="3"/>
        <v>49490</v>
      </c>
      <c r="EK2" s="452">
        <f t="shared" si="3"/>
        <v>49521</v>
      </c>
      <c r="EL2" s="452">
        <f t="shared" si="3"/>
        <v>49552</v>
      </c>
      <c r="EM2" s="452">
        <f t="shared" si="3"/>
        <v>49582</v>
      </c>
      <c r="EN2" s="452">
        <f t="shared" si="3"/>
        <v>49613</v>
      </c>
      <c r="EO2" s="452">
        <f t="shared" si="3"/>
        <v>49643</v>
      </c>
      <c r="EP2" s="452">
        <f t="shared" si="3"/>
        <v>49674</v>
      </c>
      <c r="EQ2" s="452">
        <f t="shared" si="3"/>
        <v>49705</v>
      </c>
      <c r="ER2" s="452">
        <f t="shared" si="3"/>
        <v>49734</v>
      </c>
      <c r="ES2" s="452">
        <f t="shared" si="3"/>
        <v>49765</v>
      </c>
      <c r="ET2" s="452">
        <f t="shared" si="3"/>
        <v>49795</v>
      </c>
      <c r="EU2" s="452">
        <f t="shared" si="3"/>
        <v>49826</v>
      </c>
      <c r="EV2" s="452">
        <f t="shared" si="3"/>
        <v>49856</v>
      </c>
      <c r="EW2" s="452">
        <f t="shared" si="3"/>
        <v>49887</v>
      </c>
      <c r="EX2" s="452">
        <f t="shared" si="3"/>
        <v>49918</v>
      </c>
      <c r="EY2" s="452">
        <f t="shared" si="3"/>
        <v>49948</v>
      </c>
      <c r="EZ2" s="452">
        <f t="shared" si="3"/>
        <v>49979</v>
      </c>
      <c r="FA2" s="452">
        <f t="shared" si="3"/>
        <v>50009</v>
      </c>
      <c r="FB2" s="453">
        <f t="shared" si="3"/>
        <v>50040</v>
      </c>
    </row>
    <row r="3" spans="2:158" x14ac:dyDescent="0.25">
      <c r="B3" s="449" t="s">
        <v>240</v>
      </c>
      <c r="C3" t="s">
        <v>241</v>
      </c>
      <c r="D3" t="s">
        <v>242</v>
      </c>
      <c r="E3" t="s">
        <v>307</v>
      </c>
      <c r="H3" s="437"/>
      <c r="X3" s="438"/>
      <c r="FB3" s="438"/>
    </row>
    <row r="4" spans="2:158" x14ac:dyDescent="0.25">
      <c r="B4" s="449" t="s">
        <v>304</v>
      </c>
      <c r="C4" t="s">
        <v>303</v>
      </c>
      <c r="D4" s="383">
        <v>12</v>
      </c>
      <c r="E4">
        <f>4.33*10</f>
        <v>43.3</v>
      </c>
      <c r="H4" s="439"/>
      <c r="I4" s="478">
        <v>0</v>
      </c>
      <c r="J4" s="478">
        <v>0</v>
      </c>
      <c r="K4" s="478">
        <v>0</v>
      </c>
      <c r="L4" s="478">
        <v>0</v>
      </c>
      <c r="M4" s="478">
        <v>0</v>
      </c>
      <c r="N4" s="478">
        <v>0</v>
      </c>
      <c r="O4" s="478">
        <v>0</v>
      </c>
      <c r="P4" s="478">
        <v>0</v>
      </c>
      <c r="Q4" s="478">
        <v>0</v>
      </c>
      <c r="R4" s="478">
        <v>0</v>
      </c>
      <c r="S4" s="478">
        <v>0</v>
      </c>
      <c r="T4" s="478"/>
      <c r="U4" s="478">
        <v>240</v>
      </c>
      <c r="V4" s="478"/>
      <c r="W4" s="478"/>
      <c r="X4" s="716"/>
      <c r="Y4" s="440"/>
      <c r="Z4" s="440"/>
      <c r="AA4" s="440"/>
      <c r="AB4" s="440"/>
      <c r="AC4" s="440"/>
      <c r="AD4" s="440"/>
      <c r="AE4" s="440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40"/>
      <c r="AW4" s="440"/>
      <c r="AX4" s="440"/>
      <c r="AY4" s="440"/>
      <c r="AZ4" s="440"/>
      <c r="BA4" s="440"/>
      <c r="BB4" s="440"/>
      <c r="BC4" s="440"/>
      <c r="BD4" s="440"/>
      <c r="BE4" s="440"/>
      <c r="BF4" s="440"/>
      <c r="BG4" s="440"/>
      <c r="BH4" s="440"/>
      <c r="BI4" s="440"/>
      <c r="BJ4" s="440"/>
      <c r="BK4" s="440"/>
      <c r="BL4" s="440"/>
      <c r="BM4" s="440"/>
      <c r="BN4" s="440"/>
      <c r="BO4" s="440"/>
      <c r="BP4" s="440"/>
      <c r="BQ4" s="440"/>
      <c r="BR4" s="440"/>
      <c r="BS4" s="440"/>
      <c r="BT4" s="440"/>
      <c r="BU4" s="440"/>
      <c r="BV4" s="440"/>
      <c r="BW4" s="440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CW4" s="440"/>
      <c r="CX4" s="440"/>
      <c r="CY4" s="440"/>
      <c r="CZ4" s="440"/>
      <c r="DA4" s="440"/>
      <c r="DB4" s="440"/>
      <c r="DC4" s="440"/>
      <c r="DD4" s="440"/>
      <c r="DE4" s="440"/>
      <c r="DF4" s="440"/>
      <c r="DG4" s="440"/>
      <c r="DH4" s="440"/>
      <c r="DI4" s="440"/>
      <c r="DJ4" s="440"/>
      <c r="DK4" s="440"/>
      <c r="DL4" s="440"/>
      <c r="DM4" s="440"/>
      <c r="DN4" s="440"/>
      <c r="DO4" s="440"/>
      <c r="DP4" s="440"/>
      <c r="DQ4" s="440"/>
      <c r="DR4" s="440"/>
      <c r="DS4" s="440"/>
      <c r="DT4" s="440"/>
      <c r="DU4" s="440"/>
      <c r="DV4" s="440"/>
      <c r="DW4" s="440"/>
      <c r="DX4" s="440"/>
      <c r="DY4" s="440"/>
      <c r="DZ4" s="440"/>
      <c r="EA4" s="440"/>
      <c r="EB4" s="440"/>
      <c r="EC4" s="440"/>
      <c r="ED4" s="440"/>
      <c r="EE4" s="440"/>
      <c r="EF4" s="440"/>
      <c r="EG4" s="440"/>
      <c r="EH4" s="440"/>
      <c r="EI4" s="440"/>
      <c r="EJ4" s="440"/>
      <c r="EK4" s="440"/>
      <c r="EL4" s="440"/>
      <c r="EM4" s="440"/>
      <c r="EN4" s="440"/>
      <c r="EO4" s="440"/>
      <c r="EP4" s="440"/>
      <c r="EQ4" s="440"/>
      <c r="ER4" s="440"/>
      <c r="ES4" s="440"/>
      <c r="ET4" s="440"/>
      <c r="EU4" s="440"/>
      <c r="EV4" s="440"/>
      <c r="EW4" s="440"/>
      <c r="EX4" s="440"/>
      <c r="EY4" s="440"/>
      <c r="EZ4" s="440"/>
      <c r="FA4" s="440"/>
      <c r="FB4" s="441"/>
    </row>
    <row r="5" spans="2:158" x14ac:dyDescent="0.25">
      <c r="B5" s="449" t="s">
        <v>305</v>
      </c>
      <c r="C5" t="s">
        <v>303</v>
      </c>
      <c r="D5" s="383">
        <v>15</v>
      </c>
      <c r="E5">
        <f>4.33*10</f>
        <v>43.3</v>
      </c>
      <c r="H5" s="439"/>
      <c r="I5" s="478">
        <v>450</v>
      </c>
      <c r="J5" s="478">
        <v>150</v>
      </c>
      <c r="K5" s="478">
        <v>0</v>
      </c>
      <c r="L5" s="478">
        <v>0</v>
      </c>
      <c r="M5" s="478">
        <v>0</v>
      </c>
      <c r="N5" s="478"/>
      <c r="O5" s="478">
        <v>0</v>
      </c>
      <c r="P5" s="478">
        <v>0</v>
      </c>
      <c r="Q5" s="478">
        <v>0</v>
      </c>
      <c r="R5" s="478">
        <v>0</v>
      </c>
      <c r="S5" s="478">
        <v>0</v>
      </c>
      <c r="T5" s="478"/>
      <c r="U5" s="478"/>
      <c r="V5" s="478"/>
      <c r="W5" s="478"/>
      <c r="X5" s="716"/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  <c r="BB5" s="440"/>
      <c r="BC5" s="440"/>
      <c r="BD5" s="440"/>
      <c r="BE5" s="440"/>
      <c r="BF5" s="440"/>
      <c r="BG5" s="440"/>
      <c r="BH5" s="440"/>
      <c r="BI5" s="440"/>
      <c r="BJ5" s="440"/>
      <c r="BK5" s="440"/>
      <c r="BL5" s="440"/>
      <c r="BM5" s="440"/>
      <c r="BN5" s="440"/>
      <c r="BO5" s="440"/>
      <c r="BP5" s="440"/>
      <c r="BQ5" s="440"/>
      <c r="BR5" s="440"/>
      <c r="BS5" s="440"/>
      <c r="BT5" s="440"/>
      <c r="BU5" s="440"/>
      <c r="BV5" s="440"/>
      <c r="BW5" s="440"/>
      <c r="BX5" s="440"/>
      <c r="BY5" s="440"/>
      <c r="BZ5" s="440"/>
      <c r="CA5" s="440"/>
      <c r="CB5" s="440"/>
      <c r="CC5" s="440"/>
      <c r="CD5" s="440"/>
      <c r="CE5" s="440"/>
      <c r="CF5" s="440"/>
      <c r="CG5" s="440"/>
      <c r="CH5" s="440"/>
      <c r="CI5" s="440"/>
      <c r="CJ5" s="440"/>
      <c r="CK5" s="440"/>
      <c r="CL5" s="440"/>
      <c r="CM5" s="440"/>
      <c r="CN5" s="440"/>
      <c r="CO5" s="440"/>
      <c r="CP5" s="440"/>
      <c r="CQ5" s="440"/>
      <c r="CR5" s="440"/>
      <c r="CS5" s="440"/>
      <c r="CT5" s="440"/>
      <c r="CU5" s="440"/>
      <c r="CV5" s="440"/>
      <c r="CW5" s="440"/>
      <c r="CX5" s="440"/>
      <c r="CY5" s="440"/>
      <c r="CZ5" s="440"/>
      <c r="DA5" s="440"/>
      <c r="DB5" s="440"/>
      <c r="DC5" s="440"/>
      <c r="DD5" s="440"/>
      <c r="DE5" s="440"/>
      <c r="DF5" s="440"/>
      <c r="DG5" s="440"/>
      <c r="DH5" s="440"/>
      <c r="DI5" s="440"/>
      <c r="DJ5" s="440"/>
      <c r="DK5" s="440"/>
      <c r="DL5" s="440"/>
      <c r="DM5" s="440"/>
      <c r="DN5" s="440"/>
      <c r="DO5" s="440"/>
      <c r="DP5" s="440"/>
      <c r="DQ5" s="440"/>
      <c r="DR5" s="440"/>
      <c r="DS5" s="440"/>
      <c r="DT5" s="440"/>
      <c r="DU5" s="440"/>
      <c r="DV5" s="440"/>
      <c r="DW5" s="440"/>
      <c r="DX5" s="440"/>
      <c r="DY5" s="440"/>
      <c r="DZ5" s="440"/>
      <c r="EA5" s="440"/>
      <c r="EB5" s="440"/>
      <c r="EC5" s="440"/>
      <c r="ED5" s="440"/>
      <c r="EE5" s="440"/>
      <c r="EF5" s="440"/>
      <c r="EG5" s="440"/>
      <c r="EH5" s="440"/>
      <c r="EI5" s="440"/>
      <c r="EJ5" s="440"/>
      <c r="EK5" s="440"/>
      <c r="EL5" s="440"/>
      <c r="EM5" s="440"/>
      <c r="EN5" s="440"/>
      <c r="EO5" s="440"/>
      <c r="EP5" s="440"/>
      <c r="EQ5" s="440"/>
      <c r="ER5" s="440"/>
      <c r="ES5" s="440"/>
      <c r="ET5" s="440"/>
      <c r="EU5" s="440"/>
      <c r="EV5" s="440"/>
      <c r="EW5" s="440"/>
      <c r="EX5" s="440"/>
      <c r="EY5" s="440"/>
      <c r="EZ5" s="440"/>
      <c r="FA5" s="440"/>
      <c r="FB5" s="441"/>
    </row>
    <row r="6" spans="2:158" x14ac:dyDescent="0.25">
      <c r="B6" s="449" t="s">
        <v>388</v>
      </c>
      <c r="C6" t="s">
        <v>303</v>
      </c>
      <c r="D6" s="383">
        <v>15</v>
      </c>
      <c r="E6">
        <f>4.33*10</f>
        <v>43.3</v>
      </c>
      <c r="H6" s="439"/>
      <c r="I6" s="478"/>
      <c r="J6" s="478"/>
      <c r="K6" s="478"/>
      <c r="L6" s="478"/>
      <c r="M6" s="478"/>
      <c r="N6" s="478"/>
      <c r="O6" s="478"/>
      <c r="P6" s="478"/>
      <c r="Q6" s="478"/>
      <c r="R6" s="478">
        <v>0</v>
      </c>
      <c r="S6" s="478">
        <v>0</v>
      </c>
      <c r="T6" s="478"/>
      <c r="U6" s="478"/>
      <c r="V6" s="478"/>
      <c r="W6" s="478"/>
      <c r="X6" s="716"/>
      <c r="Y6" s="440"/>
      <c r="Z6" s="440"/>
      <c r="AA6" s="440"/>
      <c r="AB6" s="440"/>
      <c r="AC6" s="440"/>
      <c r="AD6" s="440"/>
      <c r="AE6" s="440"/>
      <c r="AF6" s="440"/>
      <c r="AG6" s="440"/>
      <c r="AH6" s="440"/>
      <c r="AI6" s="440"/>
      <c r="AJ6" s="440"/>
      <c r="AK6" s="440"/>
      <c r="AL6" s="440"/>
      <c r="AM6" s="440"/>
      <c r="AN6" s="440"/>
      <c r="AO6" s="440"/>
      <c r="AP6" s="440"/>
      <c r="AQ6" s="440"/>
      <c r="AR6" s="440"/>
      <c r="AS6" s="440"/>
      <c r="AT6" s="440"/>
      <c r="AU6" s="440"/>
      <c r="AV6" s="440"/>
      <c r="AW6" s="440"/>
      <c r="AX6" s="440"/>
      <c r="AY6" s="440"/>
      <c r="AZ6" s="440"/>
      <c r="BA6" s="440"/>
      <c r="BB6" s="440"/>
      <c r="BC6" s="440"/>
      <c r="BD6" s="440"/>
      <c r="BE6" s="440"/>
      <c r="BF6" s="440"/>
      <c r="BG6" s="440"/>
      <c r="BH6" s="440"/>
      <c r="BI6" s="440"/>
      <c r="BJ6" s="440"/>
      <c r="BK6" s="440"/>
      <c r="BL6" s="440"/>
      <c r="BM6" s="440"/>
      <c r="BN6" s="440"/>
      <c r="BO6" s="440"/>
      <c r="BP6" s="440"/>
      <c r="BQ6" s="440"/>
      <c r="BR6" s="440"/>
      <c r="BS6" s="440"/>
      <c r="BT6" s="440"/>
      <c r="BU6" s="440"/>
      <c r="BV6" s="440"/>
      <c r="BW6" s="440"/>
      <c r="BX6" s="440"/>
      <c r="BY6" s="440"/>
      <c r="BZ6" s="440"/>
      <c r="CA6" s="440"/>
      <c r="CB6" s="440"/>
      <c r="CC6" s="440"/>
      <c r="CD6" s="440"/>
      <c r="CE6" s="440"/>
      <c r="CF6" s="440"/>
      <c r="CG6" s="440"/>
      <c r="CH6" s="440"/>
      <c r="CI6" s="440"/>
      <c r="CJ6" s="440"/>
      <c r="CK6" s="440"/>
      <c r="CL6" s="440"/>
      <c r="CM6" s="440"/>
      <c r="CN6" s="440"/>
      <c r="CO6" s="440"/>
      <c r="CP6" s="440"/>
      <c r="CQ6" s="440"/>
      <c r="CR6" s="440"/>
      <c r="CS6" s="440"/>
      <c r="CT6" s="440"/>
      <c r="CU6" s="440"/>
      <c r="CV6" s="440"/>
      <c r="CW6" s="440"/>
      <c r="CX6" s="440"/>
      <c r="CY6" s="440"/>
      <c r="CZ6" s="440"/>
      <c r="DA6" s="440"/>
      <c r="DB6" s="440"/>
      <c r="DC6" s="440"/>
      <c r="DD6" s="440"/>
      <c r="DE6" s="440"/>
      <c r="DF6" s="440"/>
      <c r="DG6" s="440"/>
      <c r="DH6" s="440"/>
      <c r="DI6" s="440"/>
      <c r="DJ6" s="440"/>
      <c r="DK6" s="440"/>
      <c r="DL6" s="440"/>
      <c r="DM6" s="440"/>
      <c r="DN6" s="440"/>
      <c r="DO6" s="440"/>
      <c r="DP6" s="440"/>
      <c r="DQ6" s="440"/>
      <c r="DR6" s="440"/>
      <c r="DS6" s="440"/>
      <c r="DT6" s="440"/>
      <c r="DU6" s="440"/>
      <c r="DV6" s="440"/>
      <c r="DW6" s="440"/>
      <c r="DX6" s="440"/>
      <c r="DY6" s="440"/>
      <c r="DZ6" s="440"/>
      <c r="EA6" s="440"/>
      <c r="EB6" s="440"/>
      <c r="EC6" s="440"/>
      <c r="ED6" s="440"/>
      <c r="EE6" s="440"/>
      <c r="EF6" s="440"/>
      <c r="EG6" s="440"/>
      <c r="EH6" s="440"/>
      <c r="EI6" s="440"/>
      <c r="EJ6" s="440"/>
      <c r="EK6" s="440"/>
      <c r="EL6" s="440"/>
      <c r="EM6" s="440"/>
      <c r="EN6" s="440"/>
      <c r="EO6" s="440"/>
      <c r="EP6" s="440"/>
      <c r="EQ6" s="440"/>
      <c r="ER6" s="440"/>
      <c r="ES6" s="440"/>
      <c r="ET6" s="440"/>
      <c r="EU6" s="440"/>
      <c r="EV6" s="440"/>
      <c r="EW6" s="440"/>
      <c r="EX6" s="440"/>
      <c r="EY6" s="440"/>
      <c r="EZ6" s="440"/>
      <c r="FA6" s="440"/>
      <c r="FB6" s="441"/>
    </row>
    <row r="7" spans="2:158" x14ac:dyDescent="0.25">
      <c r="B7" s="449" t="s">
        <v>316</v>
      </c>
      <c r="C7" t="s">
        <v>303</v>
      </c>
      <c r="D7" s="383"/>
      <c r="H7" s="439"/>
      <c r="I7" s="478"/>
      <c r="J7" s="478"/>
      <c r="K7" s="478"/>
      <c r="L7" s="478"/>
      <c r="M7" s="478"/>
      <c r="N7" s="478"/>
      <c r="O7" s="478">
        <v>0</v>
      </c>
      <c r="P7" s="478">
        <v>0</v>
      </c>
      <c r="Q7" s="478">
        <v>0</v>
      </c>
      <c r="R7" s="478">
        <v>0</v>
      </c>
      <c r="S7" s="478">
        <v>0</v>
      </c>
      <c r="T7" s="478"/>
      <c r="U7" s="478">
        <v>300</v>
      </c>
      <c r="V7" s="478">
        <v>234</v>
      </c>
      <c r="W7" s="478">
        <f>86.8</f>
        <v>86.8</v>
      </c>
      <c r="X7" s="716">
        <v>120</v>
      </c>
      <c r="Y7" s="440"/>
      <c r="Z7" s="440"/>
      <c r="AA7" s="440"/>
      <c r="AB7" s="440"/>
      <c r="AC7" s="440"/>
      <c r="AD7" s="440"/>
      <c r="AE7" s="440"/>
      <c r="AF7" s="440"/>
      <c r="AG7" s="440"/>
      <c r="AH7" s="440"/>
      <c r="AI7" s="440"/>
      <c r="AJ7" s="440"/>
      <c r="AK7" s="440"/>
      <c r="AL7" s="440"/>
      <c r="AM7" s="440"/>
      <c r="AN7" s="440"/>
      <c r="AO7" s="440"/>
      <c r="AP7" s="440"/>
      <c r="AQ7" s="440"/>
      <c r="AR7" s="440"/>
      <c r="AS7" s="440"/>
      <c r="AT7" s="440"/>
      <c r="AU7" s="440"/>
      <c r="AV7" s="440"/>
      <c r="AW7" s="440"/>
      <c r="AX7" s="440"/>
      <c r="AY7" s="440"/>
      <c r="AZ7" s="440"/>
      <c r="BA7" s="440"/>
      <c r="BB7" s="440"/>
      <c r="BC7" s="440"/>
      <c r="BD7" s="440"/>
      <c r="BE7" s="440"/>
      <c r="BF7" s="440"/>
      <c r="BG7" s="440"/>
      <c r="BH7" s="440"/>
      <c r="BI7" s="440"/>
      <c r="BJ7" s="440"/>
      <c r="BK7" s="440"/>
      <c r="BL7" s="440"/>
      <c r="BM7" s="440"/>
      <c r="BN7" s="440"/>
      <c r="BO7" s="440"/>
      <c r="BP7" s="440"/>
      <c r="BQ7" s="440"/>
      <c r="BR7" s="440"/>
      <c r="BS7" s="440"/>
      <c r="BT7" s="440"/>
      <c r="BU7" s="440"/>
      <c r="BV7" s="440"/>
      <c r="BW7" s="440"/>
      <c r="BX7" s="440"/>
      <c r="BY7" s="440"/>
      <c r="BZ7" s="440"/>
      <c r="CA7" s="440"/>
      <c r="CB7" s="440"/>
      <c r="CC7" s="440"/>
      <c r="CD7" s="440"/>
      <c r="CE7" s="440"/>
      <c r="CF7" s="440"/>
      <c r="CG7" s="440"/>
      <c r="CH7" s="440"/>
      <c r="CI7" s="440"/>
      <c r="CJ7" s="440"/>
      <c r="CK7" s="440"/>
      <c r="CL7" s="440"/>
      <c r="CM7" s="440"/>
      <c r="CN7" s="440"/>
      <c r="CO7" s="440"/>
      <c r="CP7" s="440"/>
      <c r="CQ7" s="440"/>
      <c r="CR7" s="440"/>
      <c r="CS7" s="440"/>
      <c r="CT7" s="440"/>
      <c r="CU7" s="440"/>
      <c r="CV7" s="440"/>
      <c r="CW7" s="440"/>
      <c r="CX7" s="440"/>
      <c r="CY7" s="440"/>
      <c r="CZ7" s="440"/>
      <c r="DA7" s="440"/>
      <c r="DB7" s="440"/>
      <c r="DC7" s="440"/>
      <c r="DD7" s="440"/>
      <c r="DE7" s="440"/>
      <c r="DF7" s="440"/>
      <c r="DG7" s="440"/>
      <c r="DH7" s="440"/>
      <c r="DI7" s="440"/>
      <c r="DJ7" s="440"/>
      <c r="DK7" s="440"/>
      <c r="DL7" s="440"/>
      <c r="DM7" s="440"/>
      <c r="DN7" s="440"/>
      <c r="DO7" s="440"/>
      <c r="DP7" s="440"/>
      <c r="DQ7" s="440"/>
      <c r="DR7" s="440"/>
      <c r="DS7" s="440"/>
      <c r="DT7" s="440"/>
      <c r="DU7" s="440"/>
      <c r="DV7" s="440"/>
      <c r="DW7" s="440"/>
      <c r="DX7" s="440"/>
      <c r="DY7" s="440"/>
      <c r="DZ7" s="440"/>
      <c r="EA7" s="440"/>
      <c r="EB7" s="440"/>
      <c r="EC7" s="440"/>
      <c r="ED7" s="440"/>
      <c r="EE7" s="440"/>
      <c r="EF7" s="440"/>
      <c r="EG7" s="440"/>
      <c r="EH7" s="440"/>
      <c r="EI7" s="440"/>
      <c r="EJ7" s="440"/>
      <c r="EK7" s="440"/>
      <c r="EL7" s="440"/>
      <c r="EM7" s="440"/>
      <c r="EN7" s="440"/>
      <c r="EO7" s="440"/>
      <c r="EP7" s="440"/>
      <c r="EQ7" s="440"/>
      <c r="ER7" s="440"/>
      <c r="ES7" s="440"/>
      <c r="ET7" s="440"/>
      <c r="EU7" s="440"/>
      <c r="EV7" s="440"/>
      <c r="EW7" s="440"/>
      <c r="EX7" s="440"/>
      <c r="EY7" s="440"/>
      <c r="EZ7" s="440"/>
      <c r="FA7" s="440"/>
      <c r="FB7" s="441"/>
    </row>
    <row r="8" spans="2:158" x14ac:dyDescent="0.25">
      <c r="B8" s="449"/>
      <c r="D8" s="383"/>
      <c r="F8" s="7" t="s">
        <v>321</v>
      </c>
      <c r="H8" s="442">
        <f>SUM(H4:H7)</f>
        <v>0</v>
      </c>
      <c r="I8" s="440">
        <f t="shared" ref="I8:J8" si="4">SUM(I4:I7)</f>
        <v>450</v>
      </c>
      <c r="J8" s="440">
        <f t="shared" si="4"/>
        <v>150</v>
      </c>
      <c r="K8" s="440">
        <f t="shared" ref="K8:L8" si="5">SUM(K4:K7)</f>
        <v>0</v>
      </c>
      <c r="L8" s="440">
        <f t="shared" si="5"/>
        <v>0</v>
      </c>
      <c r="M8" s="440">
        <f t="shared" ref="M8" si="6">SUM(M4:M7)</f>
        <v>0</v>
      </c>
      <c r="N8" s="440">
        <f t="shared" ref="N8" si="7">SUM(N4:N7)</f>
        <v>0</v>
      </c>
      <c r="O8" s="440">
        <f t="shared" ref="O8:P8" si="8">SUM(O4:O7)</f>
        <v>0</v>
      </c>
      <c r="P8" s="440">
        <f t="shared" si="8"/>
        <v>0</v>
      </c>
      <c r="Q8" s="440">
        <f t="shared" ref="Q8:R8" si="9">SUM(Q4:Q7)</f>
        <v>0</v>
      </c>
      <c r="R8" s="440">
        <f t="shared" si="9"/>
        <v>0</v>
      </c>
      <c r="S8" s="440">
        <f t="shared" ref="S8" si="10">SUM(S4:S7)</f>
        <v>0</v>
      </c>
      <c r="T8" s="440">
        <f t="shared" ref="T8:V8" si="11">SUM(T4:T7)</f>
        <v>0</v>
      </c>
      <c r="U8" s="440">
        <f t="shared" si="11"/>
        <v>540</v>
      </c>
      <c r="V8" s="440">
        <f t="shared" si="11"/>
        <v>234</v>
      </c>
      <c r="W8" s="440">
        <f t="shared" ref="W8:X8" si="12">SUM(W4:W7)</f>
        <v>86.8</v>
      </c>
      <c r="X8" s="441">
        <f t="shared" si="12"/>
        <v>120</v>
      </c>
      <c r="Y8" s="440">
        <f t="shared" ref="Y8" si="13">SUM(Y4:Y7)</f>
        <v>0</v>
      </c>
      <c r="Z8" s="440">
        <f t="shared" ref="Z8" si="14">SUM(Z4:Z7)</f>
        <v>0</v>
      </c>
      <c r="AA8" s="440">
        <f t="shared" ref="AA8" si="15">SUM(AA4:AA7)</f>
        <v>0</v>
      </c>
      <c r="AB8" s="440">
        <f t="shared" ref="AB8" si="16">SUM(AB4:AB7)</f>
        <v>0</v>
      </c>
      <c r="AC8" s="440">
        <f t="shared" ref="AC8" si="17">SUM(AC4:AC7)</f>
        <v>0</v>
      </c>
      <c r="AD8" s="440">
        <f t="shared" ref="AD8" si="18">SUM(AD4:AD7)</f>
        <v>0</v>
      </c>
      <c r="AE8" s="440">
        <f t="shared" ref="AE8" si="19">SUM(AE4:AE7)</f>
        <v>0</v>
      </c>
      <c r="AF8" s="440">
        <f t="shared" ref="AF8" si="20">SUM(AF4:AF7)</f>
        <v>0</v>
      </c>
      <c r="AG8" s="440">
        <f t="shared" ref="AG8" si="21">SUM(AG4:AG7)</f>
        <v>0</v>
      </c>
      <c r="AH8" s="440">
        <f t="shared" ref="AH8" si="22">SUM(AH4:AH7)</f>
        <v>0</v>
      </c>
      <c r="AI8" s="440">
        <f t="shared" ref="AI8" si="23">SUM(AI4:AI7)</f>
        <v>0</v>
      </c>
      <c r="AJ8" s="440">
        <f t="shared" ref="AJ8" si="24">SUM(AJ4:AJ7)</f>
        <v>0</v>
      </c>
      <c r="AK8" s="440">
        <f t="shared" ref="AK8" si="25">SUM(AK4:AK7)</f>
        <v>0</v>
      </c>
      <c r="AL8" s="440">
        <f t="shared" ref="AL8" si="26">SUM(AL4:AL7)</f>
        <v>0</v>
      </c>
      <c r="AM8" s="440">
        <f t="shared" ref="AM8" si="27">SUM(AM4:AM7)</f>
        <v>0</v>
      </c>
      <c r="AN8" s="440">
        <f t="shared" ref="AN8" si="28">SUM(AN4:AN7)</f>
        <v>0</v>
      </c>
      <c r="AO8" s="440">
        <f t="shared" ref="AO8" si="29">SUM(AO4:AO7)</f>
        <v>0</v>
      </c>
      <c r="AP8" s="440">
        <f t="shared" ref="AP8" si="30">SUM(AP4:AP7)</f>
        <v>0</v>
      </c>
      <c r="AQ8" s="440">
        <f t="shared" ref="AQ8" si="31">SUM(AQ4:AQ7)</f>
        <v>0</v>
      </c>
      <c r="AR8" s="440">
        <f t="shared" ref="AR8" si="32">SUM(AR4:AR7)</f>
        <v>0</v>
      </c>
      <c r="AS8" s="440">
        <f t="shared" ref="AS8" si="33">SUM(AS4:AS7)</f>
        <v>0</v>
      </c>
      <c r="AT8" s="440">
        <f t="shared" ref="AT8" si="34">SUM(AT4:AT7)</f>
        <v>0</v>
      </c>
      <c r="AU8" s="440">
        <f t="shared" ref="AU8" si="35">SUM(AU4:AU7)</f>
        <v>0</v>
      </c>
      <c r="AV8" s="440">
        <f t="shared" ref="AV8" si="36">SUM(AV4:AV7)</f>
        <v>0</v>
      </c>
      <c r="AW8" s="440">
        <f t="shared" ref="AW8" si="37">SUM(AW4:AW7)</f>
        <v>0</v>
      </c>
      <c r="AX8" s="440">
        <f t="shared" ref="AX8" si="38">SUM(AX4:AX7)</f>
        <v>0</v>
      </c>
      <c r="AY8" s="440">
        <f t="shared" ref="AY8" si="39">SUM(AY4:AY7)</f>
        <v>0</v>
      </c>
      <c r="AZ8" s="440">
        <f t="shared" ref="AZ8" si="40">SUM(AZ4:AZ7)</f>
        <v>0</v>
      </c>
      <c r="BA8" s="440">
        <f t="shared" ref="BA8" si="41">SUM(BA4:BA7)</f>
        <v>0</v>
      </c>
      <c r="BB8" s="440">
        <f t="shared" ref="BB8" si="42">SUM(BB4:BB7)</f>
        <v>0</v>
      </c>
      <c r="BC8" s="440">
        <f t="shared" ref="BC8" si="43">SUM(BC4:BC7)</f>
        <v>0</v>
      </c>
      <c r="BD8" s="440">
        <f t="shared" ref="BD8" si="44">SUM(BD4:BD7)</f>
        <v>0</v>
      </c>
      <c r="BE8" s="440">
        <f t="shared" ref="BE8" si="45">SUM(BE4:BE7)</f>
        <v>0</v>
      </c>
      <c r="BF8" s="440">
        <f t="shared" ref="BF8" si="46">SUM(BF4:BF7)</f>
        <v>0</v>
      </c>
      <c r="BG8" s="440">
        <f t="shared" ref="BG8" si="47">SUM(BG4:BG7)</f>
        <v>0</v>
      </c>
      <c r="BH8" s="440">
        <f t="shared" ref="BH8" si="48">SUM(BH4:BH7)</f>
        <v>0</v>
      </c>
      <c r="BI8" s="440">
        <f t="shared" ref="BI8" si="49">SUM(BI4:BI7)</f>
        <v>0</v>
      </c>
      <c r="BJ8" s="440">
        <f t="shared" ref="BJ8" si="50">SUM(BJ4:BJ7)</f>
        <v>0</v>
      </c>
      <c r="BK8" s="440">
        <f t="shared" ref="BK8" si="51">SUM(BK4:BK7)</f>
        <v>0</v>
      </c>
      <c r="BL8" s="440">
        <f t="shared" ref="BL8" si="52">SUM(BL4:BL7)</f>
        <v>0</v>
      </c>
      <c r="BM8" s="440">
        <f t="shared" ref="BM8" si="53">SUM(BM4:BM7)</f>
        <v>0</v>
      </c>
      <c r="BN8" s="440">
        <f t="shared" ref="BN8" si="54">SUM(BN4:BN7)</f>
        <v>0</v>
      </c>
      <c r="BO8" s="440">
        <f t="shared" ref="BO8" si="55">SUM(BO4:BO7)</f>
        <v>0</v>
      </c>
      <c r="BP8" s="440">
        <f t="shared" ref="BP8" si="56">SUM(BP4:BP7)</f>
        <v>0</v>
      </c>
      <c r="BQ8" s="440">
        <f t="shared" ref="BQ8" si="57">SUM(BQ4:BQ7)</f>
        <v>0</v>
      </c>
      <c r="BR8" s="440">
        <f t="shared" ref="BR8" si="58">SUM(BR4:BR7)</f>
        <v>0</v>
      </c>
      <c r="BS8" s="440">
        <f t="shared" ref="BS8" si="59">SUM(BS4:BS7)</f>
        <v>0</v>
      </c>
      <c r="BT8" s="440">
        <f t="shared" ref="BT8" si="60">SUM(BT4:BT7)</f>
        <v>0</v>
      </c>
      <c r="BU8" s="440">
        <f t="shared" ref="BU8" si="61">SUM(BU4:BU7)</f>
        <v>0</v>
      </c>
      <c r="BV8" s="440">
        <f t="shared" ref="BV8" si="62">SUM(BV4:BV7)</f>
        <v>0</v>
      </c>
      <c r="BW8" s="440">
        <f t="shared" ref="BW8" si="63">SUM(BW4:BW7)</f>
        <v>0</v>
      </c>
      <c r="BX8" s="440">
        <f t="shared" ref="BX8" si="64">SUM(BX4:BX7)</f>
        <v>0</v>
      </c>
      <c r="BY8" s="440">
        <f t="shared" ref="BY8" si="65">SUM(BY4:BY7)</f>
        <v>0</v>
      </c>
      <c r="BZ8" s="440">
        <f t="shared" ref="BZ8" si="66">SUM(BZ4:BZ7)</f>
        <v>0</v>
      </c>
      <c r="CA8" s="440">
        <f t="shared" ref="CA8" si="67">SUM(CA4:CA7)</f>
        <v>0</v>
      </c>
      <c r="CB8" s="440">
        <f t="shared" ref="CB8" si="68">SUM(CB4:CB7)</f>
        <v>0</v>
      </c>
      <c r="CC8" s="440">
        <f t="shared" ref="CC8" si="69">SUM(CC4:CC7)</f>
        <v>0</v>
      </c>
      <c r="CD8" s="440">
        <f t="shared" ref="CD8" si="70">SUM(CD4:CD7)</f>
        <v>0</v>
      </c>
      <c r="CE8" s="440">
        <f t="shared" ref="CE8" si="71">SUM(CE4:CE7)</f>
        <v>0</v>
      </c>
      <c r="CF8" s="440">
        <f t="shared" ref="CF8" si="72">SUM(CF4:CF7)</f>
        <v>0</v>
      </c>
      <c r="CG8" s="440">
        <f t="shared" ref="CG8" si="73">SUM(CG4:CG7)</f>
        <v>0</v>
      </c>
      <c r="CH8" s="440">
        <f t="shared" ref="CH8" si="74">SUM(CH4:CH7)</f>
        <v>0</v>
      </c>
      <c r="CI8" s="440">
        <f t="shared" ref="CI8" si="75">SUM(CI4:CI7)</f>
        <v>0</v>
      </c>
      <c r="CJ8" s="440">
        <f t="shared" ref="CJ8" si="76">SUM(CJ4:CJ7)</f>
        <v>0</v>
      </c>
      <c r="CK8" s="440">
        <f t="shared" ref="CK8" si="77">SUM(CK4:CK7)</f>
        <v>0</v>
      </c>
      <c r="CL8" s="440">
        <f t="shared" ref="CL8" si="78">SUM(CL4:CL7)</f>
        <v>0</v>
      </c>
      <c r="CM8" s="440">
        <f t="shared" ref="CM8" si="79">SUM(CM4:CM7)</f>
        <v>0</v>
      </c>
      <c r="CN8" s="440">
        <f t="shared" ref="CN8" si="80">SUM(CN4:CN7)</f>
        <v>0</v>
      </c>
      <c r="CO8" s="440">
        <f t="shared" ref="CO8" si="81">SUM(CO4:CO7)</f>
        <v>0</v>
      </c>
      <c r="CP8" s="440">
        <f t="shared" ref="CP8" si="82">SUM(CP4:CP7)</f>
        <v>0</v>
      </c>
      <c r="CQ8" s="440">
        <f t="shared" ref="CQ8" si="83">SUM(CQ4:CQ7)</f>
        <v>0</v>
      </c>
      <c r="CR8" s="440">
        <f t="shared" ref="CR8" si="84">SUM(CR4:CR7)</f>
        <v>0</v>
      </c>
      <c r="CS8" s="440">
        <f t="shared" ref="CS8" si="85">SUM(CS4:CS7)</f>
        <v>0</v>
      </c>
      <c r="CT8" s="440">
        <f t="shared" ref="CT8" si="86">SUM(CT4:CT7)</f>
        <v>0</v>
      </c>
      <c r="CU8" s="440">
        <f t="shared" ref="CU8" si="87">SUM(CU4:CU7)</f>
        <v>0</v>
      </c>
      <c r="CV8" s="440">
        <f t="shared" ref="CV8" si="88">SUM(CV4:CV7)</f>
        <v>0</v>
      </c>
      <c r="CW8" s="440">
        <f t="shared" ref="CW8" si="89">SUM(CW4:CW7)</f>
        <v>0</v>
      </c>
      <c r="CX8" s="440">
        <f t="shared" ref="CX8" si="90">SUM(CX4:CX7)</f>
        <v>0</v>
      </c>
      <c r="CY8" s="440">
        <f t="shared" ref="CY8" si="91">SUM(CY4:CY7)</f>
        <v>0</v>
      </c>
      <c r="CZ8" s="440">
        <f t="shared" ref="CZ8" si="92">SUM(CZ4:CZ7)</f>
        <v>0</v>
      </c>
      <c r="DA8" s="440">
        <f t="shared" ref="DA8" si="93">SUM(DA4:DA7)</f>
        <v>0</v>
      </c>
      <c r="DB8" s="440">
        <f t="shared" ref="DB8" si="94">SUM(DB4:DB7)</f>
        <v>0</v>
      </c>
      <c r="DC8" s="440">
        <f t="shared" ref="DC8" si="95">SUM(DC4:DC7)</f>
        <v>0</v>
      </c>
      <c r="DD8" s="440">
        <f t="shared" ref="DD8" si="96">SUM(DD4:DD7)</f>
        <v>0</v>
      </c>
      <c r="DE8" s="440">
        <f t="shared" ref="DE8" si="97">SUM(DE4:DE7)</f>
        <v>0</v>
      </c>
      <c r="DF8" s="440">
        <f t="shared" ref="DF8" si="98">SUM(DF4:DF7)</f>
        <v>0</v>
      </c>
      <c r="DG8" s="440">
        <f t="shared" ref="DG8" si="99">SUM(DG4:DG7)</f>
        <v>0</v>
      </c>
      <c r="DH8" s="440">
        <f t="shared" ref="DH8" si="100">SUM(DH4:DH7)</f>
        <v>0</v>
      </c>
      <c r="DI8" s="440">
        <f t="shared" ref="DI8" si="101">SUM(DI4:DI7)</f>
        <v>0</v>
      </c>
      <c r="DJ8" s="440">
        <f t="shared" ref="DJ8" si="102">SUM(DJ4:DJ7)</f>
        <v>0</v>
      </c>
      <c r="DK8" s="440">
        <f t="shared" ref="DK8" si="103">SUM(DK4:DK7)</f>
        <v>0</v>
      </c>
      <c r="DL8" s="440">
        <f t="shared" ref="DL8" si="104">SUM(DL4:DL7)</f>
        <v>0</v>
      </c>
      <c r="DM8" s="440">
        <f t="shared" ref="DM8" si="105">SUM(DM4:DM7)</f>
        <v>0</v>
      </c>
      <c r="DN8" s="440">
        <f t="shared" ref="DN8" si="106">SUM(DN4:DN7)</f>
        <v>0</v>
      </c>
      <c r="DO8" s="440">
        <f t="shared" ref="DO8" si="107">SUM(DO4:DO7)</f>
        <v>0</v>
      </c>
      <c r="DP8" s="440">
        <f t="shared" ref="DP8" si="108">SUM(DP4:DP7)</f>
        <v>0</v>
      </c>
      <c r="DQ8" s="440">
        <f t="shared" ref="DQ8" si="109">SUM(DQ4:DQ7)</f>
        <v>0</v>
      </c>
      <c r="DR8" s="440">
        <f t="shared" ref="DR8" si="110">SUM(DR4:DR7)</f>
        <v>0</v>
      </c>
      <c r="DS8" s="440">
        <f t="shared" ref="DS8" si="111">SUM(DS4:DS7)</f>
        <v>0</v>
      </c>
      <c r="DT8" s="440">
        <f t="shared" ref="DT8" si="112">SUM(DT4:DT7)</f>
        <v>0</v>
      </c>
      <c r="DU8" s="440">
        <f t="shared" ref="DU8" si="113">SUM(DU4:DU7)</f>
        <v>0</v>
      </c>
      <c r="DV8" s="440">
        <f t="shared" ref="DV8" si="114">SUM(DV4:DV7)</f>
        <v>0</v>
      </c>
      <c r="DW8" s="440">
        <f t="shared" ref="DW8" si="115">SUM(DW4:DW7)</f>
        <v>0</v>
      </c>
      <c r="DX8" s="440">
        <f t="shared" ref="DX8" si="116">SUM(DX4:DX7)</f>
        <v>0</v>
      </c>
      <c r="DY8" s="440">
        <f t="shared" ref="DY8" si="117">SUM(DY4:DY7)</f>
        <v>0</v>
      </c>
      <c r="DZ8" s="440">
        <f t="shared" ref="DZ8" si="118">SUM(DZ4:DZ7)</f>
        <v>0</v>
      </c>
      <c r="EA8" s="440">
        <f t="shared" ref="EA8" si="119">SUM(EA4:EA7)</f>
        <v>0</v>
      </c>
      <c r="EB8" s="440">
        <f t="shared" ref="EB8" si="120">SUM(EB4:EB7)</f>
        <v>0</v>
      </c>
      <c r="EC8" s="440">
        <f t="shared" ref="EC8" si="121">SUM(EC4:EC7)</f>
        <v>0</v>
      </c>
      <c r="ED8" s="440">
        <f t="shared" ref="ED8" si="122">SUM(ED4:ED7)</f>
        <v>0</v>
      </c>
      <c r="EE8" s="440">
        <f t="shared" ref="EE8" si="123">SUM(EE4:EE7)</f>
        <v>0</v>
      </c>
      <c r="EF8" s="440">
        <f t="shared" ref="EF8" si="124">SUM(EF4:EF7)</f>
        <v>0</v>
      </c>
      <c r="EG8" s="440">
        <f t="shared" ref="EG8" si="125">SUM(EG4:EG7)</f>
        <v>0</v>
      </c>
      <c r="EH8" s="440">
        <f t="shared" ref="EH8" si="126">SUM(EH4:EH7)</f>
        <v>0</v>
      </c>
      <c r="EI8" s="440">
        <f t="shared" ref="EI8" si="127">SUM(EI4:EI7)</f>
        <v>0</v>
      </c>
      <c r="EJ8" s="440">
        <f t="shared" ref="EJ8" si="128">SUM(EJ4:EJ7)</f>
        <v>0</v>
      </c>
      <c r="EK8" s="440">
        <f t="shared" ref="EK8" si="129">SUM(EK4:EK7)</f>
        <v>0</v>
      </c>
      <c r="EL8" s="440">
        <f t="shared" ref="EL8" si="130">SUM(EL4:EL7)</f>
        <v>0</v>
      </c>
      <c r="EM8" s="440">
        <f t="shared" ref="EM8" si="131">SUM(EM4:EM7)</f>
        <v>0</v>
      </c>
      <c r="EN8" s="440">
        <f t="shared" ref="EN8" si="132">SUM(EN4:EN7)</f>
        <v>0</v>
      </c>
      <c r="EO8" s="440">
        <f t="shared" ref="EO8" si="133">SUM(EO4:EO7)</f>
        <v>0</v>
      </c>
      <c r="EP8" s="440">
        <f t="shared" ref="EP8" si="134">SUM(EP4:EP7)</f>
        <v>0</v>
      </c>
      <c r="EQ8" s="440">
        <f t="shared" ref="EQ8" si="135">SUM(EQ4:EQ7)</f>
        <v>0</v>
      </c>
      <c r="ER8" s="440">
        <f t="shared" ref="ER8" si="136">SUM(ER4:ER7)</f>
        <v>0</v>
      </c>
      <c r="ES8" s="440">
        <f t="shared" ref="ES8" si="137">SUM(ES4:ES7)</f>
        <v>0</v>
      </c>
      <c r="ET8" s="440">
        <f t="shared" ref="ET8" si="138">SUM(ET4:ET7)</f>
        <v>0</v>
      </c>
      <c r="EU8" s="440">
        <f t="shared" ref="EU8" si="139">SUM(EU4:EU7)</f>
        <v>0</v>
      </c>
      <c r="EV8" s="440">
        <f t="shared" ref="EV8" si="140">SUM(EV4:EV7)</f>
        <v>0</v>
      </c>
      <c r="EW8" s="440">
        <f t="shared" ref="EW8" si="141">SUM(EW4:EW7)</f>
        <v>0</v>
      </c>
      <c r="EX8" s="440">
        <f t="shared" ref="EX8" si="142">SUM(EX4:EX7)</f>
        <v>0</v>
      </c>
      <c r="EY8" s="440">
        <f t="shared" ref="EY8" si="143">SUM(EY4:EY7)</f>
        <v>0</v>
      </c>
      <c r="EZ8" s="440">
        <f t="shared" ref="EZ8" si="144">SUM(EZ4:EZ7)</f>
        <v>0</v>
      </c>
      <c r="FA8" s="440">
        <f t="shared" ref="FA8" si="145">SUM(FA4:FA7)</f>
        <v>0</v>
      </c>
      <c r="FB8" s="441">
        <f t="shared" ref="FB8" si="146">SUM(FB4:FB7)</f>
        <v>0</v>
      </c>
    </row>
    <row r="9" spans="2:158" x14ac:dyDescent="0.25">
      <c r="B9" s="449"/>
      <c r="D9" s="383"/>
      <c r="F9" s="7"/>
      <c r="H9" s="437"/>
      <c r="X9" s="743"/>
      <c r="FB9" s="438"/>
    </row>
    <row r="10" spans="2:158" x14ac:dyDescent="0.25">
      <c r="B10" s="449"/>
      <c r="D10" s="383"/>
      <c r="E10" t="s">
        <v>351</v>
      </c>
      <c r="F10" s="7"/>
      <c r="H10" s="437"/>
      <c r="X10" s="438"/>
      <c r="FB10" s="438"/>
    </row>
    <row r="11" spans="2:158" x14ac:dyDescent="0.25">
      <c r="B11" s="449" t="s">
        <v>315</v>
      </c>
      <c r="C11" t="s">
        <v>244</v>
      </c>
      <c r="D11" s="383">
        <v>50</v>
      </c>
      <c r="E11" s="517"/>
      <c r="F11" s="7"/>
      <c r="H11" s="439">
        <f>+IF(('Monthly Detail'!AG26-'Monthly Detail'!$B$24)&gt;0,('Monthly Detail'!AG26-'Monthly Detail'!$B$24)*'People Plan'!$D$11, 0)</f>
        <v>0</v>
      </c>
      <c r="I11" s="478">
        <v>0</v>
      </c>
      <c r="J11" s="478">
        <v>0</v>
      </c>
      <c r="K11" s="478">
        <v>0</v>
      </c>
      <c r="L11" s="478">
        <v>0</v>
      </c>
      <c r="M11" s="478">
        <f>+IF(('Monthly Detail'!AL26-'Monthly Detail'!$B$24)&gt;0,('Monthly Detail'!AL26-'Monthly Detail'!$B$24)*'People Plan'!$D$11, 0)</f>
        <v>0</v>
      </c>
      <c r="N11" s="478">
        <f>+IF(('Monthly Detail'!AM28-'Monthly Detail'!$B$24)&gt;0,('Monthly Detail'!AM28-'Monthly Detail'!$B$24)*'People Plan'!$D$11, 0)</f>
        <v>0</v>
      </c>
      <c r="O11" s="478">
        <v>0</v>
      </c>
      <c r="P11" s="478">
        <v>0</v>
      </c>
      <c r="Q11" s="478">
        <v>0</v>
      </c>
      <c r="R11" s="478">
        <v>0</v>
      </c>
      <c r="S11" s="478">
        <v>0</v>
      </c>
      <c r="T11" s="478">
        <f>+IF(('Monthly Detail'!AS28-'Monthly Detail'!$B$24)&gt;0,('Monthly Detail'!AS28-'Monthly Detail'!$B$24)*'People Plan'!$D$11, 0)</f>
        <v>0</v>
      </c>
      <c r="U11" s="478">
        <f>+IF(('Monthly Detail'!AT28-'Monthly Detail'!$B$24)&gt;0,('Monthly Detail'!AT28-'Monthly Detail'!$B$24)*'People Plan'!$D$11, 0)</f>
        <v>0</v>
      </c>
      <c r="V11" s="478">
        <f>+IF(('Monthly Detail'!AU28-'Monthly Detail'!$B$24)&gt;0,('Monthly Detail'!AU28-'Monthly Detail'!$B$24)*'People Plan'!$D$11, 0)</f>
        <v>0</v>
      </c>
      <c r="W11" s="478">
        <f>+IF(('Monthly Detail'!AV28-'Monthly Detail'!$B$24)&gt;0,('Monthly Detail'!AV28-'Monthly Detail'!$B$24)*'People Plan'!$D$11, 0)</f>
        <v>0</v>
      </c>
      <c r="X11" s="716">
        <f>+IF(('Monthly Detail'!AW28-'Monthly Detail'!$B$24)&gt;0,('Monthly Detail'!AW28-'Monthly Detail'!$B$24)*'People Plan'!$D$11, 0)</f>
        <v>0</v>
      </c>
      <c r="Y11" s="440">
        <f>+IF(('Monthly Detail'!AX28-'Monthly Detail'!$B$24)&gt;0,('Monthly Detail'!AX28-'Monthly Detail'!$B$24)*'People Plan'!$D$11, 0)</f>
        <v>0</v>
      </c>
      <c r="Z11" s="440">
        <f>+IF(('Monthly Detail'!AY28-'Monthly Detail'!$B$24)&gt;0,('Monthly Detail'!AY28-'Monthly Detail'!$B$24)*'People Plan'!$D$11, 0)</f>
        <v>0</v>
      </c>
      <c r="AA11" s="440">
        <f>+IF(('Monthly Detail'!AZ28-'Monthly Detail'!$B$24)&gt;0,('Monthly Detail'!AZ28-'Monthly Detail'!$B$24)*'People Plan'!$D$11, 0)</f>
        <v>0</v>
      </c>
      <c r="AB11" s="440">
        <f>+IF(('Monthly Detail'!BA28-'Monthly Detail'!$B$24)&gt;0,('Monthly Detail'!BA28-'Monthly Detail'!$B$24)*'People Plan'!$D$11, 0)</f>
        <v>0</v>
      </c>
      <c r="AC11" s="440">
        <f>+IF(('Monthly Detail'!BB28-'Monthly Detail'!$B$24)&gt;0,('Monthly Detail'!BB28-'Monthly Detail'!$B$24)*'People Plan'!$D$11, 0)</f>
        <v>0</v>
      </c>
      <c r="AD11" s="440">
        <f>+IF(('Monthly Detail'!BC28-'Monthly Detail'!$B$24)&gt;0,('Monthly Detail'!BC28-'Monthly Detail'!$B$24)*'People Plan'!$D$11, 0)</f>
        <v>0</v>
      </c>
      <c r="AE11" s="440">
        <f>+IF(('Monthly Detail'!BD28-'Monthly Detail'!$B$24)&gt;0,('Monthly Detail'!BD28-'Monthly Detail'!$B$24)*'People Plan'!$D$11, 0)</f>
        <v>0</v>
      </c>
      <c r="AF11" s="440">
        <f>+IF(('Monthly Detail'!BE28-'Monthly Detail'!$B$24)&gt;0,('Monthly Detail'!BE28-'Monthly Detail'!$B$24)*'People Plan'!$D$11, 0)</f>
        <v>0</v>
      </c>
      <c r="AG11" s="440">
        <f>+IF(('Monthly Detail'!BF28-'Monthly Detail'!$B$24)&gt;0,('Monthly Detail'!BF28-'Monthly Detail'!$B$24)*'People Plan'!$D$11, 0)</f>
        <v>0</v>
      </c>
      <c r="AH11" s="440">
        <f>+IF(('Monthly Detail'!BG28-'Monthly Detail'!$B$24)&gt;0,('Monthly Detail'!BG28-'Monthly Detail'!$B$24)*'People Plan'!$D$11, 0)</f>
        <v>0</v>
      </c>
      <c r="AI11" s="440">
        <f>+IF(('Monthly Detail'!BH28-'Monthly Detail'!$B$24)&gt;0,('Monthly Detail'!BH28-'Monthly Detail'!$B$24)*'People Plan'!$D$11, 0)</f>
        <v>0</v>
      </c>
      <c r="AJ11" s="440">
        <f>+IF(('Monthly Detail'!BI28-'Monthly Detail'!$B$24)&gt;0,('Monthly Detail'!BI28-'Monthly Detail'!$B$24)*'People Plan'!$D$11, 0)</f>
        <v>0</v>
      </c>
      <c r="AK11" s="440">
        <f>+IF(('Monthly Detail'!BJ28-'Monthly Detail'!$B$24)&gt;0,('Monthly Detail'!BJ28-'Monthly Detail'!$B$24)*'People Plan'!$D$11, 0)</f>
        <v>0</v>
      </c>
      <c r="AL11" s="440">
        <f>+IF(('Monthly Detail'!BK28-'Monthly Detail'!$B$24)&gt;0,('Monthly Detail'!BK28-'Monthly Detail'!$B$24)*'People Plan'!$D$11, 0)</f>
        <v>0</v>
      </c>
      <c r="AM11" s="440">
        <f>+IF(('Monthly Detail'!BL28-'Monthly Detail'!$B$24)&gt;0,('Monthly Detail'!BL28-'Monthly Detail'!$B$24)*'People Plan'!$D$11, 0)</f>
        <v>0</v>
      </c>
      <c r="AN11" s="440">
        <f>+IF(('Monthly Detail'!BM28-'Monthly Detail'!$B$24)&gt;0,('Monthly Detail'!BM28-'Monthly Detail'!$B$24)*'People Plan'!$D$11, 0)</f>
        <v>0</v>
      </c>
      <c r="AO11" s="440">
        <f>+IF(('Monthly Detail'!BN28-'Monthly Detail'!$B$24)&gt;0,('Monthly Detail'!BN28-'Monthly Detail'!$B$24)*'People Plan'!$D$11, 0)</f>
        <v>0</v>
      </c>
      <c r="AP11" s="440">
        <f>+IF(('Monthly Detail'!BO28-'Monthly Detail'!$B$24)&gt;0,('Monthly Detail'!BO28-'Monthly Detail'!$B$24)*'People Plan'!$D$11, 0)</f>
        <v>0</v>
      </c>
      <c r="AQ11" s="440">
        <f>+IF(('Monthly Detail'!BP28-'Monthly Detail'!$B$24)&gt;0,('Monthly Detail'!BP28-'Monthly Detail'!$B$24)*'People Plan'!$D$11, 0)</f>
        <v>0</v>
      </c>
      <c r="AR11" s="440">
        <f>+IF(('Monthly Detail'!BQ28-'Monthly Detail'!$B$24)&gt;0,('Monthly Detail'!BQ28-'Monthly Detail'!$B$24)*'People Plan'!$D$11, 0)</f>
        <v>0</v>
      </c>
      <c r="AS11" s="440">
        <f>+IF(('Monthly Detail'!BR28-'Monthly Detail'!$B$24)&gt;0,('Monthly Detail'!BR28-'Monthly Detail'!$B$24)*'People Plan'!$D$11, 0)</f>
        <v>0</v>
      </c>
      <c r="AT11" s="440">
        <f>+IF(('Monthly Detail'!BS28-'Monthly Detail'!$B$24)&gt;0,('Monthly Detail'!BS28-'Monthly Detail'!$B$24)*'People Plan'!$D$11, 0)</f>
        <v>0</v>
      </c>
      <c r="AU11" s="440">
        <f>+IF(('Monthly Detail'!BT28-'Monthly Detail'!$B$24)&gt;0,('Monthly Detail'!BT28-'Monthly Detail'!$B$24)*'People Plan'!$D$11, 0)</f>
        <v>0</v>
      </c>
      <c r="AV11" s="440">
        <f>+IF(('Monthly Detail'!BU28-'Monthly Detail'!$B$24)&gt;0,('Monthly Detail'!BU28-'Monthly Detail'!$B$24)*'People Plan'!$D$11, 0)</f>
        <v>0</v>
      </c>
      <c r="AW11" s="440">
        <f>+IF(('Monthly Detail'!BV28-'Monthly Detail'!$B$24)&gt;0,('Monthly Detail'!BV28-'Monthly Detail'!$B$24)*'People Plan'!$D$11, 0)</f>
        <v>0</v>
      </c>
      <c r="AX11" s="440">
        <f>+IF(('Monthly Detail'!BW28-'Monthly Detail'!$B$24)&gt;0,('Monthly Detail'!BW28-'Monthly Detail'!$B$24)*'People Plan'!$D$11, 0)</f>
        <v>0</v>
      </c>
      <c r="AY11" s="440">
        <f>+IF(('Monthly Detail'!BX28-'Monthly Detail'!$B$24)&gt;0,('Monthly Detail'!BX28-'Monthly Detail'!$B$24)*'People Plan'!$D$11, 0)</f>
        <v>0</v>
      </c>
      <c r="AZ11" s="440">
        <f>+IF(('Monthly Detail'!BY28-'Monthly Detail'!$B$24)&gt;0,('Monthly Detail'!BY28-'Monthly Detail'!$B$24)*'People Plan'!$D$11, 0)</f>
        <v>0</v>
      </c>
      <c r="BA11" s="440">
        <f>+IF(('Monthly Detail'!BZ28-'Monthly Detail'!$B$24)&gt;0,('Monthly Detail'!BZ28-'Monthly Detail'!$B$24)*'People Plan'!$D$11, 0)</f>
        <v>0</v>
      </c>
      <c r="BB11" s="440">
        <f>+IF(('Monthly Detail'!CA28-'Monthly Detail'!$B$24)&gt;0,('Monthly Detail'!CA28-'Monthly Detail'!$B$24)*'People Plan'!$D$11, 0)</f>
        <v>0</v>
      </c>
      <c r="BC11" s="440">
        <f>+IF(('Monthly Detail'!CB28-'Monthly Detail'!$B$24)&gt;0,('Monthly Detail'!CB28-'Monthly Detail'!$B$24)*'People Plan'!$D$11, 0)</f>
        <v>0</v>
      </c>
      <c r="BD11" s="440">
        <f>+IF(('Monthly Detail'!CC28-'Monthly Detail'!$B$24)&gt;0,('Monthly Detail'!CC28-'Monthly Detail'!$B$24)*'People Plan'!$D$11, 0)</f>
        <v>0</v>
      </c>
      <c r="BE11" s="440">
        <f>+IF(('Monthly Detail'!CD28-'Monthly Detail'!$B$24)&gt;0,('Monthly Detail'!CD28-'Monthly Detail'!$B$24)*'People Plan'!$D$11, 0)</f>
        <v>0</v>
      </c>
      <c r="BF11" s="440">
        <f>+IF(('Monthly Detail'!CE28-'Monthly Detail'!$B$24)&gt;0,('Monthly Detail'!CE28-'Monthly Detail'!$B$24)*'People Plan'!$D$11, 0)</f>
        <v>0</v>
      </c>
      <c r="BG11" s="440">
        <f>+IF(('Monthly Detail'!CF28-'Monthly Detail'!$B$24)&gt;0,('Monthly Detail'!CF28-'Monthly Detail'!$B$24)*'People Plan'!$D$11, 0)</f>
        <v>0</v>
      </c>
      <c r="BH11" s="440">
        <f>+IF(('Monthly Detail'!CG28-'Monthly Detail'!$B$24)&gt;0,('Monthly Detail'!CG28-'Monthly Detail'!$B$24)*'People Plan'!$D$11, 0)</f>
        <v>0</v>
      </c>
      <c r="BI11" s="440">
        <f>+IF(('Monthly Detail'!CH28-'Monthly Detail'!$B$24)&gt;0,('Monthly Detail'!CH28-'Monthly Detail'!$B$24)*'People Plan'!$D$11, 0)</f>
        <v>0</v>
      </c>
      <c r="BJ11" s="440">
        <f>+IF(('Monthly Detail'!CI28-'Monthly Detail'!$B$24)&gt;0,('Monthly Detail'!CI28-'Monthly Detail'!$B$24)*'People Plan'!$D$11, 0)</f>
        <v>0</v>
      </c>
      <c r="BK11" s="440">
        <f>+IF(('Monthly Detail'!CJ28-'Monthly Detail'!$B$24)&gt;0,('Monthly Detail'!CJ28-'Monthly Detail'!$B$24)*'People Plan'!$D$11, 0)</f>
        <v>0</v>
      </c>
      <c r="BL11" s="440">
        <f>+IF(('Monthly Detail'!CK28-'Monthly Detail'!$B$24)&gt;0,('Monthly Detail'!CK28-'Monthly Detail'!$B$24)*'People Plan'!$D$11, 0)</f>
        <v>0</v>
      </c>
      <c r="BM11" s="440">
        <f>+IF(('Monthly Detail'!CL28-'Monthly Detail'!$B$24)&gt;0,('Monthly Detail'!CL28-'Monthly Detail'!$B$24)*'People Plan'!$D$11, 0)</f>
        <v>480.03676190475346</v>
      </c>
      <c r="BN11" s="440">
        <f>+IF(('Monthly Detail'!CM28-'Monthly Detail'!$B$24)&gt;0,('Monthly Detail'!CM28-'Monthly Detail'!$B$24)*'People Plan'!$D$11, 0)</f>
        <v>0</v>
      </c>
      <c r="BO11" s="440">
        <f>+IF(('Monthly Detail'!CN28-'Monthly Detail'!$B$24)&gt;0,('Monthly Detail'!CN28-'Monthly Detail'!$B$24)*'People Plan'!$D$11, 0)</f>
        <v>0</v>
      </c>
      <c r="BP11" s="440">
        <f>+IF(('Monthly Detail'!CO28-'Monthly Detail'!$B$24)&gt;0,('Monthly Detail'!CO28-'Monthly Detail'!$B$24)*'People Plan'!$D$11, 0)</f>
        <v>0</v>
      </c>
      <c r="BQ11" s="440">
        <f>+IF(('Monthly Detail'!CP28-'Monthly Detail'!$B$24)&gt;0,('Monthly Detail'!CP28-'Monthly Detail'!$B$24)*'People Plan'!$D$11, 0)</f>
        <v>0</v>
      </c>
      <c r="BR11" s="440">
        <f>+IF(('Monthly Detail'!CQ28-'Monthly Detail'!$B$24)&gt;0,('Monthly Detail'!CQ28-'Monthly Detail'!$B$24)*'People Plan'!$D$11, 0)</f>
        <v>0</v>
      </c>
      <c r="BS11" s="440">
        <f>+IF(('Monthly Detail'!CR28-'Monthly Detail'!$B$24)&gt;0,('Monthly Detail'!CR28-'Monthly Detail'!$B$24)*'People Plan'!$D$11, 0)</f>
        <v>0</v>
      </c>
      <c r="BT11" s="440">
        <f>+IF(('Monthly Detail'!CS28-'Monthly Detail'!$B$24)&gt;0,('Monthly Detail'!CS28-'Monthly Detail'!$B$24)*'People Plan'!$D$11, 0)</f>
        <v>0</v>
      </c>
      <c r="BU11" s="440">
        <f>+IF(('Monthly Detail'!CT28-'Monthly Detail'!$B$24)&gt;0,('Monthly Detail'!CT28-'Monthly Detail'!$B$24)*'People Plan'!$D$11, 0)</f>
        <v>0</v>
      </c>
      <c r="BV11" s="440">
        <f>+IF(('Monthly Detail'!CU28-'Monthly Detail'!$B$24)&gt;0,('Monthly Detail'!CU28-'Monthly Detail'!$B$24)*'People Plan'!$D$11, 0)</f>
        <v>0</v>
      </c>
      <c r="BW11" s="440">
        <f>+IF(('Monthly Detail'!CV28-'Monthly Detail'!$B$24)&gt;0,('Monthly Detail'!CV28-'Monthly Detail'!$B$24)*'People Plan'!$D$11, 0)</f>
        <v>0</v>
      </c>
      <c r="BX11" s="440">
        <f>+IF(('Monthly Detail'!CW28-'Monthly Detail'!$B$24)&gt;0,('Monthly Detail'!CW28-'Monthly Detail'!$B$24)*'People Plan'!$D$11, 0)</f>
        <v>0</v>
      </c>
      <c r="BY11" s="440">
        <f>+IF(('Monthly Detail'!CX28-'Monthly Detail'!$B$24)&gt;0,('Monthly Detail'!CX28-'Monthly Detail'!$B$24)*'People Plan'!$D$11, 0)</f>
        <v>2813.8180666666499</v>
      </c>
      <c r="BZ11" s="440">
        <f>+IF(('Monthly Detail'!CY28-'Monthly Detail'!$B$24)&gt;0,('Monthly Detail'!CY28-'Monthly Detail'!$B$24)*'People Plan'!$D$11, 0)</f>
        <v>0</v>
      </c>
      <c r="CA11" s="440">
        <f>+IF(('Monthly Detail'!CZ28-'Monthly Detail'!$B$24)&gt;0,('Monthly Detail'!CZ28-'Monthly Detail'!$B$24)*'People Plan'!$D$11, 0)</f>
        <v>0</v>
      </c>
      <c r="CB11" s="440">
        <f>+IF(('Monthly Detail'!DA28-'Monthly Detail'!$B$24)&gt;0,('Monthly Detail'!DA28-'Monthly Detail'!$B$24)*'People Plan'!$D$11, 0)</f>
        <v>0</v>
      </c>
      <c r="CC11" s="440">
        <f>+IF(('Monthly Detail'!DB28-'Monthly Detail'!$B$24)&gt;0,('Monthly Detail'!DB28-'Monthly Detail'!$B$24)*'People Plan'!$D$11, 0)</f>
        <v>0</v>
      </c>
      <c r="CD11" s="440">
        <f>+IF(('Monthly Detail'!DC28-'Monthly Detail'!$B$24)&gt;0,('Monthly Detail'!DC28-'Monthly Detail'!$B$24)*'People Plan'!$D$11, 0)</f>
        <v>0</v>
      </c>
      <c r="CE11" s="440">
        <f>+IF(('Monthly Detail'!DD28-'Monthly Detail'!$B$24)&gt;0,('Monthly Detail'!DD28-'Monthly Detail'!$B$24)*'People Plan'!$D$11, 0)</f>
        <v>0</v>
      </c>
      <c r="CF11" s="440">
        <f>+IF(('Monthly Detail'!DE28-'Monthly Detail'!$B$24)&gt;0,('Monthly Detail'!DE28-'Monthly Detail'!$B$24)*'People Plan'!$D$11, 0)</f>
        <v>0</v>
      </c>
      <c r="CG11" s="440">
        <f>+IF(('Monthly Detail'!DF28-'Monthly Detail'!$B$24)&gt;0,('Monthly Detail'!DF28-'Monthly Detail'!$B$24)*'People Plan'!$D$11, 0)</f>
        <v>0</v>
      </c>
      <c r="CH11" s="440">
        <f>+IF(('Monthly Detail'!DG28-'Monthly Detail'!$B$24)&gt;0,('Monthly Detail'!DG28-'Monthly Detail'!$B$24)*'People Plan'!$D$11, 0)</f>
        <v>0</v>
      </c>
      <c r="CI11" s="440">
        <f>+IF(('Monthly Detail'!DH28-'Monthly Detail'!$B$24)&gt;0,('Monthly Detail'!DH28-'Monthly Detail'!$B$24)*'People Plan'!$D$11, 0)</f>
        <v>0</v>
      </c>
      <c r="CJ11" s="440">
        <f>+IF(('Monthly Detail'!DI28-'Monthly Detail'!$B$24)&gt;0,('Monthly Detail'!DI28-'Monthly Detail'!$B$24)*'People Plan'!$D$11, 0)</f>
        <v>0</v>
      </c>
      <c r="CK11" s="440">
        <f>+IF(('Monthly Detail'!DJ28-'Monthly Detail'!$B$24)&gt;0,('Monthly Detail'!DJ28-'Monthly Detail'!$B$24)*'People Plan'!$D$11, 0)</f>
        <v>0</v>
      </c>
      <c r="CL11" s="440">
        <f>+IF(('Monthly Detail'!DK28-'Monthly Detail'!$B$24)&gt;0,('Monthly Detail'!DK28-'Monthly Detail'!$B$24)*'People Plan'!$D$11, 0)</f>
        <v>0</v>
      </c>
      <c r="CM11" s="440">
        <f>+IF(('Monthly Detail'!DL28-'Monthly Detail'!$B$24)&gt;0,('Monthly Detail'!DL28-'Monthly Detail'!$B$24)*'People Plan'!$D$11, 0)</f>
        <v>0</v>
      </c>
      <c r="CN11" s="440">
        <f>+IF(('Monthly Detail'!DM28-'Monthly Detail'!$B$24)&gt;0,('Monthly Detail'!DM28-'Monthly Detail'!$B$24)*'People Plan'!$D$11, 0)</f>
        <v>0</v>
      </c>
      <c r="CO11" s="440">
        <f>+IF(('Monthly Detail'!DN28-'Monthly Detail'!$B$24)&gt;0,('Monthly Detail'!DN28-'Monthly Detail'!$B$24)*'People Plan'!$D$11, 0)</f>
        <v>0</v>
      </c>
      <c r="CP11" s="440">
        <f>+IF(('Monthly Detail'!DO28-'Monthly Detail'!$B$24)&gt;0,('Monthly Detail'!DO28-'Monthly Detail'!$B$24)*'People Plan'!$D$11, 0)</f>
        <v>0</v>
      </c>
      <c r="CQ11" s="440">
        <f>+IF(('Monthly Detail'!DP28-'Monthly Detail'!$B$24)&gt;0,('Monthly Detail'!DP28-'Monthly Detail'!$B$24)*'People Plan'!$D$11, 0)</f>
        <v>0</v>
      </c>
      <c r="CR11" s="440">
        <f>+IF(('Monthly Detail'!DQ28-'Monthly Detail'!$B$24)&gt;0,('Monthly Detail'!DQ28-'Monthly Detail'!$B$24)*'People Plan'!$D$11, 0)</f>
        <v>0</v>
      </c>
      <c r="CS11" s="440">
        <f>+IF(('Monthly Detail'!DR28-'Monthly Detail'!$B$24)&gt;0,('Monthly Detail'!DR28-'Monthly Detail'!$B$24)*'People Plan'!$D$11, 0)</f>
        <v>0</v>
      </c>
      <c r="CT11" s="440">
        <f>+IF(('Monthly Detail'!DS28-'Monthly Detail'!$B$24)&gt;0,('Monthly Detail'!DS28-'Monthly Detail'!$B$24)*'People Plan'!$D$11, 0)</f>
        <v>0</v>
      </c>
      <c r="CU11" s="440">
        <f>+IF(('Monthly Detail'!DT28-'Monthly Detail'!$B$24)&gt;0,('Monthly Detail'!DT28-'Monthly Detail'!$B$24)*'People Plan'!$D$11, 0)</f>
        <v>0</v>
      </c>
      <c r="CV11" s="440">
        <f>+IF(('Monthly Detail'!DU28-'Monthly Detail'!$B$24)&gt;0,('Monthly Detail'!DU28-'Monthly Detail'!$B$24)*'People Plan'!$D$11, 0)</f>
        <v>0</v>
      </c>
      <c r="CW11" s="440">
        <f>+IF(('Monthly Detail'!DV28-'Monthly Detail'!$B$24)&gt;0,('Monthly Detail'!DV28-'Monthly Detail'!$B$24)*'People Plan'!$D$11, 0)</f>
        <v>0</v>
      </c>
      <c r="CX11" s="440">
        <f>+IF(('Monthly Detail'!DW28-'Monthly Detail'!$B$24)&gt;0,('Monthly Detail'!DW28-'Monthly Detail'!$B$24)*'People Plan'!$D$11, 0)</f>
        <v>0</v>
      </c>
      <c r="CY11" s="440">
        <f>+IF(('Monthly Detail'!DX28-'Monthly Detail'!$B$24)&gt;0,('Monthly Detail'!DX28-'Monthly Detail'!$B$24)*'People Plan'!$D$11, 0)</f>
        <v>0</v>
      </c>
      <c r="CZ11" s="440">
        <f>+IF(('Monthly Detail'!DY28-'Monthly Detail'!$B$24)&gt;0,('Monthly Detail'!DY28-'Monthly Detail'!$B$24)*'People Plan'!$D$11, 0)</f>
        <v>0</v>
      </c>
      <c r="DA11" s="440">
        <f>+IF(('Monthly Detail'!DZ28-'Monthly Detail'!$B$24)&gt;0,('Monthly Detail'!DZ28-'Monthly Detail'!$B$24)*'People Plan'!$D$11, 0)</f>
        <v>0</v>
      </c>
      <c r="DB11" s="440">
        <f>+IF(('Monthly Detail'!EA28-'Monthly Detail'!$B$24)&gt;0,('Monthly Detail'!EA28-'Monthly Detail'!$B$24)*'People Plan'!$D$11, 0)</f>
        <v>0</v>
      </c>
      <c r="DC11" s="440">
        <f>+IF(('Monthly Detail'!EB28-'Monthly Detail'!$B$24)&gt;0,('Monthly Detail'!EB28-'Monthly Detail'!$B$24)*'People Plan'!$D$11, 0)</f>
        <v>0</v>
      </c>
      <c r="DD11" s="440">
        <f>+IF(('Monthly Detail'!EC28-'Monthly Detail'!$B$24)&gt;0,('Monthly Detail'!EC28-'Monthly Detail'!$B$24)*'People Plan'!$D$11, 0)</f>
        <v>0</v>
      </c>
      <c r="DE11" s="440">
        <f>+IF(('Monthly Detail'!ED28-'Monthly Detail'!$B$24)&gt;0,('Monthly Detail'!ED28-'Monthly Detail'!$B$24)*'People Plan'!$D$11, 0)</f>
        <v>0</v>
      </c>
      <c r="DF11" s="440">
        <f>+IF(('Monthly Detail'!EE28-'Monthly Detail'!$B$24)&gt;0,('Monthly Detail'!EE28-'Monthly Detail'!$B$24)*'People Plan'!$D$11, 0)</f>
        <v>0</v>
      </c>
      <c r="DG11" s="440">
        <f>+IF(('Monthly Detail'!EF28-'Monthly Detail'!$B$24)&gt;0,('Monthly Detail'!EF28-'Monthly Detail'!$B$24)*'People Plan'!$D$11, 0)</f>
        <v>0</v>
      </c>
      <c r="DH11" s="440">
        <f>+IF(('Monthly Detail'!EG28-'Monthly Detail'!$B$24)&gt;0,('Monthly Detail'!EG28-'Monthly Detail'!$B$24)*'People Plan'!$D$11, 0)</f>
        <v>0</v>
      </c>
      <c r="DI11" s="440">
        <f>+IF(('Monthly Detail'!EH28-'Monthly Detail'!$B$24)&gt;0,('Monthly Detail'!EH28-'Monthly Detail'!$B$24)*'People Plan'!$D$11, 0)</f>
        <v>0</v>
      </c>
      <c r="DJ11" s="440">
        <f>+IF(('Monthly Detail'!EI28-'Monthly Detail'!$B$24)&gt;0,('Monthly Detail'!EI28-'Monthly Detail'!$B$24)*'People Plan'!$D$11, 0)</f>
        <v>0</v>
      </c>
      <c r="DK11" s="440">
        <f>+IF(('Monthly Detail'!EJ28-'Monthly Detail'!$B$24)&gt;0,('Monthly Detail'!EJ28-'Monthly Detail'!$B$24)*'People Plan'!$D$11, 0)</f>
        <v>0</v>
      </c>
      <c r="DL11" s="440">
        <f>+IF(('Monthly Detail'!EK28-'Monthly Detail'!$B$24)&gt;0,('Monthly Detail'!EK28-'Monthly Detail'!$B$24)*'People Plan'!$D$11, 0)</f>
        <v>0</v>
      </c>
      <c r="DM11" s="440">
        <f>+IF(('Monthly Detail'!EL28-'Monthly Detail'!$B$24)&gt;0,('Monthly Detail'!EL28-'Monthly Detail'!$B$24)*'People Plan'!$D$11, 0)</f>
        <v>0</v>
      </c>
      <c r="DN11" s="440">
        <f>+IF(('Monthly Detail'!EM28-'Monthly Detail'!$B$24)&gt;0,('Monthly Detail'!EM28-'Monthly Detail'!$B$24)*'People Plan'!$D$11, 0)</f>
        <v>0</v>
      </c>
      <c r="DO11" s="440">
        <f>+IF(('Monthly Detail'!EN28-'Monthly Detail'!$B$24)&gt;0,('Monthly Detail'!EN28-'Monthly Detail'!$B$24)*'People Plan'!$D$11, 0)</f>
        <v>0</v>
      </c>
      <c r="DP11" s="440">
        <f>+IF(('Monthly Detail'!EO28-'Monthly Detail'!$B$24)&gt;0,('Monthly Detail'!EO28-'Monthly Detail'!$B$24)*'People Plan'!$D$11, 0)</f>
        <v>0</v>
      </c>
      <c r="DQ11" s="440">
        <f>+IF(('Monthly Detail'!EP28-'Monthly Detail'!$B$24)&gt;0,('Monthly Detail'!EP28-'Monthly Detail'!$B$24)*'People Plan'!$D$11, 0)</f>
        <v>0</v>
      </c>
      <c r="DR11" s="440">
        <f>+IF(('Monthly Detail'!EQ28-'Monthly Detail'!$B$24)&gt;0,('Monthly Detail'!EQ28-'Monthly Detail'!$B$24)*'People Plan'!$D$11, 0)</f>
        <v>0</v>
      </c>
      <c r="DS11" s="440">
        <f>+IF(('Monthly Detail'!ER28-'Monthly Detail'!$B$24)&gt;0,('Monthly Detail'!ER28-'Monthly Detail'!$B$24)*'People Plan'!$D$11, 0)</f>
        <v>0</v>
      </c>
      <c r="DT11" s="440">
        <f>+IF(('Monthly Detail'!ES28-'Monthly Detail'!$B$24)&gt;0,('Monthly Detail'!ES28-'Monthly Detail'!$B$24)*'People Plan'!$D$11, 0)</f>
        <v>0</v>
      </c>
      <c r="DU11" s="440">
        <f>+IF(('Monthly Detail'!ET28-'Monthly Detail'!$B$24)&gt;0,('Monthly Detail'!ET28-'Monthly Detail'!$B$24)*'People Plan'!$D$11, 0)</f>
        <v>0</v>
      </c>
      <c r="DV11" s="440">
        <f>+IF(('Monthly Detail'!EU28-'Monthly Detail'!$B$24)&gt;0,('Monthly Detail'!EU28-'Monthly Detail'!$B$24)*'People Plan'!$D$11, 0)</f>
        <v>0</v>
      </c>
      <c r="DW11" s="440">
        <f>+IF(('Monthly Detail'!EV28-'Monthly Detail'!$B$24)&gt;0,('Monthly Detail'!EV28-'Monthly Detail'!$B$24)*'People Plan'!$D$11, 0)</f>
        <v>0</v>
      </c>
      <c r="DX11" s="440">
        <f>+IF(('Monthly Detail'!EW28-'Monthly Detail'!$B$24)&gt;0,('Monthly Detail'!EW28-'Monthly Detail'!$B$24)*'People Plan'!$D$11, 0)</f>
        <v>0</v>
      </c>
      <c r="DY11" s="440">
        <f>+IF(('Monthly Detail'!EX28-'Monthly Detail'!$B$24)&gt;0,('Monthly Detail'!EX28-'Monthly Detail'!$B$24)*'People Plan'!$D$11, 0)</f>
        <v>0</v>
      </c>
      <c r="DZ11" s="440">
        <f>+IF(('Monthly Detail'!EY28-'Monthly Detail'!$B$24)&gt;0,('Monthly Detail'!EY28-'Monthly Detail'!$B$24)*'People Plan'!$D$11, 0)</f>
        <v>0</v>
      </c>
      <c r="EA11" s="440">
        <f>+IF(('Monthly Detail'!EZ28-'Monthly Detail'!$B$24)&gt;0,('Monthly Detail'!EZ28-'Monthly Detail'!$B$24)*'People Plan'!$D$11, 0)</f>
        <v>0</v>
      </c>
      <c r="EB11" s="440">
        <f>+IF(('Monthly Detail'!FA28-'Monthly Detail'!$B$24)&gt;0,('Monthly Detail'!FA28-'Monthly Detail'!$B$24)*'People Plan'!$D$11, 0)</f>
        <v>0</v>
      </c>
      <c r="EC11" s="440">
        <f>+IF(('Monthly Detail'!FB28-'Monthly Detail'!$B$24)&gt;0,('Monthly Detail'!FB28-'Monthly Detail'!$B$24)*'People Plan'!$D$11, 0)</f>
        <v>0</v>
      </c>
      <c r="ED11" s="440">
        <f>+IF(('Monthly Detail'!FC28-'Monthly Detail'!$B$24)&gt;0,('Monthly Detail'!FC28-'Monthly Detail'!$B$24)*'People Plan'!$D$11, 0)</f>
        <v>0</v>
      </c>
      <c r="EE11" s="440">
        <f>+IF(('Monthly Detail'!FD28-'Monthly Detail'!$B$24)&gt;0,('Monthly Detail'!FD28-'Monthly Detail'!$B$24)*'People Plan'!$D$11, 0)</f>
        <v>0</v>
      </c>
      <c r="EF11" s="440">
        <f>+IF(('Monthly Detail'!FE28-'Monthly Detail'!$B$24)&gt;0,('Monthly Detail'!FE28-'Monthly Detail'!$B$24)*'People Plan'!$D$11, 0)</f>
        <v>0</v>
      </c>
      <c r="EG11" s="440">
        <f>+IF(('Monthly Detail'!FF28-'Monthly Detail'!$B$24)&gt;0,('Monthly Detail'!FF28-'Monthly Detail'!$B$24)*'People Plan'!$D$11, 0)</f>
        <v>0</v>
      </c>
      <c r="EH11" s="440">
        <f>+IF(('Monthly Detail'!FG28-'Monthly Detail'!$B$24)&gt;0,('Monthly Detail'!FG28-'Monthly Detail'!$B$24)*'People Plan'!$D$11, 0)</f>
        <v>0</v>
      </c>
      <c r="EI11" s="440">
        <f>+IF(('Monthly Detail'!FH28-'Monthly Detail'!$B$24)&gt;0,('Monthly Detail'!FH28-'Monthly Detail'!$B$24)*'People Plan'!$D$11, 0)</f>
        <v>0</v>
      </c>
      <c r="EJ11" s="440">
        <f>+IF(('Monthly Detail'!FI28-'Monthly Detail'!$B$24)&gt;0,('Monthly Detail'!FI28-'Monthly Detail'!$B$24)*'People Plan'!$D$11, 0)</f>
        <v>0</v>
      </c>
      <c r="EK11" s="440">
        <f>+IF(('Monthly Detail'!FJ28-'Monthly Detail'!$B$24)&gt;0,('Monthly Detail'!FJ28-'Monthly Detail'!$B$24)*'People Plan'!$D$11, 0)</f>
        <v>0</v>
      </c>
      <c r="EL11" s="440">
        <f>+IF(('Monthly Detail'!FK28-'Monthly Detail'!$B$24)&gt;0,('Monthly Detail'!FK28-'Monthly Detail'!$B$24)*'People Plan'!$D$11, 0)</f>
        <v>0</v>
      </c>
      <c r="EM11" s="440">
        <f>+IF(('Monthly Detail'!FL28-'Monthly Detail'!$B$24)&gt;0,('Monthly Detail'!FL28-'Monthly Detail'!$B$24)*'People Plan'!$D$11, 0)</f>
        <v>0</v>
      </c>
      <c r="EN11" s="440">
        <f>+IF(('Monthly Detail'!FM28-'Monthly Detail'!$B$24)&gt;0,('Monthly Detail'!FM28-'Monthly Detail'!$B$24)*'People Plan'!$D$11, 0)</f>
        <v>0</v>
      </c>
      <c r="EO11" s="440">
        <f>+IF(('Monthly Detail'!FN28-'Monthly Detail'!$B$24)&gt;0,('Monthly Detail'!FN28-'Monthly Detail'!$B$24)*'People Plan'!$D$11, 0)</f>
        <v>0</v>
      </c>
      <c r="EP11" s="440">
        <f>+IF(('Monthly Detail'!FO28-'Monthly Detail'!$B$24)&gt;0,('Monthly Detail'!FO28-'Monthly Detail'!$B$24)*'People Plan'!$D$11, 0)</f>
        <v>0</v>
      </c>
      <c r="EQ11" s="440">
        <f>+IF(('Monthly Detail'!FP28-'Monthly Detail'!$B$24)&gt;0,('Monthly Detail'!FP28-'Monthly Detail'!$B$24)*'People Plan'!$D$11, 0)</f>
        <v>0</v>
      </c>
      <c r="ER11" s="440">
        <f>+IF(('Monthly Detail'!FQ28-'Monthly Detail'!$B$24)&gt;0,('Monthly Detail'!FQ28-'Monthly Detail'!$B$24)*'People Plan'!$D$11, 0)</f>
        <v>0</v>
      </c>
      <c r="ES11" s="440">
        <f>+IF(('Monthly Detail'!FR28-'Monthly Detail'!$B$24)&gt;0,('Monthly Detail'!FR28-'Monthly Detail'!$B$24)*'People Plan'!$D$11, 0)</f>
        <v>0</v>
      </c>
      <c r="ET11" s="440">
        <f>+IF(('Monthly Detail'!FS28-'Monthly Detail'!$B$24)&gt;0,('Monthly Detail'!FS28-'Monthly Detail'!$B$24)*'People Plan'!$D$11, 0)</f>
        <v>0</v>
      </c>
      <c r="EU11" s="440">
        <f>+IF(('Monthly Detail'!FT28-'Monthly Detail'!$B$24)&gt;0,('Monthly Detail'!FT28-'Monthly Detail'!$B$24)*'People Plan'!$D$11, 0)</f>
        <v>0</v>
      </c>
      <c r="EV11" s="440">
        <f>+IF(('Monthly Detail'!FU28-'Monthly Detail'!$B$24)&gt;0,('Monthly Detail'!FU28-'Monthly Detail'!$B$24)*'People Plan'!$D$11, 0)</f>
        <v>0</v>
      </c>
      <c r="EW11" s="440">
        <f>+IF(('Monthly Detail'!FV28-'Monthly Detail'!$B$24)&gt;0,('Monthly Detail'!FV28-'Monthly Detail'!$B$24)*'People Plan'!$D$11, 0)</f>
        <v>0</v>
      </c>
      <c r="EX11" s="440">
        <f>+IF(('Monthly Detail'!FW28-'Monthly Detail'!$B$24)&gt;0,('Monthly Detail'!FW28-'Monthly Detail'!$B$24)*'People Plan'!$D$11, 0)</f>
        <v>0</v>
      </c>
      <c r="EY11" s="440">
        <f>+IF(('Monthly Detail'!FX28-'Monthly Detail'!$B$24)&gt;0,('Monthly Detail'!FX28-'Monthly Detail'!$B$24)*'People Plan'!$D$11, 0)</f>
        <v>0</v>
      </c>
      <c r="EZ11" s="440">
        <f>+IF(('Monthly Detail'!FY28-'Monthly Detail'!$B$24)&gt;0,('Monthly Detail'!FY28-'Monthly Detail'!$B$24)*'People Plan'!$D$11, 0)</f>
        <v>0</v>
      </c>
      <c r="FA11" s="440">
        <f>+IF(('Monthly Detail'!FZ28-'Monthly Detail'!$B$24)&gt;0,('Monthly Detail'!FZ28-'Monthly Detail'!$B$24)*'People Plan'!$D$11, 0)</f>
        <v>0</v>
      </c>
      <c r="FB11" s="441">
        <f>+IF(('Monthly Detail'!GA28-'Monthly Detail'!$B$24)&gt;0,('Monthly Detail'!GA28-'Monthly Detail'!$B$24)*'People Plan'!$D$11, 0)</f>
        <v>0</v>
      </c>
    </row>
    <row r="12" spans="2:158" x14ac:dyDescent="0.25">
      <c r="B12" s="449" t="s">
        <v>302</v>
      </c>
      <c r="C12" t="s">
        <v>349</v>
      </c>
      <c r="D12" s="383">
        <v>50</v>
      </c>
      <c r="E12" s="517">
        <v>3</v>
      </c>
      <c r="F12" s="7"/>
      <c r="H12" s="439">
        <f>+IF(('Monthly Detail'!AG24-'Monthly Detail'!$B$24)&gt;0,('Monthly Detail'!AG24-'Monthly Detail'!$B$24)*'People Plan'!$D$11, 0)</f>
        <v>0</v>
      </c>
      <c r="I12" s="478">
        <v>150</v>
      </c>
      <c r="J12" s="478">
        <v>740</v>
      </c>
      <c r="K12" s="478">
        <v>817.5</v>
      </c>
      <c r="L12" s="478">
        <v>937.5</v>
      </c>
      <c r="M12" s="478">
        <v>170</v>
      </c>
      <c r="N12" s="478">
        <f>+IF(('Monthly Detail'!AM30-$E$12)&gt;0,('Monthly Detail'!AM30-$E$12)*'People Plan'!$D$12, 0)</f>
        <v>0</v>
      </c>
      <c r="O12" s="478">
        <v>0</v>
      </c>
      <c r="P12" s="478">
        <v>802.5</v>
      </c>
      <c r="Q12" s="478">
        <v>375</v>
      </c>
      <c r="R12" s="478">
        <v>0</v>
      </c>
      <c r="S12" s="478">
        <v>270</v>
      </c>
      <c r="T12" s="478">
        <v>0</v>
      </c>
      <c r="U12" s="478">
        <v>720</v>
      </c>
      <c r="V12" s="478">
        <v>240</v>
      </c>
      <c r="W12" s="478">
        <v>1419.96</v>
      </c>
      <c r="X12" s="716">
        <v>1020</v>
      </c>
      <c r="Y12" s="440">
        <f>+IF(('Monthly Detail'!AX30-$E$12)&gt;0,('Monthly Detail'!AX30-$E$12)*'People Plan'!$D$12, 0)</f>
        <v>0</v>
      </c>
      <c r="Z12" s="440">
        <f>+IF(('Monthly Detail'!AY30-$E$12)&gt;0,('Monthly Detail'!AY30-$E$12)*'People Plan'!$D$12, 0)</f>
        <v>0</v>
      </c>
      <c r="AA12" s="440">
        <f>+IF(('Monthly Detail'!AZ30-$E$12)&gt;0,('Monthly Detail'!AZ30-$E$12)*'People Plan'!$D$12, 0)</f>
        <v>0</v>
      </c>
      <c r="AB12" s="440">
        <f>+IF(('Monthly Detail'!BA30-$E$12)&gt;0,('Monthly Detail'!BA30-$E$12)*'People Plan'!$D$12, 0)</f>
        <v>271.33928571428578</v>
      </c>
      <c r="AC12" s="440">
        <f>+IF(('Monthly Detail'!BB30-$E$12)&gt;0,('Monthly Detail'!BB30-$E$12)*'People Plan'!$D$12, 0)</f>
        <v>0</v>
      </c>
      <c r="AD12" s="440">
        <f>+IF(('Monthly Detail'!BC30-$E$12)&gt;0,('Monthly Detail'!BC30-$E$12)*'People Plan'!$D$12, 0)</f>
        <v>0</v>
      </c>
      <c r="AE12" s="440">
        <f>+IF(('Monthly Detail'!BD30-$E$12)&gt;0,('Monthly Detail'!BD30-$E$12)*'People Plan'!$D$12, 0)</f>
        <v>145.09772727272727</v>
      </c>
      <c r="AF12" s="440">
        <f>+IF(('Monthly Detail'!BE30-$E$12)&gt;0,('Monthly Detail'!BE30-$E$12)*'People Plan'!$D$12, 0)</f>
        <v>387.9314285714284</v>
      </c>
      <c r="AG12" s="440">
        <f>+IF(('Monthly Detail'!BF30-$E$12)&gt;0,('Monthly Detail'!BF30-$E$12)*'People Plan'!$D$12, 0)</f>
        <v>454.79545454545428</v>
      </c>
      <c r="AH12" s="440">
        <f>+IF(('Monthly Detail'!BG30-$E$12)&gt;0,('Monthly Detail'!BG30-$E$12)*'People Plan'!$D$12, 0)</f>
        <v>537.53124999999977</v>
      </c>
      <c r="AI12" s="440">
        <f>+IF(('Monthly Detail'!BH30-$E$12)&gt;0,('Monthly Detail'!BH30-$E$12)*'People Plan'!$D$12, 0)</f>
        <v>782.71052631578914</v>
      </c>
      <c r="AJ12" s="440">
        <f>+IF(('Monthly Detail'!BI30-$E$12)&gt;0,('Monthly Detail'!BI30-$E$12)*'People Plan'!$D$12, 0)</f>
        <v>725.43153796236174</v>
      </c>
      <c r="AK12" s="440">
        <f>+IF(('Monthly Detail'!BJ30-$E$12)&gt;0,('Monthly Detail'!BJ30-$E$12)*'People Plan'!$D$12, 0)</f>
        <v>0</v>
      </c>
      <c r="AL12" s="440">
        <f>+IF(('Monthly Detail'!BK30-$E$12)&gt;0,('Monthly Detail'!BK30-$E$12)*'People Plan'!$D$12, 0)</f>
        <v>0</v>
      </c>
      <c r="AM12" s="440">
        <f>+IF(('Monthly Detail'!BL30-$E$12)&gt;0,('Monthly Detail'!BL30-$E$12)*'People Plan'!$D$12, 0)</f>
        <v>0</v>
      </c>
      <c r="AN12" s="440">
        <f>+IF(('Monthly Detail'!BM30-$E$12)&gt;0,('Monthly Detail'!BM30-$E$12)*'People Plan'!$D$12, 0)</f>
        <v>375.85714285714261</v>
      </c>
      <c r="AO12" s="440">
        <f>+IF(('Monthly Detail'!BN30-$E$12)&gt;0,('Monthly Detail'!BN30-$E$12)*'People Plan'!$D$12, 0)</f>
        <v>0</v>
      </c>
      <c r="AP12" s="440">
        <f>+IF(('Monthly Detail'!BO30-$E$12)&gt;0,('Monthly Detail'!BO30-$E$12)*'People Plan'!$D$12, 0)</f>
        <v>0</v>
      </c>
      <c r="AQ12" s="440">
        <f>+IF(('Monthly Detail'!BP30-$E$12)&gt;0,('Monthly Detail'!BP30-$E$12)*'People Plan'!$D$12, 0)</f>
        <v>254.76068181818167</v>
      </c>
      <c r="AR12" s="440">
        <f>+IF(('Monthly Detail'!BQ30-$E$12)&gt;0,('Monthly Detail'!BQ30-$E$12)*'People Plan'!$D$12, 0)</f>
        <v>594.34590476190419</v>
      </c>
      <c r="AS12" s="440">
        <f>+IF(('Monthly Detail'!BR30-$E$12)&gt;0,('Monthly Detail'!BR30-$E$12)*'People Plan'!$D$12, 0)</f>
        <v>650.39999999999941</v>
      </c>
      <c r="AT12" s="440">
        <f>+IF(('Monthly Detail'!BS30-$E$12)&gt;0,('Monthly Detail'!BS30-$E$12)*'People Plan'!$D$12, 0)</f>
        <v>845.54583333333278</v>
      </c>
      <c r="AU12" s="440">
        <f>+IF(('Monthly Detail'!BT30-$E$12)&gt;0,('Monthly Detail'!BT30-$E$12)*'People Plan'!$D$12, 0)</f>
        <v>1141.68947368421</v>
      </c>
      <c r="AV12" s="440">
        <f>+IF(('Monthly Detail'!BU30-$E$12)&gt;0,('Monthly Detail'!BU30-$E$12)*'People Plan'!$D$12, 0)</f>
        <v>1007.9571706683967</v>
      </c>
      <c r="AW12" s="440">
        <f>+IF(('Monthly Detail'!BV30-$E$12)&gt;0,('Monthly Detail'!BV30-$E$12)*'People Plan'!$D$12, 0)</f>
        <v>62.063157894736733</v>
      </c>
      <c r="AX12" s="440">
        <f>+IF(('Monthly Detail'!BW30-$E$12)&gt;0,('Monthly Detail'!BW30-$E$12)*'People Plan'!$D$12, 0)</f>
        <v>0</v>
      </c>
      <c r="AY12" s="440">
        <f>+IF(('Monthly Detail'!BX30-$E$12)&gt;0,('Monthly Detail'!BX30-$E$12)*'People Plan'!$D$12, 0)</f>
        <v>0</v>
      </c>
      <c r="AZ12" s="440">
        <f>+IF(('Monthly Detail'!BY30-$E$12)&gt;0,('Monthly Detail'!BY30-$E$12)*'People Plan'!$D$12, 0)</f>
        <v>619.07249999999965</v>
      </c>
      <c r="BA12" s="440">
        <f>+IF(('Monthly Detail'!BZ30-$E$12)&gt;0,('Monthly Detail'!BZ30-$E$12)*'People Plan'!$D$12, 0)</f>
        <v>0</v>
      </c>
      <c r="BB12" s="440">
        <f>+IF(('Monthly Detail'!CA30-$E$12)&gt;0,('Monthly Detail'!CA30-$E$12)*'People Plan'!$D$12, 0)</f>
        <v>0</v>
      </c>
      <c r="BC12" s="440">
        <f>+IF(('Monthly Detail'!CB30-$E$12)&gt;0,('Monthly Detail'!CB30-$E$12)*'People Plan'!$D$12, 0)</f>
        <v>470.86827272727243</v>
      </c>
      <c r="BD12" s="440">
        <f>+IF(('Monthly Detail'!CC30-$E$12)&gt;0,('Monthly Detail'!CC30-$E$12)*'People Plan'!$D$12, 0)</f>
        <v>881.02140952380876</v>
      </c>
      <c r="BE12" s="440">
        <f>+IF(('Monthly Detail'!CD30-$E$12)&gt;0,('Monthly Detail'!CD30-$E$12)*'People Plan'!$D$12, 0)</f>
        <v>922.4890909090899</v>
      </c>
      <c r="BF12" s="440">
        <f>+IF(('Monthly Detail'!CE30-$E$12)&gt;0,('Monthly Detail'!CE30-$E$12)*'People Plan'!$D$12, 0)</f>
        <v>1307.6761111111102</v>
      </c>
      <c r="BG12" s="440">
        <f>+IF(('Monthly Detail'!CF30-$E$12)&gt;0,('Monthly Detail'!CF30-$E$12)*'People Plan'!$D$12, 0)</f>
        <v>1571.1177990430613</v>
      </c>
      <c r="BH12" s="440">
        <f>+IF(('Monthly Detail'!CG30-$E$12)&gt;0,('Monthly Detail'!CG30-$E$12)*'People Plan'!$D$12, 0)</f>
        <v>1538.4364698247887</v>
      </c>
      <c r="BI12" s="440">
        <f>+IF(('Monthly Detail'!CH30-$E$12)&gt;0,('Monthly Detail'!CH30-$E$12)*'People Plan'!$D$12, 0)</f>
        <v>144.67789473684195</v>
      </c>
      <c r="BJ12" s="440">
        <f>+IF(('Monthly Detail'!CI30-$E$12)&gt;0,('Monthly Detail'!CI30-$E$12)*'People Plan'!$D$12, 0)</f>
        <v>0</v>
      </c>
      <c r="BK12" s="440">
        <f>+IF(('Monthly Detail'!CJ30-$E$12)&gt;0,('Monthly Detail'!CJ30-$E$12)*'People Plan'!$D$12, 0)</f>
        <v>0</v>
      </c>
      <c r="BL12" s="440">
        <f>+IF(('Monthly Detail'!CK30-$E$12)&gt;0,('Monthly Detail'!CK30-$E$12)*'People Plan'!$D$12, 0)</f>
        <v>879.71571428571326</v>
      </c>
      <c r="BM12" s="440">
        <f>+IF(('Monthly Detail'!CL30-$E$12)&gt;0,('Monthly Detail'!CL30-$E$12)*'People Plan'!$D$12, 0)</f>
        <v>0</v>
      </c>
      <c r="BN12" s="440">
        <f>+IF(('Monthly Detail'!CM30-$E$12)&gt;0,('Monthly Detail'!CM30-$E$12)*'People Plan'!$D$12, 0)</f>
        <v>0</v>
      </c>
      <c r="BO12" s="440">
        <f>+IF(('Monthly Detail'!CN30-$E$12)&gt;0,('Monthly Detail'!CN30-$E$12)*'People Plan'!$D$12, 0)</f>
        <v>719.45080909090825</v>
      </c>
      <c r="BP12" s="440">
        <f>+IF(('Monthly Detail'!CO30-$E$12)&gt;0,('Monthly Detail'!CO30-$E$12)*'People Plan'!$D$12, 0)</f>
        <v>1241.4595199999978</v>
      </c>
      <c r="BQ12" s="440">
        <f>+IF(('Monthly Detail'!CP30-$E$12)&gt;0,('Monthly Detail'!CP30-$E$12)*'People Plan'!$D$12, 0)</f>
        <v>1428.483999999997</v>
      </c>
      <c r="BR12" s="440">
        <f>+IF(('Monthly Detail'!CQ30-$E$12)&gt;0,('Monthly Detail'!CQ30-$E$12)*'People Plan'!$D$12, 0)</f>
        <v>1905.2812777777744</v>
      </c>
      <c r="BS12" s="440">
        <f>+IF(('Monthly Detail'!CR30-$E$12)&gt;0,('Monthly Detail'!CR30-$E$12)*'People Plan'!$D$12, 0)</f>
        <v>2172.0725358851637</v>
      </c>
      <c r="BT12" s="440">
        <f>+IF(('Monthly Detail'!CS30-$E$12)&gt;0,('Monthly Detail'!CS30-$E$12)*'People Plan'!$D$12, 0)</f>
        <v>2362.6599999999967</v>
      </c>
      <c r="BU12" s="440">
        <f>+IF(('Monthly Detail'!CT30-$E$12)&gt;0,('Monthly Detail'!CT30-$E$12)*'People Plan'!$D$12, 0)</f>
        <v>271.39115789473618</v>
      </c>
      <c r="BV12" s="440">
        <f>+IF(('Monthly Detail'!CU30-$E$12)&gt;0,('Monthly Detail'!CU30-$E$12)*'People Plan'!$D$12, 0)</f>
        <v>0</v>
      </c>
      <c r="BW12" s="440">
        <f>+IF(('Monthly Detail'!CV30-$E$12)&gt;0,('Monthly Detail'!CV30-$E$12)*'People Plan'!$D$12, 0)</f>
        <v>0</v>
      </c>
      <c r="BX12" s="440">
        <f>+IF(('Monthly Detail'!CW30-$E$12)&gt;0,('Monthly Detail'!CW30-$E$12)*'People Plan'!$D$12, 0)</f>
        <v>1306.6019999999976</v>
      </c>
      <c r="BY12" s="440">
        <f>+IF(('Monthly Detail'!CX30-$E$12)&gt;0,('Monthly Detail'!CX30-$E$12)*'People Plan'!$D$12, 0)</f>
        <v>0</v>
      </c>
      <c r="BZ12" s="440">
        <f>+IF(('Monthly Detail'!CY30-$E$12)&gt;0,('Monthly Detail'!CY30-$E$12)*'People Plan'!$D$12, 0)</f>
        <v>0</v>
      </c>
      <c r="CA12" s="440">
        <f>+IF(('Monthly Detail'!CZ30-$E$12)&gt;0,('Monthly Detail'!CZ30-$E$12)*'People Plan'!$D$12, 0)</f>
        <v>1074.5231781818156</v>
      </c>
      <c r="CB12" s="440">
        <f>+IF(('Monthly Detail'!DA30-$E$12)&gt;0,('Monthly Detail'!DA30-$E$12)*'People Plan'!$D$12, 0)</f>
        <v>1714.0793599999956</v>
      </c>
      <c r="CC12" s="440">
        <f>+IF(('Monthly Detail'!DB30-$E$12)&gt;0,('Monthly Detail'!DB30-$E$12)*'People Plan'!$D$12, 0)</f>
        <v>2179.1447636363578</v>
      </c>
      <c r="CD12" s="440">
        <f>+IF(('Monthly Detail'!DC30-$E$12)&gt;0,('Monthly Detail'!DC30-$E$12)*'People Plan'!$D$12, 0)</f>
        <v>2624.213322222216</v>
      </c>
      <c r="CE12" s="440">
        <f>+IF(('Monthly Detail'!DD30-$E$12)&gt;0,('Monthly Detail'!DD30-$E$12)*'People Plan'!$D$12, 0)</f>
        <v>3283.6427999999933</v>
      </c>
      <c r="CF12" s="440">
        <f>+IF(('Monthly Detail'!DE30-$E$12)&gt;0,('Monthly Detail'!DE30-$E$12)*'People Plan'!$D$12, 0)</f>
        <v>3384.612059701486</v>
      </c>
      <c r="CG12" s="440">
        <f>+IF(('Monthly Detail'!DF30-$E$12)&gt;0,('Monthly Detail'!DF30-$E$12)*'People Plan'!$D$12, 0)</f>
        <v>414.09892535885041</v>
      </c>
      <c r="CH12" s="440">
        <f>+IF(('Monthly Detail'!DG30-$E$12)&gt;0,('Monthly Detail'!DG30-$E$12)*'People Plan'!$D$12, 0)</f>
        <v>0</v>
      </c>
      <c r="CI12" s="440">
        <f>+IF(('Monthly Detail'!DH30-$E$12)&gt;0,('Monthly Detail'!DH30-$E$12)*'People Plan'!$D$12, 0)</f>
        <v>0</v>
      </c>
      <c r="CJ12" s="440">
        <f>+IF(('Monthly Detail'!DI30-$E$12)&gt;0,('Monthly Detail'!DI30-$E$12)*'People Plan'!$D$12, 0)</f>
        <v>0</v>
      </c>
      <c r="CK12" s="440">
        <f>+IF(('Monthly Detail'!DJ30-$E$12)&gt;0,('Monthly Detail'!DJ30-$E$12)*'People Plan'!$D$12, 0)</f>
        <v>0</v>
      </c>
      <c r="CL12" s="440">
        <f>+IF(('Monthly Detail'!DK30-$E$12)&gt;0,('Monthly Detail'!DK30-$E$12)*'People Plan'!$D$12, 0)</f>
        <v>0</v>
      </c>
      <c r="CM12" s="440">
        <f>+IF(('Monthly Detail'!DL30-$E$12)&gt;0,('Monthly Detail'!DL30-$E$12)*'People Plan'!$D$12, 0)</f>
        <v>0</v>
      </c>
      <c r="CN12" s="440">
        <f>+IF(('Monthly Detail'!DM30-$E$12)&gt;0,('Monthly Detail'!DM30-$E$12)*'People Plan'!$D$12, 0)</f>
        <v>0</v>
      </c>
      <c r="CO12" s="440">
        <f>+IF(('Monthly Detail'!DN30-$E$12)&gt;0,('Monthly Detail'!DN30-$E$12)*'People Plan'!$D$12, 0)</f>
        <v>0</v>
      </c>
      <c r="CP12" s="440">
        <f>+IF(('Monthly Detail'!DO30-$E$12)&gt;0,('Monthly Detail'!DO30-$E$12)*'People Plan'!$D$12, 0)</f>
        <v>0</v>
      </c>
      <c r="CQ12" s="440">
        <f>+IF(('Monthly Detail'!DP30-$E$12)&gt;0,('Monthly Detail'!DP30-$E$12)*'People Plan'!$D$12, 0)</f>
        <v>0</v>
      </c>
      <c r="CR12" s="440">
        <f>+IF(('Monthly Detail'!DQ30-$E$12)&gt;0,('Monthly Detail'!DQ30-$E$12)*'People Plan'!$D$12, 0)</f>
        <v>0</v>
      </c>
      <c r="CS12" s="440">
        <f>+IF(('Monthly Detail'!DR30-$E$12)&gt;0,('Monthly Detail'!DR30-$E$12)*'People Plan'!$D$12, 0)</f>
        <v>0</v>
      </c>
      <c r="CT12" s="440">
        <f>+IF(('Monthly Detail'!DS30-$E$12)&gt;0,('Monthly Detail'!DS30-$E$12)*'People Plan'!$D$12, 0)</f>
        <v>0</v>
      </c>
      <c r="CU12" s="440">
        <f>+IF(('Monthly Detail'!DT30-$E$12)&gt;0,('Monthly Detail'!DT30-$E$12)*'People Plan'!$D$12, 0)</f>
        <v>0</v>
      </c>
      <c r="CV12" s="440">
        <f>+IF(('Monthly Detail'!DU30-$E$12)&gt;0,('Monthly Detail'!DU30-$E$12)*'People Plan'!$D$12, 0)</f>
        <v>0</v>
      </c>
      <c r="CW12" s="440">
        <f>+IF(('Monthly Detail'!DV30-$E$12)&gt;0,('Monthly Detail'!DV30-$E$12)*'People Plan'!$D$12, 0)</f>
        <v>0</v>
      </c>
      <c r="CX12" s="440">
        <f>+IF(('Monthly Detail'!DW30-$E$12)&gt;0,('Monthly Detail'!DW30-$E$12)*'People Plan'!$D$12, 0)</f>
        <v>0</v>
      </c>
      <c r="CY12" s="440">
        <f>+IF(('Monthly Detail'!DX30-$E$12)&gt;0,('Monthly Detail'!DX30-$E$12)*'People Plan'!$D$12, 0)</f>
        <v>0</v>
      </c>
      <c r="CZ12" s="440">
        <f>+IF(('Monthly Detail'!DY30-$E$12)&gt;0,('Monthly Detail'!DY30-$E$12)*'People Plan'!$D$12, 0)</f>
        <v>0</v>
      </c>
      <c r="DA12" s="440">
        <f>+IF(('Monthly Detail'!DZ30-$E$12)&gt;0,('Monthly Detail'!DZ30-$E$12)*'People Plan'!$D$12, 0)</f>
        <v>0</v>
      </c>
      <c r="DB12" s="440">
        <f>+IF(('Monthly Detail'!EA30-$E$12)&gt;0,('Monthly Detail'!EA30-$E$12)*'People Plan'!$D$12, 0)</f>
        <v>0</v>
      </c>
      <c r="DC12" s="440">
        <f>+IF(('Monthly Detail'!EB30-$E$12)&gt;0,('Monthly Detail'!EB30-$E$12)*'People Plan'!$D$12, 0)</f>
        <v>0</v>
      </c>
      <c r="DD12" s="440">
        <f>+IF(('Monthly Detail'!EC30-$E$12)&gt;0,('Monthly Detail'!EC30-$E$12)*'People Plan'!$D$12, 0)</f>
        <v>0</v>
      </c>
      <c r="DE12" s="440">
        <f>+IF(('Monthly Detail'!ED30-$E$12)&gt;0,('Monthly Detail'!ED30-$E$12)*'People Plan'!$D$12, 0)</f>
        <v>0</v>
      </c>
      <c r="DF12" s="440">
        <f>+IF(('Monthly Detail'!EE30-$E$12)&gt;0,('Monthly Detail'!EE30-$E$12)*'People Plan'!$D$12, 0)</f>
        <v>0</v>
      </c>
      <c r="DG12" s="440">
        <f>+IF(('Monthly Detail'!EF30-$E$12)&gt;0,('Monthly Detail'!EF30-$E$12)*'People Plan'!$D$12, 0)</f>
        <v>0</v>
      </c>
      <c r="DH12" s="440">
        <f>+IF(('Monthly Detail'!EG30-$E$12)&gt;0,('Monthly Detail'!EG30-$E$12)*'People Plan'!$D$12, 0)</f>
        <v>0</v>
      </c>
      <c r="DI12" s="440">
        <f>+IF(('Monthly Detail'!EH30-$E$12)&gt;0,('Monthly Detail'!EH30-$E$12)*'People Plan'!$D$12, 0)</f>
        <v>0</v>
      </c>
      <c r="DJ12" s="440">
        <f>+IF(('Monthly Detail'!EI30-$E$12)&gt;0,('Monthly Detail'!EI30-$E$12)*'People Plan'!$D$12, 0)</f>
        <v>0</v>
      </c>
      <c r="DK12" s="440">
        <f>+IF(('Monthly Detail'!EJ30-$E$12)&gt;0,('Monthly Detail'!EJ30-$E$12)*'People Plan'!$D$12, 0)</f>
        <v>0</v>
      </c>
      <c r="DL12" s="440">
        <f>+IF(('Monthly Detail'!EK30-$E$12)&gt;0,('Monthly Detail'!EK30-$E$12)*'People Plan'!$D$12, 0)</f>
        <v>0</v>
      </c>
      <c r="DM12" s="440">
        <f>+IF(('Monthly Detail'!EL30-$E$12)&gt;0,('Monthly Detail'!EL30-$E$12)*'People Plan'!$D$12, 0)</f>
        <v>0</v>
      </c>
      <c r="DN12" s="440">
        <f>+IF(('Monthly Detail'!EM30-$E$12)&gt;0,('Monthly Detail'!EM30-$E$12)*'People Plan'!$D$12, 0)</f>
        <v>0</v>
      </c>
      <c r="DO12" s="440">
        <f>+IF(('Monthly Detail'!EN30-$E$12)&gt;0,('Monthly Detail'!EN30-$E$12)*'People Plan'!$D$12, 0)</f>
        <v>0</v>
      </c>
      <c r="DP12" s="440">
        <f>+IF(('Monthly Detail'!EO30-$E$12)&gt;0,('Monthly Detail'!EO30-$E$12)*'People Plan'!$D$12, 0)</f>
        <v>0</v>
      </c>
      <c r="DQ12" s="440">
        <f>+IF(('Monthly Detail'!EP30-$E$12)&gt;0,('Monthly Detail'!EP30-$E$12)*'People Plan'!$D$12, 0)</f>
        <v>0</v>
      </c>
      <c r="DR12" s="440">
        <f>+IF(('Monthly Detail'!EQ30-$E$12)&gt;0,('Monthly Detail'!EQ30-$E$12)*'People Plan'!$D$12, 0)</f>
        <v>0</v>
      </c>
      <c r="DS12" s="440">
        <f>+IF(('Monthly Detail'!ER30-$E$12)&gt;0,('Monthly Detail'!ER30-$E$12)*'People Plan'!$D$12, 0)</f>
        <v>0</v>
      </c>
      <c r="DT12" s="440">
        <f>+IF(('Monthly Detail'!ES30-$E$12)&gt;0,('Monthly Detail'!ES30-$E$12)*'People Plan'!$D$12, 0)</f>
        <v>0</v>
      </c>
      <c r="DU12" s="440">
        <f>+IF(('Monthly Detail'!ET30-$E$12)&gt;0,('Monthly Detail'!ET30-$E$12)*'People Plan'!$D$12, 0)</f>
        <v>0</v>
      </c>
      <c r="DV12" s="440">
        <f>+IF(('Monthly Detail'!EU30-$E$12)&gt;0,('Monthly Detail'!EU30-$E$12)*'People Plan'!$D$12, 0)</f>
        <v>0</v>
      </c>
      <c r="DW12" s="440">
        <f>+IF(('Monthly Detail'!EV30-$E$12)&gt;0,('Monthly Detail'!EV30-$E$12)*'People Plan'!$D$12, 0)</f>
        <v>0</v>
      </c>
      <c r="DX12" s="440">
        <f>+IF(('Monthly Detail'!EW30-$E$12)&gt;0,('Monthly Detail'!EW30-$E$12)*'People Plan'!$D$12, 0)</f>
        <v>0</v>
      </c>
      <c r="DY12" s="440">
        <f>+IF(('Monthly Detail'!EX30-$E$12)&gt;0,('Monthly Detail'!EX30-$E$12)*'People Plan'!$D$12, 0)</f>
        <v>0</v>
      </c>
      <c r="DZ12" s="440">
        <f>+IF(('Monthly Detail'!EY30-$E$12)&gt;0,('Monthly Detail'!EY30-$E$12)*'People Plan'!$D$12, 0)</f>
        <v>0</v>
      </c>
      <c r="EA12" s="440">
        <f>+IF(('Monthly Detail'!EZ30-$E$12)&gt;0,('Monthly Detail'!EZ30-$E$12)*'People Plan'!$D$12, 0)</f>
        <v>0</v>
      </c>
      <c r="EB12" s="440">
        <f>+IF(('Monthly Detail'!FA30-$E$12)&gt;0,('Monthly Detail'!FA30-$E$12)*'People Plan'!$D$12, 0)</f>
        <v>0</v>
      </c>
      <c r="EC12" s="440">
        <f>+IF(('Monthly Detail'!FB30-$E$12)&gt;0,('Monthly Detail'!FB30-$E$12)*'People Plan'!$D$12, 0)</f>
        <v>0</v>
      </c>
      <c r="ED12" s="440">
        <f>+IF(('Monthly Detail'!FC30-$E$12)&gt;0,('Monthly Detail'!FC30-$E$12)*'People Plan'!$D$12, 0)</f>
        <v>0</v>
      </c>
      <c r="EE12" s="440">
        <f>+IF(('Monthly Detail'!FD30-$E$12)&gt;0,('Monthly Detail'!FD30-$E$12)*'People Plan'!$D$12, 0)</f>
        <v>0</v>
      </c>
      <c r="EF12" s="440">
        <f>+IF(('Monthly Detail'!FE30-$E$12)&gt;0,('Monthly Detail'!FE30-$E$12)*'People Plan'!$D$12, 0)</f>
        <v>0</v>
      </c>
      <c r="EG12" s="440">
        <f>+IF(('Monthly Detail'!FF30-$E$12)&gt;0,('Monthly Detail'!FF30-$E$12)*'People Plan'!$D$12, 0)</f>
        <v>0</v>
      </c>
      <c r="EH12" s="440">
        <f>+IF(('Monthly Detail'!FG30-$E$12)&gt;0,('Monthly Detail'!FG30-$E$12)*'People Plan'!$D$12, 0)</f>
        <v>0</v>
      </c>
      <c r="EI12" s="440">
        <f>+IF(('Monthly Detail'!FH30-$E$12)&gt;0,('Monthly Detail'!FH30-$E$12)*'People Plan'!$D$12, 0)</f>
        <v>0</v>
      </c>
      <c r="EJ12" s="440">
        <f>+IF(('Monthly Detail'!FI30-$E$12)&gt;0,('Monthly Detail'!FI30-$E$12)*'People Plan'!$D$12, 0)</f>
        <v>0</v>
      </c>
      <c r="EK12" s="440">
        <f>+IF(('Monthly Detail'!FJ30-$E$12)&gt;0,('Monthly Detail'!FJ30-$E$12)*'People Plan'!$D$12, 0)</f>
        <v>0</v>
      </c>
      <c r="EL12" s="440">
        <f>+IF(('Monthly Detail'!FK30-$E$12)&gt;0,('Monthly Detail'!FK30-$E$12)*'People Plan'!$D$12, 0)</f>
        <v>0</v>
      </c>
      <c r="EM12" s="440">
        <f>+IF(('Monthly Detail'!FL30-$E$12)&gt;0,('Monthly Detail'!FL30-$E$12)*'People Plan'!$D$12, 0)</f>
        <v>0</v>
      </c>
      <c r="EN12" s="440">
        <f>+IF(('Monthly Detail'!FM30-$E$12)&gt;0,('Monthly Detail'!FM30-$E$12)*'People Plan'!$D$12, 0)</f>
        <v>0</v>
      </c>
      <c r="EO12" s="440">
        <f>+IF(('Monthly Detail'!FN30-$E$12)&gt;0,('Monthly Detail'!FN30-$E$12)*'People Plan'!$D$12, 0)</f>
        <v>0</v>
      </c>
      <c r="EP12" s="440">
        <f>+IF(('Monthly Detail'!FO30-$E$12)&gt;0,('Monthly Detail'!FO30-$E$12)*'People Plan'!$D$12, 0)</f>
        <v>0</v>
      </c>
      <c r="EQ12" s="440">
        <f>+IF(('Monthly Detail'!FP30-$E$12)&gt;0,('Monthly Detail'!FP30-$E$12)*'People Plan'!$D$12, 0)</f>
        <v>0</v>
      </c>
      <c r="ER12" s="440">
        <f>+IF(('Monthly Detail'!FQ30-$E$12)&gt;0,('Monthly Detail'!FQ30-$E$12)*'People Plan'!$D$12, 0)</f>
        <v>0</v>
      </c>
      <c r="ES12" s="440">
        <f>+IF(('Monthly Detail'!FR30-$E$12)&gt;0,('Monthly Detail'!FR30-$E$12)*'People Plan'!$D$12, 0)</f>
        <v>0</v>
      </c>
      <c r="ET12" s="440">
        <f>+IF(('Monthly Detail'!FS30-$E$12)&gt;0,('Monthly Detail'!FS30-$E$12)*'People Plan'!$D$12, 0)</f>
        <v>0</v>
      </c>
      <c r="EU12" s="440">
        <f>+IF(('Monthly Detail'!FT30-$E$12)&gt;0,('Monthly Detail'!FT30-$E$12)*'People Plan'!$D$12, 0)</f>
        <v>0</v>
      </c>
      <c r="EV12" s="440">
        <f>+IF(('Monthly Detail'!FU30-$E$12)&gt;0,('Monthly Detail'!FU30-$E$12)*'People Plan'!$D$12, 0)</f>
        <v>0</v>
      </c>
      <c r="EW12" s="440">
        <f>+IF(('Monthly Detail'!FV30-$E$12)&gt;0,('Monthly Detail'!FV30-$E$12)*'People Plan'!$D$12, 0)</f>
        <v>0</v>
      </c>
      <c r="EX12" s="440">
        <f>+IF(('Monthly Detail'!FW30-$E$12)&gt;0,('Monthly Detail'!FW30-$E$12)*'People Plan'!$D$12, 0)</f>
        <v>0</v>
      </c>
      <c r="EY12" s="440">
        <f>+IF(('Monthly Detail'!FX30-$E$12)&gt;0,('Monthly Detail'!FX30-$E$12)*'People Plan'!$D$12, 0)</f>
        <v>0</v>
      </c>
      <c r="EZ12" s="440">
        <f>+IF(('Monthly Detail'!FY30-$E$12)&gt;0,('Monthly Detail'!FY30-$E$12)*'People Plan'!$D$12, 0)</f>
        <v>0</v>
      </c>
      <c r="FA12" s="440">
        <f>+IF(('Monthly Detail'!FZ30-$E$12)&gt;0,('Monthly Detail'!FZ30-$E$12)*'People Plan'!$D$12, 0)</f>
        <v>0</v>
      </c>
      <c r="FB12" s="441">
        <f>+IF(('Monthly Detail'!GA30-$E$12)&gt;0,('Monthly Detail'!GA30-$E$12)*'People Plan'!$D$12, 0)</f>
        <v>0</v>
      </c>
    </row>
    <row r="13" spans="2:158" x14ac:dyDescent="0.25">
      <c r="B13" s="449" t="s">
        <v>348</v>
      </c>
      <c r="C13" t="s">
        <v>350</v>
      </c>
      <c r="D13" s="383">
        <v>50</v>
      </c>
      <c r="E13" s="517">
        <v>50</v>
      </c>
      <c r="F13" s="7"/>
      <c r="H13" s="439"/>
      <c r="I13" s="478"/>
      <c r="J13" s="478"/>
      <c r="K13" s="478"/>
      <c r="L13" s="478"/>
      <c r="M13" s="478"/>
      <c r="N13" s="478"/>
      <c r="O13" s="478">
        <v>0</v>
      </c>
      <c r="P13" s="478">
        <v>0</v>
      </c>
      <c r="Q13" s="478">
        <v>0</v>
      </c>
      <c r="R13" s="478">
        <v>0</v>
      </c>
      <c r="S13" s="478">
        <v>0</v>
      </c>
      <c r="T13" s="478">
        <v>0</v>
      </c>
      <c r="U13" s="478">
        <v>120</v>
      </c>
      <c r="V13" s="478">
        <v>210</v>
      </c>
      <c r="W13" s="478">
        <v>270</v>
      </c>
      <c r="X13" s="716">
        <v>390</v>
      </c>
      <c r="Y13" s="440">
        <f>+IF(('Monthly Detail'!AX29-$E$13)&gt;0,('Monthly Detail'!AX29-$E$13)*'People Plan'!$D$13, 0)</f>
        <v>0</v>
      </c>
      <c r="Z13" s="440">
        <f>+IF(('Monthly Detail'!AY29-$E$13)&gt;0,('Monthly Detail'!AY29-$E$13)*'People Plan'!$D$13, 0)</f>
        <v>959.95423340961133</v>
      </c>
      <c r="AA13" s="440">
        <f>+IF(('Monthly Detail'!AZ29-$E$13)&gt;0,('Monthly Detail'!AZ29-$E$13)*'People Plan'!$D$13, 0)</f>
        <v>2840.0018115942025</v>
      </c>
      <c r="AB13" s="440">
        <f>+IF(('Monthly Detail'!BA29-$E$13)&gt;0,('Monthly Detail'!BA29-$E$13)*'People Plan'!$D$13, 0)</f>
        <v>4578.5000000000009</v>
      </c>
      <c r="AC13" s="440">
        <f>+IF(('Monthly Detail'!BB29-$E$13)&gt;0,('Monthly Detail'!BB29-$E$13)*'People Plan'!$D$13, 0)</f>
        <v>7164.8749999999991</v>
      </c>
      <c r="AD13" s="440">
        <f>+IF(('Monthly Detail'!BC29-$E$13)&gt;0,('Monthly Detail'!BC29-$E$13)*'People Plan'!$D$13, 0)</f>
        <v>1872.4347826086955</v>
      </c>
      <c r="AE13" s="440">
        <f>+IF(('Monthly Detail'!BD29-$E$13)&gt;0,('Monthly Detail'!BD29-$E$13)*'People Plan'!$D$13, 0)</f>
        <v>6254.5659090909094</v>
      </c>
      <c r="AF13" s="440">
        <f>+IF(('Monthly Detail'!BE29-$E$13)&gt;0,('Monthly Detail'!BE29-$E$13)*'People Plan'!$D$13, 0)</f>
        <v>189.65714285714233</v>
      </c>
      <c r="AG13" s="440">
        <f>+IF(('Monthly Detail'!BF29-$E$13)&gt;0,('Monthly Detail'!BF29-$E$13)*'People Plan'!$D$13, 0)</f>
        <v>2182.8448051948035</v>
      </c>
      <c r="AH13" s="440">
        <f>+IF(('Monthly Detail'!BG29-$E$13)&gt;0,('Monthly Detail'!BG29-$E$13)*'People Plan'!$D$13, 0)</f>
        <v>1891.7812499999982</v>
      </c>
      <c r="AI13" s="440">
        <f>+IF(('Monthly Detail'!BH29-$E$13)&gt;0,('Monthly Detail'!BH29-$E$13)*'People Plan'!$D$13, 0)</f>
        <v>3402.5263157894715</v>
      </c>
      <c r="AJ13" s="440">
        <f>+IF(('Monthly Detail'!BI29-$E$13)&gt;0,('Monthly Detail'!BI29-$E$13)*'People Plan'!$D$13, 0)</f>
        <v>270.20116807267914</v>
      </c>
      <c r="AK13" s="440">
        <f>+IF(('Monthly Detail'!BJ29-$E$13)&gt;0,('Monthly Detail'!BJ29-$E$13)*'People Plan'!$D$13, 0)</f>
        <v>0</v>
      </c>
      <c r="AL13" s="440">
        <f>+IF(('Monthly Detail'!BK29-$E$13)&gt;0,('Monthly Detail'!BK29-$E$13)*'People Plan'!$D$13, 0)</f>
        <v>1702.6315789473656</v>
      </c>
      <c r="AM13" s="440">
        <f>+IF(('Monthly Detail'!BL29-$E$13)&gt;0,('Monthly Detail'!BL29-$E$13)*'People Plan'!$D$13, 0)</f>
        <v>3465.9097826086927</v>
      </c>
      <c r="AN13" s="440">
        <f>+IF(('Monthly Detail'!BM29-$E$13)&gt;0,('Monthly Detail'!BM29-$E$13)*'People Plan'!$D$13, 0)</f>
        <v>6334.3999999999969</v>
      </c>
      <c r="AO13" s="440">
        <f>+IF(('Monthly Detail'!BN29-$E$13)&gt;0,('Monthly Detail'!BN29-$E$13)*'People Plan'!$D$13, 0)</f>
        <v>10500.585714285708</v>
      </c>
      <c r="AP13" s="440">
        <f>+IF(('Monthly Detail'!BO29-$E$13)&gt;0,('Monthly Detail'!BO29-$E$13)*'People Plan'!$D$13, 0)</f>
        <v>3286.7999999999965</v>
      </c>
      <c r="AQ13" s="440">
        <f>+IF(('Monthly Detail'!BP29-$E$13)&gt;0,('Monthly Detail'!BP29-$E$13)*'People Plan'!$D$13, 0)</f>
        <v>9507.900227272723</v>
      </c>
      <c r="AR13" s="440">
        <f>+IF(('Monthly Detail'!BQ29-$E$13)&gt;0,('Monthly Detail'!BQ29-$E$13)*'People Plan'!$D$13, 0)</f>
        <v>1221.7295238095212</v>
      </c>
      <c r="AS13" s="440">
        <f>+IF(('Monthly Detail'!BR29-$E$13)&gt;0,('Monthly Detail'!BR29-$E$13)*'People Plan'!$D$13, 0)</f>
        <v>3697.3828571428539</v>
      </c>
      <c r="AT13" s="440">
        <f>+IF(('Monthly Detail'!BS29-$E$13)&gt;0,('Monthly Detail'!BS29-$E$13)*'People Plan'!$D$13, 0)</f>
        <v>3859.3029761904722</v>
      </c>
      <c r="AU13" s="440">
        <f>+IF(('Monthly Detail'!BT29-$E$13)&gt;0,('Monthly Detail'!BT29-$E$13)*'People Plan'!$D$13, 0)</f>
        <v>5674.2736842105214</v>
      </c>
      <c r="AV13" s="440">
        <f>+IF(('Monthly Detail'!BU29-$E$13)&gt;0,('Monthly Detail'!BU29-$E$13)*'People Plan'!$D$13, 0)</f>
        <v>1164.2206359506795</v>
      </c>
      <c r="AW13" s="440">
        <f>+IF(('Monthly Detail'!BV29-$E$13)&gt;0,('Monthly Detail'!BV29-$E$13)*'People Plan'!$D$13, 0)</f>
        <v>0</v>
      </c>
      <c r="AX13" s="440">
        <f>+IF(('Monthly Detail'!BW29-$E$13)&gt;0,('Monthly Detail'!BW29-$E$13)*'People Plan'!$D$13, 0)</f>
        <v>3359.999999999995</v>
      </c>
      <c r="AY13" s="440">
        <f>+IF(('Monthly Detail'!BX29-$E$13)&gt;0,('Monthly Detail'!BX29-$E$13)*'People Plan'!$D$13, 0)</f>
        <v>5855.8307608695613</v>
      </c>
      <c r="AZ13" s="440">
        <f>+IF(('Monthly Detail'!BY29-$E$13)&gt;0,('Monthly Detail'!BY29-$E$13)*'People Plan'!$D$13, 0)</f>
        <v>10420.417999999992</v>
      </c>
      <c r="BA13" s="440">
        <f>+IF(('Monthly Detail'!BZ29-$E$13)&gt;0,('Monthly Detail'!BZ29-$E$13)*'People Plan'!$D$13, 0)</f>
        <v>15673.712857142846</v>
      </c>
      <c r="BB13" s="440">
        <f>+IF(('Monthly Detail'!CA29-$E$13)&gt;0,('Monthly Detail'!CA29-$E$13)*'People Plan'!$D$13, 0)</f>
        <v>4897.1920948616544</v>
      </c>
      <c r="BC13" s="440">
        <f>+IF(('Monthly Detail'!CB29-$E$13)&gt;0,('Monthly Detail'!CB29-$E$13)*'People Plan'!$D$13, 0)</f>
        <v>15919.092090909084</v>
      </c>
      <c r="BD13" s="440">
        <f>+IF(('Monthly Detail'!CC29-$E$13)&gt;0,('Monthly Detail'!CC29-$E$13)*'People Plan'!$D$13, 0)</f>
        <v>2655.1070476190439</v>
      </c>
      <c r="BE13" s="440">
        <f>+IF(('Monthly Detail'!CD29-$E$13)&gt;0,('Monthly Detail'!CD29-$E$13)*'People Plan'!$D$13, 0)</f>
        <v>5804.129818181812</v>
      </c>
      <c r="BF13" s="440">
        <f>+IF(('Monthly Detail'!CE29-$E$13)&gt;0,('Monthly Detail'!CE29-$E$13)*'People Plan'!$D$13, 0)</f>
        <v>6811.2780158730093</v>
      </c>
      <c r="BG13" s="440">
        <f>+IF(('Monthly Detail'!CF29-$E$13)&gt;0,('Monthly Detail'!CF29-$E$13)*'People Plan'!$D$13, 0)</f>
        <v>8391.8499521531048</v>
      </c>
      <c r="BH13" s="440">
        <f>+IF(('Monthly Detail'!CG29-$E$13)&gt;0,('Monthly Detail'!CG29-$E$13)*'People Plan'!$D$13, 0)</f>
        <v>2842.8606099935087</v>
      </c>
      <c r="BI13" s="440">
        <f>+IF(('Monthly Detail'!CH29-$E$13)&gt;0,('Monthly Detail'!CH29-$E$13)*'People Plan'!$D$13, 0)</f>
        <v>0</v>
      </c>
      <c r="BJ13" s="440">
        <f>+IF(('Monthly Detail'!CI29-$E$13)&gt;0,('Monthly Detail'!CI29-$E$13)*'People Plan'!$D$13, 0)</f>
        <v>4968.9839816933581</v>
      </c>
      <c r="BK13" s="440">
        <f>+IF(('Monthly Detail'!CJ29-$E$13)&gt;0,('Monthly Detail'!CJ29-$E$13)*'People Plan'!$D$13, 0)</f>
        <v>10355.12799999999</v>
      </c>
      <c r="BL13" s="440">
        <f>+IF(('Monthly Detail'!CK29-$E$13)&gt;0,('Monthly Detail'!CK29-$E$13)*'People Plan'!$D$13, 0)</f>
        <v>14799.223999999978</v>
      </c>
      <c r="BM13" s="440">
        <f>+IF(('Monthly Detail'!CL29-$E$13)&gt;0,('Monthly Detail'!CL29-$E$13)*'People Plan'!$D$13, 0)</f>
        <v>21875.864857142831</v>
      </c>
      <c r="BN13" s="440">
        <f>+IF(('Monthly Detail'!CM29-$E$13)&gt;0,('Monthly Detail'!CM29-$E$13)*'People Plan'!$D$13, 0)</f>
        <v>8407.6549881422798</v>
      </c>
      <c r="BO13" s="440">
        <f>+IF(('Monthly Detail'!CN29-$E$13)&gt;0,('Monthly Detail'!CN29-$E$13)*'People Plan'!$D$13, 0)</f>
        <v>23293.707336363612</v>
      </c>
      <c r="BP13" s="440">
        <f>+IF(('Monthly Detail'!CO29-$E$13)&gt;0,('Monthly Detail'!CO29-$E$13)*'People Plan'!$D$13, 0)</f>
        <v>4457.2975999999881</v>
      </c>
      <c r="BQ13" s="440">
        <f>+IF(('Monthly Detail'!CP29-$E$13)&gt;0,('Monthly Detail'!CP29-$E$13)*'People Plan'!$D$13, 0)</f>
        <v>9721.9761142856951</v>
      </c>
      <c r="BR13" s="440">
        <f>+IF(('Monthly Detail'!CQ29-$E$13)&gt;0,('Monthly Detail'!CQ29-$E$13)*'People Plan'!$D$13, 0)</f>
        <v>10628.633468253945</v>
      </c>
      <c r="BS13" s="440">
        <f>+IF(('Monthly Detail'!CR29-$E$13)&gt;0,('Monthly Detail'!CR29-$E$13)*'People Plan'!$D$13, 0)</f>
        <v>12194.90679425835</v>
      </c>
      <c r="BT13" s="440">
        <f>+IF(('Monthly Detail'!CS29-$E$13)&gt;0,('Monthly Detail'!CS29-$E$13)*'People Plan'!$D$13, 0)</f>
        <v>5451.0199999999886</v>
      </c>
      <c r="BU13" s="440">
        <f>+IF(('Monthly Detail'!CT29-$E$13)&gt;0,('Monthly Detail'!CT29-$E$13)*'People Plan'!$D$13, 0)</f>
        <v>871.12926315788923</v>
      </c>
      <c r="BV13" s="440">
        <f>+IF(('Monthly Detail'!CU29-$E$13)&gt;0,('Monthly Detail'!CU29-$E$13)*'People Plan'!$D$13, 0)</f>
        <v>8163.2137299770975</v>
      </c>
      <c r="BW13" s="440">
        <f>+IF(('Monthly Detail'!CV29-$E$13)&gt;0,('Monthly Detail'!CV29-$E$13)*'People Plan'!$D$13, 0)</f>
        <v>15734.825033333304</v>
      </c>
      <c r="BX13" s="440">
        <f>+IF(('Monthly Detail'!CW29-$E$13)&gt;0,('Monthly Detail'!CW29-$E$13)*'People Plan'!$D$13, 0)</f>
        <v>21970.913599999956</v>
      </c>
      <c r="BY13" s="440">
        <f>+IF(('Monthly Detail'!CX29-$E$13)&gt;0,('Monthly Detail'!CX29-$E$13)*'People Plan'!$D$13, 0)</f>
        <v>30328.706899999946</v>
      </c>
      <c r="BZ13" s="440">
        <f>+IF(('Monthly Detail'!CY29-$E$13)&gt;0,('Monthly Detail'!CY29-$E$13)*'People Plan'!$D$13, 0)</f>
        <v>13581.546156521708</v>
      </c>
      <c r="CA13" s="440">
        <f>+IF(('Monthly Detail'!CZ29-$E$13)&gt;0,('Monthly Detail'!CZ29-$E$13)*'People Plan'!$D$13, 0)</f>
        <v>33827.520952727202</v>
      </c>
      <c r="CB13" s="440">
        <f>+IF(('Monthly Detail'!DA29-$E$13)&gt;0,('Monthly Detail'!DA29-$E$13)*'People Plan'!$D$13, 0)</f>
        <v>6820.3967999999777</v>
      </c>
      <c r="CC13" s="440">
        <f>+IF(('Monthly Detail'!DB29-$E$13)&gt;0,('Monthly Detail'!DB29-$E$13)*'People Plan'!$D$13, 0)</f>
        <v>15534.23516987009</v>
      </c>
      <c r="CD13" s="440">
        <f>+IF(('Monthly Detail'!DC29-$E$13)&gt;0,('Monthly Detail'!DC29-$E$13)*'People Plan'!$D$13, 0)</f>
        <v>15220.995303174564</v>
      </c>
      <c r="CE13" s="440">
        <f>+IF(('Monthly Detail'!DD29-$E$13)&gt;0,('Monthly Detail'!DD29-$E$13)*'People Plan'!$D$13, 0)</f>
        <v>19229.321599999959</v>
      </c>
      <c r="CF13" s="440">
        <f>+IF(('Monthly Detail'!DE29-$E$13)&gt;0,('Monthly Detail'!DE29-$E$13)*'People Plan'!$D$13, 0)</f>
        <v>8684.8682985074411</v>
      </c>
      <c r="CG13" s="440">
        <f>+IF(('Monthly Detail'!DF29-$E$13)&gt;0,('Monthly Detail'!DF29-$E$13)*'People Plan'!$D$13, 0)</f>
        <v>2012.7914028708033</v>
      </c>
      <c r="CH13" s="440">
        <f>+IF(('Monthly Detail'!DG29-$E$13)&gt;0,('Monthly Detail'!DG29-$E$13)*'People Plan'!$D$13, 0)</f>
        <v>13154.483112128108</v>
      </c>
      <c r="CI13" s="440">
        <f>+IF(('Monthly Detail'!DH29-$E$13)&gt;0,('Monthly Detail'!DH29-$E$13)*'People Plan'!$D$13, 0)</f>
        <v>0</v>
      </c>
      <c r="CJ13" s="440">
        <f>+IF(('Monthly Detail'!DI29-$E$13)&gt;0,('Monthly Detail'!DI29-$E$13)*'People Plan'!$D$13, 0)</f>
        <v>0</v>
      </c>
      <c r="CK13" s="440">
        <f>+IF(('Monthly Detail'!DJ29-$E$13)&gt;0,('Monthly Detail'!DJ29-$E$13)*'People Plan'!$D$13, 0)</f>
        <v>0</v>
      </c>
      <c r="CL13" s="440">
        <f>+IF(('Monthly Detail'!DK29-$E$13)&gt;0,('Monthly Detail'!DK29-$E$13)*'People Plan'!$D$13, 0)</f>
        <v>0</v>
      </c>
      <c r="CM13" s="440">
        <f>+IF(('Monthly Detail'!DL29-$E$13)&gt;0,('Monthly Detail'!DL29-$E$13)*'People Plan'!$D$13, 0)</f>
        <v>0</v>
      </c>
      <c r="CN13" s="440">
        <f>+IF(('Monthly Detail'!DM29-$E$13)&gt;0,('Monthly Detail'!DM29-$E$13)*'People Plan'!$D$13, 0)</f>
        <v>0</v>
      </c>
      <c r="CO13" s="440">
        <f>+IF(('Monthly Detail'!DN29-$E$13)&gt;0,('Monthly Detail'!DN29-$E$13)*'People Plan'!$D$13, 0)</f>
        <v>0</v>
      </c>
      <c r="CP13" s="440">
        <f>+IF(('Monthly Detail'!DO29-$E$13)&gt;0,('Monthly Detail'!DO29-$E$13)*'People Plan'!$D$13, 0)</f>
        <v>0</v>
      </c>
      <c r="CQ13" s="440">
        <f>+IF(('Monthly Detail'!DP29-$E$13)&gt;0,('Monthly Detail'!DP29-$E$13)*'People Plan'!$D$13, 0)</f>
        <v>0</v>
      </c>
      <c r="CR13" s="440">
        <f>+IF(('Monthly Detail'!DQ29-$E$13)&gt;0,('Monthly Detail'!DQ29-$E$13)*'People Plan'!$D$13, 0)</f>
        <v>0</v>
      </c>
      <c r="CS13" s="440">
        <f>+IF(('Monthly Detail'!DR29-$E$13)&gt;0,('Monthly Detail'!DR29-$E$13)*'People Plan'!$D$13, 0)</f>
        <v>0</v>
      </c>
      <c r="CT13" s="440">
        <f>+IF(('Monthly Detail'!DS29-$E$13)&gt;0,('Monthly Detail'!DS29-$E$13)*'People Plan'!$D$13, 0)</f>
        <v>0</v>
      </c>
      <c r="CU13" s="440">
        <f>+IF(('Monthly Detail'!DT29-$E$13)&gt;0,('Monthly Detail'!DT29-$E$13)*'People Plan'!$D$13, 0)</f>
        <v>0</v>
      </c>
      <c r="CV13" s="440">
        <f>+IF(('Monthly Detail'!DU29-$E$13)&gt;0,('Monthly Detail'!DU29-$E$13)*'People Plan'!$D$13, 0)</f>
        <v>0</v>
      </c>
      <c r="CW13" s="440">
        <f>+IF(('Monthly Detail'!DV29-$E$13)&gt;0,('Monthly Detail'!DV29-$E$13)*'People Plan'!$D$13, 0)</f>
        <v>0</v>
      </c>
      <c r="CX13" s="440">
        <f>+IF(('Monthly Detail'!DW29-$E$13)&gt;0,('Monthly Detail'!DW29-$E$13)*'People Plan'!$D$13, 0)</f>
        <v>0</v>
      </c>
      <c r="CY13" s="440">
        <f>+IF(('Monthly Detail'!DX29-$E$13)&gt;0,('Monthly Detail'!DX29-$E$13)*'People Plan'!$D$13, 0)</f>
        <v>0</v>
      </c>
      <c r="CZ13" s="440">
        <f>+IF(('Monthly Detail'!DY29-$E$13)&gt;0,('Monthly Detail'!DY29-$E$13)*'People Plan'!$D$13, 0)</f>
        <v>0</v>
      </c>
      <c r="DA13" s="440">
        <f>+IF(('Monthly Detail'!DZ29-$E$13)&gt;0,('Monthly Detail'!DZ29-$E$13)*'People Plan'!$D$13, 0)</f>
        <v>0</v>
      </c>
      <c r="DB13" s="440">
        <f>+IF(('Monthly Detail'!EA29-$E$13)&gt;0,('Monthly Detail'!EA29-$E$13)*'People Plan'!$D$13, 0)</f>
        <v>0</v>
      </c>
      <c r="DC13" s="440">
        <f>+IF(('Monthly Detail'!EB29-$E$13)&gt;0,('Monthly Detail'!EB29-$E$13)*'People Plan'!$D$13, 0)</f>
        <v>0</v>
      </c>
      <c r="DD13" s="440">
        <f>+IF(('Monthly Detail'!EC29-$E$13)&gt;0,('Monthly Detail'!EC29-$E$13)*'People Plan'!$D$13, 0)</f>
        <v>0</v>
      </c>
      <c r="DE13" s="440">
        <f>+IF(('Monthly Detail'!ED29-$E$13)&gt;0,('Monthly Detail'!ED29-$E$13)*'People Plan'!$D$13, 0)</f>
        <v>0</v>
      </c>
      <c r="DF13" s="440">
        <f>+IF(('Monthly Detail'!EE29-$E$13)&gt;0,('Monthly Detail'!EE29-$E$13)*'People Plan'!$D$13, 0)</f>
        <v>0</v>
      </c>
      <c r="DG13" s="440">
        <f>+IF(('Monthly Detail'!EF29-$E$13)&gt;0,('Monthly Detail'!EF29-$E$13)*'People Plan'!$D$13, 0)</f>
        <v>0</v>
      </c>
      <c r="DH13" s="440">
        <f>+IF(('Monthly Detail'!EG29-$E$13)&gt;0,('Monthly Detail'!EG29-$E$13)*'People Plan'!$D$13, 0)</f>
        <v>0</v>
      </c>
      <c r="DI13" s="440">
        <f>+IF(('Monthly Detail'!EH29-$E$13)&gt;0,('Monthly Detail'!EH29-$E$13)*'People Plan'!$D$13, 0)</f>
        <v>0</v>
      </c>
      <c r="DJ13" s="440">
        <f>+IF(('Monthly Detail'!EI29-$E$13)&gt;0,('Monthly Detail'!EI29-$E$13)*'People Plan'!$D$13, 0)</f>
        <v>0</v>
      </c>
      <c r="DK13" s="440">
        <f>+IF(('Monthly Detail'!EJ29-$E$13)&gt;0,('Monthly Detail'!EJ29-$E$13)*'People Plan'!$D$13, 0)</f>
        <v>0</v>
      </c>
      <c r="DL13" s="440">
        <f>+IF(('Monthly Detail'!EK29-$E$13)&gt;0,('Monthly Detail'!EK29-$E$13)*'People Plan'!$D$13, 0)</f>
        <v>0</v>
      </c>
      <c r="DM13" s="440">
        <f>+IF(('Monthly Detail'!EL29-$E$13)&gt;0,('Monthly Detail'!EL29-$E$13)*'People Plan'!$D$13, 0)</f>
        <v>0</v>
      </c>
      <c r="DN13" s="440">
        <f>+IF(('Monthly Detail'!EM29-$E$13)&gt;0,('Monthly Detail'!EM29-$E$13)*'People Plan'!$D$13, 0)</f>
        <v>0</v>
      </c>
      <c r="DO13" s="440">
        <f>+IF(('Monthly Detail'!EN29-$E$13)&gt;0,('Monthly Detail'!EN29-$E$13)*'People Plan'!$D$13, 0)</f>
        <v>0</v>
      </c>
      <c r="DP13" s="440">
        <f>+IF(('Monthly Detail'!EO29-$E$13)&gt;0,('Monthly Detail'!EO29-$E$13)*'People Plan'!$D$13, 0)</f>
        <v>0</v>
      </c>
      <c r="DQ13" s="440">
        <f>+IF(('Monthly Detail'!EP29-$E$13)&gt;0,('Monthly Detail'!EP29-$E$13)*'People Plan'!$D$13, 0)</f>
        <v>0</v>
      </c>
      <c r="DR13" s="440">
        <f>+IF(('Monthly Detail'!EQ29-$E$13)&gt;0,('Monthly Detail'!EQ29-$E$13)*'People Plan'!$D$13, 0)</f>
        <v>0</v>
      </c>
      <c r="DS13" s="440">
        <f>+IF(('Monthly Detail'!ER29-$E$13)&gt;0,('Monthly Detail'!ER29-$E$13)*'People Plan'!$D$13, 0)</f>
        <v>0</v>
      </c>
      <c r="DT13" s="440">
        <f>+IF(('Monthly Detail'!ES29-$E$13)&gt;0,('Monthly Detail'!ES29-$E$13)*'People Plan'!$D$13, 0)</f>
        <v>0</v>
      </c>
      <c r="DU13" s="440">
        <f>+IF(('Monthly Detail'!ET29-$E$13)&gt;0,('Monthly Detail'!ET29-$E$13)*'People Plan'!$D$13, 0)</f>
        <v>0</v>
      </c>
      <c r="DV13" s="440">
        <f>+IF(('Monthly Detail'!EU29-$E$13)&gt;0,('Monthly Detail'!EU29-$E$13)*'People Plan'!$D$13, 0)</f>
        <v>0</v>
      </c>
      <c r="DW13" s="440">
        <f>+IF(('Monthly Detail'!EV29-$E$13)&gt;0,('Monthly Detail'!EV29-$E$13)*'People Plan'!$D$13, 0)</f>
        <v>0</v>
      </c>
      <c r="DX13" s="440">
        <f>+IF(('Monthly Detail'!EW29-$E$13)&gt;0,('Monthly Detail'!EW29-$E$13)*'People Plan'!$D$13, 0)</f>
        <v>0</v>
      </c>
      <c r="DY13" s="440">
        <f>+IF(('Monthly Detail'!EX29-$E$13)&gt;0,('Monthly Detail'!EX29-$E$13)*'People Plan'!$D$13, 0)</f>
        <v>0</v>
      </c>
      <c r="DZ13" s="440">
        <f>+IF(('Monthly Detail'!EY29-$E$13)&gt;0,('Monthly Detail'!EY29-$E$13)*'People Plan'!$D$13, 0)</f>
        <v>0</v>
      </c>
      <c r="EA13" s="440">
        <f>+IF(('Monthly Detail'!EZ29-$E$13)&gt;0,('Monthly Detail'!EZ29-$E$13)*'People Plan'!$D$13, 0)</f>
        <v>0</v>
      </c>
      <c r="EB13" s="440">
        <f>+IF(('Monthly Detail'!FA29-$E$13)&gt;0,('Monthly Detail'!FA29-$E$13)*'People Plan'!$D$13, 0)</f>
        <v>0</v>
      </c>
      <c r="EC13" s="440">
        <f>+IF(('Monthly Detail'!FB29-$E$13)&gt;0,('Monthly Detail'!FB29-$E$13)*'People Plan'!$D$13, 0)</f>
        <v>0</v>
      </c>
      <c r="ED13" s="440">
        <f>+IF(('Monthly Detail'!FC29-$E$13)&gt;0,('Monthly Detail'!FC29-$E$13)*'People Plan'!$D$13, 0)</f>
        <v>0</v>
      </c>
      <c r="EE13" s="440">
        <f>+IF(('Monthly Detail'!FD29-$E$13)&gt;0,('Monthly Detail'!FD29-$E$13)*'People Plan'!$D$13, 0)</f>
        <v>0</v>
      </c>
      <c r="EF13" s="440">
        <f>+IF(('Monthly Detail'!FE29-$E$13)&gt;0,('Monthly Detail'!FE29-$E$13)*'People Plan'!$D$13, 0)</f>
        <v>0</v>
      </c>
      <c r="EG13" s="440">
        <f>+IF(('Monthly Detail'!FF29-$E$13)&gt;0,('Monthly Detail'!FF29-$E$13)*'People Plan'!$D$13, 0)</f>
        <v>0</v>
      </c>
      <c r="EH13" s="440">
        <f>+IF(('Monthly Detail'!FG29-$E$13)&gt;0,('Monthly Detail'!FG29-$E$13)*'People Plan'!$D$13, 0)</f>
        <v>0</v>
      </c>
      <c r="EI13" s="440">
        <f>+IF(('Monthly Detail'!FH29-$E$13)&gt;0,('Monthly Detail'!FH29-$E$13)*'People Plan'!$D$13, 0)</f>
        <v>0</v>
      </c>
      <c r="EJ13" s="440">
        <f>+IF(('Monthly Detail'!FI29-$E$13)&gt;0,('Monthly Detail'!FI29-$E$13)*'People Plan'!$D$13, 0)</f>
        <v>0</v>
      </c>
      <c r="EK13" s="440">
        <f>+IF(('Monthly Detail'!FJ29-$E$13)&gt;0,('Monthly Detail'!FJ29-$E$13)*'People Plan'!$D$13, 0)</f>
        <v>0</v>
      </c>
      <c r="EL13" s="440">
        <f>+IF(('Monthly Detail'!FK29-$E$13)&gt;0,('Monthly Detail'!FK29-$E$13)*'People Plan'!$D$13, 0)</f>
        <v>0</v>
      </c>
      <c r="EM13" s="440">
        <f>+IF(('Monthly Detail'!FL29-$E$13)&gt;0,('Monthly Detail'!FL29-$E$13)*'People Plan'!$D$13, 0)</f>
        <v>0</v>
      </c>
      <c r="EN13" s="440">
        <f>+IF(('Monthly Detail'!FM29-$E$13)&gt;0,('Monthly Detail'!FM29-$E$13)*'People Plan'!$D$13, 0)</f>
        <v>0</v>
      </c>
      <c r="EO13" s="440">
        <f>+IF(('Monthly Detail'!FN29-$E$13)&gt;0,('Monthly Detail'!FN29-$E$13)*'People Plan'!$D$13, 0)</f>
        <v>0</v>
      </c>
      <c r="EP13" s="440">
        <f>+IF(('Monthly Detail'!FO29-$E$13)&gt;0,('Monthly Detail'!FO29-$E$13)*'People Plan'!$D$13, 0)</f>
        <v>0</v>
      </c>
      <c r="EQ13" s="440">
        <f>+IF(('Monthly Detail'!FP29-$E$13)&gt;0,('Monthly Detail'!FP29-$E$13)*'People Plan'!$D$13, 0)</f>
        <v>0</v>
      </c>
      <c r="ER13" s="440">
        <f>+IF(('Monthly Detail'!FQ29-$E$13)&gt;0,('Monthly Detail'!FQ29-$E$13)*'People Plan'!$D$13, 0)</f>
        <v>0</v>
      </c>
      <c r="ES13" s="440">
        <f>+IF(('Monthly Detail'!FR29-$E$13)&gt;0,('Monthly Detail'!FR29-$E$13)*'People Plan'!$D$13, 0)</f>
        <v>0</v>
      </c>
      <c r="ET13" s="440">
        <f>+IF(('Monthly Detail'!FS29-$E$13)&gt;0,('Monthly Detail'!FS29-$E$13)*'People Plan'!$D$13, 0)</f>
        <v>0</v>
      </c>
      <c r="EU13" s="440">
        <f>+IF(('Monthly Detail'!FT29-$E$13)&gt;0,('Monthly Detail'!FT29-$E$13)*'People Plan'!$D$13, 0)</f>
        <v>0</v>
      </c>
      <c r="EV13" s="440">
        <f>+IF(('Monthly Detail'!FU29-$E$13)&gt;0,('Monthly Detail'!FU29-$E$13)*'People Plan'!$D$13, 0)</f>
        <v>0</v>
      </c>
      <c r="EW13" s="440">
        <f>+IF(('Monthly Detail'!FV29-$E$13)&gt;0,('Monthly Detail'!FV29-$E$13)*'People Plan'!$D$13, 0)</f>
        <v>0</v>
      </c>
      <c r="EX13" s="440">
        <f>+IF(('Monthly Detail'!FW29-$E$13)&gt;0,('Monthly Detail'!FW29-$E$13)*'People Plan'!$D$13, 0)</f>
        <v>0</v>
      </c>
      <c r="EY13" s="440">
        <f>+IF(('Monthly Detail'!FX29-$E$13)&gt;0,('Monthly Detail'!FX29-$E$13)*'People Plan'!$D$13, 0)</f>
        <v>0</v>
      </c>
      <c r="EZ13" s="440">
        <f>+IF(('Monthly Detail'!FY29-$E$13)&gt;0,('Monthly Detail'!FY29-$E$13)*'People Plan'!$D$13, 0)</f>
        <v>0</v>
      </c>
      <c r="FA13" s="440">
        <f>+IF(('Monthly Detail'!FZ29-$E$13)&gt;0,('Monthly Detail'!FZ29-$E$13)*'People Plan'!$D$13, 0)</f>
        <v>0</v>
      </c>
      <c r="FB13" s="441">
        <f>+IF(('Monthly Detail'!GA29-$E$13)&gt;0,('Monthly Detail'!GA29-$E$13)*'People Plan'!$D$13, 0)</f>
        <v>0</v>
      </c>
    </row>
    <row r="14" spans="2:158" x14ac:dyDescent="0.25">
      <c r="B14" s="449" t="s">
        <v>387</v>
      </c>
      <c r="C14" t="s">
        <v>350</v>
      </c>
      <c r="D14" s="383"/>
      <c r="E14" s="517"/>
      <c r="F14" s="7"/>
      <c r="H14" s="43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478"/>
      <c r="T14" s="478"/>
      <c r="U14" s="478">
        <v>202.5</v>
      </c>
      <c r="V14" s="478">
        <v>0</v>
      </c>
      <c r="W14" s="478">
        <v>2299.98</v>
      </c>
      <c r="X14" s="716">
        <v>4725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  <c r="BB14" s="440"/>
      <c r="BC14" s="440"/>
      <c r="BD14" s="440"/>
      <c r="BE14" s="440"/>
      <c r="BF14" s="440"/>
      <c r="BG14" s="440"/>
      <c r="BH14" s="440"/>
      <c r="BI14" s="440"/>
      <c r="BJ14" s="440"/>
      <c r="BK14" s="440"/>
      <c r="BL14" s="440"/>
      <c r="BM14" s="440"/>
      <c r="BN14" s="440"/>
      <c r="BO14" s="440"/>
      <c r="BP14" s="440"/>
      <c r="BQ14" s="440"/>
      <c r="BR14" s="440"/>
      <c r="BS14" s="440"/>
      <c r="BT14" s="440"/>
      <c r="BU14" s="440"/>
      <c r="BV14" s="440"/>
      <c r="BW14" s="440"/>
      <c r="BX14" s="440"/>
      <c r="BY14" s="440"/>
      <c r="BZ14" s="440"/>
      <c r="CA14" s="440"/>
      <c r="CB14" s="440"/>
      <c r="CC14" s="440"/>
      <c r="CD14" s="440"/>
      <c r="CE14" s="440"/>
      <c r="CF14" s="440"/>
      <c r="CG14" s="440"/>
      <c r="CH14" s="440"/>
      <c r="CI14" s="440"/>
      <c r="CJ14" s="440"/>
      <c r="CK14" s="440"/>
      <c r="CL14" s="440"/>
      <c r="CM14" s="440"/>
      <c r="CN14" s="440"/>
      <c r="CO14" s="440"/>
      <c r="CP14" s="440"/>
      <c r="CQ14" s="440"/>
      <c r="CR14" s="440"/>
      <c r="CS14" s="440"/>
      <c r="CT14" s="440"/>
      <c r="CU14" s="440"/>
      <c r="CV14" s="440"/>
      <c r="CW14" s="440"/>
      <c r="CX14" s="440"/>
      <c r="CY14" s="440"/>
      <c r="CZ14" s="440"/>
      <c r="DA14" s="440"/>
      <c r="DB14" s="440"/>
      <c r="DC14" s="440"/>
      <c r="DD14" s="440"/>
      <c r="DE14" s="440"/>
      <c r="DF14" s="440"/>
      <c r="DG14" s="440"/>
      <c r="DH14" s="440"/>
      <c r="DI14" s="440"/>
      <c r="DJ14" s="440"/>
      <c r="DK14" s="440"/>
      <c r="DL14" s="440"/>
      <c r="DM14" s="440"/>
      <c r="DN14" s="440"/>
      <c r="DO14" s="440"/>
      <c r="DP14" s="440"/>
      <c r="DQ14" s="440"/>
      <c r="DR14" s="440"/>
      <c r="DS14" s="440"/>
      <c r="DT14" s="440"/>
      <c r="DU14" s="440"/>
      <c r="DV14" s="440"/>
      <c r="DW14" s="440"/>
      <c r="DX14" s="440"/>
      <c r="DY14" s="440"/>
      <c r="DZ14" s="440"/>
      <c r="EA14" s="440"/>
      <c r="EB14" s="440"/>
      <c r="EC14" s="440"/>
      <c r="ED14" s="440"/>
      <c r="EE14" s="440"/>
      <c r="EF14" s="440"/>
      <c r="EG14" s="440"/>
      <c r="EH14" s="440"/>
      <c r="EI14" s="440"/>
      <c r="EJ14" s="440"/>
      <c r="EK14" s="440"/>
      <c r="EL14" s="440"/>
      <c r="EM14" s="440"/>
      <c r="EN14" s="440"/>
      <c r="EO14" s="440"/>
      <c r="EP14" s="440"/>
      <c r="EQ14" s="440"/>
      <c r="ER14" s="440"/>
      <c r="ES14" s="440"/>
      <c r="ET14" s="440"/>
      <c r="EU14" s="440"/>
      <c r="EV14" s="440"/>
      <c r="EW14" s="440"/>
      <c r="EX14" s="440"/>
      <c r="EY14" s="440"/>
      <c r="EZ14" s="440"/>
      <c r="FA14" s="440"/>
      <c r="FB14" s="441"/>
    </row>
    <row r="15" spans="2:158" x14ac:dyDescent="0.25">
      <c r="B15" s="449"/>
      <c r="F15" s="7"/>
      <c r="H15" s="437"/>
      <c r="X15" s="438"/>
      <c r="FB15" s="438"/>
    </row>
    <row r="16" spans="2:158" x14ac:dyDescent="0.25">
      <c r="B16" s="449"/>
      <c r="F16" s="7"/>
      <c r="H16" s="437"/>
      <c r="X16" s="438"/>
      <c r="FB16" s="438"/>
    </row>
    <row r="17" spans="2:158" x14ac:dyDescent="0.25">
      <c r="B17" s="449" t="s">
        <v>363</v>
      </c>
      <c r="C17" t="s">
        <v>364</v>
      </c>
      <c r="D17" s="383">
        <v>70</v>
      </c>
      <c r="E17">
        <v>170</v>
      </c>
      <c r="F17" s="7"/>
      <c r="H17" s="437"/>
      <c r="O17" s="478">
        <v>1275</v>
      </c>
      <c r="P17" s="478">
        <v>4005</v>
      </c>
      <c r="Q17" s="478">
        <v>4410</v>
      </c>
      <c r="R17" s="478">
        <v>2450</v>
      </c>
      <c r="S17" s="478">
        <v>1960</v>
      </c>
      <c r="T17" s="478">
        <v>2450</v>
      </c>
      <c r="U17" s="478">
        <v>7280</v>
      </c>
      <c r="V17" s="478">
        <v>14252.7</v>
      </c>
      <c r="W17" s="478">
        <v>9800</v>
      </c>
      <c r="X17" s="717">
        <v>14350</v>
      </c>
      <c r="Y17" s="440">
        <f t="shared" ref="Y17:CC17" si="147">+$D$17*$E$17</f>
        <v>11900</v>
      </c>
      <c r="Z17" s="440">
        <f t="shared" si="147"/>
        <v>11900</v>
      </c>
      <c r="AA17" s="440">
        <f t="shared" si="147"/>
        <v>11900</v>
      </c>
      <c r="AB17" s="440">
        <f t="shared" si="147"/>
        <v>11900</v>
      </c>
      <c r="AC17" s="440">
        <f t="shared" si="147"/>
        <v>11900</v>
      </c>
      <c r="AD17" s="440">
        <f t="shared" si="147"/>
        <v>11900</v>
      </c>
      <c r="AE17" s="440">
        <f t="shared" si="147"/>
        <v>11900</v>
      </c>
      <c r="AF17" s="440">
        <f t="shared" si="147"/>
        <v>11900</v>
      </c>
      <c r="AG17" s="440">
        <f t="shared" si="147"/>
        <v>11900</v>
      </c>
      <c r="AH17" s="440">
        <f t="shared" si="147"/>
        <v>11900</v>
      </c>
      <c r="AI17" s="440">
        <f t="shared" si="147"/>
        <v>11900</v>
      </c>
      <c r="AJ17" s="440">
        <f t="shared" si="147"/>
        <v>11900</v>
      </c>
      <c r="AK17" s="440">
        <f t="shared" si="147"/>
        <v>11900</v>
      </c>
      <c r="AL17" s="440">
        <f t="shared" si="147"/>
        <v>11900</v>
      </c>
      <c r="AM17" s="440">
        <f t="shared" si="147"/>
        <v>11900</v>
      </c>
      <c r="AN17" s="440">
        <f t="shared" si="147"/>
        <v>11900</v>
      </c>
      <c r="AO17" s="440">
        <f t="shared" si="147"/>
        <v>11900</v>
      </c>
      <c r="AP17" s="440">
        <f t="shared" si="147"/>
        <v>11900</v>
      </c>
      <c r="AQ17" s="440">
        <f t="shared" si="147"/>
        <v>11900</v>
      </c>
      <c r="AR17" s="440">
        <f t="shared" si="147"/>
        <v>11900</v>
      </c>
      <c r="AS17" s="440">
        <f t="shared" si="147"/>
        <v>11900</v>
      </c>
      <c r="AT17" s="440">
        <f t="shared" si="147"/>
        <v>11900</v>
      </c>
      <c r="AU17" s="440">
        <f t="shared" si="147"/>
        <v>11900</v>
      </c>
      <c r="AV17" s="440">
        <f t="shared" si="147"/>
        <v>11900</v>
      </c>
      <c r="AW17" s="440">
        <f t="shared" si="147"/>
        <v>11900</v>
      </c>
      <c r="AX17" s="440">
        <f t="shared" si="147"/>
        <v>11900</v>
      </c>
      <c r="AY17" s="440">
        <f t="shared" si="147"/>
        <v>11900</v>
      </c>
      <c r="AZ17" s="440">
        <f t="shared" si="147"/>
        <v>11900</v>
      </c>
      <c r="BA17" s="440">
        <f t="shared" si="147"/>
        <v>11900</v>
      </c>
      <c r="BB17" s="440">
        <f t="shared" si="147"/>
        <v>11900</v>
      </c>
      <c r="BC17" s="440">
        <f t="shared" si="147"/>
        <v>11900</v>
      </c>
      <c r="BD17" s="440">
        <f t="shared" si="147"/>
        <v>11900</v>
      </c>
      <c r="BE17" s="440">
        <f t="shared" si="147"/>
        <v>11900</v>
      </c>
      <c r="BF17" s="440">
        <f t="shared" si="147"/>
        <v>11900</v>
      </c>
      <c r="BG17" s="440">
        <f t="shared" si="147"/>
        <v>11900</v>
      </c>
      <c r="BH17" s="440">
        <f t="shared" si="147"/>
        <v>11900</v>
      </c>
      <c r="BI17" s="440">
        <f t="shared" si="147"/>
        <v>11900</v>
      </c>
      <c r="BJ17" s="440">
        <f t="shared" si="147"/>
        <v>11900</v>
      </c>
      <c r="BK17" s="440">
        <f t="shared" si="147"/>
        <v>11900</v>
      </c>
      <c r="BL17" s="440">
        <f t="shared" si="147"/>
        <v>11900</v>
      </c>
      <c r="BM17" s="440">
        <f t="shared" si="147"/>
        <v>11900</v>
      </c>
      <c r="BN17" s="440">
        <f t="shared" si="147"/>
        <v>11900</v>
      </c>
      <c r="BO17" s="440">
        <f t="shared" si="147"/>
        <v>11900</v>
      </c>
      <c r="BP17" s="440">
        <f t="shared" si="147"/>
        <v>11900</v>
      </c>
      <c r="BQ17" s="440">
        <f t="shared" si="147"/>
        <v>11900</v>
      </c>
      <c r="BR17" s="440">
        <f t="shared" si="147"/>
        <v>11900</v>
      </c>
      <c r="BS17" s="440">
        <f t="shared" si="147"/>
        <v>11900</v>
      </c>
      <c r="BT17" s="440">
        <f t="shared" si="147"/>
        <v>11900</v>
      </c>
      <c r="BU17" s="440">
        <f t="shared" si="147"/>
        <v>11900</v>
      </c>
      <c r="BV17" s="440">
        <f t="shared" si="147"/>
        <v>11900</v>
      </c>
      <c r="BW17" s="440">
        <f t="shared" si="147"/>
        <v>11900</v>
      </c>
      <c r="BX17" s="440">
        <f t="shared" si="147"/>
        <v>11900</v>
      </c>
      <c r="BY17" s="440">
        <f t="shared" si="147"/>
        <v>11900</v>
      </c>
      <c r="BZ17" s="440">
        <f t="shared" si="147"/>
        <v>11900</v>
      </c>
      <c r="CA17" s="440">
        <f t="shared" si="147"/>
        <v>11900</v>
      </c>
      <c r="CB17" s="440">
        <f t="shared" si="147"/>
        <v>11900</v>
      </c>
      <c r="CC17" s="440">
        <f t="shared" si="147"/>
        <v>11900</v>
      </c>
      <c r="CD17" s="440">
        <f t="shared" ref="CD17:EO17" si="148">+$D$17*$E$17</f>
        <v>11900</v>
      </c>
      <c r="CE17" s="440">
        <f t="shared" si="148"/>
        <v>11900</v>
      </c>
      <c r="CF17" s="440">
        <f t="shared" si="148"/>
        <v>11900</v>
      </c>
      <c r="CG17" s="440">
        <f t="shared" si="148"/>
        <v>11900</v>
      </c>
      <c r="CH17" s="440">
        <f t="shared" si="148"/>
        <v>11900</v>
      </c>
      <c r="CI17" s="440">
        <f t="shared" si="148"/>
        <v>11900</v>
      </c>
      <c r="CJ17" s="440">
        <f t="shared" si="148"/>
        <v>11900</v>
      </c>
      <c r="CK17" s="440">
        <f t="shared" si="148"/>
        <v>11900</v>
      </c>
      <c r="CL17" s="440">
        <f t="shared" si="148"/>
        <v>11900</v>
      </c>
      <c r="CM17" s="440">
        <f t="shared" si="148"/>
        <v>11900</v>
      </c>
      <c r="CN17" s="440">
        <f t="shared" si="148"/>
        <v>11900</v>
      </c>
      <c r="CO17" s="440">
        <f t="shared" si="148"/>
        <v>11900</v>
      </c>
      <c r="CP17" s="440">
        <f t="shared" si="148"/>
        <v>11900</v>
      </c>
      <c r="CQ17" s="440">
        <f t="shared" si="148"/>
        <v>11900</v>
      </c>
      <c r="CR17" s="440">
        <f t="shared" si="148"/>
        <v>11900</v>
      </c>
      <c r="CS17" s="440">
        <f t="shared" si="148"/>
        <v>11900</v>
      </c>
      <c r="CT17" s="440">
        <f t="shared" si="148"/>
        <v>11900</v>
      </c>
      <c r="CU17" s="440">
        <f t="shared" si="148"/>
        <v>11900</v>
      </c>
      <c r="CV17" s="440">
        <f t="shared" si="148"/>
        <v>11900</v>
      </c>
      <c r="CW17" s="440">
        <f t="shared" si="148"/>
        <v>11900</v>
      </c>
      <c r="CX17" s="440">
        <f t="shared" si="148"/>
        <v>11900</v>
      </c>
      <c r="CY17" s="440">
        <f t="shared" si="148"/>
        <v>11900</v>
      </c>
      <c r="CZ17" s="440">
        <f t="shared" si="148"/>
        <v>11900</v>
      </c>
      <c r="DA17" s="440">
        <f t="shared" si="148"/>
        <v>11900</v>
      </c>
      <c r="DB17" s="440">
        <f t="shared" si="148"/>
        <v>11900</v>
      </c>
      <c r="DC17" s="440">
        <f t="shared" si="148"/>
        <v>11900</v>
      </c>
      <c r="DD17" s="440">
        <f t="shared" si="148"/>
        <v>11900</v>
      </c>
      <c r="DE17" s="440">
        <f t="shared" si="148"/>
        <v>11900</v>
      </c>
      <c r="DF17" s="440">
        <f t="shared" si="148"/>
        <v>11900</v>
      </c>
      <c r="DG17" s="440">
        <f t="shared" si="148"/>
        <v>11900</v>
      </c>
      <c r="DH17" s="440">
        <f t="shared" si="148"/>
        <v>11900</v>
      </c>
      <c r="DI17" s="440">
        <f t="shared" si="148"/>
        <v>11900</v>
      </c>
      <c r="DJ17" s="440">
        <f t="shared" si="148"/>
        <v>11900</v>
      </c>
      <c r="DK17" s="440">
        <f t="shared" si="148"/>
        <v>11900</v>
      </c>
      <c r="DL17" s="440">
        <f t="shared" si="148"/>
        <v>11900</v>
      </c>
      <c r="DM17" s="440">
        <f t="shared" si="148"/>
        <v>11900</v>
      </c>
      <c r="DN17" s="440">
        <f t="shared" si="148"/>
        <v>11900</v>
      </c>
      <c r="DO17" s="440">
        <f t="shared" si="148"/>
        <v>11900</v>
      </c>
      <c r="DP17" s="440">
        <f t="shared" si="148"/>
        <v>11900</v>
      </c>
      <c r="DQ17" s="440">
        <f t="shared" si="148"/>
        <v>11900</v>
      </c>
      <c r="DR17" s="440">
        <f t="shared" si="148"/>
        <v>11900</v>
      </c>
      <c r="DS17" s="440">
        <f t="shared" si="148"/>
        <v>11900</v>
      </c>
      <c r="DT17" s="440">
        <f t="shared" si="148"/>
        <v>11900</v>
      </c>
      <c r="DU17" s="440">
        <f t="shared" si="148"/>
        <v>11900</v>
      </c>
      <c r="DV17" s="440">
        <f t="shared" si="148"/>
        <v>11900</v>
      </c>
      <c r="DW17" s="440">
        <f t="shared" si="148"/>
        <v>11900</v>
      </c>
      <c r="DX17" s="440">
        <f t="shared" si="148"/>
        <v>11900</v>
      </c>
      <c r="DY17" s="440">
        <f t="shared" si="148"/>
        <v>11900</v>
      </c>
      <c r="DZ17" s="440">
        <f t="shared" si="148"/>
        <v>11900</v>
      </c>
      <c r="EA17" s="440">
        <f t="shared" si="148"/>
        <v>11900</v>
      </c>
      <c r="EB17" s="440">
        <f t="shared" si="148"/>
        <v>11900</v>
      </c>
      <c r="EC17" s="440">
        <f t="shared" si="148"/>
        <v>11900</v>
      </c>
      <c r="ED17" s="440">
        <f t="shared" si="148"/>
        <v>11900</v>
      </c>
      <c r="EE17" s="440">
        <f t="shared" si="148"/>
        <v>11900</v>
      </c>
      <c r="EF17" s="440">
        <f t="shared" si="148"/>
        <v>11900</v>
      </c>
      <c r="EG17" s="440">
        <f t="shared" si="148"/>
        <v>11900</v>
      </c>
      <c r="EH17" s="440">
        <f t="shared" si="148"/>
        <v>11900</v>
      </c>
      <c r="EI17" s="440">
        <f t="shared" si="148"/>
        <v>11900</v>
      </c>
      <c r="EJ17" s="440">
        <f t="shared" si="148"/>
        <v>11900</v>
      </c>
      <c r="EK17" s="440">
        <f t="shared" si="148"/>
        <v>11900</v>
      </c>
      <c r="EL17" s="440">
        <f t="shared" si="148"/>
        <v>11900</v>
      </c>
      <c r="EM17" s="440">
        <f t="shared" si="148"/>
        <v>11900</v>
      </c>
      <c r="EN17" s="440">
        <f t="shared" si="148"/>
        <v>11900</v>
      </c>
      <c r="EO17" s="440">
        <f t="shared" si="148"/>
        <v>11900</v>
      </c>
      <c r="EP17" s="440">
        <f t="shared" ref="EP17:FB17" si="149">+$D$17*$E$17</f>
        <v>11900</v>
      </c>
      <c r="EQ17" s="440">
        <f t="shared" si="149"/>
        <v>11900</v>
      </c>
      <c r="ER17" s="440">
        <f t="shared" si="149"/>
        <v>11900</v>
      </c>
      <c r="ES17" s="440">
        <f t="shared" si="149"/>
        <v>11900</v>
      </c>
      <c r="ET17" s="440">
        <f t="shared" si="149"/>
        <v>11900</v>
      </c>
      <c r="EU17" s="440">
        <f t="shared" si="149"/>
        <v>11900</v>
      </c>
      <c r="EV17" s="440">
        <f t="shared" si="149"/>
        <v>11900</v>
      </c>
      <c r="EW17" s="440">
        <f t="shared" si="149"/>
        <v>11900</v>
      </c>
      <c r="EX17" s="440">
        <f t="shared" si="149"/>
        <v>11900</v>
      </c>
      <c r="EY17" s="440">
        <f t="shared" si="149"/>
        <v>11900</v>
      </c>
      <c r="EZ17" s="440">
        <f t="shared" si="149"/>
        <v>11900</v>
      </c>
      <c r="FA17" s="440">
        <f t="shared" si="149"/>
        <v>11900</v>
      </c>
      <c r="FB17" s="441">
        <f t="shared" si="149"/>
        <v>11900</v>
      </c>
    </row>
    <row r="18" spans="2:158" x14ac:dyDescent="0.25">
      <c r="B18" s="449"/>
      <c r="F18" s="7" t="s">
        <v>365</v>
      </c>
      <c r="H18" s="437"/>
      <c r="O18" s="478">
        <f t="shared" ref="O18:R18" si="150">SUM(O17)</f>
        <v>1275</v>
      </c>
      <c r="P18" s="478">
        <f t="shared" si="150"/>
        <v>4005</v>
      </c>
      <c r="Q18" s="478">
        <f t="shared" si="150"/>
        <v>4410</v>
      </c>
      <c r="R18" s="478">
        <f t="shared" si="150"/>
        <v>2450</v>
      </c>
      <c r="S18" s="478">
        <f t="shared" ref="S18:U18" si="151">SUM(S17)</f>
        <v>1960</v>
      </c>
      <c r="T18" s="478">
        <f t="shared" si="151"/>
        <v>2450</v>
      </c>
      <c r="U18" s="478">
        <f t="shared" si="151"/>
        <v>7280</v>
      </c>
      <c r="V18" s="478">
        <f t="shared" ref="V18" si="152">SUM(V17)</f>
        <v>14252.7</v>
      </c>
      <c r="W18" s="478">
        <f t="shared" ref="W18:CC18" si="153">SUM(W17)</f>
        <v>9800</v>
      </c>
      <c r="X18" s="717">
        <f t="shared" si="153"/>
        <v>14350</v>
      </c>
      <c r="Y18" s="440">
        <f t="shared" si="153"/>
        <v>11900</v>
      </c>
      <c r="Z18" s="440">
        <f t="shared" si="153"/>
        <v>11900</v>
      </c>
      <c r="AA18" s="440">
        <f t="shared" si="153"/>
        <v>11900</v>
      </c>
      <c r="AB18" s="440">
        <f t="shared" si="153"/>
        <v>11900</v>
      </c>
      <c r="AC18" s="440">
        <f t="shared" si="153"/>
        <v>11900</v>
      </c>
      <c r="AD18" s="440">
        <f t="shared" si="153"/>
        <v>11900</v>
      </c>
      <c r="AE18" s="440">
        <f t="shared" si="153"/>
        <v>11900</v>
      </c>
      <c r="AF18" s="440">
        <f t="shared" si="153"/>
        <v>11900</v>
      </c>
      <c r="AG18" s="440">
        <f t="shared" si="153"/>
        <v>11900</v>
      </c>
      <c r="AH18" s="440">
        <f t="shared" si="153"/>
        <v>11900</v>
      </c>
      <c r="AI18" s="440">
        <f t="shared" si="153"/>
        <v>11900</v>
      </c>
      <c r="AJ18" s="440">
        <f t="shared" si="153"/>
        <v>11900</v>
      </c>
      <c r="AK18" s="440">
        <f t="shared" si="153"/>
        <v>11900</v>
      </c>
      <c r="AL18" s="440">
        <f t="shared" si="153"/>
        <v>11900</v>
      </c>
      <c r="AM18" s="440">
        <f t="shared" si="153"/>
        <v>11900</v>
      </c>
      <c r="AN18" s="440">
        <f t="shared" si="153"/>
        <v>11900</v>
      </c>
      <c r="AO18" s="440">
        <f t="shared" si="153"/>
        <v>11900</v>
      </c>
      <c r="AP18" s="440">
        <f t="shared" si="153"/>
        <v>11900</v>
      </c>
      <c r="AQ18" s="440">
        <f t="shared" si="153"/>
        <v>11900</v>
      </c>
      <c r="AR18" s="440">
        <f t="shared" si="153"/>
        <v>11900</v>
      </c>
      <c r="AS18" s="440">
        <f t="shared" si="153"/>
        <v>11900</v>
      </c>
      <c r="AT18" s="440">
        <f t="shared" si="153"/>
        <v>11900</v>
      </c>
      <c r="AU18" s="440">
        <f t="shared" si="153"/>
        <v>11900</v>
      </c>
      <c r="AV18" s="440">
        <f t="shared" si="153"/>
        <v>11900</v>
      </c>
      <c r="AW18" s="440">
        <f t="shared" si="153"/>
        <v>11900</v>
      </c>
      <c r="AX18" s="440">
        <f t="shared" si="153"/>
        <v>11900</v>
      </c>
      <c r="AY18" s="440">
        <f t="shared" si="153"/>
        <v>11900</v>
      </c>
      <c r="AZ18" s="440">
        <f t="shared" si="153"/>
        <v>11900</v>
      </c>
      <c r="BA18" s="440">
        <f t="shared" si="153"/>
        <v>11900</v>
      </c>
      <c r="BB18" s="440">
        <f t="shared" si="153"/>
        <v>11900</v>
      </c>
      <c r="BC18" s="440">
        <f t="shared" si="153"/>
        <v>11900</v>
      </c>
      <c r="BD18" s="440">
        <f t="shared" si="153"/>
        <v>11900</v>
      </c>
      <c r="BE18" s="440">
        <f t="shared" si="153"/>
        <v>11900</v>
      </c>
      <c r="BF18" s="440">
        <f t="shared" si="153"/>
        <v>11900</v>
      </c>
      <c r="BG18" s="440">
        <f t="shared" si="153"/>
        <v>11900</v>
      </c>
      <c r="BH18" s="440">
        <f t="shared" si="153"/>
        <v>11900</v>
      </c>
      <c r="BI18" s="440">
        <f t="shared" si="153"/>
        <v>11900</v>
      </c>
      <c r="BJ18" s="440">
        <f t="shared" si="153"/>
        <v>11900</v>
      </c>
      <c r="BK18" s="440">
        <f t="shared" si="153"/>
        <v>11900</v>
      </c>
      <c r="BL18" s="440">
        <f t="shared" si="153"/>
        <v>11900</v>
      </c>
      <c r="BM18" s="440">
        <f t="shared" si="153"/>
        <v>11900</v>
      </c>
      <c r="BN18" s="440">
        <f t="shared" si="153"/>
        <v>11900</v>
      </c>
      <c r="BO18" s="440">
        <f t="shared" si="153"/>
        <v>11900</v>
      </c>
      <c r="BP18" s="440">
        <f t="shared" si="153"/>
        <v>11900</v>
      </c>
      <c r="BQ18" s="440">
        <f t="shared" si="153"/>
        <v>11900</v>
      </c>
      <c r="BR18" s="440">
        <f t="shared" si="153"/>
        <v>11900</v>
      </c>
      <c r="BS18" s="440">
        <f t="shared" si="153"/>
        <v>11900</v>
      </c>
      <c r="BT18" s="440">
        <f t="shared" si="153"/>
        <v>11900</v>
      </c>
      <c r="BU18" s="440">
        <f t="shared" si="153"/>
        <v>11900</v>
      </c>
      <c r="BV18" s="440">
        <f t="shared" si="153"/>
        <v>11900</v>
      </c>
      <c r="BW18" s="440">
        <f t="shared" si="153"/>
        <v>11900</v>
      </c>
      <c r="BX18" s="440">
        <f t="shared" si="153"/>
        <v>11900</v>
      </c>
      <c r="BY18" s="440">
        <f t="shared" si="153"/>
        <v>11900</v>
      </c>
      <c r="BZ18" s="440">
        <f t="shared" si="153"/>
        <v>11900</v>
      </c>
      <c r="CA18" s="440">
        <f t="shared" si="153"/>
        <v>11900</v>
      </c>
      <c r="CB18" s="440">
        <f t="shared" si="153"/>
        <v>11900</v>
      </c>
      <c r="CC18" s="440">
        <f t="shared" si="153"/>
        <v>11900</v>
      </c>
      <c r="CD18" s="440">
        <f t="shared" ref="CD18:EO18" si="154">SUM(CD17)</f>
        <v>11900</v>
      </c>
      <c r="CE18" s="440">
        <f t="shared" si="154"/>
        <v>11900</v>
      </c>
      <c r="CF18" s="440">
        <f t="shared" si="154"/>
        <v>11900</v>
      </c>
      <c r="CG18" s="440">
        <f t="shared" si="154"/>
        <v>11900</v>
      </c>
      <c r="CH18" s="440">
        <f t="shared" si="154"/>
        <v>11900</v>
      </c>
      <c r="CI18" s="440">
        <f t="shared" si="154"/>
        <v>11900</v>
      </c>
      <c r="CJ18" s="440">
        <f t="shared" si="154"/>
        <v>11900</v>
      </c>
      <c r="CK18" s="440">
        <f t="shared" si="154"/>
        <v>11900</v>
      </c>
      <c r="CL18" s="440">
        <f t="shared" si="154"/>
        <v>11900</v>
      </c>
      <c r="CM18" s="440">
        <f t="shared" si="154"/>
        <v>11900</v>
      </c>
      <c r="CN18" s="440">
        <f t="shared" si="154"/>
        <v>11900</v>
      </c>
      <c r="CO18" s="440">
        <f t="shared" si="154"/>
        <v>11900</v>
      </c>
      <c r="CP18" s="440">
        <f t="shared" si="154"/>
        <v>11900</v>
      </c>
      <c r="CQ18" s="440">
        <f t="shared" si="154"/>
        <v>11900</v>
      </c>
      <c r="CR18" s="440">
        <f t="shared" si="154"/>
        <v>11900</v>
      </c>
      <c r="CS18" s="440">
        <f t="shared" si="154"/>
        <v>11900</v>
      </c>
      <c r="CT18" s="440">
        <f t="shared" si="154"/>
        <v>11900</v>
      </c>
      <c r="CU18" s="440">
        <f t="shared" si="154"/>
        <v>11900</v>
      </c>
      <c r="CV18" s="440">
        <f t="shared" si="154"/>
        <v>11900</v>
      </c>
      <c r="CW18" s="440">
        <f t="shared" si="154"/>
        <v>11900</v>
      </c>
      <c r="CX18" s="440">
        <f t="shared" si="154"/>
        <v>11900</v>
      </c>
      <c r="CY18" s="440">
        <f t="shared" si="154"/>
        <v>11900</v>
      </c>
      <c r="CZ18" s="440">
        <f t="shared" si="154"/>
        <v>11900</v>
      </c>
      <c r="DA18" s="440">
        <f t="shared" si="154"/>
        <v>11900</v>
      </c>
      <c r="DB18" s="440">
        <f t="shared" si="154"/>
        <v>11900</v>
      </c>
      <c r="DC18" s="440">
        <f t="shared" si="154"/>
        <v>11900</v>
      </c>
      <c r="DD18" s="440">
        <f t="shared" si="154"/>
        <v>11900</v>
      </c>
      <c r="DE18" s="440">
        <f t="shared" si="154"/>
        <v>11900</v>
      </c>
      <c r="DF18" s="440">
        <f t="shared" si="154"/>
        <v>11900</v>
      </c>
      <c r="DG18" s="440">
        <f t="shared" si="154"/>
        <v>11900</v>
      </c>
      <c r="DH18" s="440">
        <f t="shared" si="154"/>
        <v>11900</v>
      </c>
      <c r="DI18" s="440">
        <f t="shared" si="154"/>
        <v>11900</v>
      </c>
      <c r="DJ18" s="440">
        <f t="shared" si="154"/>
        <v>11900</v>
      </c>
      <c r="DK18" s="440">
        <f t="shared" si="154"/>
        <v>11900</v>
      </c>
      <c r="DL18" s="440">
        <f t="shared" si="154"/>
        <v>11900</v>
      </c>
      <c r="DM18" s="440">
        <f t="shared" si="154"/>
        <v>11900</v>
      </c>
      <c r="DN18" s="440">
        <f t="shared" si="154"/>
        <v>11900</v>
      </c>
      <c r="DO18" s="440">
        <f t="shared" si="154"/>
        <v>11900</v>
      </c>
      <c r="DP18" s="440">
        <f t="shared" si="154"/>
        <v>11900</v>
      </c>
      <c r="DQ18" s="440">
        <f t="shared" si="154"/>
        <v>11900</v>
      </c>
      <c r="DR18" s="440">
        <f t="shared" si="154"/>
        <v>11900</v>
      </c>
      <c r="DS18" s="440">
        <f t="shared" si="154"/>
        <v>11900</v>
      </c>
      <c r="DT18" s="440">
        <f t="shared" si="154"/>
        <v>11900</v>
      </c>
      <c r="DU18" s="440">
        <f t="shared" si="154"/>
        <v>11900</v>
      </c>
      <c r="DV18" s="440">
        <f t="shared" si="154"/>
        <v>11900</v>
      </c>
      <c r="DW18" s="440">
        <f t="shared" si="154"/>
        <v>11900</v>
      </c>
      <c r="DX18" s="440">
        <f t="shared" si="154"/>
        <v>11900</v>
      </c>
      <c r="DY18" s="440">
        <f t="shared" si="154"/>
        <v>11900</v>
      </c>
      <c r="DZ18" s="440">
        <f t="shared" si="154"/>
        <v>11900</v>
      </c>
      <c r="EA18" s="440">
        <f t="shared" si="154"/>
        <v>11900</v>
      </c>
      <c r="EB18" s="440">
        <f t="shared" si="154"/>
        <v>11900</v>
      </c>
      <c r="EC18" s="440">
        <f t="shared" si="154"/>
        <v>11900</v>
      </c>
      <c r="ED18" s="440">
        <f t="shared" si="154"/>
        <v>11900</v>
      </c>
      <c r="EE18" s="440">
        <f t="shared" si="154"/>
        <v>11900</v>
      </c>
      <c r="EF18" s="440">
        <f t="shared" si="154"/>
        <v>11900</v>
      </c>
      <c r="EG18" s="440">
        <f t="shared" si="154"/>
        <v>11900</v>
      </c>
      <c r="EH18" s="440">
        <f t="shared" si="154"/>
        <v>11900</v>
      </c>
      <c r="EI18" s="440">
        <f t="shared" si="154"/>
        <v>11900</v>
      </c>
      <c r="EJ18" s="440">
        <f t="shared" si="154"/>
        <v>11900</v>
      </c>
      <c r="EK18" s="440">
        <f t="shared" si="154"/>
        <v>11900</v>
      </c>
      <c r="EL18" s="440">
        <f t="shared" si="154"/>
        <v>11900</v>
      </c>
      <c r="EM18" s="440">
        <f t="shared" si="154"/>
        <v>11900</v>
      </c>
      <c r="EN18" s="440">
        <f t="shared" si="154"/>
        <v>11900</v>
      </c>
      <c r="EO18" s="440">
        <f t="shared" si="154"/>
        <v>11900</v>
      </c>
      <c r="EP18" s="440">
        <f t="shared" ref="EP18:FB18" si="155">SUM(EP17)</f>
        <v>11900</v>
      </c>
      <c r="EQ18" s="440">
        <f t="shared" si="155"/>
        <v>11900</v>
      </c>
      <c r="ER18" s="440">
        <f t="shared" si="155"/>
        <v>11900</v>
      </c>
      <c r="ES18" s="440">
        <f t="shared" si="155"/>
        <v>11900</v>
      </c>
      <c r="ET18" s="440">
        <f t="shared" si="155"/>
        <v>11900</v>
      </c>
      <c r="EU18" s="440">
        <f t="shared" si="155"/>
        <v>11900</v>
      </c>
      <c r="EV18" s="440">
        <f t="shared" si="155"/>
        <v>11900</v>
      </c>
      <c r="EW18" s="440">
        <f t="shared" si="155"/>
        <v>11900</v>
      </c>
      <c r="EX18" s="440">
        <f t="shared" si="155"/>
        <v>11900</v>
      </c>
      <c r="EY18" s="440">
        <f t="shared" si="155"/>
        <v>11900</v>
      </c>
      <c r="EZ18" s="440">
        <f t="shared" si="155"/>
        <v>11900</v>
      </c>
      <c r="FA18" s="440">
        <f t="shared" si="155"/>
        <v>11900</v>
      </c>
      <c r="FB18" s="441">
        <f t="shared" si="155"/>
        <v>11900</v>
      </c>
    </row>
    <row r="19" spans="2:158" x14ac:dyDescent="0.25">
      <c r="B19" s="449"/>
      <c r="F19" s="7" t="s">
        <v>322</v>
      </c>
      <c r="H19" s="442">
        <f>SUM(H11:H15)</f>
        <v>0</v>
      </c>
      <c r="I19" s="440">
        <f t="shared" ref="I19:BT19" si="156">SUM(I11:I15)</f>
        <v>150</v>
      </c>
      <c r="J19" s="440">
        <f t="shared" si="156"/>
        <v>740</v>
      </c>
      <c r="K19" s="440">
        <f t="shared" si="156"/>
        <v>817.5</v>
      </c>
      <c r="L19" s="440">
        <f t="shared" si="156"/>
        <v>937.5</v>
      </c>
      <c r="M19" s="440">
        <f t="shared" si="156"/>
        <v>170</v>
      </c>
      <c r="N19" s="440">
        <f t="shared" si="156"/>
        <v>0</v>
      </c>
      <c r="O19" s="440">
        <f t="shared" si="156"/>
        <v>0</v>
      </c>
      <c r="P19" s="440">
        <f t="shared" ref="P19" si="157">SUM(P11:P15)</f>
        <v>802.5</v>
      </c>
      <c r="Q19" s="440">
        <f t="shared" si="156"/>
        <v>375</v>
      </c>
      <c r="R19" s="440">
        <f t="shared" si="156"/>
        <v>0</v>
      </c>
      <c r="S19" s="440">
        <f t="shared" ref="S19" si="158">SUM(S11:S15)</f>
        <v>270</v>
      </c>
      <c r="T19" s="440">
        <f t="shared" ref="T19:V19" si="159">SUM(T11:T15)</f>
        <v>0</v>
      </c>
      <c r="U19" s="440">
        <f t="shared" si="159"/>
        <v>1042.5</v>
      </c>
      <c r="V19" s="440">
        <f t="shared" si="159"/>
        <v>450</v>
      </c>
      <c r="W19" s="440">
        <f t="shared" si="156"/>
        <v>3989.94</v>
      </c>
      <c r="X19" s="441">
        <f>SUM(X11:X15)</f>
        <v>6135</v>
      </c>
      <c r="Y19" s="440">
        <f t="shared" si="156"/>
        <v>0</v>
      </c>
      <c r="Z19" s="440">
        <f t="shared" si="156"/>
        <v>959.95423340961133</v>
      </c>
      <c r="AA19" s="440">
        <f t="shared" si="156"/>
        <v>2840.0018115942025</v>
      </c>
      <c r="AB19" s="440">
        <f t="shared" si="156"/>
        <v>4849.8392857142862</v>
      </c>
      <c r="AC19" s="440">
        <f t="shared" si="156"/>
        <v>7164.8749999999991</v>
      </c>
      <c r="AD19" s="440">
        <f t="shared" si="156"/>
        <v>1872.4347826086955</v>
      </c>
      <c r="AE19" s="440">
        <f t="shared" si="156"/>
        <v>6399.6636363636362</v>
      </c>
      <c r="AF19" s="440">
        <f t="shared" si="156"/>
        <v>577.58857142857073</v>
      </c>
      <c r="AG19" s="440">
        <f t="shared" si="156"/>
        <v>2637.6402597402575</v>
      </c>
      <c r="AH19" s="440">
        <f t="shared" si="156"/>
        <v>2429.3124999999982</v>
      </c>
      <c r="AI19" s="440">
        <f t="shared" si="156"/>
        <v>4185.2368421052606</v>
      </c>
      <c r="AJ19" s="440">
        <f t="shared" si="156"/>
        <v>995.63270603504088</v>
      </c>
      <c r="AK19" s="440">
        <f t="shared" si="156"/>
        <v>0</v>
      </c>
      <c r="AL19" s="440">
        <f t="shared" si="156"/>
        <v>1702.6315789473656</v>
      </c>
      <c r="AM19" s="440">
        <f t="shared" si="156"/>
        <v>3465.9097826086927</v>
      </c>
      <c r="AN19" s="440">
        <f t="shared" si="156"/>
        <v>6710.2571428571391</v>
      </c>
      <c r="AO19" s="440">
        <f t="shared" si="156"/>
        <v>10500.585714285708</v>
      </c>
      <c r="AP19" s="440">
        <f t="shared" si="156"/>
        <v>3286.7999999999965</v>
      </c>
      <c r="AQ19" s="440">
        <f t="shared" si="156"/>
        <v>9762.6609090909042</v>
      </c>
      <c r="AR19" s="440">
        <f t="shared" si="156"/>
        <v>1816.0754285714254</v>
      </c>
      <c r="AS19" s="440">
        <f t="shared" si="156"/>
        <v>4347.7828571428536</v>
      </c>
      <c r="AT19" s="440">
        <f t="shared" si="156"/>
        <v>4704.8488095238054</v>
      </c>
      <c r="AU19" s="440">
        <f t="shared" si="156"/>
        <v>6815.9631578947319</v>
      </c>
      <c r="AV19" s="440">
        <f t="shared" si="156"/>
        <v>2172.1778066190764</v>
      </c>
      <c r="AW19" s="440">
        <f t="shared" si="156"/>
        <v>62.063157894736733</v>
      </c>
      <c r="AX19" s="440">
        <f t="shared" si="156"/>
        <v>3359.999999999995</v>
      </c>
      <c r="AY19" s="440">
        <f t="shared" si="156"/>
        <v>5855.8307608695613</v>
      </c>
      <c r="AZ19" s="440">
        <f t="shared" si="156"/>
        <v>11039.490499999993</v>
      </c>
      <c r="BA19" s="440">
        <f t="shared" si="156"/>
        <v>15673.712857142846</v>
      </c>
      <c r="BB19" s="440">
        <f t="shared" si="156"/>
        <v>4897.1920948616544</v>
      </c>
      <c r="BC19" s="440">
        <f t="shared" si="156"/>
        <v>16389.960363636357</v>
      </c>
      <c r="BD19" s="440">
        <f t="shared" si="156"/>
        <v>3536.1284571428528</v>
      </c>
      <c r="BE19" s="440">
        <f t="shared" si="156"/>
        <v>6726.618909090902</v>
      </c>
      <c r="BF19" s="440">
        <f t="shared" si="156"/>
        <v>8118.9541269841193</v>
      </c>
      <c r="BG19" s="440">
        <f t="shared" si="156"/>
        <v>9962.9677511961654</v>
      </c>
      <c r="BH19" s="440">
        <f t="shared" si="156"/>
        <v>4381.2970798182978</v>
      </c>
      <c r="BI19" s="440">
        <f t="shared" si="156"/>
        <v>144.67789473684195</v>
      </c>
      <c r="BJ19" s="440">
        <f t="shared" si="156"/>
        <v>4968.9839816933581</v>
      </c>
      <c r="BK19" s="440">
        <f t="shared" si="156"/>
        <v>10355.12799999999</v>
      </c>
      <c r="BL19" s="440">
        <f t="shared" si="156"/>
        <v>15678.939714285692</v>
      </c>
      <c r="BM19" s="440">
        <f t="shared" si="156"/>
        <v>22355.901619047585</v>
      </c>
      <c r="BN19" s="440">
        <f t="shared" si="156"/>
        <v>8407.6549881422798</v>
      </c>
      <c r="BO19" s="440">
        <f t="shared" si="156"/>
        <v>24013.158145454519</v>
      </c>
      <c r="BP19" s="440">
        <f t="shared" si="156"/>
        <v>5698.7571199999857</v>
      </c>
      <c r="BQ19" s="440">
        <f t="shared" si="156"/>
        <v>11150.460114285692</v>
      </c>
      <c r="BR19" s="440">
        <f t="shared" si="156"/>
        <v>12533.91474603172</v>
      </c>
      <c r="BS19" s="440">
        <f t="shared" si="156"/>
        <v>14366.979330143513</v>
      </c>
      <c r="BT19" s="440">
        <f t="shared" si="156"/>
        <v>7813.6799999999857</v>
      </c>
      <c r="BU19" s="440">
        <f t="shared" ref="BU19:EF19" si="160">SUM(BU11:BU15)</f>
        <v>1142.5204210526254</v>
      </c>
      <c r="BV19" s="440">
        <f t="shared" si="160"/>
        <v>8163.2137299770975</v>
      </c>
      <c r="BW19" s="440">
        <f t="shared" si="160"/>
        <v>15734.825033333304</v>
      </c>
      <c r="BX19" s="440">
        <f t="shared" si="160"/>
        <v>23277.515599999955</v>
      </c>
      <c r="BY19" s="440">
        <f t="shared" si="160"/>
        <v>33142.524966666599</v>
      </c>
      <c r="BZ19" s="440">
        <f t="shared" si="160"/>
        <v>13581.546156521708</v>
      </c>
      <c r="CA19" s="440">
        <f t="shared" si="160"/>
        <v>34902.044130909017</v>
      </c>
      <c r="CB19" s="440">
        <f t="shared" si="160"/>
        <v>8534.4761599999729</v>
      </c>
      <c r="CC19" s="440">
        <f t="shared" si="160"/>
        <v>17713.379933506447</v>
      </c>
      <c r="CD19" s="440">
        <f t="shared" si="160"/>
        <v>17845.208625396779</v>
      </c>
      <c r="CE19" s="440">
        <f t="shared" si="160"/>
        <v>22512.964399999953</v>
      </c>
      <c r="CF19" s="440">
        <f t="shared" si="160"/>
        <v>12069.480358208926</v>
      </c>
      <c r="CG19" s="440">
        <f t="shared" si="160"/>
        <v>2426.8903282296537</v>
      </c>
      <c r="CH19" s="440">
        <f t="shared" si="160"/>
        <v>13154.483112128108</v>
      </c>
      <c r="CI19" s="440">
        <f t="shared" si="160"/>
        <v>0</v>
      </c>
      <c r="CJ19" s="440">
        <f t="shared" si="160"/>
        <v>0</v>
      </c>
      <c r="CK19" s="440">
        <f t="shared" si="160"/>
        <v>0</v>
      </c>
      <c r="CL19" s="440">
        <f t="shared" si="160"/>
        <v>0</v>
      </c>
      <c r="CM19" s="440">
        <f t="shared" si="160"/>
        <v>0</v>
      </c>
      <c r="CN19" s="440">
        <f t="shared" si="160"/>
        <v>0</v>
      </c>
      <c r="CO19" s="440">
        <f t="shared" si="160"/>
        <v>0</v>
      </c>
      <c r="CP19" s="440">
        <f t="shared" si="160"/>
        <v>0</v>
      </c>
      <c r="CQ19" s="440">
        <f t="shared" si="160"/>
        <v>0</v>
      </c>
      <c r="CR19" s="440">
        <f t="shared" si="160"/>
        <v>0</v>
      </c>
      <c r="CS19" s="440">
        <f t="shared" si="160"/>
        <v>0</v>
      </c>
      <c r="CT19" s="440">
        <f t="shared" si="160"/>
        <v>0</v>
      </c>
      <c r="CU19" s="440">
        <f t="shared" si="160"/>
        <v>0</v>
      </c>
      <c r="CV19" s="440">
        <f t="shared" si="160"/>
        <v>0</v>
      </c>
      <c r="CW19" s="440">
        <f t="shared" si="160"/>
        <v>0</v>
      </c>
      <c r="CX19" s="440">
        <f t="shared" si="160"/>
        <v>0</v>
      </c>
      <c r="CY19" s="440">
        <f t="shared" si="160"/>
        <v>0</v>
      </c>
      <c r="CZ19" s="440">
        <f t="shared" si="160"/>
        <v>0</v>
      </c>
      <c r="DA19" s="440">
        <f t="shared" si="160"/>
        <v>0</v>
      </c>
      <c r="DB19" s="440">
        <f t="shared" si="160"/>
        <v>0</v>
      </c>
      <c r="DC19" s="440">
        <f t="shared" si="160"/>
        <v>0</v>
      </c>
      <c r="DD19" s="440">
        <f t="shared" si="160"/>
        <v>0</v>
      </c>
      <c r="DE19" s="440">
        <f t="shared" si="160"/>
        <v>0</v>
      </c>
      <c r="DF19" s="440">
        <f t="shared" si="160"/>
        <v>0</v>
      </c>
      <c r="DG19" s="440">
        <f t="shared" si="160"/>
        <v>0</v>
      </c>
      <c r="DH19" s="440">
        <f t="shared" si="160"/>
        <v>0</v>
      </c>
      <c r="DI19" s="440">
        <f t="shared" si="160"/>
        <v>0</v>
      </c>
      <c r="DJ19" s="440">
        <f t="shared" si="160"/>
        <v>0</v>
      </c>
      <c r="DK19" s="440">
        <f t="shared" si="160"/>
        <v>0</v>
      </c>
      <c r="DL19" s="440">
        <f t="shared" si="160"/>
        <v>0</v>
      </c>
      <c r="DM19" s="440">
        <f t="shared" si="160"/>
        <v>0</v>
      </c>
      <c r="DN19" s="440">
        <f t="shared" si="160"/>
        <v>0</v>
      </c>
      <c r="DO19" s="440">
        <f t="shared" si="160"/>
        <v>0</v>
      </c>
      <c r="DP19" s="440">
        <f t="shared" si="160"/>
        <v>0</v>
      </c>
      <c r="DQ19" s="440">
        <f t="shared" si="160"/>
        <v>0</v>
      </c>
      <c r="DR19" s="440">
        <f t="shared" si="160"/>
        <v>0</v>
      </c>
      <c r="DS19" s="440">
        <f t="shared" si="160"/>
        <v>0</v>
      </c>
      <c r="DT19" s="440">
        <f t="shared" si="160"/>
        <v>0</v>
      </c>
      <c r="DU19" s="440">
        <f t="shared" si="160"/>
        <v>0</v>
      </c>
      <c r="DV19" s="440">
        <f t="shared" si="160"/>
        <v>0</v>
      </c>
      <c r="DW19" s="440">
        <f t="shared" si="160"/>
        <v>0</v>
      </c>
      <c r="DX19" s="440">
        <f t="shared" si="160"/>
        <v>0</v>
      </c>
      <c r="DY19" s="440">
        <f t="shared" si="160"/>
        <v>0</v>
      </c>
      <c r="DZ19" s="440">
        <f t="shared" si="160"/>
        <v>0</v>
      </c>
      <c r="EA19" s="440">
        <f t="shared" si="160"/>
        <v>0</v>
      </c>
      <c r="EB19" s="440">
        <f t="shared" si="160"/>
        <v>0</v>
      </c>
      <c r="EC19" s="440">
        <f t="shared" si="160"/>
        <v>0</v>
      </c>
      <c r="ED19" s="440">
        <f t="shared" si="160"/>
        <v>0</v>
      </c>
      <c r="EE19" s="440">
        <f t="shared" si="160"/>
        <v>0</v>
      </c>
      <c r="EF19" s="440">
        <f t="shared" si="160"/>
        <v>0</v>
      </c>
      <c r="EG19" s="440">
        <f t="shared" ref="EG19:FB19" si="161">SUM(EG11:EG15)</f>
        <v>0</v>
      </c>
      <c r="EH19" s="440">
        <f t="shared" si="161"/>
        <v>0</v>
      </c>
      <c r="EI19" s="440">
        <f t="shared" si="161"/>
        <v>0</v>
      </c>
      <c r="EJ19" s="440">
        <f t="shared" si="161"/>
        <v>0</v>
      </c>
      <c r="EK19" s="440">
        <f t="shared" si="161"/>
        <v>0</v>
      </c>
      <c r="EL19" s="440">
        <f t="shared" si="161"/>
        <v>0</v>
      </c>
      <c r="EM19" s="440">
        <f t="shared" si="161"/>
        <v>0</v>
      </c>
      <c r="EN19" s="440">
        <f t="shared" si="161"/>
        <v>0</v>
      </c>
      <c r="EO19" s="440">
        <f t="shared" si="161"/>
        <v>0</v>
      </c>
      <c r="EP19" s="440">
        <f t="shared" si="161"/>
        <v>0</v>
      </c>
      <c r="EQ19" s="440">
        <f t="shared" si="161"/>
        <v>0</v>
      </c>
      <c r="ER19" s="440">
        <f t="shared" si="161"/>
        <v>0</v>
      </c>
      <c r="ES19" s="440">
        <f t="shared" si="161"/>
        <v>0</v>
      </c>
      <c r="ET19" s="440">
        <f t="shared" si="161"/>
        <v>0</v>
      </c>
      <c r="EU19" s="440">
        <f t="shared" si="161"/>
        <v>0</v>
      </c>
      <c r="EV19" s="440">
        <f t="shared" si="161"/>
        <v>0</v>
      </c>
      <c r="EW19" s="440">
        <f t="shared" si="161"/>
        <v>0</v>
      </c>
      <c r="EX19" s="440">
        <f t="shared" si="161"/>
        <v>0</v>
      </c>
      <c r="EY19" s="440">
        <f t="shared" si="161"/>
        <v>0</v>
      </c>
      <c r="EZ19" s="440">
        <f t="shared" si="161"/>
        <v>0</v>
      </c>
      <c r="FA19" s="440">
        <f t="shared" si="161"/>
        <v>0</v>
      </c>
      <c r="FB19" s="441">
        <f t="shared" si="161"/>
        <v>0</v>
      </c>
    </row>
    <row r="20" spans="2:158" ht="15.75" thickBot="1" x14ac:dyDescent="0.3">
      <c r="B20" s="450"/>
      <c r="C20" s="168"/>
      <c r="D20" s="168"/>
      <c r="E20" s="168"/>
      <c r="F20" s="451" t="s">
        <v>306</v>
      </c>
      <c r="G20" s="168"/>
      <c r="H20" s="443">
        <f>+H8+H19</f>
        <v>0</v>
      </c>
      <c r="I20" s="444">
        <f>+I8+I19</f>
        <v>600</v>
      </c>
      <c r="J20" s="444">
        <f t="shared" ref="J20:BU20" si="162">+J8+J19</f>
        <v>890</v>
      </c>
      <c r="K20" s="444">
        <f t="shared" si="162"/>
        <v>817.5</v>
      </c>
      <c r="L20" s="444">
        <f t="shared" si="162"/>
        <v>937.5</v>
      </c>
      <c r="M20" s="444">
        <f t="shared" si="162"/>
        <v>170</v>
      </c>
      <c r="N20" s="444">
        <f t="shared" si="162"/>
        <v>0</v>
      </c>
      <c r="O20" s="444">
        <f t="shared" si="162"/>
        <v>0</v>
      </c>
      <c r="P20" s="444">
        <f t="shared" ref="P20" si="163">+P8+P19</f>
        <v>802.5</v>
      </c>
      <c r="Q20" s="444">
        <f t="shared" si="162"/>
        <v>375</v>
      </c>
      <c r="R20" s="444">
        <f t="shared" si="162"/>
        <v>0</v>
      </c>
      <c r="S20" s="444">
        <f t="shared" ref="S20" si="164">+S8+S19</f>
        <v>270</v>
      </c>
      <c r="T20" s="444">
        <f t="shared" ref="T20:V20" si="165">+T8+T19</f>
        <v>0</v>
      </c>
      <c r="U20" s="444">
        <f t="shared" si="165"/>
        <v>1582.5</v>
      </c>
      <c r="V20" s="444">
        <f t="shared" si="165"/>
        <v>684</v>
      </c>
      <c r="W20" s="444">
        <f t="shared" si="162"/>
        <v>4076.7400000000002</v>
      </c>
      <c r="X20" s="445">
        <f>+X8+X19</f>
        <v>6255</v>
      </c>
      <c r="Y20" s="444">
        <f t="shared" si="162"/>
        <v>0</v>
      </c>
      <c r="Z20" s="444">
        <f t="shared" si="162"/>
        <v>959.95423340961133</v>
      </c>
      <c r="AA20" s="444">
        <f t="shared" si="162"/>
        <v>2840.0018115942025</v>
      </c>
      <c r="AB20" s="444">
        <f t="shared" si="162"/>
        <v>4849.8392857142862</v>
      </c>
      <c r="AC20" s="444">
        <f t="shared" si="162"/>
        <v>7164.8749999999991</v>
      </c>
      <c r="AD20" s="444">
        <f t="shared" si="162"/>
        <v>1872.4347826086955</v>
      </c>
      <c r="AE20" s="444">
        <f t="shared" si="162"/>
        <v>6399.6636363636362</v>
      </c>
      <c r="AF20" s="444">
        <f t="shared" si="162"/>
        <v>577.58857142857073</v>
      </c>
      <c r="AG20" s="444">
        <f t="shared" si="162"/>
        <v>2637.6402597402575</v>
      </c>
      <c r="AH20" s="444">
        <f t="shared" si="162"/>
        <v>2429.3124999999982</v>
      </c>
      <c r="AI20" s="444">
        <f t="shared" si="162"/>
        <v>4185.2368421052606</v>
      </c>
      <c r="AJ20" s="444">
        <f t="shared" si="162"/>
        <v>995.63270603504088</v>
      </c>
      <c r="AK20" s="444">
        <f t="shared" si="162"/>
        <v>0</v>
      </c>
      <c r="AL20" s="444">
        <f t="shared" si="162"/>
        <v>1702.6315789473656</v>
      </c>
      <c r="AM20" s="444">
        <f t="shared" si="162"/>
        <v>3465.9097826086927</v>
      </c>
      <c r="AN20" s="444">
        <f t="shared" si="162"/>
        <v>6710.2571428571391</v>
      </c>
      <c r="AO20" s="444">
        <f t="shared" si="162"/>
        <v>10500.585714285708</v>
      </c>
      <c r="AP20" s="444">
        <f t="shared" si="162"/>
        <v>3286.7999999999965</v>
      </c>
      <c r="AQ20" s="444">
        <f t="shared" si="162"/>
        <v>9762.6609090909042</v>
      </c>
      <c r="AR20" s="444">
        <f t="shared" si="162"/>
        <v>1816.0754285714254</v>
      </c>
      <c r="AS20" s="444">
        <f t="shared" si="162"/>
        <v>4347.7828571428536</v>
      </c>
      <c r="AT20" s="444">
        <f t="shared" si="162"/>
        <v>4704.8488095238054</v>
      </c>
      <c r="AU20" s="444">
        <f t="shared" si="162"/>
        <v>6815.9631578947319</v>
      </c>
      <c r="AV20" s="444">
        <f t="shared" si="162"/>
        <v>2172.1778066190764</v>
      </c>
      <c r="AW20" s="444">
        <f t="shared" si="162"/>
        <v>62.063157894736733</v>
      </c>
      <c r="AX20" s="444">
        <f t="shared" si="162"/>
        <v>3359.999999999995</v>
      </c>
      <c r="AY20" s="444">
        <f t="shared" si="162"/>
        <v>5855.8307608695613</v>
      </c>
      <c r="AZ20" s="444">
        <f t="shared" si="162"/>
        <v>11039.490499999993</v>
      </c>
      <c r="BA20" s="444">
        <f t="shared" si="162"/>
        <v>15673.712857142846</v>
      </c>
      <c r="BB20" s="444">
        <f t="shared" si="162"/>
        <v>4897.1920948616544</v>
      </c>
      <c r="BC20" s="444">
        <f t="shared" si="162"/>
        <v>16389.960363636357</v>
      </c>
      <c r="BD20" s="444">
        <f t="shared" si="162"/>
        <v>3536.1284571428528</v>
      </c>
      <c r="BE20" s="444">
        <f t="shared" si="162"/>
        <v>6726.618909090902</v>
      </c>
      <c r="BF20" s="444">
        <f t="shared" si="162"/>
        <v>8118.9541269841193</v>
      </c>
      <c r="BG20" s="444">
        <f t="shared" si="162"/>
        <v>9962.9677511961654</v>
      </c>
      <c r="BH20" s="444">
        <f t="shared" si="162"/>
        <v>4381.2970798182978</v>
      </c>
      <c r="BI20" s="444">
        <f t="shared" si="162"/>
        <v>144.67789473684195</v>
      </c>
      <c r="BJ20" s="444">
        <f t="shared" si="162"/>
        <v>4968.9839816933581</v>
      </c>
      <c r="BK20" s="444">
        <f t="shared" si="162"/>
        <v>10355.12799999999</v>
      </c>
      <c r="BL20" s="444">
        <f t="shared" si="162"/>
        <v>15678.939714285692</v>
      </c>
      <c r="BM20" s="444">
        <f t="shared" si="162"/>
        <v>22355.901619047585</v>
      </c>
      <c r="BN20" s="444">
        <f t="shared" si="162"/>
        <v>8407.6549881422798</v>
      </c>
      <c r="BO20" s="444">
        <f t="shared" si="162"/>
        <v>24013.158145454519</v>
      </c>
      <c r="BP20" s="444">
        <f t="shared" si="162"/>
        <v>5698.7571199999857</v>
      </c>
      <c r="BQ20" s="444">
        <f t="shared" si="162"/>
        <v>11150.460114285692</v>
      </c>
      <c r="BR20" s="444">
        <f t="shared" si="162"/>
        <v>12533.91474603172</v>
      </c>
      <c r="BS20" s="444">
        <f t="shared" si="162"/>
        <v>14366.979330143513</v>
      </c>
      <c r="BT20" s="444">
        <f t="shared" si="162"/>
        <v>7813.6799999999857</v>
      </c>
      <c r="BU20" s="444">
        <f t="shared" si="162"/>
        <v>1142.5204210526254</v>
      </c>
      <c r="BV20" s="444">
        <f t="shared" ref="BV20:EG20" si="166">+BV8+BV19</f>
        <v>8163.2137299770975</v>
      </c>
      <c r="BW20" s="444">
        <f t="shared" si="166"/>
        <v>15734.825033333304</v>
      </c>
      <c r="BX20" s="444">
        <f t="shared" si="166"/>
        <v>23277.515599999955</v>
      </c>
      <c r="BY20" s="444">
        <f t="shared" si="166"/>
        <v>33142.524966666599</v>
      </c>
      <c r="BZ20" s="444">
        <f t="shared" si="166"/>
        <v>13581.546156521708</v>
      </c>
      <c r="CA20" s="444">
        <f t="shared" si="166"/>
        <v>34902.044130909017</v>
      </c>
      <c r="CB20" s="444">
        <f t="shared" si="166"/>
        <v>8534.4761599999729</v>
      </c>
      <c r="CC20" s="444">
        <f t="shared" si="166"/>
        <v>17713.379933506447</v>
      </c>
      <c r="CD20" s="444">
        <f t="shared" si="166"/>
        <v>17845.208625396779</v>
      </c>
      <c r="CE20" s="444">
        <f t="shared" si="166"/>
        <v>22512.964399999953</v>
      </c>
      <c r="CF20" s="444">
        <f t="shared" si="166"/>
        <v>12069.480358208926</v>
      </c>
      <c r="CG20" s="444">
        <f t="shared" si="166"/>
        <v>2426.8903282296537</v>
      </c>
      <c r="CH20" s="444">
        <f t="shared" si="166"/>
        <v>13154.483112128108</v>
      </c>
      <c r="CI20" s="444">
        <f t="shared" si="166"/>
        <v>0</v>
      </c>
      <c r="CJ20" s="444">
        <f t="shared" si="166"/>
        <v>0</v>
      </c>
      <c r="CK20" s="444">
        <f t="shared" si="166"/>
        <v>0</v>
      </c>
      <c r="CL20" s="444">
        <f t="shared" si="166"/>
        <v>0</v>
      </c>
      <c r="CM20" s="444">
        <f t="shared" si="166"/>
        <v>0</v>
      </c>
      <c r="CN20" s="444">
        <f t="shared" si="166"/>
        <v>0</v>
      </c>
      <c r="CO20" s="444">
        <f t="shared" si="166"/>
        <v>0</v>
      </c>
      <c r="CP20" s="444">
        <f t="shared" si="166"/>
        <v>0</v>
      </c>
      <c r="CQ20" s="444">
        <f t="shared" si="166"/>
        <v>0</v>
      </c>
      <c r="CR20" s="444">
        <f t="shared" si="166"/>
        <v>0</v>
      </c>
      <c r="CS20" s="444">
        <f t="shared" si="166"/>
        <v>0</v>
      </c>
      <c r="CT20" s="444">
        <f t="shared" si="166"/>
        <v>0</v>
      </c>
      <c r="CU20" s="444">
        <f t="shared" si="166"/>
        <v>0</v>
      </c>
      <c r="CV20" s="444">
        <f t="shared" si="166"/>
        <v>0</v>
      </c>
      <c r="CW20" s="444">
        <f t="shared" si="166"/>
        <v>0</v>
      </c>
      <c r="CX20" s="444">
        <f t="shared" si="166"/>
        <v>0</v>
      </c>
      <c r="CY20" s="444">
        <f t="shared" si="166"/>
        <v>0</v>
      </c>
      <c r="CZ20" s="444">
        <f t="shared" si="166"/>
        <v>0</v>
      </c>
      <c r="DA20" s="444">
        <f t="shared" si="166"/>
        <v>0</v>
      </c>
      <c r="DB20" s="444">
        <f t="shared" si="166"/>
        <v>0</v>
      </c>
      <c r="DC20" s="444">
        <f t="shared" si="166"/>
        <v>0</v>
      </c>
      <c r="DD20" s="444">
        <f t="shared" si="166"/>
        <v>0</v>
      </c>
      <c r="DE20" s="444">
        <f t="shared" si="166"/>
        <v>0</v>
      </c>
      <c r="DF20" s="444">
        <f t="shared" si="166"/>
        <v>0</v>
      </c>
      <c r="DG20" s="444">
        <f t="shared" si="166"/>
        <v>0</v>
      </c>
      <c r="DH20" s="444">
        <f t="shared" si="166"/>
        <v>0</v>
      </c>
      <c r="DI20" s="444">
        <f t="shared" si="166"/>
        <v>0</v>
      </c>
      <c r="DJ20" s="444">
        <f t="shared" si="166"/>
        <v>0</v>
      </c>
      <c r="DK20" s="444">
        <f t="shared" si="166"/>
        <v>0</v>
      </c>
      <c r="DL20" s="444">
        <f t="shared" si="166"/>
        <v>0</v>
      </c>
      <c r="DM20" s="444">
        <f t="shared" si="166"/>
        <v>0</v>
      </c>
      <c r="DN20" s="444">
        <f t="shared" si="166"/>
        <v>0</v>
      </c>
      <c r="DO20" s="444">
        <f t="shared" si="166"/>
        <v>0</v>
      </c>
      <c r="DP20" s="444">
        <f t="shared" si="166"/>
        <v>0</v>
      </c>
      <c r="DQ20" s="444">
        <f t="shared" si="166"/>
        <v>0</v>
      </c>
      <c r="DR20" s="444">
        <f t="shared" si="166"/>
        <v>0</v>
      </c>
      <c r="DS20" s="444">
        <f t="shared" si="166"/>
        <v>0</v>
      </c>
      <c r="DT20" s="444">
        <f t="shared" si="166"/>
        <v>0</v>
      </c>
      <c r="DU20" s="444">
        <f t="shared" si="166"/>
        <v>0</v>
      </c>
      <c r="DV20" s="444">
        <f t="shared" si="166"/>
        <v>0</v>
      </c>
      <c r="DW20" s="444">
        <f t="shared" si="166"/>
        <v>0</v>
      </c>
      <c r="DX20" s="444">
        <f t="shared" si="166"/>
        <v>0</v>
      </c>
      <c r="DY20" s="444">
        <f t="shared" si="166"/>
        <v>0</v>
      </c>
      <c r="DZ20" s="444">
        <f t="shared" si="166"/>
        <v>0</v>
      </c>
      <c r="EA20" s="444">
        <f t="shared" si="166"/>
        <v>0</v>
      </c>
      <c r="EB20" s="444">
        <f t="shared" si="166"/>
        <v>0</v>
      </c>
      <c r="EC20" s="444">
        <f t="shared" si="166"/>
        <v>0</v>
      </c>
      <c r="ED20" s="444">
        <f t="shared" si="166"/>
        <v>0</v>
      </c>
      <c r="EE20" s="444">
        <f t="shared" si="166"/>
        <v>0</v>
      </c>
      <c r="EF20" s="444">
        <f t="shared" si="166"/>
        <v>0</v>
      </c>
      <c r="EG20" s="444">
        <f t="shared" si="166"/>
        <v>0</v>
      </c>
      <c r="EH20" s="444">
        <f t="shared" ref="EH20:FB20" si="167">+EH8+EH19</f>
        <v>0</v>
      </c>
      <c r="EI20" s="444">
        <f t="shared" si="167"/>
        <v>0</v>
      </c>
      <c r="EJ20" s="444">
        <f t="shared" si="167"/>
        <v>0</v>
      </c>
      <c r="EK20" s="444">
        <f t="shared" si="167"/>
        <v>0</v>
      </c>
      <c r="EL20" s="444">
        <f t="shared" si="167"/>
        <v>0</v>
      </c>
      <c r="EM20" s="444">
        <f t="shared" si="167"/>
        <v>0</v>
      </c>
      <c r="EN20" s="444">
        <f t="shared" si="167"/>
        <v>0</v>
      </c>
      <c r="EO20" s="444">
        <f t="shared" si="167"/>
        <v>0</v>
      </c>
      <c r="EP20" s="444">
        <f t="shared" si="167"/>
        <v>0</v>
      </c>
      <c r="EQ20" s="444">
        <f t="shared" si="167"/>
        <v>0</v>
      </c>
      <c r="ER20" s="444">
        <f t="shared" si="167"/>
        <v>0</v>
      </c>
      <c r="ES20" s="444">
        <f t="shared" si="167"/>
        <v>0</v>
      </c>
      <c r="ET20" s="444">
        <f t="shared" si="167"/>
        <v>0</v>
      </c>
      <c r="EU20" s="444">
        <f t="shared" si="167"/>
        <v>0</v>
      </c>
      <c r="EV20" s="444">
        <f t="shared" si="167"/>
        <v>0</v>
      </c>
      <c r="EW20" s="444">
        <f t="shared" si="167"/>
        <v>0</v>
      </c>
      <c r="EX20" s="444">
        <f t="shared" si="167"/>
        <v>0</v>
      </c>
      <c r="EY20" s="444">
        <f t="shared" si="167"/>
        <v>0</v>
      </c>
      <c r="EZ20" s="444">
        <f t="shared" si="167"/>
        <v>0</v>
      </c>
      <c r="FA20" s="444">
        <f t="shared" si="167"/>
        <v>0</v>
      </c>
      <c r="FB20" s="445">
        <f t="shared" si="167"/>
        <v>0</v>
      </c>
    </row>
    <row r="21" spans="2:158" ht="15.75" thickTop="1" x14ac:dyDescent="0.25"/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601B-6805-4A91-BD06-C6FD41EB325B}">
  <sheetPr>
    <tabColor theme="0" tint="-0.249977111117893"/>
    <pageSetUpPr fitToPage="1"/>
  </sheetPr>
  <dimension ref="B1:BQ52"/>
  <sheetViews>
    <sheetView tabSelected="1" topLeftCell="A13" zoomScale="39" zoomScaleNormal="76" workbookViewId="0">
      <selection activeCell="B4" sqref="B4:BQ84"/>
    </sheetView>
  </sheetViews>
  <sheetFormatPr defaultColWidth="8.7109375" defaultRowHeight="15" outlineLevelCol="1" x14ac:dyDescent="0.25"/>
  <cols>
    <col min="2" max="2" width="17" style="265" bestFit="1" customWidth="1"/>
    <col min="3" max="3" width="24.7109375" style="265" bestFit="1" customWidth="1"/>
    <col min="4" max="4" width="0.140625" customWidth="1"/>
    <col min="5" max="7" width="11.140625" hidden="1" customWidth="1" outlineLevel="1"/>
    <col min="8" max="8" width="11.140625" hidden="1" customWidth="1" outlineLevel="1" collapsed="1"/>
    <col min="9" max="11" width="11.140625" hidden="1" customWidth="1" outlineLevel="1"/>
    <col min="12" max="14" width="11.140625" hidden="1" customWidth="1" outlineLevel="1" collapsed="1"/>
    <col min="15" max="15" width="12.42578125" hidden="1" customWidth="1" outlineLevel="1"/>
    <col min="16" max="17" width="12.42578125" hidden="1" customWidth="1" outlineLevel="1" collapsed="1"/>
    <col min="18" max="18" width="12.42578125" hidden="1" customWidth="1" outlineLevel="1"/>
    <col min="19" max="19" width="12.42578125" hidden="1" customWidth="1" outlineLevel="1" collapsed="1"/>
    <col min="20" max="28" width="12.42578125" hidden="1" customWidth="1" outlineLevel="1"/>
    <col min="29" max="29" width="11.140625" hidden="1" customWidth="1" outlineLevel="1"/>
    <col min="30" max="31" width="11.140625" hidden="1" customWidth="1" outlineLevel="1" collapsed="1"/>
    <col min="32" max="33" width="11.140625" hidden="1" customWidth="1" outlineLevel="1"/>
    <col min="34" max="35" width="11.7109375" hidden="1" customWidth="1" outlineLevel="1"/>
    <col min="36" max="36" width="11.140625" hidden="1" customWidth="1" outlineLevel="1"/>
    <col min="37" max="40" width="11.140625" hidden="1" customWidth="1" outlineLevel="1" collapsed="1"/>
    <col min="41" max="41" width="12" hidden="1" customWidth="1" outlineLevel="1" collapsed="1"/>
    <col min="42" max="42" width="12.42578125" customWidth="1" collapsed="1"/>
    <col min="43" max="43" width="12.42578125" customWidth="1"/>
    <col min="44" max="44" width="11.7109375" hidden="1" customWidth="1" outlineLevel="1"/>
    <col min="45" max="46" width="10.42578125" hidden="1" customWidth="1" outlineLevel="1"/>
    <col min="47" max="47" width="10.42578125" hidden="1" customWidth="1" outlineLevel="1" collapsed="1"/>
    <col min="48" max="48" width="12" hidden="1" customWidth="1" outlineLevel="1" collapsed="1"/>
    <col min="49" max="49" width="10.42578125" hidden="1" customWidth="1" outlineLevel="1" collapsed="1"/>
    <col min="50" max="50" width="12" hidden="1" customWidth="1" outlineLevel="1" collapsed="1"/>
    <col min="51" max="51" width="12.7109375" hidden="1" customWidth="1" outlineLevel="1" collapsed="1"/>
    <col min="52" max="52" width="11.42578125" hidden="1" customWidth="1" outlineLevel="1"/>
    <col min="53" max="53" width="11.42578125" hidden="1" customWidth="1" outlineLevel="1" collapsed="1"/>
    <col min="54" max="54" width="11.140625" hidden="1" customWidth="1" outlineLevel="1"/>
    <col min="55" max="55" width="12.28515625" hidden="1" customWidth="1" outlineLevel="1" collapsed="1"/>
    <col min="56" max="56" width="11.7109375" hidden="1" customWidth="1" outlineLevel="1" collapsed="1"/>
    <col min="57" max="57" width="11.140625" hidden="1" customWidth="1" outlineLevel="1"/>
    <col min="58" max="58" width="12.7109375" hidden="1" customWidth="1" outlineLevel="1" collapsed="1"/>
    <col min="59" max="59" width="11.42578125" hidden="1" customWidth="1" outlineLevel="1" collapsed="1"/>
    <col min="60" max="60" width="12" hidden="1" customWidth="1" outlineLevel="1" collapsed="1"/>
    <col min="61" max="61" width="10.7109375" hidden="1" customWidth="1" outlineLevel="1"/>
    <col min="62" max="62" width="12" hidden="1" customWidth="1" outlineLevel="1"/>
    <col min="63" max="63" width="12.7109375" hidden="1" customWidth="1" outlineLevel="1"/>
    <col min="64" max="64" width="11.42578125" hidden="1" customWidth="1" outlineLevel="1"/>
    <col min="65" max="65" width="11.42578125" customWidth="1" collapsed="1"/>
    <col min="66" max="66" width="11.140625" hidden="1" customWidth="1" outlineLevel="1"/>
    <col min="67" max="67" width="10.7109375" hidden="1" customWidth="1" outlineLevel="1"/>
    <col min="68" max="68" width="21.42578125" customWidth="1" collapsed="1"/>
    <col min="69" max="69" width="20.140625" bestFit="1" customWidth="1"/>
  </cols>
  <sheetData>
    <row r="1" spans="2:69" x14ac:dyDescent="0.25">
      <c r="AO1" t="s">
        <v>163</v>
      </c>
    </row>
    <row r="13" spans="2:69" ht="15.75" thickBot="1" x14ac:dyDescent="0.3"/>
    <row r="14" spans="2:69" ht="17.25" thickTop="1" thickBot="1" x14ac:dyDescent="0.3">
      <c r="B14" s="759">
        <v>45961</v>
      </c>
      <c r="C14" s="760"/>
      <c r="D14" s="760"/>
      <c r="E14" s="760"/>
      <c r="F14" s="760"/>
      <c r="G14" s="760"/>
      <c r="H14" s="760"/>
      <c r="I14" s="760"/>
      <c r="J14" s="760"/>
      <c r="K14" s="760"/>
      <c r="L14" s="760"/>
      <c r="M14" s="760"/>
      <c r="N14" s="760"/>
      <c r="O14" s="760"/>
      <c r="P14" s="760"/>
      <c r="Q14" s="760"/>
      <c r="R14" s="760"/>
      <c r="S14" s="760"/>
      <c r="T14" s="760"/>
      <c r="U14" s="760"/>
      <c r="V14" s="760"/>
      <c r="W14" s="760"/>
      <c r="X14" s="760"/>
      <c r="Y14" s="760"/>
      <c r="Z14" s="760"/>
      <c r="AA14" s="760"/>
      <c r="AB14" s="760"/>
      <c r="AC14" s="760"/>
      <c r="AD14" s="760"/>
      <c r="AE14" s="760"/>
      <c r="AF14" s="760"/>
      <c r="AG14" s="760"/>
      <c r="AH14" s="760"/>
      <c r="AI14" s="760"/>
      <c r="AJ14" s="760"/>
      <c r="AK14" s="760"/>
      <c r="AL14" s="760"/>
      <c r="AM14" s="760"/>
      <c r="AN14" s="760"/>
      <c r="AO14" s="760"/>
      <c r="AP14" s="760"/>
      <c r="AQ14" s="760"/>
      <c r="AR14" s="760"/>
      <c r="AS14" s="760"/>
      <c r="AT14" s="760"/>
      <c r="AU14" s="760"/>
      <c r="AV14" s="760"/>
      <c r="AW14" s="760"/>
      <c r="AX14" s="760"/>
      <c r="AY14" s="760"/>
      <c r="AZ14" s="760"/>
      <c r="BA14" s="760"/>
      <c r="BB14" s="760"/>
      <c r="BC14" s="760"/>
      <c r="BD14" s="760"/>
      <c r="BE14" s="760"/>
      <c r="BF14" s="760"/>
      <c r="BG14" s="760"/>
      <c r="BH14" s="760"/>
      <c r="BI14" s="760"/>
      <c r="BJ14" s="760"/>
      <c r="BK14" s="760"/>
      <c r="BL14" s="760"/>
      <c r="BM14" s="760"/>
      <c r="BN14" s="760"/>
      <c r="BO14" s="760"/>
      <c r="BP14" s="760"/>
      <c r="BQ14" s="761"/>
    </row>
    <row r="15" spans="2:69" ht="15.75" thickTop="1" x14ac:dyDescent="0.25">
      <c r="B15" s="271"/>
      <c r="C15" s="302"/>
      <c r="D15" s="303"/>
      <c r="E15" s="606">
        <v>45169</v>
      </c>
      <c r="F15" s="606">
        <v>45199</v>
      </c>
      <c r="G15" s="606">
        <v>45230</v>
      </c>
      <c r="H15" s="606">
        <v>45260</v>
      </c>
      <c r="I15" s="606">
        <v>45291</v>
      </c>
      <c r="J15" s="606">
        <v>45322</v>
      </c>
      <c r="K15" s="606">
        <v>45351</v>
      </c>
      <c r="L15" s="606">
        <v>45382</v>
      </c>
      <c r="M15" s="606">
        <v>45412</v>
      </c>
      <c r="N15" s="606">
        <v>45443</v>
      </c>
      <c r="O15" s="606">
        <v>45473</v>
      </c>
      <c r="P15" s="606">
        <v>45504</v>
      </c>
      <c r="Q15" s="606">
        <v>45535</v>
      </c>
      <c r="R15" s="606">
        <v>45596</v>
      </c>
      <c r="S15" s="606">
        <v>45626</v>
      </c>
      <c r="T15" s="606">
        <v>45657</v>
      </c>
      <c r="U15" s="606">
        <v>45688</v>
      </c>
      <c r="V15" s="606">
        <v>45716</v>
      </c>
      <c r="W15" s="606">
        <v>45747</v>
      </c>
      <c r="X15" s="606">
        <v>45777</v>
      </c>
      <c r="Y15" s="606">
        <v>45808</v>
      </c>
      <c r="Z15" s="606">
        <v>45838</v>
      </c>
      <c r="AA15" s="606">
        <v>45869</v>
      </c>
      <c r="AB15" s="606">
        <v>45900</v>
      </c>
      <c r="AC15" s="606">
        <v>45930</v>
      </c>
      <c r="AD15" s="288">
        <f>EOMONTH(AB15,2)</f>
        <v>45961</v>
      </c>
      <c r="AE15" s="288">
        <f t="shared" ref="AE15:AO15" si="0">EOMONTH(AD15,1)</f>
        <v>45991</v>
      </c>
      <c r="AF15" s="288">
        <f t="shared" si="0"/>
        <v>46022</v>
      </c>
      <c r="AG15" s="288">
        <f t="shared" si="0"/>
        <v>46053</v>
      </c>
      <c r="AH15" s="288">
        <f t="shared" si="0"/>
        <v>46081</v>
      </c>
      <c r="AI15" s="288">
        <f t="shared" si="0"/>
        <v>46112</v>
      </c>
      <c r="AJ15" s="288">
        <f t="shared" si="0"/>
        <v>46142</v>
      </c>
      <c r="AK15" s="288">
        <f t="shared" si="0"/>
        <v>46173</v>
      </c>
      <c r="AL15" s="288">
        <f t="shared" si="0"/>
        <v>46203</v>
      </c>
      <c r="AM15" s="288">
        <f t="shared" si="0"/>
        <v>46234</v>
      </c>
      <c r="AN15" s="288">
        <f t="shared" si="0"/>
        <v>46265</v>
      </c>
      <c r="AO15" s="288">
        <f t="shared" si="0"/>
        <v>46295</v>
      </c>
      <c r="AP15" s="264" t="s">
        <v>239</v>
      </c>
      <c r="AQ15" s="288" t="s">
        <v>225</v>
      </c>
      <c r="AR15" s="289">
        <v>45322</v>
      </c>
      <c r="AS15" s="289">
        <v>45351</v>
      </c>
      <c r="AT15" s="290">
        <v>45382</v>
      </c>
      <c r="AU15" s="288">
        <v>45412</v>
      </c>
      <c r="AV15" s="288">
        <v>45443</v>
      </c>
      <c r="AW15" s="290">
        <v>45473</v>
      </c>
      <c r="AX15" s="288">
        <v>45504</v>
      </c>
      <c r="AY15" s="290">
        <v>45535</v>
      </c>
      <c r="AZ15" s="288">
        <v>45565</v>
      </c>
      <c r="BA15" s="290">
        <v>45596</v>
      </c>
      <c r="BB15" s="274">
        <v>45626</v>
      </c>
      <c r="BC15" s="290">
        <v>45657</v>
      </c>
      <c r="BD15" s="289">
        <v>45688</v>
      </c>
      <c r="BE15" s="290">
        <v>45716</v>
      </c>
      <c r="BF15" s="289">
        <v>45747</v>
      </c>
      <c r="BG15" s="289">
        <v>45777</v>
      </c>
      <c r="BH15" s="289">
        <v>45808</v>
      </c>
      <c r="BI15" s="289">
        <v>45838</v>
      </c>
      <c r="BJ15" s="289">
        <v>45869</v>
      </c>
      <c r="BK15" s="289">
        <v>45900</v>
      </c>
      <c r="BL15" s="289">
        <v>45930</v>
      </c>
      <c r="BM15" s="289" t="s">
        <v>274</v>
      </c>
      <c r="BN15" s="289">
        <v>45991</v>
      </c>
      <c r="BO15" s="289">
        <v>46022</v>
      </c>
      <c r="BP15" s="270" t="s">
        <v>277</v>
      </c>
      <c r="BQ15" s="272" t="s">
        <v>276</v>
      </c>
    </row>
    <row r="16" spans="2:69" x14ac:dyDescent="0.25">
      <c r="B16" s="762" t="s">
        <v>7</v>
      </c>
      <c r="C16" s="763"/>
      <c r="E16" s="607">
        <v>4938</v>
      </c>
      <c r="F16" s="607">
        <v>4489.4999999999991</v>
      </c>
      <c r="G16" s="607">
        <v>5810.25</v>
      </c>
      <c r="H16" s="607">
        <v>4881.37</v>
      </c>
      <c r="I16" s="607">
        <v>8589.3700000000008</v>
      </c>
      <c r="J16" s="607">
        <v>3066.4791666666665</v>
      </c>
      <c r="K16" s="608">
        <v>3175.021359649123</v>
      </c>
      <c r="L16" s="607">
        <v>2422.279891304348</v>
      </c>
      <c r="M16" s="607">
        <v>4440.4241513582401</v>
      </c>
      <c r="N16" s="607">
        <v>6044.6787398063207</v>
      </c>
      <c r="O16" s="609">
        <v>4035.0139064671953</v>
      </c>
      <c r="P16" s="609">
        <v>6070.8647844785883</v>
      </c>
      <c r="Q16" s="610">
        <v>9070.6432929860966</v>
      </c>
      <c r="R16" s="610">
        <v>11517.551726719597</v>
      </c>
      <c r="S16" s="611">
        <v>8370.8924491751968</v>
      </c>
      <c r="T16" s="611">
        <v>5536.9285717570046</v>
      </c>
      <c r="U16" s="609">
        <v>5536.9285717570046</v>
      </c>
      <c r="V16" s="609">
        <v>5536.9285717570046</v>
      </c>
      <c r="W16" s="609">
        <v>5536.9285717570046</v>
      </c>
      <c r="X16" s="609">
        <v>6629.6135261244181</v>
      </c>
      <c r="Y16" s="609">
        <v>6629.6135261244181</v>
      </c>
      <c r="Z16" s="609">
        <v>6629.6135261244181</v>
      </c>
      <c r="AA16" s="609">
        <v>10577.152050665438</v>
      </c>
      <c r="AB16" s="609">
        <v>17228.12892164422</v>
      </c>
      <c r="AC16" s="607">
        <v>17092.78954071294</v>
      </c>
      <c r="AD16" s="607">
        <f>+SUMIF('Monthly Detail'!$4:$4, AD15,'Monthly Detail'!$14:$14)</f>
        <v>39363.130000000005</v>
      </c>
      <c r="AE16" s="607">
        <f>+SUMIF('Monthly Detail'!$4:$4, AE15,'Monthly Detail'!$14:$14)</f>
        <v>12782.236961036549</v>
      </c>
      <c r="AF16" s="607">
        <f>+SUMIF('Monthly Detail'!$4:$4, AF15,'Monthly Detail'!$14:$14)</f>
        <v>18043.721267314566</v>
      </c>
      <c r="AG16" s="607">
        <f>+SUMIF('Monthly Detail'!$4:$4, AG15,'Monthly Detail'!$14:$14)</f>
        <v>21421.892348070025</v>
      </c>
      <c r="AH16" s="607">
        <f>+SUMIF('Monthly Detail'!$4:$4, AH15,'Monthly Detail'!$14:$14)</f>
        <v>20140.782533191628</v>
      </c>
      <c r="AI16" s="607">
        <f>+SUMIF('Monthly Detail'!$4:$4, AI15,'Monthly Detail'!$14:$14)</f>
        <v>20607.77914999715</v>
      </c>
      <c r="AJ16" s="607">
        <f>+SUMIF('Monthly Detail'!$4:$4, AJ15,'Monthly Detail'!$14:$14)</f>
        <v>9140.937851856801</v>
      </c>
      <c r="AK16" s="607">
        <f>+SUMIF('Monthly Detail'!$4:$4, AK15,'Monthly Detail'!$14:$14)</f>
        <v>15795.395572361223</v>
      </c>
      <c r="AL16" s="607">
        <v>5705.08</v>
      </c>
      <c r="AM16" s="609">
        <v>4308.26</v>
      </c>
      <c r="AN16" s="609">
        <v>9060.8900000000012</v>
      </c>
      <c r="AO16" s="609">
        <v>14111.26</v>
      </c>
      <c r="AP16" s="418">
        <v>23851.269902365319</v>
      </c>
      <c r="AQ16" s="418">
        <f>+SUMIF('Monthly Detail'!$4:$4, $B$14,'Monthly Detail'!$14:$14)</f>
        <v>39363.130000000005</v>
      </c>
      <c r="AR16" s="610">
        <f>+'2024 AOP'!C14</f>
        <v>3066.4791666666665</v>
      </c>
      <c r="AS16" s="611">
        <f>+'2024 AOP'!D14</f>
        <v>4893.6611842105267</v>
      </c>
      <c r="AT16" s="611">
        <f>+'2024 AOP'!E14</f>
        <v>3994.133152173913</v>
      </c>
      <c r="AU16" s="609">
        <f>+'2024 AOP'!F14</f>
        <v>5964.4553571428578</v>
      </c>
      <c r="AV16" s="609">
        <f>+'2024 AOP'!G14</f>
        <v>10231.791666666668</v>
      </c>
      <c r="AW16" s="688">
        <f>+'2024 AOP'!H14</f>
        <v>6730.371212121212</v>
      </c>
      <c r="AX16" s="611">
        <f>+'2024 AOP'!I14</f>
        <v>9868.4732142857138</v>
      </c>
      <c r="AY16" s="611">
        <f>+'2024 AOP'!J14</f>
        <v>9248.9884910485926</v>
      </c>
      <c r="AZ16" s="611">
        <f>+'2024 AOP'!L14</f>
        <v>10194.697088068182</v>
      </c>
      <c r="BA16" s="611">
        <v>6042.6640625</v>
      </c>
      <c r="BB16" s="611">
        <f>+'2024 AOP'!M14</f>
        <v>6042.6640625</v>
      </c>
      <c r="BC16" s="611">
        <f>+'2024 AOP'!N14</f>
        <v>4112</v>
      </c>
      <c r="BD16" s="611">
        <v>9543.353747161058</v>
      </c>
      <c r="BE16" s="611">
        <v>12714.963793117566</v>
      </c>
      <c r="BF16" s="611">
        <v>7487.4507121535908</v>
      </c>
      <c r="BG16" s="611">
        <v>9849.7966500428829</v>
      </c>
      <c r="BH16" s="611">
        <v>10751.931562484624</v>
      </c>
      <c r="BI16" s="611">
        <v>5819.9641619529039</v>
      </c>
      <c r="BJ16" s="419">
        <v>10878.587957853946</v>
      </c>
      <c r="BK16" s="419">
        <v>15891.044139070656</v>
      </c>
      <c r="BL16" s="419">
        <v>12144.427841594141</v>
      </c>
      <c r="BM16" s="419">
        <v>15655.285902215979</v>
      </c>
      <c r="BN16" s="419">
        <v>8813.267146899947</v>
      </c>
      <c r="BO16" s="419">
        <v>6298.8781775238203</v>
      </c>
      <c r="BP16" s="400">
        <f>+AQ16-AP16</f>
        <v>15511.860097634686</v>
      </c>
      <c r="BQ16" s="400">
        <f>+AQ16-BM16</f>
        <v>23707.844097784026</v>
      </c>
    </row>
    <row r="17" spans="2:69" ht="14.65" customHeight="1" x14ac:dyDescent="0.25">
      <c r="B17" s="764" t="s">
        <v>329</v>
      </c>
      <c r="C17" s="426" t="s">
        <v>66</v>
      </c>
      <c r="D17" s="166"/>
      <c r="E17" s="612">
        <v>17</v>
      </c>
      <c r="F17" s="612">
        <v>17</v>
      </c>
      <c r="G17" s="612">
        <v>20</v>
      </c>
      <c r="H17" s="612">
        <v>18</v>
      </c>
      <c r="I17" s="612">
        <v>34</v>
      </c>
      <c r="J17" s="612">
        <v>21</v>
      </c>
      <c r="K17" s="613">
        <v>21</v>
      </c>
      <c r="L17" s="612">
        <v>21</v>
      </c>
      <c r="M17" s="612">
        <v>27</v>
      </c>
      <c r="N17" s="612">
        <v>22</v>
      </c>
      <c r="O17" s="612">
        <v>22</v>
      </c>
      <c r="P17" s="614">
        <v>19</v>
      </c>
      <c r="Q17" s="615">
        <v>32</v>
      </c>
      <c r="R17" s="615">
        <v>41</v>
      </c>
      <c r="S17" s="616">
        <v>44</v>
      </c>
      <c r="T17" s="616">
        <v>41</v>
      </c>
      <c r="U17" s="614">
        <v>41</v>
      </c>
      <c r="V17" s="614">
        <v>41</v>
      </c>
      <c r="W17" s="614">
        <v>41</v>
      </c>
      <c r="X17" s="614">
        <v>25</v>
      </c>
      <c r="Y17" s="614">
        <v>25</v>
      </c>
      <c r="Z17" s="614">
        <v>25</v>
      </c>
      <c r="AA17" s="614">
        <v>24</v>
      </c>
      <c r="AB17" s="614">
        <v>36</v>
      </c>
      <c r="AC17" s="614">
        <v>50</v>
      </c>
      <c r="AD17" s="614">
        <f>+SUMIF('Monthly Detail'!$4:$4, AD15,'Monthly Detail'!17:17)</f>
        <v>67</v>
      </c>
      <c r="AE17" s="614">
        <f>+SUMIF('Monthly Detail'!$4:$4, AE15,'Monthly Detail'!17:17)</f>
        <v>62</v>
      </c>
      <c r="AF17" s="614">
        <f>+SUMIF('Monthly Detail'!$4:$4, AF15,'Monthly Detail'!17:17)</f>
        <v>57.6</v>
      </c>
      <c r="AG17" s="614">
        <f>+SUMIF('Monthly Detail'!$4:$4, AG15,'Monthly Detail'!17:17)</f>
        <v>57.32</v>
      </c>
      <c r="AH17" s="614">
        <f>+SUMIF('Monthly Detail'!$4:$4, AH15,'Monthly Detail'!17:17)</f>
        <v>62.92</v>
      </c>
      <c r="AI17" s="614">
        <f>+SUMIF('Monthly Detail'!$4:$4, AI15,'Monthly Detail'!17:17)</f>
        <v>59.64</v>
      </c>
      <c r="AJ17" s="614">
        <f>+SUMIF('Monthly Detail'!$4:$4, AJ15,'Monthly Detail'!17:17)</f>
        <v>54.36</v>
      </c>
      <c r="AK17" s="614">
        <f>+SUMIF('Monthly Detail'!$4:$4, AK15,'Monthly Detail'!17:17)</f>
        <v>54.959999999999994</v>
      </c>
      <c r="AL17" s="614">
        <v>22</v>
      </c>
      <c r="AM17" s="614">
        <v>16</v>
      </c>
      <c r="AN17" s="614">
        <v>30</v>
      </c>
      <c r="AO17" s="614">
        <v>38</v>
      </c>
      <c r="AP17" s="424">
        <v>55</v>
      </c>
      <c r="AQ17" s="424">
        <f>+SUMIF('Monthly Detail'!$4:$4, $B$14,'Monthly Detail'!17:17)</f>
        <v>67</v>
      </c>
      <c r="AR17" s="689">
        <v>21</v>
      </c>
      <c r="AS17" s="690">
        <v>33</v>
      </c>
      <c r="AT17" s="690">
        <v>35</v>
      </c>
      <c r="AU17" s="612">
        <v>33</v>
      </c>
      <c r="AV17" s="612">
        <v>34</v>
      </c>
      <c r="AW17" s="691">
        <v>34</v>
      </c>
      <c r="AX17" s="616">
        <v>31</v>
      </c>
      <c r="AY17" s="690">
        <v>32</v>
      </c>
      <c r="AZ17" s="690">
        <v>43</v>
      </c>
      <c r="BA17" s="690">
        <v>38</v>
      </c>
      <c r="BB17" s="690">
        <v>38</v>
      </c>
      <c r="BC17" s="690">
        <v>38</v>
      </c>
      <c r="BD17" s="690">
        <v>24</v>
      </c>
      <c r="BE17" s="690">
        <v>35.799999999999997</v>
      </c>
      <c r="BF17" s="690">
        <v>33.599999999999994</v>
      </c>
      <c r="BG17" s="690">
        <v>32.399999999999991</v>
      </c>
      <c r="BH17" s="690">
        <v>33.399999999999991</v>
      </c>
      <c r="BI17" s="690">
        <v>29.199999999999989</v>
      </c>
      <c r="BJ17" s="226">
        <v>31.199999999999989</v>
      </c>
      <c r="BK17" s="226">
        <v>37.199999999999989</v>
      </c>
      <c r="BL17" s="226">
        <v>43.199999999999989</v>
      </c>
      <c r="BM17" s="226">
        <v>44.999999999999986</v>
      </c>
      <c r="BN17" s="226">
        <v>43.599999999999987</v>
      </c>
      <c r="BO17" s="226">
        <v>42.199999999999989</v>
      </c>
      <c r="BP17" s="472">
        <f t="shared" ref="BP17:BP50" si="1">+AQ17-AP17</f>
        <v>12</v>
      </c>
      <c r="BQ17" s="472">
        <f t="shared" ref="BQ17:BQ50" si="2">+AQ17-BM17</f>
        <v>22.000000000000014</v>
      </c>
    </row>
    <row r="18" spans="2:69" x14ac:dyDescent="0.25">
      <c r="B18" s="765"/>
      <c r="C18" s="427" t="s">
        <v>67</v>
      </c>
      <c r="D18" s="304"/>
      <c r="E18" s="617">
        <v>2</v>
      </c>
      <c r="F18" s="617">
        <v>0</v>
      </c>
      <c r="G18" s="617">
        <v>2</v>
      </c>
      <c r="H18" s="617">
        <v>2</v>
      </c>
      <c r="I18" s="617">
        <v>2</v>
      </c>
      <c r="J18" s="617">
        <v>2</v>
      </c>
      <c r="K18" s="618">
        <v>2</v>
      </c>
      <c r="L18" s="617">
        <v>2</v>
      </c>
      <c r="M18" s="617">
        <v>2</v>
      </c>
      <c r="N18" s="617">
        <v>2</v>
      </c>
      <c r="O18" s="619">
        <v>0</v>
      </c>
      <c r="P18" s="619">
        <v>3</v>
      </c>
      <c r="Q18" s="620">
        <v>2</v>
      </c>
      <c r="R18" s="620">
        <v>-1</v>
      </c>
      <c r="S18" s="621">
        <v>-4</v>
      </c>
      <c r="T18" s="621">
        <v>-3</v>
      </c>
      <c r="U18" s="622">
        <v>-3</v>
      </c>
      <c r="V18" s="622">
        <v>-3</v>
      </c>
      <c r="W18" s="622">
        <v>-3</v>
      </c>
      <c r="X18" s="622">
        <v>3</v>
      </c>
      <c r="Y18" s="622">
        <v>3</v>
      </c>
      <c r="Z18" s="622">
        <v>3</v>
      </c>
      <c r="AA18" s="622">
        <v>-1</v>
      </c>
      <c r="AB18" s="622">
        <v>1</v>
      </c>
      <c r="AC18" s="619">
        <v>1</v>
      </c>
      <c r="AD18" s="619">
        <f>+SUMIF('Monthly Detail'!$4:$4, AD15,'Monthly Detail'!19:19)</f>
        <v>10</v>
      </c>
      <c r="AE18" s="619">
        <f>+SUMIF('Monthly Detail'!$4:$4, AE15,'Monthly Detail'!19:19)</f>
        <v>-5</v>
      </c>
      <c r="AF18" s="619">
        <f>+SUMIF('Monthly Detail'!$4:$4, AF15,'Monthly Detail'!19:19)</f>
        <v>-4.4000000000000004</v>
      </c>
      <c r="AG18" s="619">
        <f>+SUMIF('Monthly Detail'!$4:$4, AG15,'Monthly Detail'!19:19)</f>
        <v>-0.28000000000000291</v>
      </c>
      <c r="AH18" s="619">
        <f>+SUMIF('Monthly Detail'!$4:$4, AH15,'Monthly Detail'!19:19)</f>
        <v>5.5999999999999979</v>
      </c>
      <c r="AI18" s="619">
        <f>+SUMIF('Monthly Detail'!$4:$4, AI15,'Monthly Detail'!19:19)</f>
        <v>-3.2800000000000029</v>
      </c>
      <c r="AJ18" s="619">
        <f>+SUMIF('Monthly Detail'!$4:$4, AJ15,'Monthly Detail'!19:19)</f>
        <v>-5.2800000000000029</v>
      </c>
      <c r="AK18" s="619">
        <f>+SUMIF('Monthly Detail'!$4:$4, AK15,'Monthly Detail'!19:19)</f>
        <v>0.59999999999999787</v>
      </c>
      <c r="AL18" s="622">
        <v>2</v>
      </c>
      <c r="AM18" s="619">
        <v>-6</v>
      </c>
      <c r="AN18" s="619">
        <v>6</v>
      </c>
      <c r="AO18" s="622">
        <v>8</v>
      </c>
      <c r="AP18" s="480">
        <v>-2</v>
      </c>
      <c r="AQ18" s="480">
        <f>+SUMIF('Monthly Detail'!$4:$4, $B$14,'Monthly Detail'!19:19)</f>
        <v>10</v>
      </c>
      <c r="AR18" s="622">
        <v>2</v>
      </c>
      <c r="AS18" s="625">
        <v>12</v>
      </c>
      <c r="AT18" s="622">
        <v>2</v>
      </c>
      <c r="AU18" s="622">
        <v>-2</v>
      </c>
      <c r="AV18" s="622">
        <v>1</v>
      </c>
      <c r="AW18" s="692">
        <v>0</v>
      </c>
      <c r="AX18" s="693">
        <v>-3</v>
      </c>
      <c r="AY18" s="625">
        <v>1</v>
      </c>
      <c r="AZ18" s="625">
        <v>11</v>
      </c>
      <c r="BA18" s="622">
        <v>0</v>
      </c>
      <c r="BB18" s="620">
        <v>0</v>
      </c>
      <c r="BC18" s="620">
        <v>0</v>
      </c>
      <c r="BD18" s="620">
        <v>7</v>
      </c>
      <c r="BE18" s="620">
        <v>1</v>
      </c>
      <c r="BF18" s="620">
        <v>-2.2000000000000011</v>
      </c>
      <c r="BG18" s="620">
        <v>-1.2000000000000011</v>
      </c>
      <c r="BH18" s="620">
        <v>1</v>
      </c>
      <c r="BI18" s="620">
        <v>-4.2000000000000011</v>
      </c>
      <c r="BJ18" s="480">
        <v>2</v>
      </c>
      <c r="BK18" s="480">
        <v>6</v>
      </c>
      <c r="BL18" s="480">
        <v>6</v>
      </c>
      <c r="BM18" s="480">
        <v>1.7999999999999989</v>
      </c>
      <c r="BN18" s="480">
        <v>-1.4000000000000004</v>
      </c>
      <c r="BO18" s="480">
        <v>-1.4000000000000004</v>
      </c>
      <c r="BP18" s="326">
        <f t="shared" si="1"/>
        <v>12</v>
      </c>
      <c r="BQ18" s="326">
        <f t="shared" si="2"/>
        <v>8.2000000000000011</v>
      </c>
    </row>
    <row r="19" spans="2:69" x14ac:dyDescent="0.25">
      <c r="B19" s="765"/>
      <c r="C19" s="428" t="s">
        <v>327</v>
      </c>
      <c r="D19" s="304"/>
      <c r="E19" s="623">
        <v>70</v>
      </c>
      <c r="F19" s="617">
        <v>50</v>
      </c>
      <c r="G19" s="617">
        <v>28</v>
      </c>
      <c r="H19" s="617">
        <v>28</v>
      </c>
      <c r="I19" s="617">
        <v>28</v>
      </c>
      <c r="J19" s="617">
        <v>72.666666666666671</v>
      </c>
      <c r="K19" s="618">
        <v>28</v>
      </c>
      <c r="L19" s="617">
        <v>28</v>
      </c>
      <c r="M19" s="617">
        <v>28</v>
      </c>
      <c r="N19" s="617">
        <v>59</v>
      </c>
      <c r="O19" s="617">
        <v>65.333333333333329</v>
      </c>
      <c r="P19" s="617">
        <v>60</v>
      </c>
      <c r="Q19" s="624">
        <v>79.666666666666671</v>
      </c>
      <c r="R19" s="624">
        <v>137.33333333333334</v>
      </c>
      <c r="S19" s="625">
        <v>155.66666666666666</v>
      </c>
      <c r="T19" s="625">
        <v>129.33333333333334</v>
      </c>
      <c r="U19" s="617">
        <v>129.33333333333334</v>
      </c>
      <c r="V19" s="617">
        <v>129.33333333333334</v>
      </c>
      <c r="W19" s="617">
        <v>129.33333333333334</v>
      </c>
      <c r="X19" s="617">
        <v>57.333333333333336</v>
      </c>
      <c r="Y19" s="617">
        <v>57.333333333333336</v>
      </c>
      <c r="Z19" s="617">
        <v>57.333333333333336</v>
      </c>
      <c r="AA19" s="617">
        <v>50</v>
      </c>
      <c r="AB19" s="617">
        <v>77.666666666666671</v>
      </c>
      <c r="AC19" s="617">
        <v>111.66666666666667</v>
      </c>
      <c r="AD19" s="617">
        <f>+SUMIF('Monthly Detail'!$4:$4, AD15,'Monthly Detail'!22:22)</f>
        <v>275</v>
      </c>
      <c r="AE19" s="617">
        <f>+SUMIF('Monthly Detail'!$4:$4, AE15,'Monthly Detail'!22:22)</f>
        <v>226</v>
      </c>
      <c r="AF19" s="617">
        <f>+SUMIF('Monthly Detail'!$4:$4, AF15,'Monthly Detail'!22:22)</f>
        <v>247.6229966782314</v>
      </c>
      <c r="AG19" s="617">
        <f>+SUMIF('Monthly Detail'!$4:$4, AG15,'Monthly Detail'!22:22)</f>
        <v>304.52173771752115</v>
      </c>
      <c r="AH19" s="617">
        <f>+SUMIF('Monthly Detail'!$4:$4, AH15,'Monthly Detail'!22:22)</f>
        <v>323.57052985151057</v>
      </c>
      <c r="AI19" s="617">
        <f>+SUMIF('Monthly Detail'!$4:$4, AI15,'Monthly Detail'!22:22)</f>
        <v>373.00336057347675</v>
      </c>
      <c r="AJ19" s="617">
        <f>+SUMIF('Monthly Detail'!$4:$4, AJ15,'Monthly Detail'!22:22)</f>
        <v>160.89475680224407</v>
      </c>
      <c r="AK19" s="617">
        <f>+SUMIF('Monthly Detail'!$4:$4, AK15,'Monthly Detail'!22:22)</f>
        <v>283.27802322580652</v>
      </c>
      <c r="AL19" s="617">
        <v>85</v>
      </c>
      <c r="AM19" s="617">
        <v>30</v>
      </c>
      <c r="AN19" s="617">
        <v>118</v>
      </c>
      <c r="AO19" s="617">
        <v>169</v>
      </c>
      <c r="AP19" s="292">
        <v>174.33333333333334</v>
      </c>
      <c r="AQ19" s="292">
        <f>+SUMIF('Monthly Detail'!$4:$4, $B$14,'Monthly Detail'!22:22)</f>
        <v>275</v>
      </c>
      <c r="AR19" s="624">
        <v>28</v>
      </c>
      <c r="AS19" s="625">
        <v>44.95772282967198</v>
      </c>
      <c r="AT19" s="625">
        <v>36.609377181381348</v>
      </c>
      <c r="AU19" s="617">
        <v>54.895556399544255</v>
      </c>
      <c r="AV19" s="617">
        <v>94.499879156164781</v>
      </c>
      <c r="AW19" s="694">
        <v>62.003873280329451</v>
      </c>
      <c r="AX19" s="625">
        <v>91.127990884922141</v>
      </c>
      <c r="AY19" s="625">
        <v>85.378673010180634</v>
      </c>
      <c r="AZ19" s="625">
        <v>115.36827605256173</v>
      </c>
      <c r="BA19" s="625">
        <v>55.621396264199156</v>
      </c>
      <c r="BB19" s="625">
        <v>55.621396264199156</v>
      </c>
      <c r="BC19" s="625">
        <v>37.703276594275458</v>
      </c>
      <c r="BD19" s="625">
        <v>65.333333333333329</v>
      </c>
      <c r="BE19" s="625">
        <v>294.18455041417218</v>
      </c>
      <c r="BF19" s="625">
        <v>175.84395899611167</v>
      </c>
      <c r="BG19" s="625">
        <v>230.94120142224435</v>
      </c>
      <c r="BH19" s="625">
        <v>248.36790344311754</v>
      </c>
      <c r="BI19" s="625">
        <v>132.05017909744311</v>
      </c>
      <c r="BJ19" s="227">
        <v>245.26427712972773</v>
      </c>
      <c r="BK19" s="227">
        <v>359.9819338667694</v>
      </c>
      <c r="BL19" s="227">
        <v>268.15975068712527</v>
      </c>
      <c r="BM19" s="227">
        <v>344.87031636620713</v>
      </c>
      <c r="BN19" s="227">
        <v>193.66335679167068</v>
      </c>
      <c r="BO19" s="227">
        <v>147.13119383825418</v>
      </c>
      <c r="BP19" s="326">
        <f t="shared" si="1"/>
        <v>100.66666666666666</v>
      </c>
      <c r="BQ19" s="326">
        <f t="shared" si="2"/>
        <v>-69.870316366207135</v>
      </c>
    </row>
    <row r="20" spans="2:69" x14ac:dyDescent="0.25">
      <c r="B20" s="765"/>
      <c r="C20" s="429" t="s">
        <v>62</v>
      </c>
      <c r="D20" s="304"/>
      <c r="E20" s="623">
        <v>0.2</v>
      </c>
      <c r="F20" s="623">
        <v>0.21</v>
      </c>
      <c r="G20" s="623">
        <v>0.21</v>
      </c>
      <c r="H20" s="623">
        <v>0.21</v>
      </c>
      <c r="I20" s="623">
        <v>0.21</v>
      </c>
      <c r="J20" s="623">
        <v>0.10448412698412697</v>
      </c>
      <c r="K20" s="626">
        <v>0.1118421052631579</v>
      </c>
      <c r="L20" s="623">
        <v>8.5869565217391308E-2</v>
      </c>
      <c r="M20" s="623">
        <v>0.13035714285714287</v>
      </c>
      <c r="N20" s="623">
        <v>0.21338383838383837</v>
      </c>
      <c r="O20" s="623">
        <v>0.15909090909090909</v>
      </c>
      <c r="P20" s="623">
        <v>0.19843749999999999</v>
      </c>
      <c r="Q20" s="627">
        <v>0.19279176201372997</v>
      </c>
      <c r="R20" s="627">
        <v>0.19353693181818182</v>
      </c>
      <c r="S20" s="628">
        <v>0.13125000000000001</v>
      </c>
      <c r="T20" s="628">
        <v>9.5567867036011084E-2</v>
      </c>
      <c r="U20" s="623">
        <v>9.5567867036011084E-2</v>
      </c>
      <c r="V20" s="623">
        <v>9.5567867036011084E-2</v>
      </c>
      <c r="W20" s="623">
        <v>9.5567867036011084E-2</v>
      </c>
      <c r="X20" s="623">
        <v>0.14345238095238094</v>
      </c>
      <c r="Y20" s="623">
        <v>0.14345238095238094</v>
      </c>
      <c r="Z20" s="623">
        <v>0.14345238095238094</v>
      </c>
      <c r="AA20" s="623">
        <v>0.20568181818181819</v>
      </c>
      <c r="AB20" s="623">
        <v>0.26525119617224879</v>
      </c>
      <c r="AC20" s="623">
        <v>0.16241496598639454</v>
      </c>
      <c r="AD20" s="623">
        <f>+SUMIF('Monthly Detail'!$4:$4, AD15,'Monthly Detail'!25:25)</f>
        <v>0.19987021414665804</v>
      </c>
      <c r="AE20" s="623">
        <f>+SUMIF('Monthly Detail'!$4:$4, AE15,'Monthly Detail'!25:25)</f>
        <v>0.14204545454545456</v>
      </c>
      <c r="AF20" s="623">
        <f>+SUMIF('Monthly Detail'!$4:$4, AF15,'Monthly Detail'!25:25)</f>
        <v>0.14359267734553777</v>
      </c>
      <c r="AG20" s="623">
        <f>+SUMIF('Monthly Detail'!$4:$4, AG15,'Monthly Detail'!25:25)</f>
        <v>0.1693840579710145</v>
      </c>
      <c r="AH20" s="623">
        <f>+SUMIF('Monthly Detail'!$4:$4, AH15,'Monthly Detail'!25:25)</f>
        <v>0.18035714285714285</v>
      </c>
      <c r="AI20" s="623">
        <f>+SUMIF('Monthly Detail'!$4:$4, AI15,'Monthly Detail'!25:25)</f>
        <v>0.19940476190476189</v>
      </c>
      <c r="AJ20" s="623">
        <f>+SUMIF('Monthly Detail'!$4:$4, AJ15,'Monthly Detail'!25:25)</f>
        <v>9.4367588932806321E-2</v>
      </c>
      <c r="AK20" s="623">
        <f>+SUMIF('Monthly Detail'!$4:$4, AK15,'Monthly Detail'!25:25)</f>
        <v>0.17215909090909093</v>
      </c>
      <c r="AL20" s="623">
        <v>0.18626482213438733</v>
      </c>
      <c r="AM20" s="623">
        <v>0.15937499999999999</v>
      </c>
      <c r="AN20" s="623">
        <v>0.20568181818181819</v>
      </c>
      <c r="AO20" s="623">
        <v>0.26525119617224879</v>
      </c>
      <c r="AP20" s="293">
        <v>0.19180253623188406</v>
      </c>
      <c r="AQ20" s="293">
        <f>+SUMIF('Monthly Detail'!$4:$4, $B$14,'Monthly Detail'!25:25)</f>
        <v>0.19987021414665804</v>
      </c>
      <c r="AR20" s="627">
        <v>0.10448412698412697</v>
      </c>
      <c r="AS20" s="628">
        <v>0.1118421052631579</v>
      </c>
      <c r="AT20" s="628">
        <v>8.5869565217391308E-2</v>
      </c>
      <c r="AU20" s="623">
        <v>0.13035714285714287</v>
      </c>
      <c r="AV20" s="623">
        <v>0.20833333333333334</v>
      </c>
      <c r="AW20" s="695">
        <v>0.1571969696969697</v>
      </c>
      <c r="AX20" s="628">
        <v>0.23035714285714287</v>
      </c>
      <c r="AY20" s="628">
        <v>0.20907928388746802</v>
      </c>
      <c r="AZ20" s="628">
        <v>0.22025862068965518</v>
      </c>
      <c r="BA20" s="628">
        <v>0.1328125</v>
      </c>
      <c r="BB20" s="628">
        <v>0.1328125</v>
      </c>
      <c r="BC20" s="628">
        <v>9.0027700831024932E-2</v>
      </c>
      <c r="BD20" s="628">
        <v>0.2365079365079365</v>
      </c>
      <c r="BE20" s="628">
        <v>0.2365079365079365</v>
      </c>
      <c r="BF20" s="628">
        <v>0.14345238095238094</v>
      </c>
      <c r="BG20" s="628">
        <v>0.18649732620320855</v>
      </c>
      <c r="BH20" s="628">
        <v>0.19456521739130433</v>
      </c>
      <c r="BI20" s="628">
        <v>0.12395833333333334</v>
      </c>
      <c r="BJ20" s="228">
        <v>0.20568181818181819</v>
      </c>
      <c r="BK20" s="228">
        <v>0.26525119617224879</v>
      </c>
      <c r="BL20" s="228">
        <v>0.16241496598639454</v>
      </c>
      <c r="BM20" s="228">
        <v>0.19180253623188406</v>
      </c>
      <c r="BN20" s="228">
        <v>0.14204545454545456</v>
      </c>
      <c r="BO20" s="228">
        <v>9.5567867036011084E-2</v>
      </c>
      <c r="BP20" s="326">
        <f t="shared" si="1"/>
        <v>8.0676779147739741E-3</v>
      </c>
      <c r="BQ20" s="326">
        <f t="shared" si="2"/>
        <v>8.0676779147739741E-3</v>
      </c>
    </row>
    <row r="21" spans="2:69" x14ac:dyDescent="0.25">
      <c r="B21" s="765"/>
      <c r="C21" s="429" t="s">
        <v>63</v>
      </c>
      <c r="D21" s="304"/>
      <c r="E21" s="623">
        <v>78.2</v>
      </c>
      <c r="F21" s="623">
        <v>71</v>
      </c>
      <c r="G21" s="623">
        <v>92.399999999999991</v>
      </c>
      <c r="H21" s="623">
        <v>75.599999999999994</v>
      </c>
      <c r="I21" s="623">
        <v>135.66</v>
      </c>
      <c r="J21" s="623">
        <v>48.271666666666661</v>
      </c>
      <c r="K21" s="626">
        <v>49.32236842105263</v>
      </c>
      <c r="L21" s="623">
        <v>37.868478260869566</v>
      </c>
      <c r="M21" s="623">
        <v>77.432142857142864</v>
      </c>
      <c r="N21" s="623">
        <v>107.97222222222221</v>
      </c>
      <c r="O21" s="623">
        <v>70</v>
      </c>
      <c r="P21" s="623">
        <v>82.946874999999991</v>
      </c>
      <c r="Q21" s="627">
        <v>135.7254004576659</v>
      </c>
      <c r="R21" s="627">
        <v>182.50532670454547</v>
      </c>
      <c r="S21" s="628">
        <v>131.44833333333335</v>
      </c>
      <c r="T21" s="628">
        <v>74.44736842105263</v>
      </c>
      <c r="U21" s="623">
        <v>74.44736842105263</v>
      </c>
      <c r="V21" s="623">
        <v>74.44736842105263</v>
      </c>
      <c r="W21" s="623">
        <v>74.44736842105263</v>
      </c>
      <c r="X21" s="623">
        <v>87.3125</v>
      </c>
      <c r="Y21" s="623">
        <v>87.3125</v>
      </c>
      <c r="Z21" s="623">
        <v>87.3125</v>
      </c>
      <c r="AA21" s="623">
        <v>120.60000000000001</v>
      </c>
      <c r="AB21" s="623">
        <v>212.52990430622009</v>
      </c>
      <c r="AC21" s="623">
        <v>190.65646258503401</v>
      </c>
      <c r="AD21" s="623">
        <f>+SUMIF('Monthly Detail'!$4:$4, AD15,'Monthly Detail'!26:26)</f>
        <v>308</v>
      </c>
      <c r="AE21" s="623">
        <f>+SUMIF('Monthly Detail'!$4:$4, AE15,'Monthly Detail'!26:26)</f>
        <v>158.52272727272728</v>
      </c>
      <c r="AF21" s="623">
        <f>+SUMIF('Monthly Detail'!$4:$4, AF15,'Monthly Detail'!26:26)</f>
        <v>173.68970251716252</v>
      </c>
      <c r="AG21" s="623">
        <f>+SUMIF('Monthly Detail'!$4:$4, AG15,'Monthly Detail'!26:26)</f>
        <v>213.6000724637681</v>
      </c>
      <c r="AH21" s="623">
        <f>+SUMIF('Monthly Detail'!$4:$4, AH15,'Monthly Detail'!26:26)</f>
        <v>226.9614285714286</v>
      </c>
      <c r="AI21" s="623">
        <f>+SUMIF('Monthly Detail'!$4:$4, AI15,'Monthly Detail'!26:26)</f>
        <v>261.63499999999999</v>
      </c>
      <c r="AJ21" s="623">
        <f>+SUMIF('Monthly Detail'!$4:$4, AJ15,'Monthly Detail'!26:26)</f>
        <v>112.85608695652174</v>
      </c>
      <c r="AK21" s="623">
        <f>+SUMIF('Monthly Detail'!$4:$4, AK15,'Monthly Detail'!26:26)</f>
        <v>198.69913636363637</v>
      </c>
      <c r="AL21" s="623">
        <v>94.25</v>
      </c>
      <c r="AM21" s="623">
        <v>51</v>
      </c>
      <c r="AN21" s="623">
        <v>135.75</v>
      </c>
      <c r="AO21" s="623">
        <v>221.75</v>
      </c>
      <c r="AP21" s="293">
        <v>242.63020833333334</v>
      </c>
      <c r="AQ21" s="293">
        <f>+SUMIF('Monthly Detail'!$4:$4, $B$14,'Monthly Detail'!26:26)</f>
        <v>308</v>
      </c>
      <c r="AR21" s="627">
        <v>48.271666666666661</v>
      </c>
      <c r="AS21" s="628">
        <v>77.506578947368425</v>
      </c>
      <c r="AT21" s="628">
        <v>63.114130434782609</v>
      </c>
      <c r="AU21" s="623">
        <v>94.63928571428572</v>
      </c>
      <c r="AV21" s="623">
        <v>162.91666666666669</v>
      </c>
      <c r="AW21" s="695">
        <v>106.89393939393939</v>
      </c>
      <c r="AX21" s="628">
        <v>157.10357142857143</v>
      </c>
      <c r="AY21" s="628">
        <v>147.19181585677748</v>
      </c>
      <c r="AZ21" s="628">
        <v>198.89353448275864</v>
      </c>
      <c r="BA21" s="628">
        <v>95.890625</v>
      </c>
      <c r="BB21" s="628">
        <v>95.890625</v>
      </c>
      <c r="BC21" s="628">
        <v>65</v>
      </c>
      <c r="BD21" s="628">
        <v>125.52380952380952</v>
      </c>
      <c r="BE21" s="628">
        <v>169.33968253968254</v>
      </c>
      <c r="BF21" s="628">
        <v>101.21999999999998</v>
      </c>
      <c r="BG21" s="628">
        <v>132.93529411764703</v>
      </c>
      <c r="BH21" s="628">
        <v>142.9665217391304</v>
      </c>
      <c r="BI21" s="628">
        <v>76.011249999999976</v>
      </c>
      <c r="BJ21" s="228">
        <v>141.17999999999995</v>
      </c>
      <c r="BK21" s="228">
        <v>207.21423444976071</v>
      </c>
      <c r="BL21" s="228">
        <v>154.35918367346935</v>
      </c>
      <c r="BM21" s="228">
        <v>198.51562499999997</v>
      </c>
      <c r="BN21" s="228">
        <v>111.47727272727271</v>
      </c>
      <c r="BO21" s="228">
        <v>84.692243767313002</v>
      </c>
      <c r="BP21" s="326">
        <f t="shared" si="1"/>
        <v>65.369791666666657</v>
      </c>
      <c r="BQ21" s="326">
        <f t="shared" si="2"/>
        <v>109.48437500000003</v>
      </c>
    </row>
    <row r="22" spans="2:69" ht="14.65" hidden="1" customHeight="1" x14ac:dyDescent="0.25">
      <c r="B22" s="765"/>
      <c r="C22" s="429" t="s">
        <v>162</v>
      </c>
      <c r="D22" s="304"/>
      <c r="E22" s="629">
        <v>0</v>
      </c>
      <c r="F22" s="629"/>
      <c r="G22" s="629">
        <v>0</v>
      </c>
      <c r="H22" s="629">
        <v>0</v>
      </c>
      <c r="I22" s="629"/>
      <c r="J22" s="629">
        <v>0</v>
      </c>
      <c r="K22" s="630">
        <v>0</v>
      </c>
      <c r="L22" s="629">
        <v>0</v>
      </c>
      <c r="M22" s="629">
        <v>0</v>
      </c>
      <c r="N22" s="629">
        <v>0</v>
      </c>
      <c r="O22" s="629">
        <v>0</v>
      </c>
      <c r="P22" s="623">
        <v>0</v>
      </c>
      <c r="Q22" s="627">
        <v>0</v>
      </c>
      <c r="R22" s="627">
        <v>0</v>
      </c>
      <c r="S22" s="628">
        <v>0</v>
      </c>
      <c r="T22" s="628">
        <v>0</v>
      </c>
      <c r="U22" s="623">
        <v>0</v>
      </c>
      <c r="V22" s="623">
        <v>0</v>
      </c>
      <c r="W22" s="623">
        <v>0</v>
      </c>
      <c r="X22" s="623">
        <v>0</v>
      </c>
      <c r="Y22" s="623">
        <v>0</v>
      </c>
      <c r="Z22" s="623">
        <v>0</v>
      </c>
      <c r="AA22" s="623">
        <v>0</v>
      </c>
      <c r="AB22" s="623">
        <v>0</v>
      </c>
      <c r="AC22" s="623">
        <v>0</v>
      </c>
      <c r="AD22" s="623">
        <f>+SUMIF('Monthly Detail'!$4:$4, AD15,'Monthly Detail'!27:27)</f>
        <v>0</v>
      </c>
      <c r="AE22" s="623">
        <f>+SUMIF('Monthly Detail'!$4:$4, AE15,'Monthly Detail'!27:27)</f>
        <v>0</v>
      </c>
      <c r="AF22" s="623">
        <f>+SUMIF('Monthly Detail'!$4:$4, AF15,'Monthly Detail'!27:27)</f>
        <v>0</v>
      </c>
      <c r="AG22" s="623">
        <f>+SUMIF('Monthly Detail'!$4:$4, AG15,'Monthly Detail'!27:27)</f>
        <v>0</v>
      </c>
      <c r="AH22" s="623">
        <f>+SUMIF('Monthly Detail'!$4:$4, AH15,'Monthly Detail'!27:27)</f>
        <v>0</v>
      </c>
      <c r="AI22" s="623">
        <f>+SUMIF('Monthly Detail'!$4:$4, AI15,'Monthly Detail'!27:27)</f>
        <v>0</v>
      </c>
      <c r="AJ22" s="623">
        <f>+SUMIF('Monthly Detail'!$4:$4, AJ15,'Monthly Detail'!27:27)</f>
        <v>0</v>
      </c>
      <c r="AK22" s="623">
        <f>+SUMIF('Monthly Detail'!$4:$4, AK15,'Monthly Detail'!27:27)</f>
        <v>0</v>
      </c>
      <c r="AL22" s="623">
        <v>0</v>
      </c>
      <c r="AM22" s="623">
        <v>0</v>
      </c>
      <c r="AN22" s="623">
        <v>0</v>
      </c>
      <c r="AO22" s="623">
        <v>0</v>
      </c>
      <c r="AP22" s="293">
        <v>0</v>
      </c>
      <c r="AQ22" s="293">
        <f>+SUMIF('Monthly Detail'!$4:$4, O14,'Monthly Detail'!27:27)</f>
        <v>0</v>
      </c>
      <c r="AR22" s="636">
        <v>0</v>
      </c>
      <c r="AS22" s="637">
        <v>0</v>
      </c>
      <c r="AT22" s="637">
        <v>0</v>
      </c>
      <c r="AU22" s="629">
        <v>0</v>
      </c>
      <c r="AV22" s="629">
        <v>0</v>
      </c>
      <c r="AW22" s="696">
        <v>0</v>
      </c>
      <c r="AX22" s="637">
        <v>0</v>
      </c>
      <c r="AY22" s="637">
        <v>0</v>
      </c>
      <c r="AZ22" s="637">
        <v>0</v>
      </c>
      <c r="BA22" s="637">
        <v>0</v>
      </c>
      <c r="BB22" s="637">
        <v>0</v>
      </c>
      <c r="BC22" s="637">
        <v>0</v>
      </c>
      <c r="BD22" s="637">
        <v>0</v>
      </c>
      <c r="BE22" s="637">
        <v>0</v>
      </c>
      <c r="BF22" s="637">
        <v>0</v>
      </c>
      <c r="BG22" s="637">
        <v>0</v>
      </c>
      <c r="BH22" s="637">
        <v>0</v>
      </c>
      <c r="BI22" s="637">
        <v>0</v>
      </c>
      <c r="BJ22" s="229">
        <v>0</v>
      </c>
      <c r="BK22" s="229">
        <v>0</v>
      </c>
      <c r="BL22" s="229">
        <v>0</v>
      </c>
      <c r="BM22" s="229">
        <v>0</v>
      </c>
      <c r="BN22" s="229">
        <v>0</v>
      </c>
      <c r="BO22" s="229">
        <v>0</v>
      </c>
      <c r="BP22" s="473">
        <f t="shared" si="1"/>
        <v>0</v>
      </c>
      <c r="BQ22" s="473">
        <f t="shared" si="2"/>
        <v>0</v>
      </c>
    </row>
    <row r="23" spans="2:69" x14ac:dyDescent="0.25">
      <c r="B23" s="765"/>
      <c r="C23" s="429" t="s">
        <v>64</v>
      </c>
      <c r="D23" s="304"/>
      <c r="E23" s="631">
        <v>62.5</v>
      </c>
      <c r="F23" s="631">
        <v>62.5</v>
      </c>
      <c r="G23" s="631">
        <v>62.5</v>
      </c>
      <c r="H23" s="631">
        <v>62.5</v>
      </c>
      <c r="I23" s="631">
        <v>62.5</v>
      </c>
      <c r="J23" s="631">
        <v>62.5</v>
      </c>
      <c r="K23" s="632">
        <v>62.5</v>
      </c>
      <c r="L23" s="633">
        <v>62.5</v>
      </c>
      <c r="M23" s="633">
        <v>62.5</v>
      </c>
      <c r="N23" s="633">
        <v>62.5</v>
      </c>
      <c r="O23" s="633">
        <v>62.5</v>
      </c>
      <c r="P23" s="633">
        <v>73.189795088465829</v>
      </c>
      <c r="Q23" s="634">
        <v>66.830845681058207</v>
      </c>
      <c r="R23" s="634">
        <v>63.10803051444713</v>
      </c>
      <c r="S23" s="635">
        <v>63.681997610025704</v>
      </c>
      <c r="T23" s="635">
        <v>74.373731257252103</v>
      </c>
      <c r="U23" s="633">
        <v>74.373731257252103</v>
      </c>
      <c r="V23" s="633">
        <v>74.373731257252103</v>
      </c>
      <c r="W23" s="633">
        <v>74.373731257252103</v>
      </c>
      <c r="X23" s="633">
        <v>75.929718266278229</v>
      </c>
      <c r="Y23" s="633">
        <v>75.929718266278229</v>
      </c>
      <c r="Z23" s="633">
        <v>75.929718266278229</v>
      </c>
      <c r="AA23" s="633">
        <v>87.70441169706001</v>
      </c>
      <c r="AB23" s="633">
        <v>81.062140303895134</v>
      </c>
      <c r="AC23" s="633">
        <v>89.652295594697961</v>
      </c>
      <c r="AD23" s="633">
        <f>+SUMIF('Monthly Detail'!$4:$4, AD15,'Monthly Detail'!33:33)</f>
        <v>127.80237012987014</v>
      </c>
      <c r="AE23" s="633">
        <f>+SUMIF('Monthly Detail'!$4:$4, AE15,'Monthly Detail'!33:33)</f>
        <v>80.633466134137365</v>
      </c>
      <c r="AF23" s="633">
        <f>+SUMIF('Monthly Detail'!$4:$4, AF15,'Monthly Detail'!33:33)</f>
        <v>103.88480725005353</v>
      </c>
      <c r="AG23" s="633">
        <f>+SUMIF('Monthly Detail'!$4:$4, AG15,'Monthly Detail'!33:33)</f>
        <v>100.28972416057449</v>
      </c>
      <c r="AH23" s="633">
        <f>+SUMIF('Monthly Detail'!$4:$4, AH15,'Monthly Detail'!33:33)</f>
        <v>88.740992951817731</v>
      </c>
      <c r="AI23" s="633">
        <f>+SUMIF('Monthly Detail'!$4:$4, AI15,'Monthly Detail'!33:33)</f>
        <v>78.765376000906414</v>
      </c>
      <c r="AJ23" s="633">
        <f>+SUMIF('Monthly Detail'!$4:$4, AJ15,'Monthly Detail'!33:33)</f>
        <v>80.99640966090189</v>
      </c>
      <c r="AK23" s="633">
        <f>+SUMIF('Monthly Detail'!$4:$4, AK15,'Monthly Detail'!33:33)</f>
        <v>79.494032341712355</v>
      </c>
      <c r="AL23" s="633">
        <v>60.531352785145884</v>
      </c>
      <c r="AM23" s="633">
        <v>84.475686274509812</v>
      </c>
      <c r="AN23" s="633">
        <v>66.746887661141812</v>
      </c>
      <c r="AO23" s="633">
        <v>63.635896279594135</v>
      </c>
      <c r="AP23" s="295">
        <v>98.302969223014728</v>
      </c>
      <c r="AQ23" s="295">
        <f>+SUMIF('Monthly Detail'!$4:$4, $B$14,'Monthly Detail'!33:33)</f>
        <v>127.80237012987014</v>
      </c>
      <c r="AR23" s="634">
        <v>62.5</v>
      </c>
      <c r="AS23" s="635">
        <v>62.5</v>
      </c>
      <c r="AT23" s="635">
        <v>62.5</v>
      </c>
      <c r="AU23" s="633">
        <v>62.5</v>
      </c>
      <c r="AV23" s="633">
        <v>62.5</v>
      </c>
      <c r="AW23" s="697">
        <v>62.5</v>
      </c>
      <c r="AX23" s="635">
        <v>62.5</v>
      </c>
      <c r="AY23" s="635">
        <v>62.5</v>
      </c>
      <c r="AZ23" s="635">
        <v>62.5</v>
      </c>
      <c r="BA23" s="635">
        <v>62.5</v>
      </c>
      <c r="BB23" s="635">
        <v>62.5</v>
      </c>
      <c r="BC23" s="635">
        <v>62.5</v>
      </c>
      <c r="BD23" s="635">
        <v>76.028235466761089</v>
      </c>
      <c r="BE23" s="635">
        <v>75.085553500656758</v>
      </c>
      <c r="BF23" s="635">
        <v>73.972048134297495</v>
      </c>
      <c r="BG23" s="635">
        <v>74.094669255599385</v>
      </c>
      <c r="BH23" s="635">
        <v>75.205939346440616</v>
      </c>
      <c r="BI23" s="635">
        <v>76.567141863249262</v>
      </c>
      <c r="BJ23" s="230">
        <v>77.054738333007151</v>
      </c>
      <c r="BK23" s="230">
        <v>76.688960009277039</v>
      </c>
      <c r="BL23" s="230">
        <v>78.676419196958207</v>
      </c>
      <c r="BM23" s="230">
        <v>78.861731423992353</v>
      </c>
      <c r="BN23" s="230">
        <v>79.05886941153878</v>
      </c>
      <c r="BO23" s="230">
        <v>74.373731257252089</v>
      </c>
      <c r="BP23" s="326">
        <f t="shared" si="1"/>
        <v>29.499400906855413</v>
      </c>
      <c r="BQ23" s="326">
        <f t="shared" si="2"/>
        <v>48.940638705877788</v>
      </c>
    </row>
    <row r="24" spans="2:69" ht="2.65" customHeight="1" x14ac:dyDescent="0.25">
      <c r="B24" s="266"/>
      <c r="C24" s="429"/>
      <c r="D24" s="304"/>
      <c r="E24" s="629"/>
      <c r="F24" s="629"/>
      <c r="G24" s="629"/>
      <c r="H24" s="629"/>
      <c r="I24" s="629"/>
      <c r="J24" s="629"/>
      <c r="K24" s="630"/>
      <c r="L24" s="629"/>
      <c r="M24" s="629"/>
      <c r="N24" s="629"/>
      <c r="O24" s="629"/>
      <c r="P24" s="629"/>
      <c r="Q24" s="636"/>
      <c r="R24" s="636"/>
      <c r="S24" s="637"/>
      <c r="T24" s="637"/>
      <c r="U24" s="629"/>
      <c r="V24" s="629"/>
      <c r="W24" s="629"/>
      <c r="X24" s="629"/>
      <c r="Y24" s="629"/>
      <c r="Z24" s="629"/>
      <c r="AA24" s="629"/>
      <c r="AB24" s="629"/>
      <c r="AC24" s="629"/>
      <c r="AD24" s="629"/>
      <c r="AE24" s="629"/>
      <c r="AF24" s="629"/>
      <c r="AG24" s="629"/>
      <c r="AH24" s="629"/>
      <c r="AI24" s="629"/>
      <c r="AJ24" s="629"/>
      <c r="AK24" s="629"/>
      <c r="AL24" s="629"/>
      <c r="AM24" s="629"/>
      <c r="AN24" s="629"/>
      <c r="AO24" s="629"/>
      <c r="AP24" s="294"/>
      <c r="AQ24" s="294"/>
      <c r="AR24" s="636"/>
      <c r="AS24" s="637"/>
      <c r="AT24" s="637"/>
      <c r="AU24" s="629"/>
      <c r="AV24" s="629"/>
      <c r="AW24" s="696"/>
      <c r="AX24" s="637"/>
      <c r="AY24" s="637"/>
      <c r="AZ24" s="637"/>
      <c r="BA24" s="637"/>
      <c r="BB24" s="637"/>
      <c r="BC24" s="637"/>
      <c r="BD24" s="637"/>
      <c r="BE24" s="637"/>
      <c r="BF24" s="637"/>
      <c r="BG24" s="637"/>
      <c r="BH24" s="637"/>
      <c r="BI24" s="637"/>
      <c r="BJ24" s="229"/>
      <c r="BK24" s="229"/>
      <c r="BL24" s="229"/>
      <c r="BM24" s="229"/>
      <c r="BN24" s="229"/>
      <c r="BO24" s="229"/>
      <c r="BP24" s="473">
        <f t="shared" si="1"/>
        <v>0</v>
      </c>
      <c r="BQ24" s="473">
        <f t="shared" si="2"/>
        <v>0</v>
      </c>
    </row>
    <row r="25" spans="2:69" ht="15.75" thickBot="1" x14ac:dyDescent="0.3">
      <c r="B25" s="267"/>
      <c r="C25" s="430" t="s">
        <v>65</v>
      </c>
      <c r="D25" s="167"/>
      <c r="E25" s="638">
        <v>2.5000000000000001E-2</v>
      </c>
      <c r="F25" s="638">
        <v>2.6249999999999999E-2</v>
      </c>
      <c r="G25" s="638">
        <v>2.6249999999999999E-2</v>
      </c>
      <c r="H25" s="638">
        <v>2.6249999999999999E-2</v>
      </c>
      <c r="I25" s="638">
        <v>2.6249999999999999E-2</v>
      </c>
      <c r="J25" s="638">
        <v>1.3060515873015871E-2</v>
      </c>
      <c r="K25" s="639">
        <v>1.3980263157894737E-2</v>
      </c>
      <c r="L25" s="640">
        <v>1.0733695652173914E-2</v>
      </c>
      <c r="M25" s="640">
        <v>1.6294642857142858E-2</v>
      </c>
      <c r="N25" s="640">
        <v>2.6672979797979796E-2</v>
      </c>
      <c r="O25" s="640">
        <v>1.9886363636363636E-2</v>
      </c>
      <c r="P25" s="640">
        <v>2.4804687499999999E-2</v>
      </c>
      <c r="Q25" s="641">
        <v>2.4098970251716246E-2</v>
      </c>
      <c r="R25" s="641">
        <v>2.4192116477272728E-2</v>
      </c>
      <c r="S25" s="642">
        <v>1.6406250000000001E-2</v>
      </c>
      <c r="T25" s="642">
        <v>1.1945983379501385E-2</v>
      </c>
      <c r="U25" s="640">
        <v>1.1945983379501385E-2</v>
      </c>
      <c r="V25" s="640">
        <v>1.1945983379501385E-2</v>
      </c>
      <c r="W25" s="640">
        <v>1.1945983379501385E-2</v>
      </c>
      <c r="X25" s="640">
        <v>1.7931547619047618E-2</v>
      </c>
      <c r="Y25" s="640">
        <v>1.7931547619047618E-2</v>
      </c>
      <c r="Z25" s="640">
        <v>1.7931547619047618E-2</v>
      </c>
      <c r="AA25" s="640">
        <v>2.5710227272727273E-2</v>
      </c>
      <c r="AB25" s="640">
        <v>3.3156399521531099E-2</v>
      </c>
      <c r="AC25" s="640">
        <v>2.0301870748299318E-2</v>
      </c>
      <c r="AD25" s="640">
        <f>+SUMIF('Monthly Detail'!$4:$4, AD15,'Monthly Detail'!49:49)</f>
        <v>2.4983776768332255E-2</v>
      </c>
      <c r="AE25" s="640">
        <f>+SUMIF('Monthly Detail'!$4:$4, AE15,'Monthly Detail'!49:49)</f>
        <v>1.775568181818182E-2</v>
      </c>
      <c r="AF25" s="640">
        <f>+SUMIF('Monthly Detail'!$4:$4, AF15,'Monthly Detail'!49:49)</f>
        <v>1.7949084668192221E-2</v>
      </c>
      <c r="AG25" s="640">
        <f>+SUMIF('Monthly Detail'!$4:$4, AG15,'Monthly Detail'!49:49)</f>
        <v>2.1173007246376812E-2</v>
      </c>
      <c r="AH25" s="640">
        <f>+SUMIF('Monthly Detail'!$4:$4, AH15,'Monthly Detail'!49:49)</f>
        <v>2.2544642857142857E-2</v>
      </c>
      <c r="AI25" s="640">
        <f>+SUMIF('Monthly Detail'!$4:$4, AI15,'Monthly Detail'!49:49)</f>
        <v>2.4925595238095236E-2</v>
      </c>
      <c r="AJ25" s="640">
        <f>+SUMIF('Monthly Detail'!$4:$4, AJ15,'Monthly Detail'!49:49)</f>
        <v>1.179594861660079E-2</v>
      </c>
      <c r="AK25" s="640">
        <f>+SUMIF('Monthly Detail'!$4:$4, AK15,'Monthly Detail'!49:49)</f>
        <v>2.1519886363636366E-2</v>
      </c>
      <c r="AL25" s="640">
        <v>2.3283102766798416E-2</v>
      </c>
      <c r="AM25" s="640">
        <v>1.9921874999999999E-2</v>
      </c>
      <c r="AN25" s="640">
        <v>2.5710227272727273E-2</v>
      </c>
      <c r="AO25" s="640">
        <v>3.3156399521531099E-2</v>
      </c>
      <c r="AP25" s="296">
        <v>2.3975317028985508E-2</v>
      </c>
      <c r="AQ25" s="296">
        <f>+SUMIF('Monthly Detail'!$4:$4, $B$14,'Monthly Detail'!49:49)</f>
        <v>2.4983776768332255E-2</v>
      </c>
      <c r="AR25" s="641">
        <v>1.3060515873015871E-2</v>
      </c>
      <c r="AS25" s="642">
        <v>1.3980263157894737E-2</v>
      </c>
      <c r="AT25" s="642">
        <v>1.0733695652173914E-2</v>
      </c>
      <c r="AU25" s="640">
        <v>1.6294642857142858E-2</v>
      </c>
      <c r="AV25" s="640">
        <v>2.6041666666666668E-2</v>
      </c>
      <c r="AW25" s="698">
        <v>1.9649621212121212E-2</v>
      </c>
      <c r="AX25" s="642">
        <v>2.8794642857142859E-2</v>
      </c>
      <c r="AY25" s="642">
        <v>2.6134910485933503E-2</v>
      </c>
      <c r="AZ25" s="642">
        <v>2.7532327586206898E-2</v>
      </c>
      <c r="BA25" s="642">
        <v>1.66015625E-2</v>
      </c>
      <c r="BB25" s="642">
        <v>1.66015625E-2</v>
      </c>
      <c r="BC25" s="642">
        <v>1.1253462603878116E-2</v>
      </c>
      <c r="BD25" s="642">
        <v>2.9563492063492063E-2</v>
      </c>
      <c r="BE25" s="642">
        <v>2.9563492063492063E-2</v>
      </c>
      <c r="BF25" s="642">
        <v>1.7931547619047618E-2</v>
      </c>
      <c r="BG25" s="642">
        <v>2.3312165775401069E-2</v>
      </c>
      <c r="BH25" s="642">
        <v>2.4320652173913042E-2</v>
      </c>
      <c r="BI25" s="642">
        <v>1.5494791666666667E-2</v>
      </c>
      <c r="BJ25" s="231">
        <v>2.5710227272727273E-2</v>
      </c>
      <c r="BK25" s="231">
        <v>3.3156399521531099E-2</v>
      </c>
      <c r="BL25" s="231">
        <v>2.0301870748299318E-2</v>
      </c>
      <c r="BM25" s="231">
        <v>2.3975317028985508E-2</v>
      </c>
      <c r="BN25" s="231">
        <v>1.775568181818182E-2</v>
      </c>
      <c r="BO25" s="231">
        <v>1.1945983379501385E-2</v>
      </c>
      <c r="BP25" s="474">
        <f t="shared" si="1"/>
        <v>1.0084597393467468E-3</v>
      </c>
      <c r="BQ25" s="474">
        <f t="shared" si="2"/>
        <v>1.0084597393467468E-3</v>
      </c>
    </row>
    <row r="26" spans="2:69" x14ac:dyDescent="0.25">
      <c r="B26" s="766" t="s">
        <v>9</v>
      </c>
      <c r="C26" s="767"/>
      <c r="D26" s="208"/>
      <c r="E26" s="643"/>
      <c r="F26" s="643"/>
      <c r="G26" s="643"/>
      <c r="H26" s="643"/>
      <c r="I26" s="643"/>
      <c r="J26" s="643"/>
      <c r="K26" s="644"/>
      <c r="L26" s="643"/>
      <c r="M26" s="643"/>
      <c r="N26" s="643"/>
      <c r="O26" s="645"/>
      <c r="P26" s="645"/>
      <c r="Q26" s="646"/>
      <c r="R26" s="646"/>
      <c r="S26" s="647"/>
      <c r="T26" s="647"/>
      <c r="U26" s="645"/>
      <c r="V26" s="645"/>
      <c r="W26" s="645"/>
      <c r="X26" s="645"/>
      <c r="Y26" s="645"/>
      <c r="Z26" s="645"/>
      <c r="AA26" s="645"/>
      <c r="AB26" s="645"/>
      <c r="AC26" s="645"/>
      <c r="AD26" s="645"/>
      <c r="AE26" s="645"/>
      <c r="AF26" s="645"/>
      <c r="AG26" s="645"/>
      <c r="AH26" s="645"/>
      <c r="AI26" s="645"/>
      <c r="AJ26" s="645"/>
      <c r="AK26" s="645"/>
      <c r="AL26" s="645"/>
      <c r="AM26" s="645"/>
      <c r="AN26" s="645"/>
      <c r="AO26" s="645"/>
      <c r="AP26" s="420"/>
      <c r="AQ26" s="420"/>
      <c r="AR26" s="646"/>
      <c r="AS26" s="647"/>
      <c r="AT26" s="647"/>
      <c r="AU26" s="645"/>
      <c r="AV26" s="645"/>
      <c r="AW26" s="699"/>
      <c r="AX26" s="647"/>
      <c r="AY26" s="647"/>
      <c r="AZ26" s="647"/>
      <c r="BA26" s="647"/>
      <c r="BB26" s="647"/>
      <c r="BC26" s="647"/>
      <c r="BD26" s="647"/>
      <c r="BE26" s="647"/>
      <c r="BF26" s="647"/>
      <c r="BG26" s="647"/>
      <c r="BH26" s="647"/>
      <c r="BI26" s="647"/>
      <c r="BJ26" s="421"/>
      <c r="BK26" s="421"/>
      <c r="BL26" s="421"/>
      <c r="BM26" s="421"/>
      <c r="BN26" s="421"/>
      <c r="BO26" s="421"/>
      <c r="BP26" s="475">
        <f t="shared" si="1"/>
        <v>0</v>
      </c>
      <c r="BQ26" s="475">
        <f t="shared" si="2"/>
        <v>0</v>
      </c>
    </row>
    <row r="27" spans="2:69" x14ac:dyDescent="0.25">
      <c r="B27" s="751" t="s">
        <v>324</v>
      </c>
      <c r="C27" s="752"/>
      <c r="E27" s="607"/>
      <c r="F27" s="607"/>
      <c r="G27" s="607"/>
      <c r="H27" s="607"/>
      <c r="I27" s="607"/>
      <c r="J27" s="607"/>
      <c r="K27" s="648"/>
      <c r="L27" s="649"/>
      <c r="M27" s="649"/>
      <c r="N27" s="649">
        <v>0</v>
      </c>
      <c r="O27" s="650">
        <v>0</v>
      </c>
      <c r="P27" s="650">
        <v>650</v>
      </c>
      <c r="Q27" s="651">
        <v>1612.6240274599538</v>
      </c>
      <c r="R27" s="651">
        <v>3394.8663352272733</v>
      </c>
      <c r="S27" s="652">
        <v>1928.1833333333343</v>
      </c>
      <c r="T27" s="652">
        <v>0</v>
      </c>
      <c r="U27" s="650">
        <v>0</v>
      </c>
      <c r="V27" s="650">
        <v>0</v>
      </c>
      <c r="W27" s="650">
        <v>0</v>
      </c>
      <c r="X27" s="650">
        <v>450</v>
      </c>
      <c r="Y27" s="650">
        <v>450</v>
      </c>
      <c r="Z27" s="650">
        <v>450</v>
      </c>
      <c r="AA27" s="650">
        <v>981.65745856353647</v>
      </c>
      <c r="AB27" s="650">
        <v>4023.9944466321072</v>
      </c>
      <c r="AC27" s="650">
        <v>450</v>
      </c>
      <c r="AD27" s="650"/>
      <c r="AE27" s="650"/>
      <c r="AF27" s="650"/>
      <c r="AG27" s="650"/>
      <c r="AH27" s="650"/>
      <c r="AI27" s="650"/>
      <c r="AJ27" s="650"/>
      <c r="AK27" s="650"/>
      <c r="AL27" s="650">
        <v>0</v>
      </c>
      <c r="AM27" s="650">
        <v>0</v>
      </c>
      <c r="AN27" s="650">
        <v>610</v>
      </c>
      <c r="AO27" s="650">
        <v>900</v>
      </c>
      <c r="AP27" s="422">
        <v>1081.7708333333335</v>
      </c>
      <c r="AQ27" s="422">
        <f>+SUMIF('Monthly Detail'!$4:$4, $B$14,'Monthly Detail'!63:63)</f>
        <v>6255</v>
      </c>
      <c r="AR27" s="651"/>
      <c r="AS27" s="652"/>
      <c r="AT27" s="652"/>
      <c r="AU27" s="650"/>
      <c r="AV27" s="650">
        <v>0</v>
      </c>
      <c r="AW27" s="700">
        <v>0</v>
      </c>
      <c r="AX27" s="652">
        <v>0</v>
      </c>
      <c r="AY27" s="652">
        <v>0</v>
      </c>
      <c r="AZ27" s="652">
        <v>1035.7413793103456</v>
      </c>
      <c r="BA27" s="652">
        <v>0</v>
      </c>
      <c r="BB27" s="652"/>
      <c r="BC27" s="652">
        <v>0</v>
      </c>
      <c r="BD27" s="652">
        <v>919.60690316394994</v>
      </c>
      <c r="BE27" s="652">
        <v>2106.1904761904761</v>
      </c>
      <c r="BF27" s="652">
        <v>600</v>
      </c>
      <c r="BG27" s="652">
        <v>1173.2352941176462</v>
      </c>
      <c r="BH27" s="652">
        <v>2952.0760869565211</v>
      </c>
      <c r="BI27" s="652">
        <v>600</v>
      </c>
      <c r="BJ27" s="423">
        <v>1648.9999999999989</v>
      </c>
      <c r="BK27" s="423">
        <v>3994.4258373205716</v>
      </c>
      <c r="BL27" s="423">
        <v>821.63265306122423</v>
      </c>
      <c r="BM27" s="423">
        <v>1007.8124999999998</v>
      </c>
      <c r="BN27" s="423">
        <v>82.141148325358841</v>
      </c>
      <c r="BO27" s="423">
        <v>0</v>
      </c>
      <c r="BP27" s="400">
        <f>+AQ27-AP27</f>
        <v>5173.2291666666661</v>
      </c>
      <c r="BQ27" s="400">
        <f t="shared" si="2"/>
        <v>5247.1875</v>
      </c>
    </row>
    <row r="28" spans="2:69" x14ac:dyDescent="0.25">
      <c r="B28" s="753" t="s">
        <v>326</v>
      </c>
      <c r="C28" s="754"/>
      <c r="D28" s="5"/>
      <c r="E28" s="653">
        <f>+E2-E27</f>
        <v>0</v>
      </c>
      <c r="F28" s="653">
        <f>+F2-F27</f>
        <v>0</v>
      </c>
      <c r="G28" s="653">
        <v>5166.6266666666661</v>
      </c>
      <c r="H28" s="653">
        <v>3957.7216666666668</v>
      </c>
      <c r="I28" s="653">
        <v>7569.7233333333343</v>
      </c>
      <c r="J28" s="653">
        <v>2255.7184999999999</v>
      </c>
      <c r="K28" s="654">
        <v>1022.1880263157896</v>
      </c>
      <c r="L28" s="653">
        <v>1435.4298913043481</v>
      </c>
      <c r="M28" s="653">
        <v>3942.5624846915707</v>
      </c>
      <c r="N28" s="653">
        <v>4387.4070731396541</v>
      </c>
      <c r="O28" s="653">
        <v>3311.2272398005284</v>
      </c>
      <c r="P28" s="653">
        <f t="shared" ref="P28" si="3">+P16-P27</f>
        <v>5420.8647844785883</v>
      </c>
      <c r="Q28" s="655">
        <v>7458.0192655261426</v>
      </c>
      <c r="R28" s="655">
        <v>8122.685391492324</v>
      </c>
      <c r="S28" s="656">
        <v>6442.7091158418625</v>
      </c>
      <c r="T28" s="656">
        <v>4937.9285717570046</v>
      </c>
      <c r="U28" s="653">
        <v>4937.9285717570046</v>
      </c>
      <c r="V28" s="653">
        <v>4937.9285717570046</v>
      </c>
      <c r="W28" s="653">
        <v>4937.9285717570046</v>
      </c>
      <c r="X28" s="653">
        <v>6179.6135261244181</v>
      </c>
      <c r="Y28" s="653">
        <v>6179.6135261244181</v>
      </c>
      <c r="Z28" s="653">
        <v>6179.6135261244181</v>
      </c>
      <c r="AA28" s="653">
        <v>9595.4945921019007</v>
      </c>
      <c r="AB28" s="653">
        <v>13204.134475012113</v>
      </c>
      <c r="AC28" s="653">
        <v>16642.78954071294</v>
      </c>
      <c r="AD28" s="653">
        <f t="shared" ref="AD28:AK28" si="4">+AD2-AD27</f>
        <v>0</v>
      </c>
      <c r="AE28" s="653">
        <f t="shared" si="4"/>
        <v>0</v>
      </c>
      <c r="AF28" s="653">
        <f t="shared" si="4"/>
        <v>0</v>
      </c>
      <c r="AG28" s="653">
        <f t="shared" si="4"/>
        <v>0</v>
      </c>
      <c r="AH28" s="653">
        <f t="shared" si="4"/>
        <v>0</v>
      </c>
      <c r="AI28" s="653">
        <f t="shared" si="4"/>
        <v>0</v>
      </c>
      <c r="AJ28" s="653">
        <f t="shared" si="4"/>
        <v>0</v>
      </c>
      <c r="AK28" s="653">
        <f t="shared" si="4"/>
        <v>0</v>
      </c>
      <c r="AL28" s="653">
        <v>5015.13</v>
      </c>
      <c r="AM28" s="653">
        <v>4308.26</v>
      </c>
      <c r="AN28" s="653">
        <v>8450.8900000000012</v>
      </c>
      <c r="AO28" s="653">
        <v>13211.26</v>
      </c>
      <c r="AP28" s="298">
        <v>22769.499069031986</v>
      </c>
      <c r="AQ28" s="298">
        <f t="shared" ref="AQ28" si="5">+AQ16-AQ27</f>
        <v>33108.130000000005</v>
      </c>
      <c r="AR28" s="655">
        <f>+AR2-AR27</f>
        <v>0</v>
      </c>
      <c r="AS28" s="656">
        <f>+AS2-AS27</f>
        <v>0</v>
      </c>
      <c r="AT28" s="656">
        <f>+AT2-AT27</f>
        <v>0</v>
      </c>
      <c r="AU28" s="653">
        <f>+AU2-AU27</f>
        <v>0</v>
      </c>
      <c r="AV28" s="653">
        <f>+AV2-AV27</f>
        <v>0</v>
      </c>
      <c r="AW28" s="701">
        <f>+AW16-AW27</f>
        <v>6730.371212121212</v>
      </c>
      <c r="AX28" s="656">
        <f>+AX16-AX27</f>
        <v>9868.4732142857138</v>
      </c>
      <c r="AY28" s="656">
        <f>+AY16-AY27</f>
        <v>9248.9884910485926</v>
      </c>
      <c r="AZ28" s="656">
        <f>+AZ2-AZ27</f>
        <v>-1035.7413793103456</v>
      </c>
      <c r="BA28" s="656">
        <v>0</v>
      </c>
      <c r="BB28" s="656">
        <f>+BB2-BB27</f>
        <v>0</v>
      </c>
      <c r="BC28" s="656">
        <f>+BC16-BC27</f>
        <v>4112</v>
      </c>
      <c r="BD28" s="656">
        <v>8623.746843997109</v>
      </c>
      <c r="BE28" s="656">
        <v>10608.77331692709</v>
      </c>
      <c r="BF28" s="656">
        <v>6887.4507121535908</v>
      </c>
      <c r="BG28" s="656">
        <v>8676.5613559252361</v>
      </c>
      <c r="BH28" s="656">
        <v>7799.8554755281029</v>
      </c>
      <c r="BI28" s="656">
        <v>5219.9641619529039</v>
      </c>
      <c r="BJ28" s="234">
        <v>9229.587957853948</v>
      </c>
      <c r="BK28" s="234">
        <v>11896.618301750084</v>
      </c>
      <c r="BL28" s="234">
        <v>11322.795188532917</v>
      </c>
      <c r="BM28" s="234">
        <v>14647.473402215979</v>
      </c>
      <c r="BN28" s="234">
        <v>8731.1259985745874</v>
      </c>
      <c r="BO28" s="234">
        <v>6298.8781775238203</v>
      </c>
      <c r="BP28" s="399">
        <f t="shared" si="1"/>
        <v>10338.630930968018</v>
      </c>
      <c r="BQ28" s="399">
        <f t="shared" si="2"/>
        <v>18460.656597784026</v>
      </c>
    </row>
    <row r="29" spans="2:69" x14ac:dyDescent="0.25">
      <c r="B29" s="747" t="s">
        <v>232</v>
      </c>
      <c r="C29" s="748"/>
      <c r="D29" s="276"/>
      <c r="E29" s="657"/>
      <c r="F29" s="657"/>
      <c r="G29" s="657"/>
      <c r="H29" s="657"/>
      <c r="I29" s="657"/>
      <c r="J29" s="657"/>
      <c r="K29" s="658" t="e">
        <f>+K28/K2</f>
        <v>#DIV/0!</v>
      </c>
      <c r="L29" s="659">
        <v>0.59259456203114436</v>
      </c>
      <c r="M29" s="659">
        <v>0.88787970479928569</v>
      </c>
      <c r="N29" s="659">
        <v>0.72582965315378078</v>
      </c>
      <c r="O29" s="659">
        <v>0.82062350132013073</v>
      </c>
      <c r="P29" s="659">
        <f t="shared" ref="P29" si="6">+P28/P16</f>
        <v>0.89293123416916509</v>
      </c>
      <c r="Q29" s="660">
        <v>0.8222150320135595</v>
      </c>
      <c r="R29" s="660">
        <v>0.70524409911252972</v>
      </c>
      <c r="S29" s="661">
        <v>0.7696561812207583</v>
      </c>
      <c r="T29" s="661">
        <v>0.89181727879687589</v>
      </c>
      <c r="U29" s="659">
        <v>0.89181727879687589</v>
      </c>
      <c r="V29" s="659">
        <v>0.89181727879687589</v>
      </c>
      <c r="W29" s="659">
        <v>0.89181727879687589</v>
      </c>
      <c r="X29" s="659">
        <v>0.93212274015268826</v>
      </c>
      <c r="Y29" s="659">
        <v>0.93212274015268826</v>
      </c>
      <c r="Z29" s="659">
        <v>0.93212274015268826</v>
      </c>
      <c r="AA29" s="659">
        <v>0.90719075854622144</v>
      </c>
      <c r="AB29" s="659">
        <v>0.76642881737571389</v>
      </c>
      <c r="AC29" s="657">
        <v>0.97367310941680085</v>
      </c>
      <c r="AD29" s="657"/>
      <c r="AE29" s="657"/>
      <c r="AF29" s="657"/>
      <c r="AG29" s="657"/>
      <c r="AH29" s="657"/>
      <c r="AI29" s="661">
        <v>0.87906392197830707</v>
      </c>
      <c r="AJ29" s="661">
        <v>0.87906392197830707</v>
      </c>
      <c r="AK29" s="661">
        <v>0.87906392197830707</v>
      </c>
      <c r="AL29" s="685">
        <v>0.87906392197830707</v>
      </c>
      <c r="AM29" s="659">
        <v>1</v>
      </c>
      <c r="AN29" s="659">
        <v>0.93267769501671471</v>
      </c>
      <c r="AO29" s="659">
        <v>0.93622114538319046</v>
      </c>
      <c r="AP29" s="431">
        <v>0.95464514729146333</v>
      </c>
      <c r="AQ29" s="431">
        <f t="shared" ref="AQ29" si="7">+AQ28/AQ16</f>
        <v>0.8410949535771165</v>
      </c>
      <c r="AR29" s="660">
        <f>+AR28/AR16</f>
        <v>0</v>
      </c>
      <c r="AS29" s="661">
        <f t="shared" ref="AS29:BC29" si="8">+AS28/AS16</f>
        <v>0</v>
      </c>
      <c r="AT29" s="685">
        <f t="shared" si="8"/>
        <v>0</v>
      </c>
      <c r="AU29" s="659">
        <f t="shared" si="8"/>
        <v>0</v>
      </c>
      <c r="AV29" s="659">
        <f t="shared" si="8"/>
        <v>0</v>
      </c>
      <c r="AW29" s="702">
        <f t="shared" si="8"/>
        <v>1</v>
      </c>
      <c r="AX29" s="661">
        <f t="shared" si="8"/>
        <v>1</v>
      </c>
      <c r="AY29" s="661">
        <f t="shared" si="8"/>
        <v>1</v>
      </c>
      <c r="AZ29" s="661">
        <f t="shared" si="8"/>
        <v>-0.10159609161144882</v>
      </c>
      <c r="BA29" s="661">
        <v>0</v>
      </c>
      <c r="BB29" s="661">
        <f t="shared" si="8"/>
        <v>0</v>
      </c>
      <c r="BC29" s="661">
        <f t="shared" si="8"/>
        <v>1</v>
      </c>
      <c r="BD29" s="661">
        <v>0.90363902171838573</v>
      </c>
      <c r="BE29" s="661">
        <v>0.83435340355978627</v>
      </c>
      <c r="BF29" s="661">
        <v>0.91986591657610739</v>
      </c>
      <c r="BG29" s="661">
        <v>0.88088735881541891</v>
      </c>
      <c r="BH29" s="661">
        <v>0.72543760441548633</v>
      </c>
      <c r="BI29" s="661">
        <v>0.89690658167237436</v>
      </c>
      <c r="BJ29" s="432">
        <v>0.84841782716758929</v>
      </c>
      <c r="BK29" s="432">
        <v>0.74863666588782285</v>
      </c>
      <c r="BL29" s="432">
        <v>0.9323448857551635</v>
      </c>
      <c r="BM29" s="432">
        <v>0.93562477834675983</v>
      </c>
      <c r="BN29" s="432">
        <v>0.99067982997040405</v>
      </c>
      <c r="BO29" s="432">
        <v>1</v>
      </c>
      <c r="BP29" s="433">
        <f t="shared" si="1"/>
        <v>-0.11355019371434683</v>
      </c>
      <c r="BQ29" s="433">
        <f t="shared" si="2"/>
        <v>-9.4529824769643334E-2</v>
      </c>
    </row>
    <row r="30" spans="2:69" x14ac:dyDescent="0.25">
      <c r="B30" s="751" t="s">
        <v>275</v>
      </c>
      <c r="C30" s="752"/>
      <c r="D30" s="305"/>
      <c r="E30" s="662"/>
      <c r="F30" s="662"/>
      <c r="G30" s="662"/>
      <c r="H30" s="662"/>
      <c r="I30" s="662"/>
      <c r="J30" s="662"/>
      <c r="K30" s="649">
        <v>1179.44</v>
      </c>
      <c r="L30" s="649">
        <v>0</v>
      </c>
      <c r="M30" s="649">
        <v>2358.88</v>
      </c>
      <c r="N30" s="649">
        <v>1179.44</v>
      </c>
      <c r="O30" s="650">
        <v>0</v>
      </c>
      <c r="P30" s="650">
        <v>0</v>
      </c>
      <c r="Q30" s="651">
        <v>0</v>
      </c>
      <c r="R30" s="651">
        <v>1400</v>
      </c>
      <c r="S30" s="652">
        <v>0</v>
      </c>
      <c r="T30" s="652">
        <v>0</v>
      </c>
      <c r="U30" s="650"/>
      <c r="V30" s="650"/>
      <c r="W30" s="650"/>
      <c r="X30" s="650">
        <v>0</v>
      </c>
      <c r="Y30" s="650">
        <v>0</v>
      </c>
      <c r="Z30" s="650">
        <v>0</v>
      </c>
      <c r="AA30" s="650">
        <v>0</v>
      </c>
      <c r="AB30" s="650">
        <v>0</v>
      </c>
      <c r="AC30" s="686">
        <v>0</v>
      </c>
      <c r="AD30" s="686"/>
      <c r="AE30" s="686"/>
      <c r="AF30" s="686"/>
      <c r="AG30" s="686"/>
      <c r="AH30" s="686"/>
      <c r="AI30" s="650">
        <f>+SUMIF('Monthly Detail'!$4:$4, AI15,'Monthly Detail'!69:69)</f>
        <v>0</v>
      </c>
      <c r="AJ30" s="650">
        <f>+SUMIF('Monthly Detail'!$4:$4, AJ15,'Monthly Detail'!69:69)</f>
        <v>0</v>
      </c>
      <c r="AK30" s="650">
        <f>+SUMIF('Monthly Detail'!$4:$4, AK15,'Monthly Detail'!69:69)</f>
        <v>0</v>
      </c>
      <c r="AL30" s="650">
        <v>0</v>
      </c>
      <c r="AM30" s="650">
        <v>665.56</v>
      </c>
      <c r="AN30" s="650">
        <v>0</v>
      </c>
      <c r="AO30" s="650">
        <v>0</v>
      </c>
      <c r="AP30" s="422">
        <v>0</v>
      </c>
      <c r="AQ30" s="422">
        <f>+SUMIF('Monthly Detail'!$4:$4, $B$14,'Monthly Detail'!69:69)</f>
        <v>0</v>
      </c>
      <c r="AR30" s="703"/>
      <c r="AS30" s="652">
        <v>0</v>
      </c>
      <c r="AT30" s="704"/>
      <c r="AU30" s="686"/>
      <c r="AV30" s="686"/>
      <c r="AW30" s="705">
        <v>0</v>
      </c>
      <c r="AX30" s="704">
        <v>0</v>
      </c>
      <c r="AY30" s="704">
        <v>0</v>
      </c>
      <c r="AZ30" s="704"/>
      <c r="BA30" s="652">
        <v>0</v>
      </c>
      <c r="BB30" s="704"/>
      <c r="BC30" s="704">
        <v>0</v>
      </c>
      <c r="BD30" s="652">
        <v>0</v>
      </c>
      <c r="BE30" s="652">
        <v>0</v>
      </c>
      <c r="BF30" s="652">
        <v>0</v>
      </c>
      <c r="BG30" s="652">
        <v>0</v>
      </c>
      <c r="BH30" s="652">
        <v>0</v>
      </c>
      <c r="BI30" s="652">
        <v>0</v>
      </c>
      <c r="BJ30" s="423">
        <v>0</v>
      </c>
      <c r="BK30" s="423">
        <v>0</v>
      </c>
      <c r="BL30" s="423">
        <v>0</v>
      </c>
      <c r="BM30" s="423">
        <v>0</v>
      </c>
      <c r="BN30" s="423">
        <v>0</v>
      </c>
      <c r="BO30" s="423">
        <v>0</v>
      </c>
      <c r="BP30" s="400">
        <f t="shared" si="1"/>
        <v>0</v>
      </c>
      <c r="BQ30" s="400">
        <f t="shared" si="2"/>
        <v>0</v>
      </c>
    </row>
    <row r="31" spans="2:69" x14ac:dyDescent="0.25">
      <c r="B31" s="751" t="s">
        <v>377</v>
      </c>
      <c r="C31" s="752"/>
      <c r="D31" s="305"/>
      <c r="E31" s="662"/>
      <c r="F31" s="662"/>
      <c r="G31" s="662"/>
      <c r="H31" s="662"/>
      <c r="I31" s="662"/>
      <c r="J31" s="662"/>
      <c r="K31" s="649"/>
      <c r="L31" s="649"/>
      <c r="M31" s="649"/>
      <c r="N31" s="649"/>
      <c r="O31" s="650"/>
      <c r="P31" s="650"/>
      <c r="Q31" s="651"/>
      <c r="R31" s="651"/>
      <c r="S31" s="652"/>
      <c r="T31" s="652"/>
      <c r="U31" s="650"/>
      <c r="V31" s="650"/>
      <c r="W31" s="650"/>
      <c r="X31" s="650">
        <v>2172.5374999999999</v>
      </c>
      <c r="Y31" s="650">
        <v>2172.5374999999999</v>
      </c>
      <c r="Z31" s="650">
        <v>2172.5374999999999</v>
      </c>
      <c r="AA31" s="650">
        <v>3660.1</v>
      </c>
      <c r="AB31" s="650">
        <v>3660.1</v>
      </c>
      <c r="AC31" s="686">
        <v>5274.85</v>
      </c>
      <c r="AD31" s="686"/>
      <c r="AE31" s="686"/>
      <c r="AF31" s="686"/>
      <c r="AG31" s="686"/>
      <c r="AH31" s="686"/>
      <c r="AI31" s="650"/>
      <c r="AJ31" s="650"/>
      <c r="AK31" s="650"/>
      <c r="AL31" s="650"/>
      <c r="AM31" s="650"/>
      <c r="AN31" s="650"/>
      <c r="AO31" s="650"/>
      <c r="AP31" s="422">
        <v>12810.35</v>
      </c>
      <c r="AQ31" s="422">
        <f>+SUMIF('Monthly Detail'!$4:$4, $B$14,'Monthly Detail'!78:78)</f>
        <v>15447.77</v>
      </c>
      <c r="AR31" s="703"/>
      <c r="AS31" s="652"/>
      <c r="AT31" s="704"/>
      <c r="AU31" s="686"/>
      <c r="AV31" s="686"/>
      <c r="AW31" s="705"/>
      <c r="AX31" s="704"/>
      <c r="AY31" s="704"/>
      <c r="AZ31" s="704"/>
      <c r="BA31" s="652"/>
      <c r="BB31" s="704"/>
      <c r="BC31" s="704"/>
      <c r="BD31" s="652">
        <v>2367.8874999999998</v>
      </c>
      <c r="BE31" s="652">
        <v>2172.5374999999999</v>
      </c>
      <c r="BF31" s="652">
        <v>2172.5374999999999</v>
      </c>
      <c r="BG31" s="652">
        <v>2172.5374999999999</v>
      </c>
      <c r="BH31" s="652">
        <v>2172.5374999999999</v>
      </c>
      <c r="BI31" s="652">
        <v>2172.5374999999999</v>
      </c>
      <c r="BJ31" s="423">
        <v>2172.5374999999999</v>
      </c>
      <c r="BK31" s="423">
        <v>2172.5374999999999</v>
      </c>
      <c r="BL31" s="423">
        <v>2172.5374999999999</v>
      </c>
      <c r="BM31" s="423">
        <v>2172.5374999999999</v>
      </c>
      <c r="BN31" s="423">
        <v>2172.5374999999999</v>
      </c>
      <c r="BO31" s="423">
        <v>2172.5374999999999</v>
      </c>
      <c r="BP31" s="400">
        <f t="shared" si="1"/>
        <v>2637.42</v>
      </c>
      <c r="BQ31" s="400">
        <f t="shared" si="2"/>
        <v>13275.2325</v>
      </c>
    </row>
    <row r="32" spans="2:69" x14ac:dyDescent="0.25">
      <c r="B32" s="751" t="s">
        <v>328</v>
      </c>
      <c r="C32" s="752"/>
      <c r="D32" s="305"/>
      <c r="E32" s="662"/>
      <c r="F32" s="662"/>
      <c r="G32" s="662"/>
      <c r="H32" s="662"/>
      <c r="I32" s="662"/>
      <c r="J32" s="662"/>
      <c r="K32" s="649"/>
      <c r="L32" s="649"/>
      <c r="M32" s="649"/>
      <c r="N32" s="649"/>
      <c r="O32" s="650"/>
      <c r="P32" s="650">
        <v>0</v>
      </c>
      <c r="Q32" s="651">
        <v>75</v>
      </c>
      <c r="R32" s="651">
        <v>75</v>
      </c>
      <c r="S32" s="652">
        <v>75</v>
      </c>
      <c r="T32" s="652">
        <v>75</v>
      </c>
      <c r="U32" s="650">
        <v>75</v>
      </c>
      <c r="V32" s="650">
        <v>75</v>
      </c>
      <c r="W32" s="650">
        <v>75</v>
      </c>
      <c r="X32" s="650">
        <v>75</v>
      </c>
      <c r="Y32" s="650">
        <v>75</v>
      </c>
      <c r="Z32" s="650">
        <v>75</v>
      </c>
      <c r="AA32" s="650">
        <v>75</v>
      </c>
      <c r="AB32" s="650">
        <v>75</v>
      </c>
      <c r="AC32" s="686">
        <v>75</v>
      </c>
      <c r="AD32" s="686"/>
      <c r="AE32" s="686"/>
      <c r="AF32" s="686"/>
      <c r="AG32" s="686"/>
      <c r="AH32" s="686"/>
      <c r="AI32" s="650"/>
      <c r="AJ32" s="650"/>
      <c r="AK32" s="650"/>
      <c r="AL32" s="650"/>
      <c r="AM32" s="650"/>
      <c r="AN32" s="650">
        <v>17.54</v>
      </c>
      <c r="AO32" s="650">
        <v>15.71</v>
      </c>
      <c r="AP32" s="422">
        <v>75</v>
      </c>
      <c r="AQ32" s="422">
        <f>+SUMIF('Monthly Detail'!$4:$4, $B$14,'Monthly Detail'!82:82)</f>
        <v>222.44</v>
      </c>
      <c r="AR32" s="703"/>
      <c r="AS32" s="652"/>
      <c r="AT32" s="704"/>
      <c r="AU32" s="686"/>
      <c r="AV32" s="686"/>
      <c r="AW32" s="705"/>
      <c r="AX32" s="704">
        <v>0</v>
      </c>
      <c r="AY32" s="704">
        <v>0</v>
      </c>
      <c r="AZ32" s="704"/>
      <c r="BA32" s="652">
        <v>0</v>
      </c>
      <c r="BB32" s="704"/>
      <c r="BC32" s="704">
        <v>0</v>
      </c>
      <c r="BD32" s="652">
        <v>75</v>
      </c>
      <c r="BE32" s="652">
        <v>75</v>
      </c>
      <c r="BF32" s="652">
        <v>75</v>
      </c>
      <c r="BG32" s="652">
        <v>75</v>
      </c>
      <c r="BH32" s="652">
        <v>75</v>
      </c>
      <c r="BI32" s="652">
        <v>75</v>
      </c>
      <c r="BJ32" s="423">
        <v>75</v>
      </c>
      <c r="BK32" s="423">
        <v>75</v>
      </c>
      <c r="BL32" s="423">
        <v>75</v>
      </c>
      <c r="BM32" s="423">
        <v>75</v>
      </c>
      <c r="BN32" s="423">
        <v>75</v>
      </c>
      <c r="BO32" s="423">
        <v>75</v>
      </c>
      <c r="BP32" s="400">
        <f t="shared" si="1"/>
        <v>147.44</v>
      </c>
      <c r="BQ32" s="400">
        <f t="shared" si="2"/>
        <v>147.44</v>
      </c>
    </row>
    <row r="33" spans="2:69" x14ac:dyDescent="0.25">
      <c r="B33" s="751" t="s">
        <v>259</v>
      </c>
      <c r="C33" s="752"/>
      <c r="E33" s="607">
        <v>12</v>
      </c>
      <c r="F33" s="607">
        <v>12</v>
      </c>
      <c r="G33" s="607">
        <v>12</v>
      </c>
      <c r="H33" s="607">
        <v>12</v>
      </c>
      <c r="I33" s="607">
        <v>12</v>
      </c>
      <c r="J33" s="607">
        <v>12</v>
      </c>
      <c r="K33" s="648">
        <v>12</v>
      </c>
      <c r="L33" s="649">
        <v>12</v>
      </c>
      <c r="M33" s="649">
        <v>12</v>
      </c>
      <c r="N33" s="649">
        <v>12</v>
      </c>
      <c r="O33" s="650">
        <v>114.89833333333335</v>
      </c>
      <c r="P33" s="650">
        <v>1300.7666666666667</v>
      </c>
      <c r="Q33" s="651">
        <v>111.76666666666667</v>
      </c>
      <c r="R33" s="651">
        <v>304.78666666666669</v>
      </c>
      <c r="S33" s="652">
        <v>303.21333333333337</v>
      </c>
      <c r="T33" s="652">
        <v>316.34833333333336</v>
      </c>
      <c r="U33" s="650">
        <v>316.34833333333336</v>
      </c>
      <c r="V33" s="650">
        <v>316.34833333333336</v>
      </c>
      <c r="W33" s="650">
        <v>316.34833333333336</v>
      </c>
      <c r="X33" s="650">
        <v>150</v>
      </c>
      <c r="Y33" s="650">
        <v>150</v>
      </c>
      <c r="Z33" s="650">
        <v>150</v>
      </c>
      <c r="AA33" s="650">
        <v>150</v>
      </c>
      <c r="AB33" s="650">
        <v>150</v>
      </c>
      <c r="AC33" s="650">
        <v>150</v>
      </c>
      <c r="AD33" s="650">
        <f>+SUMIF('Monthly Detail'!$4:$4, AD15,'Monthly Detail'!83:83)</f>
        <v>709.4</v>
      </c>
      <c r="AE33" s="650">
        <f>+SUMIF('Monthly Detail'!$4:$4, AE15,'Monthly Detail'!83:83)</f>
        <v>150</v>
      </c>
      <c r="AF33" s="650">
        <f>+SUMIF('Monthly Detail'!$4:$4, AF15,'Monthly Detail'!83:83)</f>
        <v>150</v>
      </c>
      <c r="AG33" s="650">
        <f>+SUMIF('Monthly Detail'!$4:$4, AG15,'Monthly Detail'!83:83)</f>
        <v>479.65599999999995</v>
      </c>
      <c r="AH33" s="650">
        <f>+SUMIF('Monthly Detail'!$4:$4, AH15,'Monthly Detail'!83:83)</f>
        <v>479.65599999999995</v>
      </c>
      <c r="AI33" s="650">
        <f>+SUMIF('Monthly Detail'!$4:$4, AI15,'Monthly Detail'!83:83)</f>
        <v>479.65599999999995</v>
      </c>
      <c r="AJ33" s="650">
        <f>+SUMIF('Monthly Detail'!$4:$4, AJ15,'Monthly Detail'!83:83)</f>
        <v>479.65599999999995</v>
      </c>
      <c r="AK33" s="650">
        <f>+SUMIF('Monthly Detail'!$4:$4, AK15,'Monthly Detail'!83:83)</f>
        <v>479.65599999999995</v>
      </c>
      <c r="AL33" s="650">
        <v>154.47</v>
      </c>
      <c r="AM33" s="650">
        <v>310.12</v>
      </c>
      <c r="AN33" s="650">
        <v>1251.1300000000001</v>
      </c>
      <c r="AO33" s="650">
        <v>14.81</v>
      </c>
      <c r="AP33" s="422">
        <v>150</v>
      </c>
      <c r="AQ33" s="422">
        <f>+SUMIF('Monthly Detail'!$4:$4, $B$14,'Monthly Detail'!83:83)</f>
        <v>709.4</v>
      </c>
      <c r="AR33" s="651">
        <v>12</v>
      </c>
      <c r="AS33" s="652">
        <v>12</v>
      </c>
      <c r="AT33" s="652">
        <v>12</v>
      </c>
      <c r="AU33" s="650">
        <v>12</v>
      </c>
      <c r="AV33" s="650">
        <v>12</v>
      </c>
      <c r="AW33" s="700">
        <v>12</v>
      </c>
      <c r="AX33" s="652">
        <v>12</v>
      </c>
      <c r="AY33" s="652">
        <v>12</v>
      </c>
      <c r="AZ33" s="652">
        <v>12</v>
      </c>
      <c r="BA33" s="652">
        <v>12</v>
      </c>
      <c r="BB33" s="652">
        <v>12</v>
      </c>
      <c r="BC33" s="652">
        <v>12</v>
      </c>
      <c r="BD33" s="652">
        <v>150</v>
      </c>
      <c r="BE33" s="652">
        <v>150</v>
      </c>
      <c r="BF33" s="652">
        <v>150</v>
      </c>
      <c r="BG33" s="652">
        <v>150</v>
      </c>
      <c r="BH33" s="652">
        <v>150</v>
      </c>
      <c r="BI33" s="652">
        <v>150</v>
      </c>
      <c r="BJ33" s="423">
        <v>150</v>
      </c>
      <c r="BK33" s="423">
        <v>150</v>
      </c>
      <c r="BL33" s="423">
        <v>150</v>
      </c>
      <c r="BM33" s="423">
        <v>150</v>
      </c>
      <c r="BN33" s="423">
        <v>150</v>
      </c>
      <c r="BO33" s="423">
        <v>150</v>
      </c>
      <c r="BP33" s="400">
        <f t="shared" si="1"/>
        <v>559.4</v>
      </c>
      <c r="BQ33" s="400">
        <f t="shared" si="2"/>
        <v>559.4</v>
      </c>
    </row>
    <row r="34" spans="2:69" x14ac:dyDescent="0.25">
      <c r="B34" s="751" t="s">
        <v>260</v>
      </c>
      <c r="C34" s="752"/>
      <c r="E34" s="607">
        <v>100</v>
      </c>
      <c r="F34" s="607">
        <v>100</v>
      </c>
      <c r="G34" s="607">
        <v>100</v>
      </c>
      <c r="H34" s="607">
        <v>100</v>
      </c>
      <c r="I34" s="607">
        <v>100</v>
      </c>
      <c r="J34" s="607">
        <v>100</v>
      </c>
      <c r="K34" s="648">
        <v>100</v>
      </c>
      <c r="L34" s="649">
        <v>100</v>
      </c>
      <c r="M34" s="649">
        <v>100</v>
      </c>
      <c r="N34" s="649">
        <v>100</v>
      </c>
      <c r="O34" s="650">
        <v>100</v>
      </c>
      <c r="P34" s="650">
        <v>100</v>
      </c>
      <c r="Q34" s="651">
        <v>100</v>
      </c>
      <c r="R34" s="651">
        <v>100</v>
      </c>
      <c r="S34" s="652">
        <v>100</v>
      </c>
      <c r="T34" s="652">
        <v>100</v>
      </c>
      <c r="U34" s="650">
        <v>100</v>
      </c>
      <c r="V34" s="650">
        <v>100</v>
      </c>
      <c r="W34" s="650">
        <v>100</v>
      </c>
      <c r="X34" s="650">
        <v>100</v>
      </c>
      <c r="Y34" s="650">
        <v>100</v>
      </c>
      <c r="Z34" s="650">
        <v>100</v>
      </c>
      <c r="AA34" s="650">
        <v>100</v>
      </c>
      <c r="AB34" s="650">
        <v>100</v>
      </c>
      <c r="AC34" s="650">
        <v>100</v>
      </c>
      <c r="AD34" s="650">
        <f>+SUMIF('Monthly Detail'!$4:$4, AD15,'Monthly Detail'!84:84)</f>
        <v>150.38999999999999</v>
      </c>
      <c r="AE34" s="650">
        <f>+SUMIF('Monthly Detail'!$4:$4, AE15,'Monthly Detail'!84:84)</f>
        <v>100</v>
      </c>
      <c r="AF34" s="650">
        <f>+SUMIF('Monthly Detail'!$4:$4, AF15,'Monthly Detail'!84:84)</f>
        <v>100</v>
      </c>
      <c r="AG34" s="650">
        <f>+SUMIF('Monthly Detail'!$4:$4, AG15,'Monthly Detail'!84:84)</f>
        <v>100</v>
      </c>
      <c r="AH34" s="650">
        <f>+SUMIF('Monthly Detail'!$4:$4, AH15,'Monthly Detail'!84:84)</f>
        <v>100</v>
      </c>
      <c r="AI34" s="650">
        <f>+SUMIF('Monthly Detail'!$4:$4, AI15,'Monthly Detail'!84:84)</f>
        <v>100</v>
      </c>
      <c r="AJ34" s="650">
        <f>+SUMIF('Monthly Detail'!$4:$4, AJ15,'Monthly Detail'!84:84)</f>
        <v>100</v>
      </c>
      <c r="AK34" s="650">
        <f>+SUMIF('Monthly Detail'!$4:$4, AK15,'Monthly Detail'!84:84)</f>
        <v>100</v>
      </c>
      <c r="AL34" s="650">
        <v>141.19</v>
      </c>
      <c r="AM34" s="650">
        <v>0</v>
      </c>
      <c r="AN34" s="650">
        <v>0</v>
      </c>
      <c r="AO34" s="650">
        <v>0</v>
      </c>
      <c r="AP34" s="422">
        <v>100</v>
      </c>
      <c r="AQ34" s="422">
        <f>+SUMIF('Monthly Detail'!$4:$4, $B$14,'Monthly Detail'!84:84)</f>
        <v>150.38999999999999</v>
      </c>
      <c r="AR34" s="651">
        <v>100</v>
      </c>
      <c r="AS34" s="652">
        <v>100</v>
      </c>
      <c r="AT34" s="652">
        <v>100</v>
      </c>
      <c r="AU34" s="650">
        <v>100</v>
      </c>
      <c r="AV34" s="650">
        <v>100</v>
      </c>
      <c r="AW34" s="700">
        <v>100</v>
      </c>
      <c r="AX34" s="652">
        <v>100</v>
      </c>
      <c r="AY34" s="652">
        <v>100</v>
      </c>
      <c r="AZ34" s="652">
        <v>100</v>
      </c>
      <c r="BA34" s="652">
        <v>100</v>
      </c>
      <c r="BB34" s="652">
        <v>100</v>
      </c>
      <c r="BC34" s="652">
        <v>100</v>
      </c>
      <c r="BD34" s="652">
        <v>100</v>
      </c>
      <c r="BE34" s="652">
        <v>0</v>
      </c>
      <c r="BF34" s="652">
        <v>0</v>
      </c>
      <c r="BG34" s="652">
        <v>50</v>
      </c>
      <c r="BH34" s="652">
        <v>0</v>
      </c>
      <c r="BI34" s="652">
        <v>0</v>
      </c>
      <c r="BJ34" s="423">
        <v>50</v>
      </c>
      <c r="BK34" s="423">
        <v>0</v>
      </c>
      <c r="BL34" s="423">
        <v>0</v>
      </c>
      <c r="BM34" s="423">
        <v>50</v>
      </c>
      <c r="BN34" s="423">
        <v>50</v>
      </c>
      <c r="BO34" s="423">
        <v>50</v>
      </c>
      <c r="BP34" s="400">
        <f t="shared" si="1"/>
        <v>50.389999999999986</v>
      </c>
      <c r="BQ34" s="400">
        <f t="shared" si="2"/>
        <v>100.38999999999999</v>
      </c>
    </row>
    <row r="35" spans="2:69" x14ac:dyDescent="0.25">
      <c r="B35" s="751" t="s">
        <v>261</v>
      </c>
      <c r="C35" s="752"/>
      <c r="E35" s="607">
        <v>0</v>
      </c>
      <c r="F35" s="607">
        <v>0</v>
      </c>
      <c r="G35" s="607">
        <v>0</v>
      </c>
      <c r="H35" s="607">
        <v>13.86</v>
      </c>
      <c r="I35" s="607">
        <v>0</v>
      </c>
      <c r="J35" s="607">
        <v>0</v>
      </c>
      <c r="K35" s="648">
        <v>0</v>
      </c>
      <c r="L35" s="649">
        <v>0</v>
      </c>
      <c r="M35" s="649">
        <v>0</v>
      </c>
      <c r="N35" s="649">
        <v>0</v>
      </c>
      <c r="O35" s="650">
        <v>0</v>
      </c>
      <c r="P35" s="650">
        <v>0</v>
      </c>
      <c r="Q35" s="651">
        <v>0</v>
      </c>
      <c r="R35" s="651">
        <v>42.58</v>
      </c>
      <c r="S35" s="652">
        <v>42.58</v>
      </c>
      <c r="T35" s="652">
        <v>42.58</v>
      </c>
      <c r="U35" s="650">
        <v>42.58</v>
      </c>
      <c r="V35" s="650">
        <v>42.58</v>
      </c>
      <c r="W35" s="650">
        <v>42.58</v>
      </c>
      <c r="X35" s="650">
        <v>42.58</v>
      </c>
      <c r="Y35" s="650">
        <v>42.58</v>
      </c>
      <c r="Z35" s="650">
        <v>42.58</v>
      </c>
      <c r="AA35" s="650">
        <v>0</v>
      </c>
      <c r="AB35" s="650">
        <v>0</v>
      </c>
      <c r="AC35" s="650">
        <v>0</v>
      </c>
      <c r="AD35" s="650">
        <f>+SUMIF('Monthly Detail'!$4:$4, AD15,'Monthly Detail'!85:85)</f>
        <v>0</v>
      </c>
      <c r="AE35" s="650">
        <f>+SUMIF('Monthly Detail'!$4:$4, AE15,'Monthly Detail'!85:85)</f>
        <v>0</v>
      </c>
      <c r="AF35" s="650">
        <f>+SUMIF('Monthly Detail'!$4:$4, AF15,'Monthly Detail'!85:85)</f>
        <v>0</v>
      </c>
      <c r="AG35" s="650">
        <f>+SUMIF('Monthly Detail'!$4:$4, AG15,'Monthly Detail'!85:85)</f>
        <v>0</v>
      </c>
      <c r="AH35" s="650">
        <f>+SUMIF('Monthly Detail'!$4:$4, AH15,'Monthly Detail'!85:85)</f>
        <v>0</v>
      </c>
      <c r="AI35" s="650">
        <f>+SUMIF('Monthly Detail'!$4:$4, AI15,'Monthly Detail'!85:85)</f>
        <v>0</v>
      </c>
      <c r="AJ35" s="650">
        <f>+SUMIF('Monthly Detail'!$4:$4, AJ15,'Monthly Detail'!85:85)</f>
        <v>0</v>
      </c>
      <c r="AK35" s="650">
        <f>+SUMIF('Monthly Detail'!$4:$4, AK15,'Monthly Detail'!85:85)</f>
        <v>0</v>
      </c>
      <c r="AL35" s="650">
        <v>0</v>
      </c>
      <c r="AM35" s="650">
        <v>0</v>
      </c>
      <c r="AN35" s="650">
        <v>0</v>
      </c>
      <c r="AO35" s="650">
        <v>42.58</v>
      </c>
      <c r="AP35" s="422">
        <v>0</v>
      </c>
      <c r="AQ35" s="422">
        <f>+SUMIF('Monthly Detail'!$4:$4, $B$14,'Monthly Detail'!85:85)</f>
        <v>0</v>
      </c>
      <c r="AR35" s="651">
        <v>0</v>
      </c>
      <c r="AS35" s="652">
        <v>0</v>
      </c>
      <c r="AT35" s="652">
        <v>0</v>
      </c>
      <c r="AU35" s="650">
        <v>0</v>
      </c>
      <c r="AV35" s="650">
        <v>0</v>
      </c>
      <c r="AW35" s="700">
        <v>0</v>
      </c>
      <c r="AX35" s="652">
        <v>0</v>
      </c>
      <c r="AY35" s="652">
        <v>0</v>
      </c>
      <c r="AZ35" s="652">
        <v>0</v>
      </c>
      <c r="BA35" s="652">
        <v>0</v>
      </c>
      <c r="BB35" s="652">
        <v>0</v>
      </c>
      <c r="BC35" s="652">
        <v>0</v>
      </c>
      <c r="BD35" s="652">
        <v>42.58</v>
      </c>
      <c r="BE35" s="652">
        <v>42.58</v>
      </c>
      <c r="BF35" s="652">
        <v>42.58</v>
      </c>
      <c r="BG35" s="652">
        <v>42.58</v>
      </c>
      <c r="BH35" s="652">
        <v>42.58</v>
      </c>
      <c r="BI35" s="652">
        <v>42.58</v>
      </c>
      <c r="BJ35" s="423">
        <v>42.58</v>
      </c>
      <c r="BK35" s="423">
        <v>42.58</v>
      </c>
      <c r="BL35" s="423">
        <v>42.58</v>
      </c>
      <c r="BM35" s="423">
        <v>42.58</v>
      </c>
      <c r="BN35" s="423">
        <v>42.58</v>
      </c>
      <c r="BO35" s="423">
        <v>42.58</v>
      </c>
      <c r="BP35" s="400">
        <f t="shared" si="1"/>
        <v>0</v>
      </c>
      <c r="BQ35" s="400">
        <f t="shared" si="2"/>
        <v>-42.58</v>
      </c>
    </row>
    <row r="36" spans="2:69" x14ac:dyDescent="0.25">
      <c r="B36" s="751" t="s">
        <v>262</v>
      </c>
      <c r="C36" s="752"/>
      <c r="E36" s="607">
        <v>75</v>
      </c>
      <c r="F36" s="607">
        <v>225</v>
      </c>
      <c r="G36" s="607">
        <v>75</v>
      </c>
      <c r="H36" s="607">
        <v>75</v>
      </c>
      <c r="I36" s="607">
        <v>225</v>
      </c>
      <c r="J36" s="607">
        <v>75</v>
      </c>
      <c r="K36" s="648">
        <v>112.5</v>
      </c>
      <c r="L36" s="649">
        <v>225</v>
      </c>
      <c r="M36" s="649">
        <v>75</v>
      </c>
      <c r="N36" s="649">
        <v>75</v>
      </c>
      <c r="O36" s="650">
        <v>225</v>
      </c>
      <c r="P36" s="650">
        <v>150</v>
      </c>
      <c r="Q36" s="651">
        <v>200</v>
      </c>
      <c r="R36" s="651">
        <v>200</v>
      </c>
      <c r="S36" s="652">
        <v>200</v>
      </c>
      <c r="T36" s="652">
        <v>200</v>
      </c>
      <c r="U36" s="650">
        <v>200</v>
      </c>
      <c r="V36" s="650">
        <v>200</v>
      </c>
      <c r="W36" s="650">
        <v>200</v>
      </c>
      <c r="X36" s="650">
        <v>200</v>
      </c>
      <c r="Y36" s="650">
        <v>200</v>
      </c>
      <c r="Z36" s="650">
        <v>200</v>
      </c>
      <c r="AA36" s="650">
        <v>375</v>
      </c>
      <c r="AB36" s="650">
        <v>500</v>
      </c>
      <c r="AC36" s="650">
        <v>275</v>
      </c>
      <c r="AD36" s="650">
        <f>+SUMIF('Monthly Detail'!$4:$4, AD15,'Monthly Detail'!86:86)</f>
        <v>581.25</v>
      </c>
      <c r="AE36" s="650">
        <f>+SUMIF('Monthly Detail'!$4:$4, AE15,'Monthly Detail'!86:86)</f>
        <v>425</v>
      </c>
      <c r="AF36" s="650">
        <f>+SUMIF('Monthly Detail'!$4:$4, AF15,'Monthly Detail'!86:86)</f>
        <v>275</v>
      </c>
      <c r="AG36" s="650">
        <f>+SUMIF('Monthly Detail'!$4:$4, AG15,'Monthly Detail'!86:86)</f>
        <v>450</v>
      </c>
      <c r="AH36" s="650">
        <f>+SUMIF('Monthly Detail'!$4:$4, AH15,'Monthly Detail'!86:86)</f>
        <v>275</v>
      </c>
      <c r="AI36" s="650">
        <f>+SUMIF('Monthly Detail'!$4:$4, AI15,'Monthly Detail'!86:86)</f>
        <v>275</v>
      </c>
      <c r="AJ36" s="650">
        <f>+SUMIF('Monthly Detail'!$4:$4, AJ15,'Monthly Detail'!86:86)</f>
        <v>450</v>
      </c>
      <c r="AK36" s="650">
        <f>+SUMIF('Monthly Detail'!$4:$4, AK15,'Monthly Detail'!86:86)</f>
        <v>275</v>
      </c>
      <c r="AL36" s="650">
        <v>75</v>
      </c>
      <c r="AM36" s="650">
        <v>225</v>
      </c>
      <c r="AN36" s="650">
        <v>185</v>
      </c>
      <c r="AO36" s="650">
        <v>207.5</v>
      </c>
      <c r="AP36" s="422">
        <v>600</v>
      </c>
      <c r="AQ36" s="422">
        <f>+SUMIF('Monthly Detail'!$4:$4, $B$14,'Monthly Detail'!86:86)</f>
        <v>581.25</v>
      </c>
      <c r="AR36" s="651">
        <v>75</v>
      </c>
      <c r="AS36" s="652">
        <v>75</v>
      </c>
      <c r="AT36" s="652">
        <v>225</v>
      </c>
      <c r="AU36" s="650">
        <v>75</v>
      </c>
      <c r="AV36" s="650">
        <v>75</v>
      </c>
      <c r="AW36" s="700">
        <v>225</v>
      </c>
      <c r="AX36" s="652">
        <v>75</v>
      </c>
      <c r="AY36" s="652">
        <v>75</v>
      </c>
      <c r="AZ36" s="652">
        <v>225</v>
      </c>
      <c r="BA36" s="652">
        <v>75</v>
      </c>
      <c r="BB36" s="652">
        <v>75</v>
      </c>
      <c r="BC36" s="652">
        <v>225</v>
      </c>
      <c r="BD36" s="652">
        <v>200</v>
      </c>
      <c r="BE36" s="652">
        <v>200</v>
      </c>
      <c r="BF36" s="652">
        <v>600</v>
      </c>
      <c r="BG36" s="652">
        <v>350</v>
      </c>
      <c r="BH36" s="652">
        <v>200</v>
      </c>
      <c r="BI36" s="652">
        <v>200</v>
      </c>
      <c r="BJ36" s="423">
        <v>350</v>
      </c>
      <c r="BK36" s="423">
        <v>200</v>
      </c>
      <c r="BL36" s="423">
        <v>200</v>
      </c>
      <c r="BM36" s="423">
        <v>350</v>
      </c>
      <c r="BN36" s="423">
        <v>200</v>
      </c>
      <c r="BO36" s="423">
        <v>200</v>
      </c>
      <c r="BP36" s="400">
        <f t="shared" si="1"/>
        <v>-18.75</v>
      </c>
      <c r="BQ36" s="400">
        <f t="shared" si="2"/>
        <v>231.25</v>
      </c>
    </row>
    <row r="37" spans="2:69" x14ac:dyDescent="0.25">
      <c r="B37" s="751" t="s">
        <v>263</v>
      </c>
      <c r="C37" s="752"/>
      <c r="E37" s="607">
        <v>28.905000000000001</v>
      </c>
      <c r="F37" s="607">
        <v>20.33666666666667</v>
      </c>
      <c r="G37" s="607">
        <v>58.913333333333327</v>
      </c>
      <c r="H37" s="607">
        <v>38.104999999999997</v>
      </c>
      <c r="I37" s="607">
        <v>30.791666666666668</v>
      </c>
      <c r="J37" s="607">
        <v>31.453999999999997</v>
      </c>
      <c r="K37" s="648">
        <v>23.344999999999999</v>
      </c>
      <c r="L37" s="649">
        <v>17.718333333333334</v>
      </c>
      <c r="M37" s="649">
        <v>9.9583333333333339</v>
      </c>
      <c r="N37" s="649">
        <v>5.8833333333333329</v>
      </c>
      <c r="O37" s="650">
        <v>2.4500000000000002</v>
      </c>
      <c r="P37" s="650">
        <v>2.4500000000000002</v>
      </c>
      <c r="Q37" s="651">
        <v>8.2800000000000011</v>
      </c>
      <c r="R37" s="651">
        <v>13.216666666666669</v>
      </c>
      <c r="S37" s="652">
        <v>21.366666666666664</v>
      </c>
      <c r="T37" s="652">
        <v>30.3</v>
      </c>
      <c r="U37" s="650">
        <v>30.3</v>
      </c>
      <c r="V37" s="650">
        <v>30.3</v>
      </c>
      <c r="W37" s="650">
        <v>30.3</v>
      </c>
      <c r="X37" s="650">
        <v>29</v>
      </c>
      <c r="Y37" s="650">
        <v>29</v>
      </c>
      <c r="Z37" s="650">
        <v>29</v>
      </c>
      <c r="AA37" s="650">
        <v>13</v>
      </c>
      <c r="AB37" s="650">
        <v>10.4</v>
      </c>
      <c r="AC37" s="650">
        <v>8.6666666666666661</v>
      </c>
      <c r="AD37" s="650">
        <f>+SUMIF('Monthly Detail'!$4:$4, AD15,'Monthly Detail'!87:87)</f>
        <v>80.44</v>
      </c>
      <c r="AE37" s="650">
        <f>+SUMIF('Monthly Detail'!$4:$4, AE15,'Monthly Detail'!87:87)</f>
        <v>13.74</v>
      </c>
      <c r="AF37" s="650">
        <f>+SUMIF('Monthly Detail'!$4:$4, AF15,'Monthly Detail'!87:87)</f>
        <v>13.74</v>
      </c>
      <c r="AG37" s="650">
        <f>+SUMIF('Monthly Detail'!$4:$4, AG15,'Monthly Detail'!87:87)</f>
        <v>13.74</v>
      </c>
      <c r="AH37" s="650">
        <f>+SUMIF('Monthly Detail'!$4:$4, AH15,'Monthly Detail'!87:87)</f>
        <v>13.74</v>
      </c>
      <c r="AI37" s="650">
        <f>+SUMIF('Monthly Detail'!$4:$4, AI15,'Monthly Detail'!87:87)</f>
        <v>13.74</v>
      </c>
      <c r="AJ37" s="650">
        <f>+SUMIF('Monthly Detail'!$4:$4, AJ15,'Monthly Detail'!87:87)</f>
        <v>13.74</v>
      </c>
      <c r="AK37" s="650">
        <f>+SUMIF('Monthly Detail'!$4:$4, AK15,'Monthly Detail'!87:87)</f>
        <v>13.74</v>
      </c>
      <c r="AL37" s="650">
        <v>3.5</v>
      </c>
      <c r="AM37" s="650">
        <v>0</v>
      </c>
      <c r="AN37" s="650">
        <v>31.6</v>
      </c>
      <c r="AO37" s="650">
        <v>0</v>
      </c>
      <c r="AP37" s="422">
        <v>0.33333333333333331</v>
      </c>
      <c r="AQ37" s="422">
        <f>+SUMIF('Monthly Detail'!$4:$4, $B$14,'Monthly Detail'!87:87)</f>
        <v>80.44</v>
      </c>
      <c r="AR37" s="651">
        <v>31.453999999999997</v>
      </c>
      <c r="AS37" s="652">
        <v>31.453999999999997</v>
      </c>
      <c r="AT37" s="652">
        <v>31.453999999999997</v>
      </c>
      <c r="AU37" s="650">
        <v>31.454000000000001</v>
      </c>
      <c r="AV37" s="650">
        <v>31.453999999999997</v>
      </c>
      <c r="AW37" s="700">
        <v>31.453999999999997</v>
      </c>
      <c r="AX37" s="652">
        <v>31.453999999999997</v>
      </c>
      <c r="AY37" s="652">
        <v>31.453999999999997</v>
      </c>
      <c r="AZ37" s="652">
        <v>31.453999999999997</v>
      </c>
      <c r="BA37" s="652">
        <v>31.453999999999997</v>
      </c>
      <c r="BB37" s="652">
        <v>31.453999999999997</v>
      </c>
      <c r="BC37" s="652">
        <v>31.453999999999997</v>
      </c>
      <c r="BD37" s="652">
        <v>29</v>
      </c>
      <c r="BE37" s="652">
        <v>30.3</v>
      </c>
      <c r="BF37" s="652">
        <v>30.3</v>
      </c>
      <c r="BG37" s="652">
        <v>30.3</v>
      </c>
      <c r="BH37" s="652">
        <v>30.3</v>
      </c>
      <c r="BI37" s="652">
        <v>30.3</v>
      </c>
      <c r="BJ37" s="423">
        <v>30.3</v>
      </c>
      <c r="BK37" s="423">
        <v>30.3</v>
      </c>
      <c r="BL37" s="423">
        <v>30.3</v>
      </c>
      <c r="BM37" s="423">
        <v>30.3</v>
      </c>
      <c r="BN37" s="423">
        <v>30.3</v>
      </c>
      <c r="BO37" s="423">
        <v>30.3</v>
      </c>
      <c r="BP37" s="400">
        <f t="shared" si="1"/>
        <v>80.106666666666669</v>
      </c>
      <c r="BQ37" s="400">
        <f t="shared" si="2"/>
        <v>50.14</v>
      </c>
    </row>
    <row r="38" spans="2:69" x14ac:dyDescent="0.25">
      <c r="B38" s="751" t="s">
        <v>264</v>
      </c>
      <c r="C38" s="752"/>
      <c r="E38" s="607">
        <v>0</v>
      </c>
      <c r="F38" s="607"/>
      <c r="G38" s="607">
        <v>0</v>
      </c>
      <c r="H38" s="607">
        <v>0</v>
      </c>
      <c r="I38" s="607">
        <v>0</v>
      </c>
      <c r="J38" s="607"/>
      <c r="K38" s="648">
        <v>0</v>
      </c>
      <c r="L38" s="649">
        <v>0</v>
      </c>
      <c r="M38" s="649">
        <v>0</v>
      </c>
      <c r="N38" s="649">
        <v>0</v>
      </c>
      <c r="O38" s="650">
        <v>0</v>
      </c>
      <c r="P38" s="650">
        <v>0</v>
      </c>
      <c r="Q38" s="651">
        <v>218.02</v>
      </c>
      <c r="R38" s="651">
        <v>106.49666666666667</v>
      </c>
      <c r="S38" s="652">
        <v>121.30000000000001</v>
      </c>
      <c r="T38" s="652">
        <v>289.14</v>
      </c>
      <c r="U38" s="650">
        <v>289.14</v>
      </c>
      <c r="V38" s="650">
        <v>289.14</v>
      </c>
      <c r="W38" s="650">
        <v>289.14</v>
      </c>
      <c r="X38" s="650">
        <v>295.73500000000001</v>
      </c>
      <c r="Y38" s="650">
        <v>295.73500000000001</v>
      </c>
      <c r="Z38" s="650">
        <v>295.73500000000001</v>
      </c>
      <c r="AA38" s="650">
        <v>225.60000000000002</v>
      </c>
      <c r="AB38" s="650">
        <v>294.64750000000004</v>
      </c>
      <c r="AC38" s="650">
        <v>352.79750000000001</v>
      </c>
      <c r="AD38" s="650">
        <f>+SUMIF('Monthly Detail'!$4:$4, AD15,'Monthly Detail'!88:88)</f>
        <v>677.01</v>
      </c>
      <c r="AE38" s="650">
        <f>+SUMIF('Monthly Detail'!$4:$4, AE15,'Monthly Detail'!88:88)</f>
        <v>411.91499999999996</v>
      </c>
      <c r="AF38" s="650">
        <f>+SUMIF('Monthly Detail'!$4:$4, AF15,'Monthly Detail'!88:88)</f>
        <v>411.91499999999996</v>
      </c>
      <c r="AG38" s="650">
        <f>+SUMIF('Monthly Detail'!$4:$4, AG15,'Monthly Detail'!88:88)</f>
        <v>411.91499999999996</v>
      </c>
      <c r="AH38" s="650">
        <f>+SUMIF('Monthly Detail'!$4:$4, AH15,'Monthly Detail'!88:88)</f>
        <v>411.91499999999996</v>
      </c>
      <c r="AI38" s="650">
        <f>+SUMIF('Monthly Detail'!$4:$4, AI15,'Monthly Detail'!88:88)</f>
        <v>411.91499999999996</v>
      </c>
      <c r="AJ38" s="650">
        <f>+SUMIF('Monthly Detail'!$4:$4, AJ15,'Monthly Detail'!88:88)</f>
        <v>411.91499999999996</v>
      </c>
      <c r="AK38" s="650">
        <f>+SUMIF('Monthly Detail'!$4:$4, AK15,'Monthly Detail'!88:88)</f>
        <v>411.91499999999996</v>
      </c>
      <c r="AL38" s="650">
        <v>0</v>
      </c>
      <c r="AM38" s="650">
        <v>0</v>
      </c>
      <c r="AN38" s="650">
        <v>218.02</v>
      </c>
      <c r="AO38" s="650">
        <v>57.06</v>
      </c>
      <c r="AP38" s="422">
        <v>358.89600000000002</v>
      </c>
      <c r="AQ38" s="422">
        <f>+SUMIF('Monthly Detail'!$4:$4, $B$14,'Monthly Detail'!88:88)</f>
        <v>677.01</v>
      </c>
      <c r="AR38" s="651"/>
      <c r="AS38" s="652"/>
      <c r="AT38" s="652"/>
      <c r="AU38" s="650"/>
      <c r="AV38" s="650"/>
      <c r="AW38" s="700">
        <v>0</v>
      </c>
      <c r="AX38" s="652">
        <v>0</v>
      </c>
      <c r="AY38" s="652">
        <v>0</v>
      </c>
      <c r="AZ38" s="652"/>
      <c r="BA38" s="652"/>
      <c r="BB38" s="652"/>
      <c r="BC38" s="652"/>
      <c r="BD38" s="652">
        <v>247.13500000000002</v>
      </c>
      <c r="BE38" s="652">
        <v>289.14</v>
      </c>
      <c r="BF38" s="652">
        <v>289.14</v>
      </c>
      <c r="BG38" s="652">
        <v>289.14</v>
      </c>
      <c r="BH38" s="652">
        <v>289.14</v>
      </c>
      <c r="BI38" s="652">
        <v>289.14</v>
      </c>
      <c r="BJ38" s="423">
        <v>289.14</v>
      </c>
      <c r="BK38" s="423">
        <v>289.14</v>
      </c>
      <c r="BL38" s="423">
        <v>289.14</v>
      </c>
      <c r="BM38" s="423">
        <v>289.14</v>
      </c>
      <c r="BN38" s="423">
        <v>289.14</v>
      </c>
      <c r="BO38" s="423">
        <v>289.14</v>
      </c>
      <c r="BP38" s="400">
        <f t="shared" si="1"/>
        <v>318.11399999999998</v>
      </c>
      <c r="BQ38" s="400">
        <f t="shared" si="2"/>
        <v>387.87</v>
      </c>
    </row>
    <row r="39" spans="2:69" x14ac:dyDescent="0.25">
      <c r="B39" s="751" t="s">
        <v>265</v>
      </c>
      <c r="C39" s="752"/>
      <c r="E39" s="607">
        <v>93.21</v>
      </c>
      <c r="F39" s="607">
        <v>194.71</v>
      </c>
      <c r="G39" s="607">
        <v>210.47</v>
      </c>
      <c r="H39" s="607">
        <v>313.33999999999997</v>
      </c>
      <c r="I39" s="607">
        <v>226.36</v>
      </c>
      <c r="J39" s="607">
        <v>105.16</v>
      </c>
      <c r="K39" s="648">
        <v>124.93</v>
      </c>
      <c r="L39" s="649">
        <v>156.19</v>
      </c>
      <c r="M39" s="649">
        <v>141.66999999999999</v>
      </c>
      <c r="N39" s="649">
        <v>145.28</v>
      </c>
      <c r="O39" s="650">
        <v>141.1</v>
      </c>
      <c r="P39" s="650">
        <v>247.63911170144925</v>
      </c>
      <c r="Q39" s="651">
        <v>339.03333674686911</v>
      </c>
      <c r="R39" s="651">
        <v>335.89847710302689</v>
      </c>
      <c r="S39" s="652">
        <v>257.52077062457164</v>
      </c>
      <c r="T39" s="652">
        <v>178.5279525095095</v>
      </c>
      <c r="U39" s="650">
        <v>178.5279525095095</v>
      </c>
      <c r="V39" s="650">
        <v>178.5279525095095</v>
      </c>
      <c r="W39" s="650">
        <v>178.5279525095095</v>
      </c>
      <c r="X39" s="650">
        <v>238.92854557032297</v>
      </c>
      <c r="Y39" s="650">
        <v>238.92854557032297</v>
      </c>
      <c r="Z39" s="650">
        <v>238.92854557032297</v>
      </c>
      <c r="AA39" s="650">
        <v>364.67414526425631</v>
      </c>
      <c r="AB39" s="650">
        <v>509.55028256194942</v>
      </c>
      <c r="AC39" s="650">
        <v>527.38242896446025</v>
      </c>
      <c r="AD39" s="650">
        <f>+SUMIF('Monthly Detail'!$4:$4, AD15,'Monthly Detail'!89:89)</f>
        <v>921.67</v>
      </c>
      <c r="AE39" s="650">
        <f>+SUMIF('Monthly Detail'!$4:$4, AE15,'Monthly Detail'!89:89)</f>
        <v>336.40261248078679</v>
      </c>
      <c r="AF39" s="650">
        <f>+SUMIF('Monthly Detail'!$4:$4, AF15,'Monthly Detail'!89:89)</f>
        <v>474.87423302372594</v>
      </c>
      <c r="AG39" s="650">
        <f>+SUMIF('Monthly Detail'!$4:$4, AG15,'Monthly Detail'!89:89)</f>
        <v>563.78086027819541</v>
      </c>
      <c r="AH39" s="650">
        <f>+SUMIF('Monthly Detail'!$4:$4, AH15,'Monthly Detail'!89:89)</f>
        <v>530.06464222390889</v>
      </c>
      <c r="AI39" s="650">
        <f>+SUMIF('Monthly Detail'!$4:$4, AI15,'Monthly Detail'!89:89)</f>
        <v>542.3550482296763</v>
      </c>
      <c r="AJ39" s="650">
        <f>+SUMIF('Monthly Detail'!$4:$4, AJ15,'Monthly Detail'!89:89)</f>
        <v>240.57098794699357</v>
      </c>
      <c r="AK39" s="650">
        <f>+SUMIF('Monthly Detail'!$4:$4, AK15,'Monthly Detail'!89:89)</f>
        <v>415.70285012764089</v>
      </c>
      <c r="AL39" s="650">
        <v>173.37</v>
      </c>
      <c r="AM39" s="650">
        <v>236.32</v>
      </c>
      <c r="AN39" s="650">
        <v>228.28</v>
      </c>
      <c r="AO39" s="650">
        <v>404.2</v>
      </c>
      <c r="AP39" s="422">
        <v>677.12335253839251</v>
      </c>
      <c r="AQ39" s="422">
        <f>+SUMIF('Monthly Detail'!$4:$4, $B$14,'Monthly Detail'!89:89)</f>
        <v>921.67</v>
      </c>
      <c r="AR39" s="651">
        <v>105.16</v>
      </c>
      <c r="AS39" s="652">
        <v>105.16</v>
      </c>
      <c r="AT39" s="652">
        <v>105.16</v>
      </c>
      <c r="AU39" s="650">
        <v>105.16</v>
      </c>
      <c r="AV39" s="650">
        <v>105.16</v>
      </c>
      <c r="AW39" s="700">
        <v>105.16</v>
      </c>
      <c r="AX39" s="652">
        <v>105.16</v>
      </c>
      <c r="AY39" s="652">
        <v>105.16</v>
      </c>
      <c r="AZ39" s="652">
        <v>105.16</v>
      </c>
      <c r="BA39" s="652">
        <v>105.16</v>
      </c>
      <c r="BB39" s="652">
        <v>105.16</v>
      </c>
      <c r="BC39" s="652">
        <v>105.16</v>
      </c>
      <c r="BD39" s="652">
        <v>340.0568486568493</v>
      </c>
      <c r="BE39" s="652">
        <v>409.97033333545528</v>
      </c>
      <c r="BF39" s="652">
        <v>241.41890722142278</v>
      </c>
      <c r="BG39" s="652">
        <v>317.58835350284772</v>
      </c>
      <c r="BH39" s="652">
        <v>346.67601405658729</v>
      </c>
      <c r="BI39" s="652">
        <v>187.65390812734768</v>
      </c>
      <c r="BJ39" s="423">
        <v>350.75981370191033</v>
      </c>
      <c r="BK39" s="423">
        <v>512.3771305011212</v>
      </c>
      <c r="BL39" s="423">
        <v>391.57446386766111</v>
      </c>
      <c r="BM39" s="423">
        <v>504.77554511538784</v>
      </c>
      <c r="BN39" s="423">
        <v>284.16738960316599</v>
      </c>
      <c r="BO39" s="423">
        <v>203.09559886255104</v>
      </c>
      <c r="BP39" s="400">
        <f t="shared" si="1"/>
        <v>244.54664746160745</v>
      </c>
      <c r="BQ39" s="400">
        <f t="shared" si="2"/>
        <v>416.89445488461212</v>
      </c>
    </row>
    <row r="40" spans="2:69" x14ac:dyDescent="0.25">
      <c r="B40" s="751" t="s">
        <v>266</v>
      </c>
      <c r="C40" s="752"/>
      <c r="E40" s="607">
        <v>0</v>
      </c>
      <c r="F40" s="607">
        <v>0</v>
      </c>
      <c r="G40" s="607">
        <v>0</v>
      </c>
      <c r="H40" s="607">
        <v>171.41666666666666</v>
      </c>
      <c r="I40" s="607">
        <v>234.625</v>
      </c>
      <c r="J40" s="607">
        <v>296.16666666666669</v>
      </c>
      <c r="K40" s="648">
        <v>416.75</v>
      </c>
      <c r="L40" s="649">
        <v>316.75</v>
      </c>
      <c r="M40" s="649">
        <v>0</v>
      </c>
      <c r="N40" s="649">
        <v>0</v>
      </c>
      <c r="O40" s="650">
        <v>0</v>
      </c>
      <c r="P40" s="650">
        <v>0</v>
      </c>
      <c r="Q40" s="651">
        <v>0</v>
      </c>
      <c r="R40" s="651">
        <v>490</v>
      </c>
      <c r="S40" s="652">
        <v>376.25</v>
      </c>
      <c r="T40" s="652">
        <v>376.25</v>
      </c>
      <c r="U40" s="650">
        <v>376.25</v>
      </c>
      <c r="V40" s="650">
        <v>376.25</v>
      </c>
      <c r="W40" s="650">
        <v>376.25</v>
      </c>
      <c r="X40" s="650">
        <v>262.5</v>
      </c>
      <c r="Y40" s="650">
        <v>262.5</v>
      </c>
      <c r="Z40" s="650">
        <v>262.5</v>
      </c>
      <c r="AA40" s="650">
        <v>471.25</v>
      </c>
      <c r="AB40" s="650">
        <v>405.83333333333331</v>
      </c>
      <c r="AC40" s="650">
        <v>326.375</v>
      </c>
      <c r="AD40" s="650">
        <f>+SUMIF('Monthly Detail'!$4:$4, AD15,'Monthly Detail'!90:90)</f>
        <v>0</v>
      </c>
      <c r="AE40" s="650">
        <f>+SUMIF('Monthly Detail'!$4:$4, AE15,'Monthly Detail'!90:90)</f>
        <v>181.5</v>
      </c>
      <c r="AF40" s="650">
        <f>+SUMIF('Monthly Detail'!$4:$4, AF15,'Monthly Detail'!90:90)</f>
        <v>0</v>
      </c>
      <c r="AG40" s="650">
        <f>+SUMIF('Monthly Detail'!$4:$4, AG15,'Monthly Detail'!90:90)</f>
        <v>0</v>
      </c>
      <c r="AH40" s="650">
        <f>+SUMIF('Monthly Detail'!$4:$4, AH15,'Monthly Detail'!90:90)</f>
        <v>0</v>
      </c>
      <c r="AI40" s="650">
        <f>+SUMIF('Monthly Detail'!$4:$4, AI15,'Monthly Detail'!90:90)</f>
        <v>707</v>
      </c>
      <c r="AJ40" s="650">
        <f>+SUMIF('Monthly Detail'!$4:$4, AJ15,'Monthly Detail'!90:90)</f>
        <v>235.5</v>
      </c>
      <c r="AK40" s="650">
        <f>+SUMIF('Monthly Detail'!$4:$4, AK15,'Monthly Detail'!90:90)</f>
        <v>0</v>
      </c>
      <c r="AL40" s="650">
        <v>0</v>
      </c>
      <c r="AM40" s="650">
        <v>0</v>
      </c>
      <c r="AN40" s="650">
        <v>0</v>
      </c>
      <c r="AO40" s="650">
        <v>490</v>
      </c>
      <c r="AP40" s="422">
        <v>199.5</v>
      </c>
      <c r="AQ40" s="422">
        <f>+SUMIF('Monthly Detail'!$4:$4, $B$14,'Monthly Detail'!90:90)</f>
        <v>0</v>
      </c>
      <c r="AR40" s="651">
        <v>296.16666666666669</v>
      </c>
      <c r="AS40" s="652">
        <v>296.16666666666669</v>
      </c>
      <c r="AT40" s="652">
        <v>296.16666666666669</v>
      </c>
      <c r="AU40" s="650">
        <v>296.16666666666669</v>
      </c>
      <c r="AV40" s="650">
        <v>296.16666666666669</v>
      </c>
      <c r="AW40" s="700">
        <v>296.16666666666669</v>
      </c>
      <c r="AX40" s="652">
        <v>296.16666666666669</v>
      </c>
      <c r="AY40" s="652">
        <v>296.16666666666669</v>
      </c>
      <c r="AZ40" s="652">
        <v>296.16666666666669</v>
      </c>
      <c r="BA40" s="652">
        <v>296.16666666666669</v>
      </c>
      <c r="BB40" s="652">
        <v>296.16666666666669</v>
      </c>
      <c r="BC40" s="652">
        <v>296.16666666666669</v>
      </c>
      <c r="BD40" s="652">
        <v>376.25</v>
      </c>
      <c r="BE40" s="652">
        <v>0</v>
      </c>
      <c r="BF40" s="652">
        <v>0</v>
      </c>
      <c r="BG40" s="652">
        <v>0</v>
      </c>
      <c r="BH40" s="652">
        <v>0</v>
      </c>
      <c r="BI40" s="652">
        <v>0</v>
      </c>
      <c r="BJ40" s="423">
        <v>0</v>
      </c>
      <c r="BK40" s="423">
        <v>490</v>
      </c>
      <c r="BL40" s="423">
        <v>0</v>
      </c>
      <c r="BM40" s="423">
        <v>262.5</v>
      </c>
      <c r="BN40" s="423">
        <v>0</v>
      </c>
      <c r="BO40" s="423">
        <v>376.25</v>
      </c>
      <c r="BP40" s="400">
        <f t="shared" si="1"/>
        <v>-199.5</v>
      </c>
      <c r="BQ40" s="400">
        <f t="shared" si="2"/>
        <v>-262.5</v>
      </c>
    </row>
    <row r="41" spans="2:69" x14ac:dyDescent="0.25">
      <c r="B41" s="751" t="s">
        <v>267</v>
      </c>
      <c r="C41" s="752"/>
      <c r="E41" s="607">
        <v>170.51666666666668</v>
      </c>
      <c r="F41" s="607">
        <v>199.50749999999999</v>
      </c>
      <c r="G41" s="607">
        <v>187.23999999999998</v>
      </c>
      <c r="H41" s="607">
        <v>199.92666666666665</v>
      </c>
      <c r="I41" s="607">
        <v>190.87</v>
      </c>
      <c r="J41" s="607">
        <v>190.98000000000002</v>
      </c>
      <c r="K41" s="648">
        <v>183.86833333333334</v>
      </c>
      <c r="L41" s="649">
        <v>159.19166666666663</v>
      </c>
      <c r="M41" s="649">
        <v>159.23333333333332</v>
      </c>
      <c r="N41" s="649">
        <v>139.66833333333332</v>
      </c>
      <c r="O41" s="650">
        <v>140.33833333333334</v>
      </c>
      <c r="P41" s="650">
        <v>141.00833333333333</v>
      </c>
      <c r="Q41" s="651">
        <v>202.29</v>
      </c>
      <c r="R41" s="651">
        <v>378.53</v>
      </c>
      <c r="S41" s="652">
        <v>260.35000000000002</v>
      </c>
      <c r="T41" s="652">
        <v>169.03</v>
      </c>
      <c r="U41" s="650">
        <v>169.03</v>
      </c>
      <c r="V41" s="650">
        <v>169.03</v>
      </c>
      <c r="W41" s="650">
        <v>169.03</v>
      </c>
      <c r="X41" s="650">
        <v>155.68</v>
      </c>
      <c r="Y41" s="650">
        <v>155.68</v>
      </c>
      <c r="Z41" s="650">
        <v>155.68</v>
      </c>
      <c r="AA41" s="650">
        <v>123.01</v>
      </c>
      <c r="AB41" s="650">
        <v>123.01</v>
      </c>
      <c r="AC41" s="650">
        <v>122.99</v>
      </c>
      <c r="AD41" s="650">
        <f>+SUMIF('Monthly Detail'!$4:$4, AD15,'Monthly Detail'!91:91)</f>
        <v>155.86000000000001</v>
      </c>
      <c r="AE41" s="650">
        <f>+SUMIF('Monthly Detail'!$4:$4, AE15,'Monthly Detail'!91:91)</f>
        <v>155.86000000000001</v>
      </c>
      <c r="AF41" s="650">
        <f>+SUMIF('Monthly Detail'!$4:$4, AF15,'Monthly Detail'!91:91)</f>
        <v>155.86000000000001</v>
      </c>
      <c r="AG41" s="650">
        <f>+SUMIF('Monthly Detail'!$4:$4, AG15,'Monthly Detail'!91:91)</f>
        <v>155.86000000000001</v>
      </c>
      <c r="AH41" s="650">
        <f>+SUMIF('Monthly Detail'!$4:$4, AH15,'Monthly Detail'!91:91)</f>
        <v>155.86000000000001</v>
      </c>
      <c r="AI41" s="650">
        <f>+SUMIF('Monthly Detail'!$4:$4, AI15,'Monthly Detail'!91:91)</f>
        <v>155.86000000000001</v>
      </c>
      <c r="AJ41" s="650">
        <f>+SUMIF('Monthly Detail'!$4:$4, AJ15,'Monthly Detail'!91:91)</f>
        <v>155.86000000000001</v>
      </c>
      <c r="AK41" s="650">
        <f>+SUMIF('Monthly Detail'!$4:$4, AK15,'Monthly Detail'!91:91)</f>
        <v>155.86000000000001</v>
      </c>
      <c r="AL41" s="650">
        <v>142.41999999999999</v>
      </c>
      <c r="AM41" s="650">
        <v>142.41999999999999</v>
      </c>
      <c r="AN41" s="650">
        <v>202.29</v>
      </c>
      <c r="AO41" s="650">
        <v>164.46</v>
      </c>
      <c r="AP41" s="422">
        <v>161.99</v>
      </c>
      <c r="AQ41" s="422">
        <f>+SUMIF('Monthly Detail'!$4:$4, $B$14,'Monthly Detail'!91:91)</f>
        <v>155.86000000000001</v>
      </c>
      <c r="AR41" s="651">
        <v>190.98000000000002</v>
      </c>
      <c r="AS41" s="652">
        <v>190.98000000000002</v>
      </c>
      <c r="AT41" s="652">
        <v>190.98000000000002</v>
      </c>
      <c r="AU41" s="650">
        <v>190.98000000000002</v>
      </c>
      <c r="AV41" s="650">
        <v>190.98000000000002</v>
      </c>
      <c r="AW41" s="700">
        <v>190.98000000000002</v>
      </c>
      <c r="AX41" s="652">
        <v>190.98000000000002</v>
      </c>
      <c r="AY41" s="652">
        <v>190.98000000000002</v>
      </c>
      <c r="AZ41" s="652">
        <v>190.98000000000002</v>
      </c>
      <c r="BA41" s="652">
        <v>190.98000000000002</v>
      </c>
      <c r="BB41" s="652">
        <v>190.98000000000002</v>
      </c>
      <c r="BC41" s="652">
        <v>190.98000000000002</v>
      </c>
      <c r="BD41" s="652">
        <v>128.5</v>
      </c>
      <c r="BE41" s="652">
        <v>169.03</v>
      </c>
      <c r="BF41" s="652">
        <v>169.03</v>
      </c>
      <c r="BG41" s="652">
        <v>169.03</v>
      </c>
      <c r="BH41" s="652">
        <v>169.03</v>
      </c>
      <c r="BI41" s="652">
        <v>169.03</v>
      </c>
      <c r="BJ41" s="423">
        <v>169.03</v>
      </c>
      <c r="BK41" s="423">
        <v>169.03</v>
      </c>
      <c r="BL41" s="423">
        <v>169.03</v>
      </c>
      <c r="BM41" s="423">
        <v>169.03</v>
      </c>
      <c r="BN41" s="423">
        <v>169.03</v>
      </c>
      <c r="BO41" s="423">
        <v>169.03</v>
      </c>
      <c r="BP41" s="400">
        <f t="shared" si="1"/>
        <v>-6.1299999999999955</v>
      </c>
      <c r="BQ41" s="400">
        <f t="shared" si="2"/>
        <v>-13.169999999999987</v>
      </c>
    </row>
    <row r="42" spans="2:69" x14ac:dyDescent="0.25">
      <c r="B42" s="751" t="s">
        <v>288</v>
      </c>
      <c r="C42" s="752"/>
      <c r="E42" s="607"/>
      <c r="F42" s="607"/>
      <c r="G42" s="607"/>
      <c r="H42" s="607"/>
      <c r="I42" s="607"/>
      <c r="J42" s="607"/>
      <c r="K42" s="648"/>
      <c r="L42" s="649"/>
      <c r="M42" s="649"/>
      <c r="N42" s="649">
        <v>0</v>
      </c>
      <c r="O42" s="650">
        <v>0</v>
      </c>
      <c r="P42" s="650">
        <v>0</v>
      </c>
      <c r="Q42" s="651">
        <v>0</v>
      </c>
      <c r="R42" s="651">
        <v>50</v>
      </c>
      <c r="S42" s="652">
        <v>50</v>
      </c>
      <c r="T42" s="652">
        <v>50</v>
      </c>
      <c r="U42" s="650">
        <v>50</v>
      </c>
      <c r="V42" s="650">
        <v>50</v>
      </c>
      <c r="W42" s="650">
        <v>50</v>
      </c>
      <c r="X42" s="650">
        <v>50</v>
      </c>
      <c r="Y42" s="650">
        <v>50</v>
      </c>
      <c r="Z42" s="650">
        <v>50</v>
      </c>
      <c r="AA42" s="650">
        <v>0</v>
      </c>
      <c r="AB42" s="650">
        <v>16.666666666666668</v>
      </c>
      <c r="AC42" s="650">
        <v>16.666666666666668</v>
      </c>
      <c r="AD42" s="650"/>
      <c r="AE42" s="650"/>
      <c r="AF42" s="650"/>
      <c r="AG42" s="650"/>
      <c r="AH42" s="650"/>
      <c r="AI42" s="650"/>
      <c r="AJ42" s="650"/>
      <c r="AK42" s="650"/>
      <c r="AL42" s="650">
        <v>0</v>
      </c>
      <c r="AM42" s="650">
        <v>0</v>
      </c>
      <c r="AN42" s="650">
        <v>0</v>
      </c>
      <c r="AO42" s="650">
        <v>50</v>
      </c>
      <c r="AP42" s="422">
        <v>16.666666666666668</v>
      </c>
      <c r="AQ42" s="422">
        <f>+SUMIF('Monthly Detail'!$4:$4, $B$14,'Monthly Detail'!92:92)</f>
        <v>0</v>
      </c>
      <c r="AR42" s="651"/>
      <c r="AS42" s="652"/>
      <c r="AT42" s="652"/>
      <c r="AU42" s="650"/>
      <c r="AV42" s="650">
        <v>0</v>
      </c>
      <c r="AW42" s="700">
        <v>0</v>
      </c>
      <c r="AX42" s="652">
        <v>0</v>
      </c>
      <c r="AY42" s="652">
        <v>0</v>
      </c>
      <c r="AZ42" s="652"/>
      <c r="BA42" s="652"/>
      <c r="BB42" s="652"/>
      <c r="BC42" s="652">
        <v>0</v>
      </c>
      <c r="BD42" s="652">
        <v>50</v>
      </c>
      <c r="BE42" s="652">
        <v>50</v>
      </c>
      <c r="BF42" s="652">
        <v>50</v>
      </c>
      <c r="BG42" s="652">
        <v>50</v>
      </c>
      <c r="BH42" s="652">
        <v>50</v>
      </c>
      <c r="BI42" s="652">
        <v>50</v>
      </c>
      <c r="BJ42" s="423">
        <v>50</v>
      </c>
      <c r="BK42" s="423">
        <v>50</v>
      </c>
      <c r="BL42" s="423">
        <v>50</v>
      </c>
      <c r="BM42" s="423">
        <v>50</v>
      </c>
      <c r="BN42" s="423">
        <v>50</v>
      </c>
      <c r="BO42" s="423">
        <v>50</v>
      </c>
      <c r="BP42" s="400">
        <f t="shared" si="1"/>
        <v>-16.666666666666668</v>
      </c>
      <c r="BQ42" s="400">
        <f t="shared" si="2"/>
        <v>-50</v>
      </c>
    </row>
    <row r="43" spans="2:69" x14ac:dyDescent="0.25">
      <c r="B43" s="753" t="s">
        <v>10</v>
      </c>
      <c r="C43" s="754"/>
      <c r="D43" s="5"/>
      <c r="E43" s="653">
        <f>SUM(E33:E41)</f>
        <v>479.63166666666666</v>
      </c>
      <c r="F43" s="653">
        <f>SUM(F33:F41)</f>
        <v>751.55416666666656</v>
      </c>
      <c r="G43" s="653">
        <v>643.62333333333333</v>
      </c>
      <c r="H43" s="653">
        <v>923.6483333333332</v>
      </c>
      <c r="I43" s="653">
        <v>1019.6466666666699</v>
      </c>
      <c r="J43" s="653">
        <v>810.76066666666679</v>
      </c>
      <c r="K43" s="654">
        <v>2152.8333333333335</v>
      </c>
      <c r="L43" s="653">
        <v>986.84999999999991</v>
      </c>
      <c r="M43" s="653">
        <f>+SUM(M30:M42)</f>
        <v>2856.7416666666668</v>
      </c>
      <c r="N43" s="653">
        <v>1657.2716666666668</v>
      </c>
      <c r="O43" s="653">
        <v>723.78666666666675</v>
      </c>
      <c r="P43" s="653">
        <v>1941.8641117014495</v>
      </c>
      <c r="Q43" s="655">
        <v>1254.3900034135356</v>
      </c>
      <c r="R43" s="655">
        <v>3496.508477103027</v>
      </c>
      <c r="S43" s="656">
        <v>1807.5807706245719</v>
      </c>
      <c r="T43" s="656">
        <v>1827.1762858428428</v>
      </c>
      <c r="U43" s="653">
        <v>1827.1762858428428</v>
      </c>
      <c r="V43" s="653">
        <v>1827.1762858428428</v>
      </c>
      <c r="W43" s="653">
        <v>1827.1762858428428</v>
      </c>
      <c r="X43" s="653">
        <v>3771.9610455703228</v>
      </c>
      <c r="Y43" s="653">
        <v>3771.9610455703228</v>
      </c>
      <c r="Z43" s="653">
        <v>3771.9610455703228</v>
      </c>
      <c r="AA43" s="653">
        <v>5557.6341452642573</v>
      </c>
      <c r="AB43" s="653">
        <v>5845.2077825619499</v>
      </c>
      <c r="AC43" s="653">
        <v>7229.7282622977937</v>
      </c>
      <c r="AD43" s="653">
        <f t="shared" ref="AD43:AK43" si="9">SUM(AD33:AD41)</f>
        <v>3276.02</v>
      </c>
      <c r="AE43" s="653">
        <f t="shared" si="9"/>
        <v>1774.4176124807868</v>
      </c>
      <c r="AF43" s="653">
        <f t="shared" si="9"/>
        <v>1581.3892330237259</v>
      </c>
      <c r="AG43" s="653">
        <f t="shared" si="9"/>
        <v>2174.9518602781955</v>
      </c>
      <c r="AH43" s="653">
        <f t="shared" si="9"/>
        <v>1966.2356422239091</v>
      </c>
      <c r="AI43" s="653">
        <f t="shared" si="9"/>
        <v>2685.5260482296762</v>
      </c>
      <c r="AJ43" s="653">
        <f t="shared" si="9"/>
        <v>2087.2419879469935</v>
      </c>
      <c r="AK43" s="653">
        <f t="shared" si="9"/>
        <v>1851.8738501276407</v>
      </c>
      <c r="AL43" s="653">
        <v>689.94999999999993</v>
      </c>
      <c r="AM43" s="653">
        <v>1579.4199999999998</v>
      </c>
      <c r="AN43" s="653">
        <v>2133.86</v>
      </c>
      <c r="AO43" s="653">
        <v>1446.3200000000002</v>
      </c>
      <c r="AP43" s="298">
        <v>15149.859352538393</v>
      </c>
      <c r="AQ43" s="298">
        <f t="shared" ref="AQ43" si="10">+SUM(AQ30:AQ42)</f>
        <v>18946.229999999996</v>
      </c>
      <c r="AR43" s="655">
        <v>810.76066666666679</v>
      </c>
      <c r="AS43" s="656">
        <v>810.76066666666679</v>
      </c>
      <c r="AT43" s="656">
        <v>810.76066666666679</v>
      </c>
      <c r="AU43" s="653">
        <v>960.76066666666679</v>
      </c>
      <c r="AV43" s="653">
        <v>810.76066666666679</v>
      </c>
      <c r="AW43" s="701">
        <v>810.76066666666679</v>
      </c>
      <c r="AX43" s="656">
        <v>960.76066666666679</v>
      </c>
      <c r="AY43" s="656">
        <v>810.76066666666679</v>
      </c>
      <c r="AZ43" s="656">
        <v>1846.5020459770124</v>
      </c>
      <c r="BA43" s="656">
        <v>810.76066666666679</v>
      </c>
      <c r="BB43" s="656">
        <v>810.76066666666679</v>
      </c>
      <c r="BC43" s="656">
        <v>810.76066666666679</v>
      </c>
      <c r="BD43" s="656">
        <f>SUM(BD30:BD42)</f>
        <v>4106.409348656849</v>
      </c>
      <c r="BE43" s="656">
        <f t="shared" ref="BE43:BO43" si="11">SUM(BE30:BE42)</f>
        <v>3588.5578333354556</v>
      </c>
      <c r="BF43" s="656">
        <f t="shared" si="11"/>
        <v>3820.0064072214227</v>
      </c>
      <c r="BG43" s="656">
        <f t="shared" si="11"/>
        <v>3696.175853502848</v>
      </c>
      <c r="BH43" s="656">
        <f t="shared" si="11"/>
        <v>3525.2635140565876</v>
      </c>
      <c r="BI43" s="656">
        <f t="shared" si="11"/>
        <v>3366.2414081273478</v>
      </c>
      <c r="BJ43" s="234">
        <f t="shared" si="11"/>
        <v>3729.3473137019105</v>
      </c>
      <c r="BK43" s="234">
        <f t="shared" si="11"/>
        <v>4180.9646305011211</v>
      </c>
      <c r="BL43" s="234">
        <f t="shared" si="11"/>
        <v>3570.1619638676611</v>
      </c>
      <c r="BM43" s="234">
        <f t="shared" si="11"/>
        <v>4145.8630451153876</v>
      </c>
      <c r="BN43" s="234">
        <f t="shared" si="11"/>
        <v>3512.7548896031662</v>
      </c>
      <c r="BO43" s="234">
        <f t="shared" si="11"/>
        <v>3807.9330988625511</v>
      </c>
      <c r="BP43" s="399">
        <f t="shared" si="1"/>
        <v>3796.3706474616029</v>
      </c>
      <c r="BQ43" s="399">
        <f t="shared" si="2"/>
        <v>14800.366954884608</v>
      </c>
    </row>
    <row r="44" spans="2:69" x14ac:dyDescent="0.25">
      <c r="B44" s="745" t="s">
        <v>11</v>
      </c>
      <c r="C44" s="746"/>
      <c r="E44" s="663">
        <f>+E16-E43</f>
        <v>4458.3683333333338</v>
      </c>
      <c r="F44" s="663">
        <f>+F16-F43</f>
        <v>3737.9458333333323</v>
      </c>
      <c r="G44" s="663">
        <v>5166.6266666666661</v>
      </c>
      <c r="H44" s="663">
        <v>3957.7216666666668</v>
      </c>
      <c r="I44" s="663">
        <v>7569.7233333333343</v>
      </c>
      <c r="J44" s="663">
        <v>2255.7184999999999</v>
      </c>
      <c r="K44" s="664">
        <v>1022.1880263157896</v>
      </c>
      <c r="L44" s="663">
        <v>1435.4298913043481</v>
      </c>
      <c r="M44" s="663">
        <v>3942.5624846915707</v>
      </c>
      <c r="N44" s="663">
        <v>4387.4070731396541</v>
      </c>
      <c r="O44" s="663">
        <v>3311.2272398005284</v>
      </c>
      <c r="P44" s="663">
        <f>+P28-P43</f>
        <v>3479.0006727771388</v>
      </c>
      <c r="Q44" s="665">
        <v>6203.6292621126067</v>
      </c>
      <c r="R44" s="665">
        <v>4626.1769143892971</v>
      </c>
      <c r="S44" s="666">
        <v>4635.1283452172902</v>
      </c>
      <c r="T44" s="666">
        <v>3110.7522859141618</v>
      </c>
      <c r="U44" s="663">
        <v>3110.7522859141618</v>
      </c>
      <c r="V44" s="663">
        <v>3110.7522859141618</v>
      </c>
      <c r="W44" s="663">
        <v>3110.7522859141618</v>
      </c>
      <c r="X44" s="663">
        <v>2407.6524805540953</v>
      </c>
      <c r="Y44" s="663">
        <v>2407.6524805540953</v>
      </c>
      <c r="Z44" s="663">
        <v>2407.6524805540953</v>
      </c>
      <c r="AA44" s="663">
        <v>4037.8604468376434</v>
      </c>
      <c r="AB44" s="663">
        <v>7358.9266924501635</v>
      </c>
      <c r="AC44" s="663">
        <v>9413.0612784151454</v>
      </c>
      <c r="AD44" s="663">
        <f t="shared" ref="AD44:AK44" si="12">+AD16-AD43</f>
        <v>36087.110000000008</v>
      </c>
      <c r="AE44" s="663">
        <f t="shared" si="12"/>
        <v>11007.819348555762</v>
      </c>
      <c r="AF44" s="663">
        <f t="shared" si="12"/>
        <v>16462.332034290841</v>
      </c>
      <c r="AG44" s="663">
        <f t="shared" si="12"/>
        <v>19246.940487791828</v>
      </c>
      <c r="AH44" s="663">
        <f t="shared" si="12"/>
        <v>18174.546890967718</v>
      </c>
      <c r="AI44" s="663">
        <f t="shared" si="12"/>
        <v>17922.253101767474</v>
      </c>
      <c r="AJ44" s="663">
        <f t="shared" si="12"/>
        <v>7053.6958639098075</v>
      </c>
      <c r="AK44" s="663">
        <f t="shared" si="12"/>
        <v>13943.521722233583</v>
      </c>
      <c r="AL44" s="663">
        <v>5015.13</v>
      </c>
      <c r="AM44" s="663">
        <v>2728.84</v>
      </c>
      <c r="AN44" s="663">
        <v>6317.0300000000007</v>
      </c>
      <c r="AO44" s="663">
        <v>11764.94</v>
      </c>
      <c r="AP44" s="299">
        <v>7619.6397164935934</v>
      </c>
      <c r="AQ44" s="299">
        <f>+AQ28-AQ43</f>
        <v>14161.900000000009</v>
      </c>
      <c r="AR44" s="665">
        <f t="shared" ref="AR44:AW44" si="13">+AR16-AR43</f>
        <v>2255.7184999999999</v>
      </c>
      <c r="AS44" s="666">
        <f t="shared" si="13"/>
        <v>4082.9005175438597</v>
      </c>
      <c r="AT44" s="666">
        <f t="shared" si="13"/>
        <v>3183.372485507246</v>
      </c>
      <c r="AU44" s="663">
        <f t="shared" si="13"/>
        <v>5003.6946904761908</v>
      </c>
      <c r="AV44" s="663">
        <f t="shared" si="13"/>
        <v>9421.0310000000009</v>
      </c>
      <c r="AW44" s="706">
        <f t="shared" si="13"/>
        <v>5919.610545454545</v>
      </c>
      <c r="AX44" s="666">
        <f t="shared" ref="AX44:BE44" si="14">+AX28-AX43</f>
        <v>8907.7125476190467</v>
      </c>
      <c r="AY44" s="666">
        <f t="shared" si="14"/>
        <v>8438.2278243819255</v>
      </c>
      <c r="AZ44" s="666">
        <f t="shared" si="14"/>
        <v>-2882.2434252873581</v>
      </c>
      <c r="BA44" s="666">
        <f t="shared" si="14"/>
        <v>-810.76066666666679</v>
      </c>
      <c r="BB44" s="666">
        <f t="shared" si="14"/>
        <v>-810.76066666666679</v>
      </c>
      <c r="BC44" s="666">
        <f t="shared" si="14"/>
        <v>3301.239333333333</v>
      </c>
      <c r="BD44" s="666">
        <f t="shared" si="14"/>
        <v>4517.3374953402599</v>
      </c>
      <c r="BE44" s="666">
        <f t="shared" si="14"/>
        <v>7020.2154835916353</v>
      </c>
      <c r="BF44" s="666">
        <f>+BF28-BF43</f>
        <v>3067.4443049321681</v>
      </c>
      <c r="BG44" s="666">
        <f t="shared" ref="BG44:BO44" si="15">+BG28-BG43</f>
        <v>4980.3855024223885</v>
      </c>
      <c r="BH44" s="666">
        <f t="shared" si="15"/>
        <v>4274.5919614715149</v>
      </c>
      <c r="BI44" s="666">
        <f t="shared" si="15"/>
        <v>1853.7227538255561</v>
      </c>
      <c r="BJ44" s="235">
        <f t="shared" si="15"/>
        <v>5500.2406441520379</v>
      </c>
      <c r="BK44" s="235">
        <f t="shared" si="15"/>
        <v>7715.6536712489633</v>
      </c>
      <c r="BL44" s="235">
        <f t="shared" si="15"/>
        <v>7752.6332246652555</v>
      </c>
      <c r="BM44" s="235">
        <f t="shared" si="15"/>
        <v>10501.610357100592</v>
      </c>
      <c r="BN44" s="235">
        <f t="shared" si="15"/>
        <v>5218.3711089714216</v>
      </c>
      <c r="BO44" s="235">
        <f t="shared" si="15"/>
        <v>2490.9450786612692</v>
      </c>
      <c r="BP44" s="400">
        <f t="shared" si="1"/>
        <v>6542.2602835064154</v>
      </c>
      <c r="BQ44" s="400">
        <f t="shared" si="2"/>
        <v>3660.2896428994172</v>
      </c>
    </row>
    <row r="45" spans="2:69" x14ac:dyDescent="0.25">
      <c r="B45" s="755" t="s">
        <v>278</v>
      </c>
      <c r="C45" s="756"/>
      <c r="D45" s="166"/>
      <c r="E45" s="667"/>
      <c r="F45" s="667"/>
      <c r="G45" s="667"/>
      <c r="H45" s="667"/>
      <c r="I45" s="667"/>
      <c r="J45" s="667"/>
      <c r="K45" s="668">
        <f>+K44/K16</f>
        <v>0.32194681878573356</v>
      </c>
      <c r="L45" s="669">
        <v>0.59259456203114436</v>
      </c>
      <c r="M45" s="669">
        <v>0.88787970479928569</v>
      </c>
      <c r="N45" s="669">
        <v>0.72582965315378078</v>
      </c>
      <c r="O45" s="669">
        <v>0.82062350132013073</v>
      </c>
      <c r="P45" s="669">
        <f t="shared" ref="P45" si="16">+P44/P16</f>
        <v>0.57306508978291171</v>
      </c>
      <c r="Q45" s="670">
        <v>0.68392384770654391</v>
      </c>
      <c r="R45" s="670">
        <v>0.40166322011448125</v>
      </c>
      <c r="S45" s="671">
        <v>0.55371973458743939</v>
      </c>
      <c r="T45" s="671">
        <v>0.56181911064947021</v>
      </c>
      <c r="U45" s="669">
        <v>0.56181911064947021</v>
      </c>
      <c r="V45" s="669">
        <v>0.56181911064947021</v>
      </c>
      <c r="W45" s="669">
        <v>0.56181911064947021</v>
      </c>
      <c r="X45" s="669">
        <v>0.3631663400991002</v>
      </c>
      <c r="Y45" s="669">
        <v>0.3631663400991002</v>
      </c>
      <c r="Z45" s="669">
        <v>0.3631663400991002</v>
      </c>
      <c r="AA45" s="669">
        <v>0.38175308698371319</v>
      </c>
      <c r="AB45" s="669">
        <v>0.42714601950795256</v>
      </c>
      <c r="AC45" s="667">
        <v>0.55070363184396443</v>
      </c>
      <c r="AD45" s="667"/>
      <c r="AE45" s="667"/>
      <c r="AF45" s="667"/>
      <c r="AG45" s="667"/>
      <c r="AH45" s="667"/>
      <c r="AI45" s="671">
        <f>+AI44/AI16</f>
        <v>0.86968386895634764</v>
      </c>
      <c r="AJ45" s="671">
        <f>+AJ44/AJ16</f>
        <v>0.77165997386985719</v>
      </c>
      <c r="AK45" s="671">
        <f>+AK44/AK16</f>
        <v>0.88275862787709802</v>
      </c>
      <c r="AL45" s="687">
        <v>0.87906392197830707</v>
      </c>
      <c r="AM45" s="669">
        <v>0.6333972415778063</v>
      </c>
      <c r="AN45" s="669">
        <v>0.69717544303043077</v>
      </c>
      <c r="AO45" s="669">
        <v>0.83372710870609712</v>
      </c>
      <c r="AP45" s="325">
        <v>0.31946473909709761</v>
      </c>
      <c r="AQ45" s="325">
        <f t="shared" ref="AQ45" si="17">+AQ44/AQ16</f>
        <v>0.35977575970203607</v>
      </c>
      <c r="AR45" s="670">
        <f t="shared" ref="AR45:BO45" si="18">+AR44/AR16</f>
        <v>0.73560535630575241</v>
      </c>
      <c r="AS45" s="671">
        <f t="shared" si="18"/>
        <v>0.83432431544656205</v>
      </c>
      <c r="AT45" s="687">
        <f t="shared" si="18"/>
        <v>0.79701210856593774</v>
      </c>
      <c r="AU45" s="669">
        <f t="shared" si="18"/>
        <v>0.83891896088783902</v>
      </c>
      <c r="AV45" s="669">
        <f t="shared" si="18"/>
        <v>0.92076063576353118</v>
      </c>
      <c r="AW45" s="707">
        <f t="shared" si="18"/>
        <v>0.87953700604113638</v>
      </c>
      <c r="AX45" s="671">
        <f t="shared" si="18"/>
        <v>0.90264343371010436</v>
      </c>
      <c r="AY45" s="671">
        <f t="shared" si="18"/>
        <v>0.91234061244088027</v>
      </c>
      <c r="AZ45" s="671">
        <f t="shared" si="18"/>
        <v>-0.28271986900530083</v>
      </c>
      <c r="BA45" s="671">
        <f t="shared" si="18"/>
        <v>-0.13417271890028501</v>
      </c>
      <c r="BB45" s="671">
        <f t="shared" si="18"/>
        <v>-0.13417271890028501</v>
      </c>
      <c r="BC45" s="671">
        <f t="shared" si="18"/>
        <v>0.80283057717250317</v>
      </c>
      <c r="BD45" s="671">
        <f t="shared" si="18"/>
        <v>0.47334905684325812</v>
      </c>
      <c r="BE45" s="671">
        <f>+BE44/BE16</f>
        <v>0.5521223337963086</v>
      </c>
      <c r="BF45" s="671">
        <f t="shared" si="18"/>
        <v>0.40967806304929777</v>
      </c>
      <c r="BG45" s="671">
        <f t="shared" si="18"/>
        <v>0.50563333227805318</v>
      </c>
      <c r="BH45" s="671">
        <f t="shared" si="18"/>
        <v>0.39756502695630208</v>
      </c>
      <c r="BI45" s="671">
        <f t="shared" si="18"/>
        <v>0.31851102553929383</v>
      </c>
      <c r="BJ45" s="278">
        <f t="shared" si="18"/>
        <v>0.50560244265718912</v>
      </c>
      <c r="BK45" s="278">
        <f t="shared" si="18"/>
        <v>0.48553472029435768</v>
      </c>
      <c r="BL45" s="278">
        <f t="shared" si="18"/>
        <v>0.6383695737491083</v>
      </c>
      <c r="BM45" s="278">
        <f t="shared" si="18"/>
        <v>0.67080284721048156</v>
      </c>
      <c r="BN45" s="278">
        <f t="shared" si="18"/>
        <v>0.59210404291522867</v>
      </c>
      <c r="BO45" s="278">
        <f t="shared" si="18"/>
        <v>0.39545852586094871</v>
      </c>
      <c r="BP45" s="401">
        <f t="shared" si="1"/>
        <v>4.0311020604938463E-2</v>
      </c>
      <c r="BQ45" s="401">
        <f t="shared" si="2"/>
        <v>-0.31102708750844549</v>
      </c>
    </row>
    <row r="46" spans="2:69" hidden="1" x14ac:dyDescent="0.25">
      <c r="B46" s="757" t="s">
        <v>13</v>
      </c>
      <c r="C46" s="758"/>
      <c r="E46" s="607">
        <v>0.03</v>
      </c>
      <c r="F46" s="607">
        <v>0.01</v>
      </c>
      <c r="G46" s="607">
        <v>0</v>
      </c>
      <c r="H46" s="607">
        <v>0</v>
      </c>
      <c r="I46" s="607">
        <v>0</v>
      </c>
      <c r="J46" s="607">
        <v>0</v>
      </c>
      <c r="K46" s="648">
        <v>0</v>
      </c>
      <c r="L46" s="649">
        <v>0</v>
      </c>
      <c r="M46" s="649">
        <v>0</v>
      </c>
      <c r="N46" s="649">
        <v>0</v>
      </c>
      <c r="O46" s="649">
        <v>0</v>
      </c>
      <c r="P46" s="649">
        <v>0</v>
      </c>
      <c r="Q46" s="672">
        <v>0</v>
      </c>
      <c r="R46" s="672">
        <v>0</v>
      </c>
      <c r="S46" s="673">
        <v>0</v>
      </c>
      <c r="T46" s="673">
        <v>0</v>
      </c>
      <c r="U46" s="649">
        <v>0</v>
      </c>
      <c r="V46" s="649">
        <v>0</v>
      </c>
      <c r="W46" s="649">
        <v>0</v>
      </c>
      <c r="X46" s="649"/>
      <c r="Y46" s="649"/>
      <c r="Z46" s="649"/>
      <c r="AA46" s="649">
        <v>0</v>
      </c>
      <c r="AB46" s="649">
        <v>0</v>
      </c>
      <c r="AC46" s="649">
        <v>0</v>
      </c>
      <c r="AD46" s="649">
        <f>+SUMIF('Monthly Detail'!$4:$4, AD15,'Monthly Detail'!102:102)</f>
        <v>4.5599999999999996</v>
      </c>
      <c r="AE46" s="649">
        <f>+SUMIF('Monthly Detail'!$4:$4, AE15,'Monthly Detail'!102:102)</f>
        <v>0</v>
      </c>
      <c r="AF46" s="649">
        <f>+SUMIF('Monthly Detail'!$4:$4, AF15,'Monthly Detail'!102:102)</f>
        <v>0</v>
      </c>
      <c r="AG46" s="649">
        <f>+SUMIF('Monthly Detail'!$4:$4, AG15,'Monthly Detail'!102:102)</f>
        <v>0</v>
      </c>
      <c r="AH46" s="649">
        <f>+SUMIF('Monthly Detail'!$4:$4, AH15,'Monthly Detail'!102:102)</f>
        <v>0</v>
      </c>
      <c r="AI46" s="649">
        <f>+SUMIF('Monthly Detail'!$4:$4, AI15,'Monthly Detail'!102:102)</f>
        <v>0</v>
      </c>
      <c r="AJ46" s="649">
        <f>+SUMIF('Monthly Detail'!$4:$4, AJ15,'Monthly Detail'!102:102)</f>
        <v>0</v>
      </c>
      <c r="AK46" s="649">
        <f>+SUMIF('Monthly Detail'!$4:$4, AK15,'Monthly Detail'!102:102)</f>
        <v>0</v>
      </c>
      <c r="AL46" s="649">
        <v>0</v>
      </c>
      <c r="AM46" s="649">
        <v>25</v>
      </c>
      <c r="AN46" s="649">
        <v>0</v>
      </c>
      <c r="AO46" s="649">
        <v>0</v>
      </c>
      <c r="AP46" s="297">
        <v>0</v>
      </c>
      <c r="AQ46" s="297">
        <f>+SUMIF('Monthly Detail'!$4:$4, M14,'Monthly Detail'!102:102)</f>
        <v>0</v>
      </c>
      <c r="AR46" s="672">
        <v>0</v>
      </c>
      <c r="AS46" s="673">
        <v>0</v>
      </c>
      <c r="AT46" s="673">
        <v>0</v>
      </c>
      <c r="AU46" s="649">
        <v>0</v>
      </c>
      <c r="AV46" s="649">
        <v>0</v>
      </c>
      <c r="AW46" s="708">
        <v>0</v>
      </c>
      <c r="AX46" s="673">
        <v>0</v>
      </c>
      <c r="AY46" s="673">
        <v>0</v>
      </c>
      <c r="AZ46" s="673">
        <v>0</v>
      </c>
      <c r="BA46" s="673">
        <v>0</v>
      </c>
      <c r="BB46" s="673">
        <v>0</v>
      </c>
      <c r="BC46" s="673">
        <v>0</v>
      </c>
      <c r="BD46" s="673">
        <v>0</v>
      </c>
      <c r="BE46" s="673">
        <v>0</v>
      </c>
      <c r="BF46" s="673">
        <v>0</v>
      </c>
      <c r="BG46" s="673">
        <v>0</v>
      </c>
      <c r="BH46" s="673">
        <v>0</v>
      </c>
      <c r="BI46" s="673">
        <v>0</v>
      </c>
      <c r="BJ46" s="232">
        <v>0</v>
      </c>
      <c r="BK46" s="232">
        <v>0</v>
      </c>
      <c r="BL46" s="232">
        <v>0</v>
      </c>
      <c r="BM46" s="232">
        <v>0</v>
      </c>
      <c r="BN46" s="232">
        <v>0</v>
      </c>
      <c r="BO46" s="232">
        <v>0</v>
      </c>
      <c r="BP46" s="400">
        <f t="shared" si="1"/>
        <v>0</v>
      </c>
      <c r="BQ46" s="400">
        <f t="shared" si="2"/>
        <v>0</v>
      </c>
    </row>
    <row r="47" spans="2:69" x14ac:dyDescent="0.25">
      <c r="B47" s="753" t="s">
        <v>345</v>
      </c>
      <c r="C47" s="754"/>
      <c r="D47" s="5"/>
      <c r="E47" s="653">
        <f>+E46</f>
        <v>0.03</v>
      </c>
      <c r="F47" s="653">
        <f>+F46</f>
        <v>0.01</v>
      </c>
      <c r="G47" s="653">
        <v>0</v>
      </c>
      <c r="H47" s="653">
        <v>0</v>
      </c>
      <c r="I47" s="653">
        <v>7569.7233333333343</v>
      </c>
      <c r="J47" s="653">
        <v>2255.7184999999999</v>
      </c>
      <c r="K47" s="654">
        <v>0</v>
      </c>
      <c r="L47" s="653">
        <v>0</v>
      </c>
      <c r="M47" s="653">
        <v>0</v>
      </c>
      <c r="N47" s="653">
        <v>0</v>
      </c>
      <c r="O47" s="653">
        <v>0</v>
      </c>
      <c r="P47" s="653">
        <v>0</v>
      </c>
      <c r="Q47" s="655">
        <v>-715.26</v>
      </c>
      <c r="R47" s="655">
        <v>-638.92999999999995</v>
      </c>
      <c r="S47" s="656">
        <v>-733.37</v>
      </c>
      <c r="T47" s="656">
        <v>-800</v>
      </c>
      <c r="U47" s="653">
        <v>-800</v>
      </c>
      <c r="V47" s="653">
        <v>-800</v>
      </c>
      <c r="W47" s="653">
        <v>-800</v>
      </c>
      <c r="X47" s="653">
        <v>-800</v>
      </c>
      <c r="Y47" s="653">
        <v>-800</v>
      </c>
      <c r="Z47" s="653">
        <v>-800</v>
      </c>
      <c r="AA47" s="653">
        <v>-800</v>
      </c>
      <c r="AB47" s="653">
        <v>-800</v>
      </c>
      <c r="AC47" s="653">
        <v>-800</v>
      </c>
      <c r="AD47" s="653">
        <f t="shared" ref="AD47:AK48" si="19">+AD46</f>
        <v>4.5599999999999996</v>
      </c>
      <c r="AE47" s="653">
        <f t="shared" si="19"/>
        <v>0</v>
      </c>
      <c r="AF47" s="653">
        <f t="shared" si="19"/>
        <v>0</v>
      </c>
      <c r="AG47" s="653">
        <f t="shared" si="19"/>
        <v>0</v>
      </c>
      <c r="AH47" s="653">
        <f t="shared" si="19"/>
        <v>0</v>
      </c>
      <c r="AI47" s="653">
        <f t="shared" si="19"/>
        <v>0</v>
      </c>
      <c r="AJ47" s="653">
        <f t="shared" si="19"/>
        <v>0</v>
      </c>
      <c r="AK47" s="653">
        <f t="shared" si="19"/>
        <v>0</v>
      </c>
      <c r="AL47" s="653">
        <v>0</v>
      </c>
      <c r="AM47" s="653">
        <v>25</v>
      </c>
      <c r="AN47" s="653">
        <v>0</v>
      </c>
      <c r="AO47" s="653">
        <v>-606.69000000000005</v>
      </c>
      <c r="AP47" s="298">
        <v>-800</v>
      </c>
      <c r="AQ47" s="298">
        <f>SUMIF('Monthly Detail'!$4:$4, $B$14,'Monthly Detail'!107:107)</f>
        <v>-842.23</v>
      </c>
      <c r="AR47" s="655">
        <v>0</v>
      </c>
      <c r="AS47" s="656">
        <v>0</v>
      </c>
      <c r="AT47" s="656">
        <v>0</v>
      </c>
      <c r="AU47" s="653">
        <v>0</v>
      </c>
      <c r="AV47" s="653">
        <v>0</v>
      </c>
      <c r="AW47" s="701">
        <v>0</v>
      </c>
      <c r="AX47" s="656">
        <v>0</v>
      </c>
      <c r="AY47" s="656">
        <v>0</v>
      </c>
      <c r="AZ47" s="656">
        <v>0</v>
      </c>
      <c r="BA47" s="656">
        <v>0</v>
      </c>
      <c r="BB47" s="656">
        <v>0</v>
      </c>
      <c r="BC47" s="656">
        <v>0</v>
      </c>
      <c r="BD47" s="656">
        <v>0</v>
      </c>
      <c r="BE47" s="656">
        <v>-800</v>
      </c>
      <c r="BF47" s="656">
        <v>-800</v>
      </c>
      <c r="BG47" s="656">
        <v>-800</v>
      </c>
      <c r="BH47" s="656">
        <v>-800</v>
      </c>
      <c r="BI47" s="656">
        <v>-800</v>
      </c>
      <c r="BJ47" s="234">
        <v>-800</v>
      </c>
      <c r="BK47" s="234">
        <v>-800</v>
      </c>
      <c r="BL47" s="234">
        <v>-800</v>
      </c>
      <c r="BM47" s="234">
        <v>-800</v>
      </c>
      <c r="BN47" s="234">
        <v>-800</v>
      </c>
      <c r="BO47" s="234">
        <v>-800</v>
      </c>
      <c r="BP47" s="399">
        <f t="shared" si="1"/>
        <v>-42.230000000000018</v>
      </c>
      <c r="BQ47" s="399">
        <f t="shared" si="2"/>
        <v>-42.230000000000018</v>
      </c>
    </row>
    <row r="48" spans="2:69" hidden="1" x14ac:dyDescent="0.25">
      <c r="B48" s="745" t="s">
        <v>15</v>
      </c>
      <c r="C48" s="746"/>
      <c r="D48" s="3"/>
      <c r="E48" s="674">
        <f>+E47</f>
        <v>0.03</v>
      </c>
      <c r="F48" s="674">
        <f>+F47</f>
        <v>0.01</v>
      </c>
      <c r="G48" s="674">
        <v>0</v>
      </c>
      <c r="H48" s="674">
        <v>0</v>
      </c>
      <c r="I48" s="674">
        <v>0</v>
      </c>
      <c r="J48" s="674">
        <v>0</v>
      </c>
      <c r="K48" s="675">
        <v>0</v>
      </c>
      <c r="L48" s="674">
        <v>0</v>
      </c>
      <c r="M48" s="674">
        <v>0</v>
      </c>
      <c r="N48" s="674">
        <v>0</v>
      </c>
      <c r="O48" s="674">
        <v>0</v>
      </c>
      <c r="P48" s="674">
        <v>0</v>
      </c>
      <c r="Q48" s="676">
        <v>0</v>
      </c>
      <c r="R48" s="676">
        <v>-638.92999999999995</v>
      </c>
      <c r="S48" s="677">
        <v>-733.37</v>
      </c>
      <c r="T48" s="677">
        <v>-800</v>
      </c>
      <c r="U48" s="674">
        <v>-800</v>
      </c>
      <c r="V48" s="674">
        <v>-800</v>
      </c>
      <c r="W48" s="674">
        <v>-800</v>
      </c>
      <c r="X48" s="674"/>
      <c r="Y48" s="674"/>
      <c r="Z48" s="674"/>
      <c r="AA48" s="674">
        <v>-800</v>
      </c>
      <c r="AB48" s="674">
        <v>-800</v>
      </c>
      <c r="AC48" s="674">
        <v>-800</v>
      </c>
      <c r="AD48" s="674">
        <f t="shared" si="19"/>
        <v>4.5599999999999996</v>
      </c>
      <c r="AE48" s="674">
        <f t="shared" si="19"/>
        <v>0</v>
      </c>
      <c r="AF48" s="674">
        <f t="shared" si="19"/>
        <v>0</v>
      </c>
      <c r="AG48" s="674">
        <f t="shared" si="19"/>
        <v>0</v>
      </c>
      <c r="AH48" s="674">
        <f t="shared" si="19"/>
        <v>0</v>
      </c>
      <c r="AI48" s="674">
        <f t="shared" si="19"/>
        <v>0</v>
      </c>
      <c r="AJ48" s="674">
        <f t="shared" si="19"/>
        <v>0</v>
      </c>
      <c r="AK48" s="674">
        <f t="shared" si="19"/>
        <v>0</v>
      </c>
      <c r="AL48" s="674">
        <v>0</v>
      </c>
      <c r="AM48" s="674">
        <v>25</v>
      </c>
      <c r="AN48" s="674">
        <v>0</v>
      </c>
      <c r="AO48" s="674">
        <v>-606.69000000000005</v>
      </c>
      <c r="AP48" s="300">
        <v>-800</v>
      </c>
      <c r="AQ48" s="300">
        <f t="shared" ref="AQ48" si="20">+AQ47</f>
        <v>-842.23</v>
      </c>
      <c r="AR48" s="676">
        <v>0</v>
      </c>
      <c r="AS48" s="677">
        <v>0</v>
      </c>
      <c r="AT48" s="677">
        <v>0</v>
      </c>
      <c r="AU48" s="674">
        <v>0</v>
      </c>
      <c r="AV48" s="674">
        <v>0</v>
      </c>
      <c r="AW48" s="709">
        <v>0</v>
      </c>
      <c r="AX48" s="677">
        <v>0</v>
      </c>
      <c r="AY48" s="677">
        <v>0</v>
      </c>
      <c r="AZ48" s="677">
        <v>0</v>
      </c>
      <c r="BA48" s="677">
        <v>0</v>
      </c>
      <c r="BB48" s="677">
        <v>0</v>
      </c>
      <c r="BC48" s="677">
        <v>0</v>
      </c>
      <c r="BD48" s="677">
        <v>0</v>
      </c>
      <c r="BE48" s="677">
        <v>-800</v>
      </c>
      <c r="BF48" s="677">
        <v>-800</v>
      </c>
      <c r="BG48" s="677">
        <v>-800</v>
      </c>
      <c r="BH48" s="677">
        <v>-800</v>
      </c>
      <c r="BI48" s="677">
        <v>-800</v>
      </c>
      <c r="BJ48" s="275">
        <v>-800</v>
      </c>
      <c r="BK48" s="275">
        <v>-800</v>
      </c>
      <c r="BL48" s="275">
        <v>-800</v>
      </c>
      <c r="BM48" s="275">
        <v>-800</v>
      </c>
      <c r="BN48" s="275">
        <v>-800</v>
      </c>
      <c r="BO48" s="275">
        <v>-800</v>
      </c>
      <c r="BP48" s="476">
        <f t="shared" si="1"/>
        <v>-42.230000000000018</v>
      </c>
      <c r="BQ48" s="476">
        <f t="shared" si="2"/>
        <v>-42.230000000000018</v>
      </c>
    </row>
    <row r="49" spans="2:69" x14ac:dyDescent="0.25">
      <c r="B49" s="747" t="s">
        <v>279</v>
      </c>
      <c r="C49" s="748"/>
      <c r="D49" s="276"/>
      <c r="E49" s="657"/>
      <c r="F49" s="657"/>
      <c r="G49" s="657"/>
      <c r="H49" s="657"/>
      <c r="I49" s="657"/>
      <c r="J49" s="657"/>
      <c r="K49" s="658">
        <v>3250</v>
      </c>
      <c r="L49" s="657">
        <v>800</v>
      </c>
      <c r="M49" s="657">
        <v>1600</v>
      </c>
      <c r="N49" s="657">
        <v>1600</v>
      </c>
      <c r="O49" s="657">
        <v>1270</v>
      </c>
      <c r="P49" s="657">
        <v>3964.1962695766706</v>
      </c>
      <c r="Q49" s="678">
        <v>4045.8968508380203</v>
      </c>
      <c r="R49" s="678">
        <v>6767.5</v>
      </c>
      <c r="S49" s="679">
        <v>-3250</v>
      </c>
      <c r="T49" s="679">
        <v>-3250</v>
      </c>
      <c r="U49" s="657">
        <v>-3250</v>
      </c>
      <c r="V49" s="657">
        <v>-3250</v>
      </c>
      <c r="W49" s="657">
        <v>-3250</v>
      </c>
      <c r="X49" s="657">
        <v>0</v>
      </c>
      <c r="Y49" s="657">
        <v>-8367.4899999999907</v>
      </c>
      <c r="Z49" s="657">
        <v>0</v>
      </c>
      <c r="AA49" s="657">
        <v>0</v>
      </c>
      <c r="AB49" s="657">
        <v>0</v>
      </c>
      <c r="AC49" s="657">
        <v>0</v>
      </c>
      <c r="AD49" s="657"/>
      <c r="AE49" s="657"/>
      <c r="AF49" s="657"/>
      <c r="AG49" s="657"/>
      <c r="AH49" s="657"/>
      <c r="AI49" s="679">
        <f>-'Monthly Detail'!AC167</f>
        <v>3325</v>
      </c>
      <c r="AJ49" s="679">
        <f>-'Monthly Detail'!AD167</f>
        <v>3220</v>
      </c>
      <c r="AK49" s="679">
        <f>-'Monthly Detail'!AE167</f>
        <v>-75</v>
      </c>
      <c r="AL49" s="658">
        <v>4300</v>
      </c>
      <c r="AM49" s="657">
        <v>2750</v>
      </c>
      <c r="AN49" s="657">
        <v>4307.5404834788205</v>
      </c>
      <c r="AO49" s="657">
        <v>9775</v>
      </c>
      <c r="AP49" s="301">
        <v>0</v>
      </c>
      <c r="AQ49" s="301">
        <f>+SUMIF('Monthly Detail'!$4:$4, $B$14,'Monthly Detail'!155:155)</f>
        <v>0</v>
      </c>
      <c r="AR49" s="678">
        <v>2000</v>
      </c>
      <c r="AS49" s="679">
        <v>1050</v>
      </c>
      <c r="AT49" s="679">
        <v>1150</v>
      </c>
      <c r="AU49" s="657">
        <v>1275</v>
      </c>
      <c r="AV49" s="657">
        <v>2400</v>
      </c>
      <c r="AW49" s="710">
        <v>1270</v>
      </c>
      <c r="AX49" s="679">
        <v>2464.61</v>
      </c>
      <c r="AY49" s="679">
        <v>6405</v>
      </c>
      <c r="AZ49" s="679">
        <v>-5600</v>
      </c>
      <c r="BA49" s="679">
        <v>-4100</v>
      </c>
      <c r="BB49" s="679">
        <v>-4100</v>
      </c>
      <c r="BC49" s="679">
        <v>-1425</v>
      </c>
      <c r="BD49" s="679">
        <v>-3250</v>
      </c>
      <c r="BE49" s="679">
        <v>-3250</v>
      </c>
      <c r="BF49" s="679">
        <v>-3250</v>
      </c>
      <c r="BG49" s="679">
        <v>-3250</v>
      </c>
      <c r="BH49" s="679">
        <v>-3250</v>
      </c>
      <c r="BI49" s="679">
        <v>-3250</v>
      </c>
      <c r="BJ49" s="277">
        <v>-3250</v>
      </c>
      <c r="BK49" s="277">
        <v>-3250</v>
      </c>
      <c r="BL49" s="277">
        <v>-3250</v>
      </c>
      <c r="BM49" s="277">
        <v>-3250</v>
      </c>
      <c r="BN49" s="277">
        <v>-3250</v>
      </c>
      <c r="BO49" s="277">
        <v>-3250</v>
      </c>
      <c r="BP49" s="513">
        <f t="shared" si="1"/>
        <v>0</v>
      </c>
      <c r="BQ49" s="513">
        <f t="shared" si="2"/>
        <v>3250</v>
      </c>
    </row>
    <row r="50" spans="2:69" ht="15.75" thickBot="1" x14ac:dyDescent="0.3">
      <c r="B50" s="749" t="s">
        <v>16</v>
      </c>
      <c r="C50" s="750"/>
      <c r="D50" s="168"/>
      <c r="E50" s="680">
        <f>+E48+E44</f>
        <v>4458.3983333333335</v>
      </c>
      <c r="F50" s="680">
        <f>+F48+F44</f>
        <v>3737.9558333333325</v>
      </c>
      <c r="G50" s="680">
        <v>5166.6266666666661</v>
      </c>
      <c r="H50" s="680">
        <v>3957.7216666666668</v>
      </c>
      <c r="I50" s="680">
        <v>7569.7233333333343</v>
      </c>
      <c r="J50" s="680">
        <v>2255.7184999999999</v>
      </c>
      <c r="K50" s="681">
        <v>1022.1880263157896</v>
      </c>
      <c r="L50" s="680">
        <v>1435.4298913043481</v>
      </c>
      <c r="M50" s="680">
        <v>3942.5624846915707</v>
      </c>
      <c r="N50" s="680">
        <v>4387.4070731396541</v>
      </c>
      <c r="O50" s="680">
        <v>3311.2272398005284</v>
      </c>
      <c r="P50" s="682">
        <v>4129.0006727771388</v>
      </c>
      <c r="Q50" s="683">
        <v>6203.6292621126067</v>
      </c>
      <c r="R50" s="683">
        <v>3987.2469143892972</v>
      </c>
      <c r="S50" s="684">
        <v>3901.7583452172903</v>
      </c>
      <c r="T50" s="684">
        <v>2310.7522859141618</v>
      </c>
      <c r="U50" s="682">
        <v>2310.7522859141618</v>
      </c>
      <c r="V50" s="682">
        <v>2310.7522859141618</v>
      </c>
      <c r="W50" s="682">
        <v>2310.7522859141618</v>
      </c>
      <c r="X50" s="682">
        <v>2407.6524805540953</v>
      </c>
      <c r="Y50" s="682">
        <v>2407.6524805540953</v>
      </c>
      <c r="Z50" s="682">
        <v>2407.6524805540953</v>
      </c>
      <c r="AA50" s="682">
        <v>3237.8604468376434</v>
      </c>
      <c r="AB50" s="682">
        <v>6558.9266924501635</v>
      </c>
      <c r="AC50" s="682">
        <v>8613.0612784151454</v>
      </c>
      <c r="AD50" s="682">
        <f t="shared" ref="AD50:AK50" si="21">+AD48+AD44</f>
        <v>36091.670000000006</v>
      </c>
      <c r="AE50" s="682">
        <f t="shared" si="21"/>
        <v>11007.819348555762</v>
      </c>
      <c r="AF50" s="682">
        <f t="shared" si="21"/>
        <v>16462.332034290841</v>
      </c>
      <c r="AG50" s="682">
        <f t="shared" si="21"/>
        <v>19246.940487791828</v>
      </c>
      <c r="AH50" s="682">
        <f t="shared" si="21"/>
        <v>18174.546890967718</v>
      </c>
      <c r="AI50" s="682">
        <f t="shared" si="21"/>
        <v>17922.253101767474</v>
      </c>
      <c r="AJ50" s="682">
        <f t="shared" si="21"/>
        <v>7053.6958639098075</v>
      </c>
      <c r="AK50" s="682">
        <f t="shared" si="21"/>
        <v>13943.521722233583</v>
      </c>
      <c r="AL50" s="682">
        <v>5015.13</v>
      </c>
      <c r="AM50" s="682">
        <v>2753.84</v>
      </c>
      <c r="AN50" s="682">
        <v>6317.0300000000007</v>
      </c>
      <c r="AO50" s="682">
        <v>11158.25</v>
      </c>
      <c r="AP50" s="425">
        <v>6819.6397164935934</v>
      </c>
      <c r="AQ50" s="425">
        <f t="shared" ref="AQ50" si="22">+AQ48+AQ44</f>
        <v>13319.670000000009</v>
      </c>
      <c r="AR50" s="711">
        <v>2255.7184999999999</v>
      </c>
      <c r="AS50" s="712">
        <v>4082.9005175438597</v>
      </c>
      <c r="AT50" s="712">
        <v>3183.372485507246</v>
      </c>
      <c r="AU50" s="680">
        <v>5003.6946904761908</v>
      </c>
      <c r="AV50" s="680">
        <v>9421.0310000000009</v>
      </c>
      <c r="AW50" s="713">
        <v>5919.610545454545</v>
      </c>
      <c r="AX50" s="712">
        <f>+AX44+AX47</f>
        <v>8907.7125476190467</v>
      </c>
      <c r="AY50" s="712">
        <f t="shared" ref="AY50:BO50" si="23">+AY44+AY47</f>
        <v>8438.2278243819255</v>
      </c>
      <c r="AZ50" s="712">
        <f t="shared" si="23"/>
        <v>-2882.2434252873581</v>
      </c>
      <c r="BA50" s="712">
        <f t="shared" si="23"/>
        <v>-810.76066666666679</v>
      </c>
      <c r="BB50" s="712">
        <f t="shared" si="23"/>
        <v>-810.76066666666679</v>
      </c>
      <c r="BC50" s="712">
        <f t="shared" si="23"/>
        <v>3301.239333333333</v>
      </c>
      <c r="BD50" s="712">
        <f t="shared" si="23"/>
        <v>4517.3374953402599</v>
      </c>
      <c r="BE50" s="712">
        <f t="shared" si="23"/>
        <v>6220.2154835916353</v>
      </c>
      <c r="BF50" s="712">
        <f t="shared" si="23"/>
        <v>2267.4443049321681</v>
      </c>
      <c r="BG50" s="712">
        <f t="shared" si="23"/>
        <v>4180.3855024223885</v>
      </c>
      <c r="BH50" s="712">
        <f t="shared" si="23"/>
        <v>3474.5919614715149</v>
      </c>
      <c r="BI50" s="712">
        <f t="shared" si="23"/>
        <v>1053.7227538255561</v>
      </c>
      <c r="BJ50" s="236">
        <f t="shared" si="23"/>
        <v>4700.2406441520379</v>
      </c>
      <c r="BK50" s="236">
        <f t="shared" si="23"/>
        <v>6915.6536712489633</v>
      </c>
      <c r="BL50" s="236">
        <f t="shared" si="23"/>
        <v>6952.6332246652555</v>
      </c>
      <c r="BM50" s="236">
        <f t="shared" si="23"/>
        <v>9701.6103571005915</v>
      </c>
      <c r="BN50" s="236">
        <f t="shared" si="23"/>
        <v>4418.3711089714216</v>
      </c>
      <c r="BO50" s="236">
        <f t="shared" si="23"/>
        <v>1690.9450786612692</v>
      </c>
      <c r="BP50" s="402">
        <f t="shared" si="1"/>
        <v>6500.0302835064158</v>
      </c>
      <c r="BQ50" s="402">
        <f t="shared" si="2"/>
        <v>3618.0596428994177</v>
      </c>
    </row>
    <row r="51" spans="2:69" ht="15.75" thickTop="1" x14ac:dyDescent="0.25"/>
    <row r="52" spans="2:69" x14ac:dyDescent="0.25">
      <c r="B52" s="268"/>
      <c r="C52" s="26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233"/>
      <c r="AD52" s="233"/>
      <c r="AE52" s="233"/>
      <c r="AF52" s="233"/>
      <c r="AG52" s="233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273"/>
      <c r="BQ52" s="273"/>
    </row>
  </sheetData>
  <mergeCells count="28">
    <mergeCell ref="B28:C28"/>
    <mergeCell ref="B14:BQ14"/>
    <mergeCell ref="B16:C16"/>
    <mergeCell ref="B17:B23"/>
    <mergeCell ref="B26:C26"/>
    <mergeCell ref="B27:C27"/>
    <mergeCell ref="B41:C41"/>
    <mergeCell ref="B29:C29"/>
    <mergeCell ref="B30:C30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31:C31"/>
    <mergeCell ref="B48:C48"/>
    <mergeCell ref="B49:C49"/>
    <mergeCell ref="B50:C50"/>
    <mergeCell ref="B42:C42"/>
    <mergeCell ref="B43:C43"/>
    <mergeCell ref="B44:C44"/>
    <mergeCell ref="B45:C45"/>
    <mergeCell ref="B46:C46"/>
    <mergeCell ref="B47:C47"/>
  </mergeCells>
  <pageMargins left="0.7" right="0.7" top="0.75" bottom="0.75" header="0.3" footer="0.3"/>
  <pageSetup scale="5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E60E-B214-4ADE-BEB3-F68D07A7637B}">
  <sheetPr>
    <tabColor theme="0" tint="-0.249977111117893"/>
  </sheetPr>
  <dimension ref="B2:C62"/>
  <sheetViews>
    <sheetView workbookViewId="0">
      <selection activeCell="C1" sqref="C1:C1048576"/>
    </sheetView>
  </sheetViews>
  <sheetFormatPr defaultColWidth="8.7109375" defaultRowHeight="15" x14ac:dyDescent="0.25"/>
  <cols>
    <col min="2" max="2" width="10.7109375" bestFit="1" customWidth="1"/>
    <col min="3" max="3" width="14.28515625" bestFit="1" customWidth="1"/>
  </cols>
  <sheetData>
    <row r="2" spans="2:3" x14ac:dyDescent="0.25">
      <c r="B2" s="12" t="s">
        <v>49</v>
      </c>
      <c r="C2" s="13"/>
    </row>
    <row r="3" spans="2:3" x14ac:dyDescent="0.25">
      <c r="B3" s="14">
        <v>43831</v>
      </c>
      <c r="C3" t="s">
        <v>50</v>
      </c>
    </row>
    <row r="4" spans="2:3" x14ac:dyDescent="0.25">
      <c r="B4" s="14">
        <v>43850</v>
      </c>
      <c r="C4" t="s">
        <v>51</v>
      </c>
    </row>
    <row r="5" spans="2:3" x14ac:dyDescent="0.25">
      <c r="B5" s="14">
        <v>43878</v>
      </c>
      <c r="C5" t="s">
        <v>52</v>
      </c>
    </row>
    <row r="6" spans="2:3" x14ac:dyDescent="0.25">
      <c r="B6" s="14">
        <v>43976</v>
      </c>
      <c r="C6" t="s">
        <v>53</v>
      </c>
    </row>
    <row r="7" spans="2:3" x14ac:dyDescent="0.25">
      <c r="B7" s="14">
        <v>44081</v>
      </c>
      <c r="C7" t="s">
        <v>54</v>
      </c>
    </row>
    <row r="8" spans="2:3" x14ac:dyDescent="0.25">
      <c r="B8" s="14">
        <v>44016</v>
      </c>
      <c r="C8" t="s">
        <v>55</v>
      </c>
    </row>
    <row r="9" spans="2:3" x14ac:dyDescent="0.25">
      <c r="B9" s="14">
        <v>44161</v>
      </c>
      <c r="C9" t="s">
        <v>56</v>
      </c>
    </row>
    <row r="10" spans="2:3" x14ac:dyDescent="0.25">
      <c r="B10" s="14">
        <f>+B9+1</f>
        <v>44162</v>
      </c>
      <c r="C10" t="s">
        <v>57</v>
      </c>
    </row>
    <row r="11" spans="2:3" x14ac:dyDescent="0.25">
      <c r="B11" s="14">
        <v>44189</v>
      </c>
      <c r="C11" t="s">
        <v>58</v>
      </c>
    </row>
    <row r="12" spans="2:3" x14ac:dyDescent="0.25">
      <c r="B12" s="14">
        <f>+B11+1</f>
        <v>44190</v>
      </c>
      <c r="C12" t="s">
        <v>59</v>
      </c>
    </row>
    <row r="13" spans="2:3" x14ac:dyDescent="0.25">
      <c r="B13" s="14">
        <f>+B3+366</f>
        <v>44197</v>
      </c>
      <c r="C13" t="s">
        <v>50</v>
      </c>
    </row>
    <row r="14" spans="2:3" x14ac:dyDescent="0.25">
      <c r="B14" s="14">
        <f t="shared" ref="B14:B22" si="0">+B4+366</f>
        <v>44216</v>
      </c>
      <c r="C14" t="s">
        <v>51</v>
      </c>
    </row>
    <row r="15" spans="2:3" x14ac:dyDescent="0.25">
      <c r="B15" s="14">
        <f t="shared" si="0"/>
        <v>44244</v>
      </c>
      <c r="C15" t="s">
        <v>52</v>
      </c>
    </row>
    <row r="16" spans="2:3" x14ac:dyDescent="0.25">
      <c r="B16" s="14">
        <f t="shared" si="0"/>
        <v>44342</v>
      </c>
      <c r="C16" t="s">
        <v>53</v>
      </c>
    </row>
    <row r="17" spans="2:3" x14ac:dyDescent="0.25">
      <c r="B17" s="14">
        <f t="shared" si="0"/>
        <v>44447</v>
      </c>
      <c r="C17" t="s">
        <v>54</v>
      </c>
    </row>
    <row r="18" spans="2:3" x14ac:dyDescent="0.25">
      <c r="B18" s="14">
        <f t="shared" si="0"/>
        <v>44382</v>
      </c>
      <c r="C18" t="s">
        <v>55</v>
      </c>
    </row>
    <row r="19" spans="2:3" x14ac:dyDescent="0.25">
      <c r="B19" s="14">
        <f t="shared" si="0"/>
        <v>44527</v>
      </c>
      <c r="C19" t="s">
        <v>56</v>
      </c>
    </row>
    <row r="20" spans="2:3" x14ac:dyDescent="0.25">
      <c r="B20" s="14">
        <f t="shared" si="0"/>
        <v>44528</v>
      </c>
      <c r="C20" t="s">
        <v>57</v>
      </c>
    </row>
    <row r="21" spans="2:3" x14ac:dyDescent="0.25">
      <c r="B21" s="14">
        <f t="shared" si="0"/>
        <v>44555</v>
      </c>
      <c r="C21" t="s">
        <v>58</v>
      </c>
    </row>
    <row r="22" spans="2:3" x14ac:dyDescent="0.25">
      <c r="B22" s="14">
        <f t="shared" si="0"/>
        <v>44556</v>
      </c>
      <c r="C22" t="s">
        <v>59</v>
      </c>
    </row>
    <row r="23" spans="2:3" x14ac:dyDescent="0.25">
      <c r="B23" s="14">
        <f>+B13+365</f>
        <v>44562</v>
      </c>
      <c r="C23" t="s">
        <v>50</v>
      </c>
    </row>
    <row r="24" spans="2:3" x14ac:dyDescent="0.25">
      <c r="B24" s="14">
        <f t="shared" ref="B24:B62" si="1">+B14+365</f>
        <v>44581</v>
      </c>
      <c r="C24" t="s">
        <v>51</v>
      </c>
    </row>
    <row r="25" spans="2:3" x14ac:dyDescent="0.25">
      <c r="B25" s="14">
        <f t="shared" si="1"/>
        <v>44609</v>
      </c>
      <c r="C25" t="s">
        <v>52</v>
      </c>
    </row>
    <row r="26" spans="2:3" x14ac:dyDescent="0.25">
      <c r="B26" s="14">
        <f t="shared" si="1"/>
        <v>44707</v>
      </c>
      <c r="C26" t="s">
        <v>53</v>
      </c>
    </row>
    <row r="27" spans="2:3" x14ac:dyDescent="0.25">
      <c r="B27" s="14">
        <f t="shared" si="1"/>
        <v>44812</v>
      </c>
      <c r="C27" t="s">
        <v>54</v>
      </c>
    </row>
    <row r="28" spans="2:3" x14ac:dyDescent="0.25">
      <c r="B28" s="14">
        <f t="shared" si="1"/>
        <v>44747</v>
      </c>
      <c r="C28" t="s">
        <v>55</v>
      </c>
    </row>
    <row r="29" spans="2:3" x14ac:dyDescent="0.25">
      <c r="B29" s="14">
        <f t="shared" si="1"/>
        <v>44892</v>
      </c>
      <c r="C29" t="s">
        <v>56</v>
      </c>
    </row>
    <row r="30" spans="2:3" x14ac:dyDescent="0.25">
      <c r="B30" s="14">
        <f t="shared" si="1"/>
        <v>44893</v>
      </c>
      <c r="C30" t="s">
        <v>57</v>
      </c>
    </row>
    <row r="31" spans="2:3" x14ac:dyDescent="0.25">
      <c r="B31" s="14">
        <f t="shared" si="1"/>
        <v>44920</v>
      </c>
      <c r="C31" t="s">
        <v>58</v>
      </c>
    </row>
    <row r="32" spans="2:3" x14ac:dyDescent="0.25">
      <c r="B32" s="14">
        <f t="shared" si="1"/>
        <v>44921</v>
      </c>
      <c r="C32" t="s">
        <v>59</v>
      </c>
    </row>
    <row r="33" spans="2:3" x14ac:dyDescent="0.25">
      <c r="B33" s="14">
        <f t="shared" si="1"/>
        <v>44927</v>
      </c>
      <c r="C33" t="s">
        <v>50</v>
      </c>
    </row>
    <row r="34" spans="2:3" x14ac:dyDescent="0.25">
      <c r="B34" s="14">
        <f t="shared" si="1"/>
        <v>44946</v>
      </c>
      <c r="C34" t="s">
        <v>51</v>
      </c>
    </row>
    <row r="35" spans="2:3" x14ac:dyDescent="0.25">
      <c r="B35" s="14">
        <f t="shared" si="1"/>
        <v>44974</v>
      </c>
      <c r="C35" t="s">
        <v>52</v>
      </c>
    </row>
    <row r="36" spans="2:3" x14ac:dyDescent="0.25">
      <c r="B36" s="14">
        <f t="shared" si="1"/>
        <v>45072</v>
      </c>
      <c r="C36" t="s">
        <v>53</v>
      </c>
    </row>
    <row r="37" spans="2:3" x14ac:dyDescent="0.25">
      <c r="B37" s="14">
        <f t="shared" si="1"/>
        <v>45177</v>
      </c>
      <c r="C37" t="s">
        <v>54</v>
      </c>
    </row>
    <row r="38" spans="2:3" x14ac:dyDescent="0.25">
      <c r="B38" s="14">
        <f t="shared" si="1"/>
        <v>45112</v>
      </c>
      <c r="C38" t="s">
        <v>55</v>
      </c>
    </row>
    <row r="39" spans="2:3" x14ac:dyDescent="0.25">
      <c r="B39" s="14">
        <f t="shared" si="1"/>
        <v>45257</v>
      </c>
      <c r="C39" t="s">
        <v>56</v>
      </c>
    </row>
    <row r="40" spans="2:3" x14ac:dyDescent="0.25">
      <c r="B40" s="14">
        <f t="shared" si="1"/>
        <v>45258</v>
      </c>
      <c r="C40" t="s">
        <v>57</v>
      </c>
    </row>
    <row r="41" spans="2:3" x14ac:dyDescent="0.25">
      <c r="B41" s="14">
        <f t="shared" si="1"/>
        <v>45285</v>
      </c>
      <c r="C41" t="s">
        <v>58</v>
      </c>
    </row>
    <row r="42" spans="2:3" x14ac:dyDescent="0.25">
      <c r="B42" s="14">
        <f t="shared" si="1"/>
        <v>45286</v>
      </c>
      <c r="C42" t="s">
        <v>59</v>
      </c>
    </row>
    <row r="43" spans="2:3" x14ac:dyDescent="0.25">
      <c r="B43" s="14">
        <f t="shared" si="1"/>
        <v>45292</v>
      </c>
      <c r="C43" t="s">
        <v>50</v>
      </c>
    </row>
    <row r="44" spans="2:3" x14ac:dyDescent="0.25">
      <c r="B44" s="14">
        <f t="shared" si="1"/>
        <v>45311</v>
      </c>
      <c r="C44" t="s">
        <v>51</v>
      </c>
    </row>
    <row r="45" spans="2:3" x14ac:dyDescent="0.25">
      <c r="B45" s="14">
        <f t="shared" si="1"/>
        <v>45339</v>
      </c>
      <c r="C45" t="s">
        <v>52</v>
      </c>
    </row>
    <row r="46" spans="2:3" x14ac:dyDescent="0.25">
      <c r="B46" s="14">
        <f t="shared" si="1"/>
        <v>45437</v>
      </c>
      <c r="C46" t="s">
        <v>53</v>
      </c>
    </row>
    <row r="47" spans="2:3" x14ac:dyDescent="0.25">
      <c r="B47" s="14">
        <f t="shared" si="1"/>
        <v>45542</v>
      </c>
      <c r="C47" t="s">
        <v>54</v>
      </c>
    </row>
    <row r="48" spans="2:3" x14ac:dyDescent="0.25">
      <c r="B48" s="14">
        <f t="shared" si="1"/>
        <v>45477</v>
      </c>
      <c r="C48" t="s">
        <v>55</v>
      </c>
    </row>
    <row r="49" spans="2:3" x14ac:dyDescent="0.25">
      <c r="B49" s="14">
        <f t="shared" si="1"/>
        <v>45622</v>
      </c>
      <c r="C49" t="s">
        <v>56</v>
      </c>
    </row>
    <row r="50" spans="2:3" x14ac:dyDescent="0.25">
      <c r="B50" s="14">
        <f t="shared" si="1"/>
        <v>45623</v>
      </c>
      <c r="C50" t="s">
        <v>57</v>
      </c>
    </row>
    <row r="51" spans="2:3" x14ac:dyDescent="0.25">
      <c r="B51" s="14">
        <f t="shared" si="1"/>
        <v>45650</v>
      </c>
      <c r="C51" t="s">
        <v>58</v>
      </c>
    </row>
    <row r="52" spans="2:3" x14ac:dyDescent="0.25">
      <c r="B52" s="14">
        <f t="shared" si="1"/>
        <v>45651</v>
      </c>
      <c r="C52" t="s">
        <v>59</v>
      </c>
    </row>
    <row r="53" spans="2:3" x14ac:dyDescent="0.25">
      <c r="B53" s="14">
        <f t="shared" si="1"/>
        <v>45657</v>
      </c>
      <c r="C53" t="s">
        <v>50</v>
      </c>
    </row>
    <row r="54" spans="2:3" x14ac:dyDescent="0.25">
      <c r="B54" s="14">
        <f t="shared" si="1"/>
        <v>45676</v>
      </c>
      <c r="C54" t="s">
        <v>51</v>
      </c>
    </row>
    <row r="55" spans="2:3" x14ac:dyDescent="0.25">
      <c r="B55" s="14">
        <f t="shared" si="1"/>
        <v>45704</v>
      </c>
      <c r="C55" t="s">
        <v>52</v>
      </c>
    </row>
    <row r="56" spans="2:3" x14ac:dyDescent="0.25">
      <c r="B56" s="14">
        <f t="shared" si="1"/>
        <v>45802</v>
      </c>
      <c r="C56" t="s">
        <v>53</v>
      </c>
    </row>
    <row r="57" spans="2:3" x14ac:dyDescent="0.25">
      <c r="B57" s="14">
        <f t="shared" si="1"/>
        <v>45907</v>
      </c>
      <c r="C57" t="s">
        <v>54</v>
      </c>
    </row>
    <row r="58" spans="2:3" x14ac:dyDescent="0.25">
      <c r="B58" s="14">
        <f t="shared" si="1"/>
        <v>45842</v>
      </c>
      <c r="C58" t="s">
        <v>55</v>
      </c>
    </row>
    <row r="59" spans="2:3" x14ac:dyDescent="0.25">
      <c r="B59" s="14">
        <f t="shared" si="1"/>
        <v>45987</v>
      </c>
      <c r="C59" t="s">
        <v>56</v>
      </c>
    </row>
    <row r="60" spans="2:3" x14ac:dyDescent="0.25">
      <c r="B60" s="14">
        <f t="shared" si="1"/>
        <v>45988</v>
      </c>
      <c r="C60" t="s">
        <v>57</v>
      </c>
    </row>
    <row r="61" spans="2:3" x14ac:dyDescent="0.25">
      <c r="B61" s="14">
        <f t="shared" si="1"/>
        <v>46015</v>
      </c>
      <c r="C61" t="s">
        <v>58</v>
      </c>
    </row>
    <row r="62" spans="2:3" x14ac:dyDescent="0.25">
      <c r="B62" s="14">
        <f t="shared" si="1"/>
        <v>46016</v>
      </c>
      <c r="C62" t="s">
        <v>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7E7-E1EF-4D02-8151-E1C7395CE6E2}">
  <dimension ref="A1:XFD18"/>
  <sheetViews>
    <sheetView workbookViewId="0">
      <selection activeCell="C2" sqref="C2:C16"/>
    </sheetView>
  </sheetViews>
  <sheetFormatPr defaultColWidth="8.7109375" defaultRowHeight="15" x14ac:dyDescent="0.25"/>
  <cols>
    <col min="1" max="1" width="8.7109375" style="135"/>
    <col min="2" max="2" width="12.28515625" style="135" bestFit="1" customWidth="1"/>
    <col min="3" max="9" width="8.7109375" style="135"/>
    <col min="10" max="10" width="15" style="135" bestFit="1" customWidth="1"/>
    <col min="11" max="16384" width="8.7109375" style="135"/>
  </cols>
  <sheetData>
    <row r="1" spans="1:11 16384:16384" x14ac:dyDescent="0.25">
      <c r="A1" s="135" t="s">
        <v>68</v>
      </c>
      <c r="B1" s="135" t="s">
        <v>69</v>
      </c>
      <c r="C1" s="135" t="s">
        <v>70</v>
      </c>
      <c r="D1" s="135" t="s">
        <v>71</v>
      </c>
      <c r="E1" s="135" t="s">
        <v>72</v>
      </c>
      <c r="F1" s="135" t="s">
        <v>73</v>
      </c>
      <c r="G1" s="135" t="s">
        <v>74</v>
      </c>
      <c r="H1" s="135" t="s">
        <v>75</v>
      </c>
      <c r="I1" s="135" t="s">
        <v>76</v>
      </c>
      <c r="J1" s="136" t="s">
        <v>77</v>
      </c>
      <c r="K1" s="135" t="s">
        <v>78</v>
      </c>
    </row>
    <row r="2" spans="1:11 16384:16384" x14ac:dyDescent="0.25">
      <c r="A2" s="137" t="s">
        <v>91</v>
      </c>
      <c r="B2" s="137" t="s">
        <v>210</v>
      </c>
      <c r="C2" s="137">
        <v>2</v>
      </c>
      <c r="D2" s="137">
        <v>50</v>
      </c>
      <c r="E2" s="137">
        <v>100</v>
      </c>
      <c r="F2" s="137" t="s">
        <v>80</v>
      </c>
      <c r="G2" s="137" t="s">
        <v>80</v>
      </c>
      <c r="H2" s="137" t="s">
        <v>211</v>
      </c>
      <c r="I2" s="137"/>
      <c r="J2" s="138" t="s">
        <v>212</v>
      </c>
      <c r="K2" s="137">
        <v>100</v>
      </c>
    </row>
    <row r="3" spans="1:11 16384:16384" x14ac:dyDescent="0.25">
      <c r="A3" s="137" t="s">
        <v>98</v>
      </c>
      <c r="B3" s="139">
        <v>44906</v>
      </c>
      <c r="C3" s="137">
        <v>1.25</v>
      </c>
      <c r="D3" s="138">
        <v>60</v>
      </c>
      <c r="E3" s="137">
        <v>75</v>
      </c>
      <c r="F3" s="137" t="s">
        <v>80</v>
      </c>
      <c r="G3" s="137" t="s">
        <v>80</v>
      </c>
      <c r="H3" s="137" t="s">
        <v>99</v>
      </c>
      <c r="I3" s="137" t="s">
        <v>82</v>
      </c>
      <c r="J3" s="137" t="s">
        <v>180</v>
      </c>
      <c r="K3" s="137">
        <v>75</v>
      </c>
    </row>
    <row r="4" spans="1:11 16384:16384" x14ac:dyDescent="0.25">
      <c r="A4" s="137" t="s">
        <v>213</v>
      </c>
      <c r="B4" s="139">
        <v>44907</v>
      </c>
      <c r="C4" s="137">
        <v>1</v>
      </c>
      <c r="D4" s="138">
        <v>60</v>
      </c>
      <c r="E4" s="137">
        <v>60</v>
      </c>
      <c r="F4" s="137" t="s">
        <v>80</v>
      </c>
      <c r="G4" s="137" t="s">
        <v>80</v>
      </c>
      <c r="H4" s="137" t="s">
        <v>214</v>
      </c>
      <c r="I4" s="137" t="s">
        <v>82</v>
      </c>
      <c r="J4" s="137" t="s">
        <v>180</v>
      </c>
      <c r="K4" s="137">
        <v>60</v>
      </c>
    </row>
    <row r="5" spans="1:11 16384:16384" x14ac:dyDescent="0.25">
      <c r="A5" s="137" t="s">
        <v>213</v>
      </c>
      <c r="B5" s="139">
        <v>44908</v>
      </c>
      <c r="C5" s="137">
        <v>1.5</v>
      </c>
      <c r="D5" s="138">
        <v>60</v>
      </c>
      <c r="E5" s="137">
        <v>90</v>
      </c>
      <c r="F5" s="137" t="s">
        <v>80</v>
      </c>
      <c r="G5" s="137" t="s">
        <v>80</v>
      </c>
      <c r="H5" s="137" t="s">
        <v>214</v>
      </c>
      <c r="I5" s="137" t="s">
        <v>82</v>
      </c>
      <c r="J5" s="137" t="s">
        <v>180</v>
      </c>
      <c r="K5" s="137">
        <v>90</v>
      </c>
    </row>
    <row r="6" spans="1:11 16384:16384" x14ac:dyDescent="0.25">
      <c r="A6" s="137" t="s">
        <v>213</v>
      </c>
      <c r="B6" s="139">
        <v>44910</v>
      </c>
      <c r="C6" s="137">
        <v>1.5</v>
      </c>
      <c r="D6" s="137">
        <v>60</v>
      </c>
      <c r="E6" s="137">
        <v>90</v>
      </c>
      <c r="F6" s="137" t="s">
        <v>80</v>
      </c>
      <c r="G6" s="137" t="s">
        <v>80</v>
      </c>
      <c r="H6" s="137" t="s">
        <v>214</v>
      </c>
      <c r="I6" s="137" t="s">
        <v>82</v>
      </c>
      <c r="J6" s="137" t="s">
        <v>180</v>
      </c>
      <c r="K6" s="137">
        <v>90</v>
      </c>
    </row>
    <row r="7" spans="1:11 16384:16384" x14ac:dyDescent="0.25">
      <c r="A7" s="137" t="s">
        <v>215</v>
      </c>
      <c r="B7" s="139">
        <v>44905</v>
      </c>
      <c r="C7" s="137">
        <v>1</v>
      </c>
      <c r="D7" s="138">
        <v>60</v>
      </c>
      <c r="E7" s="137">
        <v>60</v>
      </c>
      <c r="F7" s="137" t="s">
        <v>80</v>
      </c>
      <c r="G7" s="137" t="s">
        <v>80</v>
      </c>
      <c r="H7" s="137" t="s">
        <v>216</v>
      </c>
      <c r="I7" s="137" t="s">
        <v>82</v>
      </c>
      <c r="J7" s="137" t="s">
        <v>180</v>
      </c>
      <c r="K7" s="137">
        <v>60</v>
      </c>
    </row>
    <row r="8" spans="1:11 16384:16384" x14ac:dyDescent="0.25">
      <c r="A8" s="137" t="s">
        <v>120</v>
      </c>
      <c r="B8" s="139">
        <v>44898</v>
      </c>
      <c r="C8" s="137">
        <v>1.5</v>
      </c>
      <c r="D8" s="137">
        <v>50</v>
      </c>
      <c r="E8" s="137">
        <v>75</v>
      </c>
      <c r="F8" s="137" t="s">
        <v>80</v>
      </c>
      <c r="G8" s="137" t="s">
        <v>80</v>
      </c>
      <c r="H8" s="137" t="s">
        <v>121</v>
      </c>
      <c r="I8" s="137" t="s">
        <v>82</v>
      </c>
      <c r="J8" s="137" t="s">
        <v>180</v>
      </c>
      <c r="K8" s="137">
        <v>75</v>
      </c>
    </row>
    <row r="9" spans="1:11 16384:16384" x14ac:dyDescent="0.25">
      <c r="A9" s="137" t="s">
        <v>120</v>
      </c>
      <c r="B9" s="139">
        <v>44900</v>
      </c>
      <c r="C9" s="137">
        <v>1.5</v>
      </c>
      <c r="D9" s="137">
        <v>50</v>
      </c>
      <c r="E9" s="137">
        <v>75</v>
      </c>
      <c r="F9" s="137" t="s">
        <v>80</v>
      </c>
      <c r="G9" s="137" t="s">
        <v>80</v>
      </c>
      <c r="H9" s="137" t="s">
        <v>121</v>
      </c>
      <c r="I9" s="137" t="s">
        <v>82</v>
      </c>
      <c r="J9" s="137" t="s">
        <v>180</v>
      </c>
      <c r="K9" s="137">
        <v>75</v>
      </c>
    </row>
    <row r="10" spans="1:11 16384:16384" x14ac:dyDescent="0.25">
      <c r="A10" s="137" t="s">
        <v>120</v>
      </c>
      <c r="B10" s="139">
        <v>44903</v>
      </c>
      <c r="C10" s="137">
        <v>1</v>
      </c>
      <c r="D10" s="137">
        <v>50</v>
      </c>
      <c r="E10" s="137">
        <v>50</v>
      </c>
      <c r="F10" s="137" t="s">
        <v>80</v>
      </c>
      <c r="G10" s="137" t="s">
        <v>80</v>
      </c>
      <c r="H10" s="137" t="s">
        <v>121</v>
      </c>
      <c r="I10" s="137" t="s">
        <v>82</v>
      </c>
      <c r="J10" s="137" t="s">
        <v>180</v>
      </c>
      <c r="K10" s="137">
        <v>50</v>
      </c>
    </row>
    <row r="11" spans="1:11 16384:16384" x14ac:dyDescent="0.25">
      <c r="A11" s="137" t="s">
        <v>120</v>
      </c>
      <c r="B11" s="139">
        <v>44906</v>
      </c>
      <c r="C11" s="137">
        <v>2</v>
      </c>
      <c r="D11" s="137">
        <v>50</v>
      </c>
      <c r="E11" s="137">
        <v>100</v>
      </c>
      <c r="F11" s="137" t="s">
        <v>80</v>
      </c>
      <c r="G11" s="137" t="s">
        <v>80</v>
      </c>
      <c r="H11" s="137" t="s">
        <v>121</v>
      </c>
      <c r="I11" s="137" t="s">
        <v>82</v>
      </c>
      <c r="J11" s="137" t="s">
        <v>180</v>
      </c>
      <c r="K11" s="137">
        <v>100</v>
      </c>
    </row>
    <row r="12" spans="1:11 16384:16384" x14ac:dyDescent="0.25">
      <c r="A12" s="137" t="s">
        <v>120</v>
      </c>
      <c r="B12" s="139">
        <v>44907</v>
      </c>
      <c r="C12" s="137">
        <v>1.25</v>
      </c>
      <c r="D12" s="137">
        <v>50</v>
      </c>
      <c r="E12" s="137">
        <v>62.5</v>
      </c>
      <c r="F12" s="137" t="s">
        <v>80</v>
      </c>
      <c r="G12" s="137" t="s">
        <v>80</v>
      </c>
      <c r="H12" s="137" t="s">
        <v>121</v>
      </c>
      <c r="I12" s="137" t="s">
        <v>82</v>
      </c>
      <c r="J12" s="137" t="s">
        <v>180</v>
      </c>
      <c r="K12" s="137">
        <v>62.5</v>
      </c>
      <c r="XFD12" s="135" t="s">
        <v>80</v>
      </c>
    </row>
    <row r="13" spans="1:11 16384:16384" x14ac:dyDescent="0.25">
      <c r="A13" s="137" t="s">
        <v>120</v>
      </c>
      <c r="B13" s="139">
        <v>44908</v>
      </c>
      <c r="C13" s="137">
        <v>1.5</v>
      </c>
      <c r="D13" s="137">
        <v>50</v>
      </c>
      <c r="E13" s="137">
        <v>75</v>
      </c>
      <c r="F13" s="137" t="s">
        <v>80</v>
      </c>
      <c r="G13" s="137" t="s">
        <v>80</v>
      </c>
      <c r="H13" s="137" t="s">
        <v>121</v>
      </c>
      <c r="I13" s="137" t="s">
        <v>82</v>
      </c>
      <c r="J13" s="137" t="s">
        <v>180</v>
      </c>
      <c r="K13" s="137">
        <v>75</v>
      </c>
    </row>
    <row r="14" spans="1:11 16384:16384" x14ac:dyDescent="0.25">
      <c r="A14" s="137" t="s">
        <v>120</v>
      </c>
      <c r="B14" s="139">
        <v>44909</v>
      </c>
      <c r="C14" s="137">
        <v>0.5</v>
      </c>
      <c r="D14" s="137">
        <v>50</v>
      </c>
      <c r="E14" s="137">
        <v>25</v>
      </c>
      <c r="F14" s="137" t="s">
        <v>80</v>
      </c>
      <c r="G14" s="137" t="s">
        <v>80</v>
      </c>
      <c r="H14" s="137" t="s">
        <v>121</v>
      </c>
      <c r="I14" s="137" t="s">
        <v>82</v>
      </c>
      <c r="J14" s="137" t="s">
        <v>180</v>
      </c>
      <c r="K14" s="137">
        <v>25</v>
      </c>
    </row>
    <row r="15" spans="1:11 16384:16384" x14ac:dyDescent="0.25">
      <c r="A15" s="137" t="s">
        <v>125</v>
      </c>
      <c r="B15" s="139">
        <v>44904</v>
      </c>
      <c r="C15" s="137">
        <v>2</v>
      </c>
      <c r="D15" s="138">
        <v>60</v>
      </c>
      <c r="E15" s="137">
        <v>120</v>
      </c>
      <c r="F15" s="137" t="s">
        <v>217</v>
      </c>
      <c r="G15" s="137" t="s">
        <v>80</v>
      </c>
      <c r="H15" s="137" t="s">
        <v>218</v>
      </c>
      <c r="I15" s="137" t="s">
        <v>82</v>
      </c>
      <c r="J15" s="137" t="s">
        <v>180</v>
      </c>
      <c r="K15" s="137">
        <v>0</v>
      </c>
    </row>
    <row r="16" spans="1:11 16384:16384" x14ac:dyDescent="0.25">
      <c r="A16" s="137" t="s">
        <v>125</v>
      </c>
      <c r="B16" s="139">
        <v>44906</v>
      </c>
      <c r="C16" s="137">
        <v>1.25</v>
      </c>
      <c r="D16" s="138">
        <v>60</v>
      </c>
      <c r="E16" s="137">
        <v>75</v>
      </c>
      <c r="F16" s="137" t="s">
        <v>80</v>
      </c>
      <c r="G16" s="137" t="s">
        <v>80</v>
      </c>
      <c r="H16" s="137" t="s">
        <v>219</v>
      </c>
      <c r="I16" s="137" t="s">
        <v>82</v>
      </c>
      <c r="J16" s="137" t="s">
        <v>180</v>
      </c>
      <c r="K16" s="137">
        <v>195</v>
      </c>
    </row>
    <row r="17" spans="1:11" x14ac:dyDescent="0.25">
      <c r="A17" s="137"/>
      <c r="B17" s="139"/>
      <c r="C17" s="137"/>
      <c r="D17" s="137"/>
      <c r="E17" s="137"/>
      <c r="F17" s="137"/>
      <c r="G17" s="137"/>
      <c r="H17" s="137"/>
      <c r="I17" s="137"/>
      <c r="J17" s="137"/>
      <c r="K17" s="137"/>
    </row>
    <row r="18" spans="1:11" x14ac:dyDescent="0.25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>
        <f>SUM(K2:K16)</f>
        <v>1132.5</v>
      </c>
    </row>
  </sheetData>
  <autoFilter ref="A1:K16" xr:uid="{9A642484-9CB1-4531-9C0F-5A0BEE9907C7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670E-C494-45F7-9C9C-19FB3B86410B}">
  <dimension ref="A1:T27"/>
  <sheetViews>
    <sheetView workbookViewId="0">
      <selection activeCell="R3" sqref="R3:R13"/>
    </sheetView>
  </sheetViews>
  <sheetFormatPr defaultColWidth="8.7109375" defaultRowHeight="15" x14ac:dyDescent="0.25"/>
  <cols>
    <col min="1" max="1" width="14.42578125" style="117" bestFit="1" customWidth="1"/>
    <col min="2" max="2" width="7.140625" style="117" bestFit="1" customWidth="1"/>
    <col min="3" max="3" width="8" style="117" bestFit="1" customWidth="1"/>
    <col min="4" max="4" width="12" style="117" bestFit="1" customWidth="1"/>
    <col min="5" max="5" width="6.7109375" style="117" bestFit="1" customWidth="1"/>
    <col min="6" max="6" width="8.42578125" style="117" bestFit="1" customWidth="1"/>
    <col min="7" max="7" width="19.140625" style="117" bestFit="1" customWidth="1"/>
    <col min="8" max="8" width="68.28515625" style="117" bestFit="1" customWidth="1"/>
    <col min="9" max="9" width="6.42578125" style="117" bestFit="1" customWidth="1"/>
    <col min="10" max="10" width="17.28515625" style="117" bestFit="1" customWidth="1"/>
    <col min="11" max="11" width="8.28515625" style="117" bestFit="1" customWidth="1"/>
    <col min="12" max="12" width="23.7109375" style="117" bestFit="1" customWidth="1"/>
    <col min="13" max="17" width="8.7109375" style="117"/>
    <col min="18" max="18" width="14.42578125" style="117" bestFit="1" customWidth="1"/>
    <col min="19" max="19" width="12.28515625" style="117" bestFit="1" customWidth="1"/>
    <col min="20" max="20" width="11.28515625" style="117" bestFit="1" customWidth="1"/>
    <col min="21" max="16384" width="8.7109375" style="117"/>
  </cols>
  <sheetData>
    <row r="1" spans="1:20" x14ac:dyDescent="0.25">
      <c r="A1" s="117" t="s">
        <v>68</v>
      </c>
      <c r="B1" s="117" t="s">
        <v>69</v>
      </c>
      <c r="C1" s="117" t="s">
        <v>70</v>
      </c>
      <c r="D1" s="117" t="s">
        <v>71</v>
      </c>
      <c r="E1" s="117" t="s">
        <v>72</v>
      </c>
      <c r="F1" s="117" t="s">
        <v>73</v>
      </c>
      <c r="G1" s="117" t="s">
        <v>74</v>
      </c>
      <c r="H1" s="117" t="s">
        <v>75</v>
      </c>
      <c r="I1" s="117" t="s">
        <v>76</v>
      </c>
      <c r="J1" s="118" t="s">
        <v>77</v>
      </c>
      <c r="K1" s="117" t="s">
        <v>78</v>
      </c>
    </row>
    <row r="2" spans="1:20" x14ac:dyDescent="0.25">
      <c r="A2" s="119" t="s">
        <v>79</v>
      </c>
      <c r="B2" s="119">
        <v>44868</v>
      </c>
      <c r="C2" s="120">
        <v>1</v>
      </c>
      <c r="D2" s="120">
        <v>50</v>
      </c>
      <c r="E2" s="120">
        <v>50</v>
      </c>
      <c r="F2" s="120" t="s">
        <v>80</v>
      </c>
      <c r="G2" s="120" t="s">
        <v>80</v>
      </c>
      <c r="H2" s="120" t="s">
        <v>177</v>
      </c>
      <c r="I2" s="120" t="s">
        <v>82</v>
      </c>
      <c r="J2" s="120" t="s">
        <v>80</v>
      </c>
      <c r="K2" s="120">
        <v>50</v>
      </c>
      <c r="R2" s="47" t="s">
        <v>149</v>
      </c>
      <c r="S2" t="s">
        <v>151</v>
      </c>
      <c r="T2" t="s">
        <v>152</v>
      </c>
    </row>
    <row r="3" spans="1:20" s="121" customFormat="1" x14ac:dyDescent="0.25">
      <c r="A3" s="121" t="s">
        <v>178</v>
      </c>
      <c r="B3" s="122">
        <v>44878</v>
      </c>
      <c r="C3" s="121">
        <v>1</v>
      </c>
      <c r="D3" s="121">
        <v>60</v>
      </c>
      <c r="E3" s="121">
        <v>60</v>
      </c>
      <c r="F3" s="121" t="s">
        <v>80</v>
      </c>
      <c r="G3" s="121" t="s">
        <v>80</v>
      </c>
      <c r="H3" s="121" t="s">
        <v>179</v>
      </c>
      <c r="I3" s="121" t="s">
        <v>82</v>
      </c>
      <c r="J3" s="121" t="s">
        <v>180</v>
      </c>
      <c r="K3" s="121">
        <v>60</v>
      </c>
      <c r="R3" s="48" t="s">
        <v>79</v>
      </c>
      <c r="S3">
        <v>1</v>
      </c>
      <c r="T3">
        <v>50</v>
      </c>
    </row>
    <row r="4" spans="1:20" s="121" customFormat="1" x14ac:dyDescent="0.25">
      <c r="A4" s="121" t="s">
        <v>178</v>
      </c>
      <c r="B4" s="122">
        <v>44880</v>
      </c>
      <c r="C4" s="121">
        <v>1.5</v>
      </c>
      <c r="D4" s="121">
        <v>60</v>
      </c>
      <c r="E4" s="121">
        <v>90</v>
      </c>
      <c r="F4" s="121" t="s">
        <v>80</v>
      </c>
      <c r="G4" s="121" t="s">
        <v>80</v>
      </c>
      <c r="H4" s="121" t="s">
        <v>179</v>
      </c>
      <c r="I4" s="121" t="s">
        <v>82</v>
      </c>
      <c r="J4" s="121" t="s">
        <v>180</v>
      </c>
      <c r="K4" s="121">
        <v>90</v>
      </c>
      <c r="R4" s="48" t="s">
        <v>178</v>
      </c>
      <c r="S4">
        <v>2.5</v>
      </c>
      <c r="T4">
        <v>150</v>
      </c>
    </row>
    <row r="5" spans="1:20" s="121" customFormat="1" x14ac:dyDescent="0.25">
      <c r="A5" s="121" t="s">
        <v>98</v>
      </c>
      <c r="B5" s="122">
        <v>44872</v>
      </c>
      <c r="C5" s="121">
        <v>1</v>
      </c>
      <c r="D5" s="121">
        <v>60</v>
      </c>
      <c r="E5" s="121">
        <v>60</v>
      </c>
      <c r="F5" s="121" t="s">
        <v>80</v>
      </c>
      <c r="G5" s="121" t="s">
        <v>80</v>
      </c>
      <c r="H5" s="121" t="s">
        <v>181</v>
      </c>
      <c r="I5" s="121" t="s">
        <v>82</v>
      </c>
      <c r="J5" s="121" t="s">
        <v>180</v>
      </c>
      <c r="K5" s="121">
        <v>60</v>
      </c>
      <c r="R5" s="48" t="s">
        <v>98</v>
      </c>
      <c r="S5">
        <v>2.5</v>
      </c>
      <c r="T5">
        <v>150</v>
      </c>
    </row>
    <row r="6" spans="1:20" s="123" customFormat="1" x14ac:dyDescent="0.25">
      <c r="A6" s="123" t="s">
        <v>98</v>
      </c>
      <c r="B6" s="124">
        <v>44892</v>
      </c>
      <c r="C6" s="123">
        <v>1.5</v>
      </c>
      <c r="D6" s="123">
        <v>60</v>
      </c>
      <c r="E6" s="123">
        <v>90</v>
      </c>
      <c r="F6" s="123" t="s">
        <v>80</v>
      </c>
      <c r="G6" s="123" t="s">
        <v>80</v>
      </c>
      <c r="H6" s="123" t="s">
        <v>182</v>
      </c>
      <c r="I6" s="123" t="s">
        <v>82</v>
      </c>
      <c r="J6" s="123" t="s">
        <v>180</v>
      </c>
      <c r="K6" s="123">
        <v>90</v>
      </c>
      <c r="R6" s="48" t="s">
        <v>183</v>
      </c>
      <c r="S6">
        <v>2.5</v>
      </c>
      <c r="T6">
        <v>150</v>
      </c>
    </row>
    <row r="7" spans="1:20" x14ac:dyDescent="0.25">
      <c r="A7" s="120" t="s">
        <v>183</v>
      </c>
      <c r="B7" s="119">
        <v>44878</v>
      </c>
      <c r="C7" s="120">
        <v>1</v>
      </c>
      <c r="D7" s="120">
        <v>60</v>
      </c>
      <c r="E7" s="120">
        <v>60</v>
      </c>
      <c r="F7" s="120" t="s">
        <v>80</v>
      </c>
      <c r="G7" s="120" t="s">
        <v>80</v>
      </c>
      <c r="H7" s="120" t="s">
        <v>184</v>
      </c>
      <c r="I7" s="120" t="s">
        <v>82</v>
      </c>
      <c r="J7" s="120" t="s">
        <v>180</v>
      </c>
      <c r="K7" s="120">
        <v>60</v>
      </c>
      <c r="R7" s="48" t="s">
        <v>103</v>
      </c>
      <c r="S7">
        <v>1.5</v>
      </c>
      <c r="T7">
        <v>75</v>
      </c>
    </row>
    <row r="8" spans="1:20" s="123" customFormat="1" x14ac:dyDescent="0.25">
      <c r="A8" s="123" t="s">
        <v>183</v>
      </c>
      <c r="B8" s="124">
        <v>44884</v>
      </c>
      <c r="C8" s="123">
        <v>1.5</v>
      </c>
      <c r="D8" s="123">
        <v>60</v>
      </c>
      <c r="E8" s="123">
        <v>90</v>
      </c>
      <c r="F8" s="123" t="s">
        <v>80</v>
      </c>
      <c r="G8" s="123" t="s">
        <v>80</v>
      </c>
      <c r="H8" s="123" t="s">
        <v>184</v>
      </c>
      <c r="I8" s="123" t="s">
        <v>82</v>
      </c>
      <c r="J8" s="123" t="s">
        <v>180</v>
      </c>
      <c r="K8" s="123">
        <v>90</v>
      </c>
      <c r="R8" s="48" t="s">
        <v>106</v>
      </c>
      <c r="S8">
        <v>1</v>
      </c>
      <c r="T8">
        <v>50</v>
      </c>
    </row>
    <row r="9" spans="1:20" x14ac:dyDescent="0.25">
      <c r="A9" s="120" t="s">
        <v>103</v>
      </c>
      <c r="B9" s="119">
        <v>44875</v>
      </c>
      <c r="C9" s="120">
        <v>1.5</v>
      </c>
      <c r="D9" s="120">
        <v>50</v>
      </c>
      <c r="E9" s="120">
        <v>75</v>
      </c>
      <c r="F9" s="120" t="s">
        <v>80</v>
      </c>
      <c r="G9" s="120" t="s">
        <v>80</v>
      </c>
      <c r="H9" s="120" t="s">
        <v>185</v>
      </c>
      <c r="I9" s="120" t="s">
        <v>82</v>
      </c>
      <c r="J9" s="120" t="s">
        <v>180</v>
      </c>
      <c r="K9" s="120">
        <v>75</v>
      </c>
      <c r="R9" s="48" t="s">
        <v>115</v>
      </c>
      <c r="S9">
        <v>0.5</v>
      </c>
      <c r="T9">
        <v>30</v>
      </c>
    </row>
    <row r="10" spans="1:20" s="123" customFormat="1" x14ac:dyDescent="0.25">
      <c r="A10" s="123" t="s">
        <v>106</v>
      </c>
      <c r="B10" s="124">
        <v>44886</v>
      </c>
      <c r="C10" s="123">
        <v>1</v>
      </c>
      <c r="D10" s="123">
        <v>50</v>
      </c>
      <c r="E10" s="123">
        <v>50</v>
      </c>
      <c r="F10" s="123" t="s">
        <v>80</v>
      </c>
      <c r="G10" s="123" t="s">
        <v>80</v>
      </c>
      <c r="H10" s="123" t="s">
        <v>186</v>
      </c>
      <c r="I10" s="123" t="s">
        <v>82</v>
      </c>
      <c r="J10" s="123" t="s">
        <v>180</v>
      </c>
      <c r="K10" s="123">
        <v>50</v>
      </c>
      <c r="R10" s="48" t="s">
        <v>117</v>
      </c>
      <c r="S10">
        <v>7.5</v>
      </c>
      <c r="T10">
        <v>375</v>
      </c>
    </row>
    <row r="11" spans="1:20" s="121" customFormat="1" x14ac:dyDescent="0.25">
      <c r="A11" s="122" t="s">
        <v>115</v>
      </c>
      <c r="B11" s="122">
        <v>44877</v>
      </c>
      <c r="C11" s="121">
        <v>0.5</v>
      </c>
      <c r="D11" s="121">
        <v>60</v>
      </c>
      <c r="E11" s="121">
        <v>30</v>
      </c>
      <c r="F11" s="121" t="s">
        <v>80</v>
      </c>
      <c r="G11" s="121" t="s">
        <v>80</v>
      </c>
      <c r="H11" s="121" t="s">
        <v>187</v>
      </c>
      <c r="I11" s="121" t="s">
        <v>82</v>
      </c>
      <c r="J11" s="121" t="s">
        <v>180</v>
      </c>
      <c r="K11" s="121">
        <v>30</v>
      </c>
      <c r="R11" s="48" t="s">
        <v>120</v>
      </c>
      <c r="S11">
        <v>9</v>
      </c>
      <c r="T11">
        <v>450</v>
      </c>
    </row>
    <row r="12" spans="1:20" x14ac:dyDescent="0.25">
      <c r="A12" s="120" t="s">
        <v>117</v>
      </c>
      <c r="B12" s="119">
        <v>44871</v>
      </c>
      <c r="C12" s="120">
        <v>2</v>
      </c>
      <c r="D12" s="120">
        <v>50</v>
      </c>
      <c r="E12" s="120">
        <v>100</v>
      </c>
      <c r="F12" s="120" t="s">
        <v>80</v>
      </c>
      <c r="G12" s="120" t="s">
        <v>80</v>
      </c>
      <c r="H12" s="120" t="s">
        <v>188</v>
      </c>
      <c r="I12" s="120" t="s">
        <v>82</v>
      </c>
      <c r="J12" s="120" t="s">
        <v>180</v>
      </c>
      <c r="K12" s="120">
        <v>100</v>
      </c>
      <c r="R12" s="48" t="s">
        <v>123</v>
      </c>
      <c r="S12">
        <v>2</v>
      </c>
      <c r="T12">
        <v>100</v>
      </c>
    </row>
    <row r="13" spans="1:20" x14ac:dyDescent="0.25">
      <c r="A13" s="120" t="s">
        <v>117</v>
      </c>
      <c r="B13" s="119">
        <v>44873</v>
      </c>
      <c r="C13" s="120">
        <v>1</v>
      </c>
      <c r="D13" s="120">
        <v>50</v>
      </c>
      <c r="E13" s="120">
        <v>50</v>
      </c>
      <c r="F13" s="120" t="s">
        <v>80</v>
      </c>
      <c r="G13" s="120" t="s">
        <v>80</v>
      </c>
      <c r="H13" s="120" t="s">
        <v>189</v>
      </c>
      <c r="I13" s="120" t="s">
        <v>82</v>
      </c>
      <c r="J13" s="120" t="s">
        <v>180</v>
      </c>
      <c r="K13" s="120">
        <v>50</v>
      </c>
      <c r="R13" s="48" t="s">
        <v>125</v>
      </c>
      <c r="S13">
        <v>1</v>
      </c>
      <c r="T13">
        <v>60</v>
      </c>
    </row>
    <row r="14" spans="1:20" s="123" customFormat="1" x14ac:dyDescent="0.25">
      <c r="A14" s="123" t="s">
        <v>117</v>
      </c>
      <c r="B14" s="124">
        <v>44884</v>
      </c>
      <c r="C14" s="123">
        <v>1.5</v>
      </c>
      <c r="D14" s="123">
        <v>50</v>
      </c>
      <c r="E14" s="123">
        <v>75</v>
      </c>
      <c r="F14" s="123" t="s">
        <v>80</v>
      </c>
      <c r="G14" s="123" t="s">
        <v>80</v>
      </c>
      <c r="H14" s="123" t="s">
        <v>190</v>
      </c>
      <c r="I14" s="123" t="s">
        <v>82</v>
      </c>
      <c r="J14" s="123" t="s">
        <v>180</v>
      </c>
      <c r="K14" s="123">
        <v>75</v>
      </c>
      <c r="R14" s="48" t="s">
        <v>150</v>
      </c>
      <c r="S14">
        <v>31</v>
      </c>
      <c r="T14">
        <v>1640</v>
      </c>
    </row>
    <row r="15" spans="1:20" s="123" customFormat="1" x14ac:dyDescent="0.25">
      <c r="A15" s="123" t="s">
        <v>117</v>
      </c>
      <c r="B15" s="124">
        <v>44891</v>
      </c>
      <c r="C15" s="123">
        <v>1.5</v>
      </c>
      <c r="D15" s="123">
        <v>50</v>
      </c>
      <c r="E15" s="123">
        <v>75</v>
      </c>
      <c r="F15" s="123" t="s">
        <v>80</v>
      </c>
      <c r="G15" s="123" t="s">
        <v>80</v>
      </c>
      <c r="H15" s="123" t="s">
        <v>191</v>
      </c>
      <c r="I15" s="123" t="s">
        <v>82</v>
      </c>
      <c r="J15" s="123" t="s">
        <v>180</v>
      </c>
      <c r="K15" s="123">
        <v>75</v>
      </c>
      <c r="L15" s="123" t="s">
        <v>192</v>
      </c>
      <c r="R15"/>
      <c r="S15"/>
      <c r="T15"/>
    </row>
    <row r="16" spans="1:20" s="123" customFormat="1" x14ac:dyDescent="0.25">
      <c r="A16" s="123" t="s">
        <v>117</v>
      </c>
      <c r="B16" s="124">
        <v>44892</v>
      </c>
      <c r="C16" s="123">
        <v>1.5</v>
      </c>
      <c r="D16" s="123">
        <v>50</v>
      </c>
      <c r="E16" s="123">
        <v>75</v>
      </c>
      <c r="F16" s="123" t="s">
        <v>80</v>
      </c>
      <c r="G16" s="123" t="s">
        <v>80</v>
      </c>
      <c r="H16" s="123" t="s">
        <v>193</v>
      </c>
      <c r="I16" s="123" t="s">
        <v>82</v>
      </c>
      <c r="J16" s="123" t="s">
        <v>180</v>
      </c>
      <c r="K16" s="123">
        <v>75</v>
      </c>
      <c r="R16"/>
      <c r="S16"/>
      <c r="T16"/>
    </row>
    <row r="17" spans="1:20" x14ac:dyDescent="0.25">
      <c r="A17" s="119" t="s">
        <v>120</v>
      </c>
      <c r="B17" s="119">
        <v>44868</v>
      </c>
      <c r="C17" s="120">
        <v>1.25</v>
      </c>
      <c r="D17" s="120">
        <v>50</v>
      </c>
      <c r="E17" s="120">
        <v>62.5</v>
      </c>
      <c r="F17" s="120" t="s">
        <v>80</v>
      </c>
      <c r="G17" s="120" t="s">
        <v>80</v>
      </c>
      <c r="H17" s="120" t="s">
        <v>194</v>
      </c>
      <c r="I17" s="120" t="s">
        <v>82</v>
      </c>
      <c r="J17" s="120" t="s">
        <v>80</v>
      </c>
      <c r="K17" s="120">
        <v>62.5</v>
      </c>
      <c r="R17"/>
      <c r="S17"/>
      <c r="T17"/>
    </row>
    <row r="18" spans="1:20" x14ac:dyDescent="0.25">
      <c r="A18" s="120" t="s">
        <v>120</v>
      </c>
      <c r="B18" s="119">
        <v>44873</v>
      </c>
      <c r="C18" s="120">
        <v>1</v>
      </c>
      <c r="D18" s="120">
        <v>50</v>
      </c>
      <c r="E18" s="120">
        <v>50</v>
      </c>
      <c r="F18" s="120" t="s">
        <v>80</v>
      </c>
      <c r="G18" s="120" t="s">
        <v>80</v>
      </c>
      <c r="H18" s="120" t="s">
        <v>195</v>
      </c>
      <c r="I18" s="120" t="s">
        <v>82</v>
      </c>
      <c r="J18" s="120" t="s">
        <v>180</v>
      </c>
      <c r="K18" s="120">
        <v>50</v>
      </c>
      <c r="R18"/>
      <c r="S18"/>
      <c r="T18"/>
    </row>
    <row r="19" spans="1:20" x14ac:dyDescent="0.25">
      <c r="A19" s="120" t="s">
        <v>120</v>
      </c>
      <c r="B19" s="119">
        <v>44875</v>
      </c>
      <c r="C19" s="120">
        <v>1.25</v>
      </c>
      <c r="D19" s="120">
        <v>50</v>
      </c>
      <c r="E19" s="120">
        <v>62.5</v>
      </c>
      <c r="F19" s="120" t="s">
        <v>80</v>
      </c>
      <c r="G19" s="120" t="s">
        <v>80</v>
      </c>
      <c r="H19" s="120" t="s">
        <v>196</v>
      </c>
      <c r="I19" s="120" t="s">
        <v>82</v>
      </c>
      <c r="J19" s="120" t="s">
        <v>180</v>
      </c>
      <c r="K19" s="120">
        <v>62.5</v>
      </c>
      <c r="R19"/>
      <c r="S19"/>
      <c r="T19"/>
    </row>
    <row r="20" spans="1:20" s="123" customFormat="1" x14ac:dyDescent="0.25">
      <c r="A20" s="123" t="s">
        <v>120</v>
      </c>
      <c r="B20" s="124">
        <v>44886</v>
      </c>
      <c r="C20" s="123">
        <v>1.5</v>
      </c>
      <c r="D20" s="123">
        <v>50</v>
      </c>
      <c r="E20" s="123">
        <v>75</v>
      </c>
      <c r="F20" s="123" t="s">
        <v>80</v>
      </c>
      <c r="G20" s="123" t="s">
        <v>80</v>
      </c>
      <c r="H20" s="123" t="s">
        <v>195</v>
      </c>
      <c r="I20" s="123" t="s">
        <v>82</v>
      </c>
      <c r="J20" s="123" t="s">
        <v>180</v>
      </c>
      <c r="K20" s="123">
        <v>75</v>
      </c>
    </row>
    <row r="21" spans="1:20" s="123" customFormat="1" x14ac:dyDescent="0.25">
      <c r="A21" s="123" t="s">
        <v>120</v>
      </c>
      <c r="B21" s="124">
        <v>44891</v>
      </c>
      <c r="C21" s="123">
        <v>1</v>
      </c>
      <c r="D21" s="123">
        <v>50</v>
      </c>
      <c r="E21" s="123">
        <v>50</v>
      </c>
      <c r="F21" s="123" t="s">
        <v>80</v>
      </c>
      <c r="G21" s="123" t="s">
        <v>80</v>
      </c>
      <c r="H21" s="123" t="s">
        <v>195</v>
      </c>
      <c r="I21" s="123" t="s">
        <v>82</v>
      </c>
      <c r="J21" s="123" t="s">
        <v>180</v>
      </c>
      <c r="K21" s="123">
        <v>50</v>
      </c>
      <c r="L21" s="123" t="s">
        <v>192</v>
      </c>
    </row>
    <row r="22" spans="1:20" s="123" customFormat="1" x14ac:dyDescent="0.25">
      <c r="A22" s="123" t="s">
        <v>120</v>
      </c>
      <c r="B22" s="124">
        <v>44892</v>
      </c>
      <c r="C22" s="123">
        <v>2</v>
      </c>
      <c r="D22" s="123">
        <v>50</v>
      </c>
      <c r="E22" s="123">
        <v>100</v>
      </c>
      <c r="F22" s="123" t="s">
        <v>80</v>
      </c>
      <c r="G22" s="123" t="s">
        <v>80</v>
      </c>
      <c r="H22" s="123" t="s">
        <v>195</v>
      </c>
      <c r="I22" s="123" t="s">
        <v>82</v>
      </c>
      <c r="J22" s="123" t="s">
        <v>180</v>
      </c>
      <c r="K22" s="123">
        <v>100</v>
      </c>
    </row>
    <row r="23" spans="1:20" s="123" customFormat="1" x14ac:dyDescent="0.25">
      <c r="A23" s="123" t="s">
        <v>120</v>
      </c>
      <c r="B23" s="124">
        <v>44893</v>
      </c>
      <c r="C23" s="123">
        <v>1</v>
      </c>
      <c r="D23" s="123">
        <v>50</v>
      </c>
      <c r="E23" s="123">
        <v>50</v>
      </c>
      <c r="F23" s="123" t="s">
        <v>80</v>
      </c>
      <c r="G23" s="123" t="s">
        <v>80</v>
      </c>
      <c r="H23" s="123" t="s">
        <v>195</v>
      </c>
      <c r="I23" s="123" t="s">
        <v>82</v>
      </c>
      <c r="J23" s="123" t="s">
        <v>180</v>
      </c>
      <c r="K23" s="123">
        <v>50</v>
      </c>
    </row>
    <row r="24" spans="1:20" x14ac:dyDescent="0.25">
      <c r="A24" s="120" t="s">
        <v>123</v>
      </c>
      <c r="B24" s="119">
        <v>44895</v>
      </c>
      <c r="C24" s="120">
        <v>2</v>
      </c>
      <c r="D24" s="120">
        <v>50</v>
      </c>
      <c r="E24" s="120">
        <v>100</v>
      </c>
      <c r="F24" s="120" t="s">
        <v>80</v>
      </c>
      <c r="G24" s="120" t="s">
        <v>80</v>
      </c>
      <c r="H24" s="120" t="s">
        <v>197</v>
      </c>
      <c r="I24" s="120" t="s">
        <v>82</v>
      </c>
      <c r="J24" s="120" t="s">
        <v>180</v>
      </c>
      <c r="K24" s="120">
        <v>100</v>
      </c>
    </row>
    <row r="25" spans="1:20" x14ac:dyDescent="0.25">
      <c r="A25" s="120" t="s">
        <v>125</v>
      </c>
      <c r="B25" s="119">
        <v>44886</v>
      </c>
      <c r="C25" s="120">
        <v>1</v>
      </c>
      <c r="D25" s="120">
        <v>60</v>
      </c>
      <c r="E25" s="120">
        <v>60</v>
      </c>
      <c r="F25" s="120" t="s">
        <v>80</v>
      </c>
      <c r="G25" s="120" t="s">
        <v>80</v>
      </c>
      <c r="H25" s="120" t="s">
        <v>198</v>
      </c>
      <c r="I25" s="120"/>
      <c r="J25" s="120" t="s">
        <v>180</v>
      </c>
      <c r="K25" s="120">
        <v>60</v>
      </c>
    </row>
    <row r="26" spans="1:20" x14ac:dyDescent="0.25">
      <c r="B26" s="125"/>
    </row>
    <row r="27" spans="1:20" x14ac:dyDescent="0.25">
      <c r="A27" s="117" t="s">
        <v>199</v>
      </c>
      <c r="K27" s="117">
        <f>SUM(K2:K25)</f>
        <v>1640</v>
      </c>
    </row>
  </sheetData>
  <autoFilter ref="A1:L25" xr:uid="{7372AF7F-FEA0-45B4-BBDB-057571914BC8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B01-C763-4E0F-88D9-17C2A57FF301}">
  <dimension ref="A1:I45"/>
  <sheetViews>
    <sheetView topLeftCell="A22" workbookViewId="0">
      <selection activeCell="R3" sqref="R3:R13"/>
    </sheetView>
  </sheetViews>
  <sheetFormatPr defaultColWidth="8.7109375" defaultRowHeight="15" x14ac:dyDescent="0.25"/>
  <cols>
    <col min="1" max="8" width="8.7109375" style="117"/>
    <col min="9" max="9" width="75.140625" style="117" bestFit="1" customWidth="1"/>
    <col min="10" max="16384" width="8.7109375" style="117"/>
  </cols>
  <sheetData>
    <row r="1" spans="1:9" x14ac:dyDescent="0.25">
      <c r="A1" s="118" t="s">
        <v>153</v>
      </c>
      <c r="B1" s="118" t="s">
        <v>154</v>
      </c>
      <c r="C1" s="118" t="s">
        <v>155</v>
      </c>
    </row>
    <row r="2" spans="1:9" x14ac:dyDescent="0.25">
      <c r="A2" s="125">
        <v>44825</v>
      </c>
      <c r="B2" s="117">
        <v>0.75</v>
      </c>
      <c r="C2" s="117">
        <f>B2*50</f>
        <v>37.5</v>
      </c>
      <c r="E2" s="117" t="s">
        <v>156</v>
      </c>
      <c r="I2" s="117" t="s">
        <v>157</v>
      </c>
    </row>
    <row r="3" spans="1:9" x14ac:dyDescent="0.25">
      <c r="A3" s="125">
        <v>44826</v>
      </c>
      <c r="B3" s="117">
        <v>1</v>
      </c>
      <c r="C3" s="117">
        <v>50</v>
      </c>
      <c r="E3" s="117">
        <f>C14+C15</f>
        <v>700</v>
      </c>
      <c r="I3" s="117" t="s">
        <v>158</v>
      </c>
    </row>
    <row r="4" spans="1:9" x14ac:dyDescent="0.25">
      <c r="A4" s="125">
        <v>44833</v>
      </c>
      <c r="B4" s="117">
        <v>2</v>
      </c>
      <c r="C4" s="117">
        <v>100</v>
      </c>
    </row>
    <row r="5" spans="1:9" x14ac:dyDescent="0.25">
      <c r="A5" s="125">
        <v>44836</v>
      </c>
      <c r="B5" s="117">
        <v>1.75</v>
      </c>
      <c r="C5" s="117">
        <v>87.5</v>
      </c>
    </row>
    <row r="6" spans="1:9" x14ac:dyDescent="0.25">
      <c r="A6" s="125">
        <v>44837</v>
      </c>
      <c r="B6" s="117">
        <v>0.75</v>
      </c>
      <c r="C6" s="117">
        <v>37.5</v>
      </c>
    </row>
    <row r="7" spans="1:9" x14ac:dyDescent="0.25">
      <c r="A7" s="125">
        <v>44838</v>
      </c>
      <c r="B7" s="117">
        <v>1.25</v>
      </c>
      <c r="C7" s="117">
        <v>62.5</v>
      </c>
    </row>
    <row r="8" spans="1:9" x14ac:dyDescent="0.25">
      <c r="A8" s="125">
        <v>44839</v>
      </c>
      <c r="B8" s="117">
        <v>1.5</v>
      </c>
      <c r="C8" s="117">
        <v>75</v>
      </c>
    </row>
    <row r="9" spans="1:9" x14ac:dyDescent="0.25">
      <c r="A9" s="125">
        <v>44846</v>
      </c>
      <c r="B9" s="117">
        <v>1.5</v>
      </c>
      <c r="C9" s="117">
        <v>75</v>
      </c>
    </row>
    <row r="10" spans="1:9" x14ac:dyDescent="0.25">
      <c r="A10" s="125">
        <v>44850</v>
      </c>
      <c r="B10" s="117">
        <v>1.5</v>
      </c>
      <c r="C10" s="117">
        <v>75</v>
      </c>
    </row>
    <row r="11" spans="1:9" x14ac:dyDescent="0.25">
      <c r="A11" s="125"/>
    </row>
    <row r="12" spans="1:9" x14ac:dyDescent="0.25">
      <c r="A12" s="126" t="s">
        <v>0</v>
      </c>
      <c r="B12" s="117">
        <f>SUM(B2:B10)</f>
        <v>12</v>
      </c>
      <c r="C12" s="117">
        <f>B12*50</f>
        <v>600</v>
      </c>
    </row>
    <row r="14" spans="1:9" x14ac:dyDescent="0.25">
      <c r="A14" s="117" t="s">
        <v>159</v>
      </c>
      <c r="B14" s="117">
        <v>12</v>
      </c>
      <c r="C14" s="117">
        <v>600</v>
      </c>
    </row>
    <row r="15" spans="1:9" x14ac:dyDescent="0.25">
      <c r="A15" s="117" t="s">
        <v>160</v>
      </c>
      <c r="C15" s="127">
        <v>100</v>
      </c>
    </row>
    <row r="16" spans="1:9" x14ac:dyDescent="0.25">
      <c r="A16" s="117" t="s">
        <v>161</v>
      </c>
      <c r="B16" s="117">
        <v>0</v>
      </c>
      <c r="C16" s="117">
        <v>0</v>
      </c>
    </row>
    <row r="17" spans="1:3" s="128" customFormat="1" x14ac:dyDescent="0.25"/>
    <row r="18" spans="1:3" x14ac:dyDescent="0.25">
      <c r="A18" s="118" t="s">
        <v>153</v>
      </c>
      <c r="B18" s="118" t="s">
        <v>154</v>
      </c>
      <c r="C18" s="118" t="s">
        <v>155</v>
      </c>
    </row>
    <row r="19" spans="1:3" x14ac:dyDescent="0.25">
      <c r="A19" s="125">
        <v>44852</v>
      </c>
      <c r="B19" s="117">
        <v>1</v>
      </c>
      <c r="C19" s="117">
        <v>50</v>
      </c>
    </row>
    <row r="20" spans="1:3" x14ac:dyDescent="0.25">
      <c r="A20" s="125">
        <v>44858</v>
      </c>
      <c r="B20" s="117">
        <v>1</v>
      </c>
      <c r="C20" s="117">
        <v>50</v>
      </c>
    </row>
    <row r="21" spans="1:3" x14ac:dyDescent="0.25">
      <c r="A21" s="125">
        <v>44859</v>
      </c>
      <c r="B21" s="117">
        <v>1</v>
      </c>
      <c r="C21" s="117">
        <v>50</v>
      </c>
    </row>
    <row r="22" spans="1:3" x14ac:dyDescent="0.25">
      <c r="A22" s="125">
        <v>44861</v>
      </c>
      <c r="B22" s="117">
        <v>2.5</v>
      </c>
      <c r="C22" s="117">
        <v>125</v>
      </c>
    </row>
    <row r="23" spans="1:3" ht="17.25" customHeight="1" x14ac:dyDescent="0.25">
      <c r="A23" s="125">
        <v>44862</v>
      </c>
      <c r="B23" s="117">
        <v>1</v>
      </c>
      <c r="C23" s="117">
        <v>50</v>
      </c>
    </row>
    <row r="24" spans="1:3" ht="17.25" customHeight="1" x14ac:dyDescent="0.25">
      <c r="A24" s="125">
        <v>44871</v>
      </c>
      <c r="B24" s="117">
        <v>1.5</v>
      </c>
      <c r="C24" s="117">
        <v>75</v>
      </c>
    </row>
    <row r="25" spans="1:3" ht="17.25" customHeight="1" x14ac:dyDescent="0.25">
      <c r="A25" s="125">
        <v>44872</v>
      </c>
      <c r="B25" s="117">
        <v>2</v>
      </c>
      <c r="C25" s="117">
        <v>100</v>
      </c>
    </row>
    <row r="26" spans="1:3" x14ac:dyDescent="0.25">
      <c r="A26" s="125">
        <v>44872</v>
      </c>
      <c r="B26" s="117">
        <v>1</v>
      </c>
      <c r="C26" s="117">
        <v>50</v>
      </c>
    </row>
    <row r="27" spans="1:3" x14ac:dyDescent="0.25">
      <c r="A27" s="125">
        <v>44872</v>
      </c>
      <c r="B27" s="117">
        <v>2</v>
      </c>
      <c r="C27" s="117">
        <v>100</v>
      </c>
    </row>
    <row r="28" spans="1:3" x14ac:dyDescent="0.25">
      <c r="A28" s="125">
        <v>44872</v>
      </c>
      <c r="B28" s="117">
        <v>1</v>
      </c>
      <c r="C28" s="117">
        <v>50</v>
      </c>
    </row>
    <row r="29" spans="1:3" x14ac:dyDescent="0.25">
      <c r="A29" s="125">
        <v>44873</v>
      </c>
      <c r="B29" s="117">
        <v>1.5</v>
      </c>
      <c r="C29" s="117">
        <v>75</v>
      </c>
    </row>
    <row r="30" spans="1:3" x14ac:dyDescent="0.25">
      <c r="A30" s="125">
        <v>44886</v>
      </c>
      <c r="B30" s="117">
        <v>1.5</v>
      </c>
      <c r="C30" s="117">
        <v>75</v>
      </c>
    </row>
    <row r="31" spans="1:3" x14ac:dyDescent="0.25">
      <c r="A31" s="125">
        <v>44891</v>
      </c>
      <c r="B31" s="117">
        <v>0.5</v>
      </c>
      <c r="C31" s="117">
        <v>25</v>
      </c>
    </row>
    <row r="32" spans="1:3" x14ac:dyDescent="0.25">
      <c r="A32" s="125">
        <v>44892</v>
      </c>
      <c r="B32" s="117">
        <v>1.5</v>
      </c>
      <c r="C32" s="117">
        <v>75</v>
      </c>
    </row>
    <row r="33" spans="1:5" x14ac:dyDescent="0.25">
      <c r="A33" s="125">
        <v>44893</v>
      </c>
      <c r="B33" s="117">
        <v>1</v>
      </c>
      <c r="C33" s="117">
        <v>50</v>
      </c>
    </row>
    <row r="34" spans="1:5" x14ac:dyDescent="0.25">
      <c r="A34" s="126" t="s">
        <v>0</v>
      </c>
      <c r="B34" s="117">
        <f>SUM(B19:B33)</f>
        <v>20</v>
      </c>
      <c r="C34" s="117">
        <f>B34*50</f>
        <v>1000</v>
      </c>
    </row>
    <row r="36" spans="1:5" x14ac:dyDescent="0.25">
      <c r="A36" s="117" t="s">
        <v>159</v>
      </c>
      <c r="B36" s="117">
        <v>14</v>
      </c>
      <c r="C36" s="117">
        <v>700</v>
      </c>
      <c r="E36" s="118"/>
    </row>
    <row r="37" spans="1:5" x14ac:dyDescent="0.25">
      <c r="A37" s="117" t="s">
        <v>160</v>
      </c>
      <c r="C37" s="127">
        <v>100</v>
      </c>
    </row>
    <row r="38" spans="1:5" x14ac:dyDescent="0.25">
      <c r="A38" s="117" t="s">
        <v>161</v>
      </c>
      <c r="C38" s="117">
        <v>300</v>
      </c>
    </row>
    <row r="39" spans="1:5" s="128" customFormat="1" x14ac:dyDescent="0.25"/>
    <row r="40" spans="1:5" x14ac:dyDescent="0.25">
      <c r="A40" s="118" t="s">
        <v>153</v>
      </c>
      <c r="B40" s="118" t="s">
        <v>154</v>
      </c>
      <c r="C40" s="118" t="s">
        <v>155</v>
      </c>
    </row>
    <row r="41" spans="1:5" x14ac:dyDescent="0.25">
      <c r="A41" s="117" t="s">
        <v>200</v>
      </c>
      <c r="C41" s="117">
        <v>300</v>
      </c>
    </row>
    <row r="42" spans="1:5" x14ac:dyDescent="0.25">
      <c r="A42" s="125">
        <v>44899</v>
      </c>
      <c r="B42" s="117">
        <v>1.5</v>
      </c>
      <c r="C42" s="117">
        <v>75</v>
      </c>
    </row>
    <row r="43" spans="1:5" x14ac:dyDescent="0.25">
      <c r="A43" s="125"/>
    </row>
    <row r="45" spans="1:5" x14ac:dyDescent="0.25">
      <c r="A45" s="126" t="s">
        <v>0</v>
      </c>
      <c r="C45" s="117">
        <f>SUM(C41:C42)</f>
        <v>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1</vt:lpstr>
      <vt:lpstr>Annual Summary</vt:lpstr>
      <vt:lpstr>2025 AOP</vt:lpstr>
      <vt:lpstr>2023 Overview</vt:lpstr>
      <vt:lpstr>2025 Overview (Rolling)</vt:lpstr>
      <vt:lpstr>2025 Overview (Budget)</vt:lpstr>
      <vt:lpstr>2024 Overview (Rolling)</vt:lpstr>
      <vt:lpstr>2024 AOP</vt:lpstr>
      <vt:lpstr>Quarterly Overview</vt:lpstr>
      <vt:lpstr>2022 Overview</vt:lpstr>
      <vt:lpstr>2</vt:lpstr>
      <vt:lpstr>Monthly Detail</vt:lpstr>
      <vt:lpstr>3</vt:lpstr>
      <vt:lpstr>October</vt:lpstr>
      <vt:lpstr>September</vt:lpstr>
      <vt:lpstr>August</vt:lpstr>
      <vt:lpstr>People Plan</vt:lpstr>
      <vt:lpstr>Actual vs. Forecast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2025-11-10T20:12:07Z</cp:lastPrinted>
  <dcterms:created xsi:type="dcterms:W3CDTF">2022-12-01T00:32:54Z</dcterms:created>
  <dcterms:modified xsi:type="dcterms:W3CDTF">2025-12-07T23:17:06Z</dcterms:modified>
</cp:coreProperties>
</file>