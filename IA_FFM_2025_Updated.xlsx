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a4090e471ff419/Documents/GitHub/finevalgroup/"/>
    </mc:Choice>
  </mc:AlternateContent>
  <xr:revisionPtr revIDLastSave="86" documentId="11_EA304D6D5EA4FF3AD587DF906A43D796A8891D48" xr6:coauthVersionLast="47" xr6:coauthVersionMax="47" xr10:uidLastSave="{87371D34-8B79-4F69-A62F-2BBC2E31A4DE}"/>
  <bookViews>
    <workbookView xWindow="84" yWindow="12852" windowWidth="23256" windowHeight="12456" tabRatio="825" activeTab="10" xr2:uid="{00000000-000D-0000-FFFF-FFFF00000000}"/>
  </bookViews>
  <sheets>
    <sheet name="1" sheetId="1" r:id="rId1"/>
    <sheet name="Annual Summary" sheetId="2" r:id="rId2"/>
    <sheet name="2023 Overview" sheetId="3" state="hidden" r:id="rId3"/>
    <sheet name="2025 Overview (Budget)" sheetId="4" r:id="rId4"/>
    <sheet name="2025 Overview" sheetId="5" r:id="rId5"/>
    <sheet name="2025 AOP" sheetId="6" r:id="rId6"/>
    <sheet name="2024 Overview" sheetId="7" state="hidden" r:id="rId7"/>
    <sheet name="2022 Overview" sheetId="8" state="hidden" r:id="rId8"/>
    <sheet name="Quarterly Overview" sheetId="9" r:id="rId9"/>
    <sheet name="2" sheetId="10" r:id="rId10"/>
    <sheet name="Monthly Detail" sheetId="11" r:id="rId11"/>
    <sheet name="3" sheetId="12" r:id="rId12"/>
    <sheet name="October" sheetId="13" state="hidden" r:id="rId13"/>
    <sheet name="September" sheetId="14" state="hidden" r:id="rId14"/>
    <sheet name="August" sheetId="15" state="hidden" r:id="rId15"/>
    <sheet name="Actual vs. Forecast" sheetId="16" r:id="rId16"/>
    <sheet name="People Plan" sheetId="17" r:id="rId17"/>
    <sheet name="Holidays" sheetId="18" state="hidden" r:id="rId18"/>
    <sheet name="December" sheetId="19" state="hidden" r:id="rId19"/>
    <sheet name="November" sheetId="20" state="hidden" r:id="rId20"/>
    <sheet name="River" sheetId="21" state="hidden" r:id="rId21"/>
  </sheets>
  <externalReferences>
    <externalReference r:id="rId22"/>
  </externalReferences>
  <definedNames>
    <definedName name="_xlnm._FilterDatabase" localSheetId="18" hidden="1">December!$A$1:$K$16</definedName>
    <definedName name="_xlnm._FilterDatabase" localSheetId="19" hidden="1">November!$A$1:$L$25</definedName>
    <definedName name="_xlnm._FilterDatabase" localSheetId="12" hidden="1">October!$A$1:$K$41</definedName>
    <definedName name="MLNK04527a7a692d4c5a962de6ed08306286" localSheetId="6" hidden="1">#REF!</definedName>
    <definedName name="MLNK04527a7a692d4c5a962de6ed08306286" localSheetId="5" hidden="1">#REF!</definedName>
    <definedName name="MLNK04527a7a692d4c5a962de6ed08306286" localSheetId="4" hidden="1">#REF!</definedName>
    <definedName name="MLNK04527a7a692d4c5a962de6ed08306286" localSheetId="3" hidden="1">#REF!</definedName>
    <definedName name="MLNK04527a7a692d4c5a962de6ed08306286" localSheetId="15" hidden="1">#REF!</definedName>
    <definedName name="MLNK04527a7a692d4c5a962de6ed08306286" localSheetId="16" hidden="1">#REF!</definedName>
    <definedName name="MLNK04527a7a692d4c5a962de6ed08306286" localSheetId="8" hidden="1">#REF!</definedName>
    <definedName name="MLNK04527a7a692d4c5a962de6ed08306286" hidden="1">#REF!</definedName>
    <definedName name="_xlnm.Print_Area" localSheetId="7">'2022 Overview'!$B$2:$P$31</definedName>
    <definedName name="_xlnm.Print_Area" localSheetId="1">'Annual Summary'!$B$9:$X$48</definedName>
  </definedNames>
  <calcPr calcId="191029"/>
  <pivotCaches>
    <pivotCache cacheId="4" r:id="rId23"/>
    <pivotCache cacheId="5" r:id="rId24"/>
    <pivotCache cacheId="6" r:id="rId25"/>
    <pivotCache cacheId="7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1" i="4" l="1"/>
  <c r="M50" i="4"/>
  <c r="M47" i="4"/>
  <c r="M46" i="4"/>
  <c r="M54" i="4" s="1"/>
  <c r="M42" i="4"/>
  <c r="M36" i="4"/>
  <c r="M37" i="4" s="1"/>
  <c r="M30" i="4"/>
  <c r="M29" i="4"/>
  <c r="M28" i="4"/>
  <c r="M31" i="4" s="1"/>
  <c r="M25" i="4"/>
  <c r="M23" i="4"/>
  <c r="M21" i="4"/>
  <c r="M52" i="4" l="1"/>
  <c r="C45" i="21" l="1"/>
  <c r="B34" i="21"/>
  <c r="C34" i="21" s="1"/>
  <c r="B12" i="21"/>
  <c r="C12" i="21" s="1"/>
  <c r="E3" i="21"/>
  <c r="C2" i="21"/>
  <c r="K27" i="20"/>
  <c r="K18" i="19"/>
  <c r="B92" i="18"/>
  <c r="B68" i="18"/>
  <c r="B78" i="18" s="1"/>
  <c r="B88" i="18" s="1"/>
  <c r="B44" i="18"/>
  <c r="B54" i="18" s="1"/>
  <c r="B64" i="18" s="1"/>
  <c r="B74" i="18" s="1"/>
  <c r="B84" i="18" s="1"/>
  <c r="B36" i="18"/>
  <c r="B46" i="18" s="1"/>
  <c r="B56" i="18" s="1"/>
  <c r="B66" i="18" s="1"/>
  <c r="B76" i="18" s="1"/>
  <c r="B86" i="18" s="1"/>
  <c r="B31" i="18"/>
  <c r="B41" i="18" s="1"/>
  <c r="B51" i="18" s="1"/>
  <c r="B61" i="18" s="1"/>
  <c r="B71" i="18" s="1"/>
  <c r="B81" i="18" s="1"/>
  <c r="B91" i="18" s="1"/>
  <c r="B28" i="18"/>
  <c r="B38" i="18" s="1"/>
  <c r="B48" i="18" s="1"/>
  <c r="B58" i="18" s="1"/>
  <c r="B26" i="18"/>
  <c r="B23" i="18"/>
  <c r="B33" i="18" s="1"/>
  <c r="B43" i="18" s="1"/>
  <c r="B53" i="18" s="1"/>
  <c r="B63" i="18" s="1"/>
  <c r="B73" i="18" s="1"/>
  <c r="B83" i="18" s="1"/>
  <c r="B93" i="18" s="1"/>
  <c r="B21" i="18"/>
  <c r="B20" i="18"/>
  <c r="B30" i="18" s="1"/>
  <c r="B40" i="18" s="1"/>
  <c r="B50" i="18" s="1"/>
  <c r="B60" i="18" s="1"/>
  <c r="B70" i="18" s="1"/>
  <c r="B80" i="18" s="1"/>
  <c r="B90" i="18" s="1"/>
  <c r="B19" i="18"/>
  <c r="B29" i="18" s="1"/>
  <c r="B39" i="18" s="1"/>
  <c r="B49" i="18" s="1"/>
  <c r="B59" i="18" s="1"/>
  <c r="B69" i="18" s="1"/>
  <c r="B79" i="18" s="1"/>
  <c r="B89" i="18" s="1"/>
  <c r="B18" i="18"/>
  <c r="B17" i="18"/>
  <c r="B27" i="18" s="1"/>
  <c r="B37" i="18" s="1"/>
  <c r="B47" i="18" s="1"/>
  <c r="B57" i="18" s="1"/>
  <c r="B67" i="18" s="1"/>
  <c r="B77" i="18" s="1"/>
  <c r="B87" i="18" s="1"/>
  <c r="B16" i="18"/>
  <c r="B15" i="18"/>
  <c r="B25" i="18" s="1"/>
  <c r="B35" i="18" s="1"/>
  <c r="B45" i="18" s="1"/>
  <c r="B55" i="18" s="1"/>
  <c r="B65" i="18" s="1"/>
  <c r="B75" i="18" s="1"/>
  <c r="B85" i="18" s="1"/>
  <c r="B14" i="18"/>
  <c r="B24" i="18" s="1"/>
  <c r="B34" i="18" s="1"/>
  <c r="B13" i="18"/>
  <c r="B12" i="18"/>
  <c r="B22" i="18" s="1"/>
  <c r="B32" i="18" s="1"/>
  <c r="B42" i="18" s="1"/>
  <c r="B52" i="18" s="1"/>
  <c r="B62" i="18" s="1"/>
  <c r="B72" i="18" s="1"/>
  <c r="B82" i="18" s="1"/>
  <c r="B10" i="18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ES13" i="17"/>
  <c r="EQ13" i="17"/>
  <c r="EN13" i="17"/>
  <c r="EH13" i="17"/>
  <c r="EF13" i="17"/>
  <c r="ED13" i="17"/>
  <c r="DS13" i="17"/>
  <c r="DR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B9" i="17"/>
  <c r="FA9" i="17"/>
  <c r="FA13" i="17" s="1"/>
  <c r="EZ9" i="17"/>
  <c r="EY9" i="17"/>
  <c r="EX9" i="17"/>
  <c r="EX13" i="17" s="1"/>
  <c r="EW9" i="17"/>
  <c r="EV9" i="17"/>
  <c r="EU9" i="17"/>
  <c r="ET9" i="17"/>
  <c r="ES9" i="17"/>
  <c r="ER9" i="17"/>
  <c r="EQ9" i="17"/>
  <c r="EP9" i="17"/>
  <c r="EP13" i="17" s="1"/>
  <c r="EO9" i="17"/>
  <c r="EN9" i="17"/>
  <c r="EM9" i="17"/>
  <c r="EL9" i="17"/>
  <c r="EK9" i="17"/>
  <c r="EK13" i="17" s="1"/>
  <c r="EJ9" i="17"/>
  <c r="EI9" i="17"/>
  <c r="EH9" i="17"/>
  <c r="EG9" i="17"/>
  <c r="EF9" i="17"/>
  <c r="EE9" i="17"/>
  <c r="ED9" i="17"/>
  <c r="EC9" i="17"/>
  <c r="EC13" i="17" s="1"/>
  <c r="EB9" i="17"/>
  <c r="EA9" i="17"/>
  <c r="EA13" i="17" s="1"/>
  <c r="DZ9" i="17"/>
  <c r="DZ13" i="17" s="1"/>
  <c r="DY9" i="17"/>
  <c r="DX9" i="17"/>
  <c r="DW9" i="17"/>
  <c r="DV9" i="17"/>
  <c r="DU9" i="17"/>
  <c r="DU13" i="17" s="1"/>
  <c r="DT9" i="17"/>
  <c r="DS9" i="17"/>
  <c r="DR9" i="17"/>
  <c r="DQ9" i="17"/>
  <c r="DP9" i="17"/>
  <c r="DO9" i="17"/>
  <c r="DN9" i="17"/>
  <c r="DM9" i="17"/>
  <c r="DM13" i="17" s="1"/>
  <c r="DL9" i="17"/>
  <c r="DK9" i="17"/>
  <c r="DJ9" i="17"/>
  <c r="DI9" i="17"/>
  <c r="DH9" i="17"/>
  <c r="DG9" i="17"/>
  <c r="DF9" i="17"/>
  <c r="DE9" i="17"/>
  <c r="DD9" i="17"/>
  <c r="DC9" i="17"/>
  <c r="DB9" i="17"/>
  <c r="DA9" i="17"/>
  <c r="CZ9" i="17"/>
  <c r="CY9" i="17"/>
  <c r="CX9" i="17"/>
  <c r="CW9" i="17"/>
  <c r="CV9" i="17"/>
  <c r="CU9" i="17"/>
  <c r="CT9" i="17"/>
  <c r="CS9" i="17"/>
  <c r="CR9" i="17"/>
  <c r="CQ9" i="17"/>
  <c r="CP9" i="17"/>
  <c r="CO9" i="17"/>
  <c r="CN9" i="17"/>
  <c r="CM9" i="17"/>
  <c r="CL9" i="17"/>
  <c r="CK9" i="17"/>
  <c r="CJ9" i="17"/>
  <c r="CI9" i="17"/>
  <c r="Y9" i="17"/>
  <c r="FB8" i="17"/>
  <c r="FB13" i="17" s="1"/>
  <c r="FA8" i="17"/>
  <c r="EZ8" i="17"/>
  <c r="EZ13" i="17" s="1"/>
  <c r="EY8" i="17"/>
  <c r="EY13" i="17" s="1"/>
  <c r="EX8" i="17"/>
  <c r="EW8" i="17"/>
  <c r="EW13" i="17" s="1"/>
  <c r="EV8" i="17"/>
  <c r="EV13" i="17" s="1"/>
  <c r="EU8" i="17"/>
  <c r="EU13" i="17" s="1"/>
  <c r="ET8" i="17"/>
  <c r="ET13" i="17" s="1"/>
  <c r="ES8" i="17"/>
  <c r="ER8" i="17"/>
  <c r="ER13" i="17" s="1"/>
  <c r="EQ8" i="17"/>
  <c r="EP8" i="17"/>
  <c r="EO8" i="17"/>
  <c r="EO13" i="17" s="1"/>
  <c r="EN8" i="17"/>
  <c r="EM8" i="17"/>
  <c r="EM13" i="17" s="1"/>
  <c r="EL8" i="17"/>
  <c r="EL13" i="17" s="1"/>
  <c r="EK8" i="17"/>
  <c r="EJ8" i="17"/>
  <c r="EJ13" i="17" s="1"/>
  <c r="EI8" i="17"/>
  <c r="EI13" i="17" s="1"/>
  <c r="EH8" i="17"/>
  <c r="EG8" i="17"/>
  <c r="EG13" i="17" s="1"/>
  <c r="EF8" i="17"/>
  <c r="EE8" i="17"/>
  <c r="EE13" i="17" s="1"/>
  <c r="ED8" i="17"/>
  <c r="EC8" i="17"/>
  <c r="EB8" i="17"/>
  <c r="EB13" i="17" s="1"/>
  <c r="EA8" i="17"/>
  <c r="DZ8" i="17"/>
  <c r="DY8" i="17"/>
  <c r="DY13" i="17" s="1"/>
  <c r="DX8" i="17"/>
  <c r="DX13" i="17" s="1"/>
  <c r="DW8" i="17"/>
  <c r="DW13" i="17" s="1"/>
  <c r="DV8" i="17"/>
  <c r="DV13" i="17" s="1"/>
  <c r="DU8" i="17"/>
  <c r="DT8" i="17"/>
  <c r="DT13" i="17" s="1"/>
  <c r="DS8" i="17"/>
  <c r="DR8" i="17"/>
  <c r="DQ8" i="17"/>
  <c r="DQ13" i="17" s="1"/>
  <c r="DP8" i="17"/>
  <c r="DP13" i="17" s="1"/>
  <c r="DO8" i="17"/>
  <c r="DO13" i="17" s="1"/>
  <c r="DN8" i="17"/>
  <c r="DN13" i="17" s="1"/>
  <c r="DM8" i="17"/>
  <c r="DL8" i="17"/>
  <c r="DL13" i="17" s="1"/>
  <c r="N8" i="17"/>
  <c r="I6" i="17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AG6" i="17" s="1"/>
  <c r="AH6" i="17" s="1"/>
  <c r="AI6" i="17" s="1"/>
  <c r="AJ6" i="17" s="1"/>
  <c r="AK6" i="17" s="1"/>
  <c r="AL6" i="17" s="1"/>
  <c r="AM6" i="17" s="1"/>
  <c r="AN6" i="17" s="1"/>
  <c r="AO6" i="17" s="1"/>
  <c r="AP6" i="17" s="1"/>
  <c r="AQ6" i="17" s="1"/>
  <c r="AR6" i="17" s="1"/>
  <c r="AS6" i="17" s="1"/>
  <c r="AT6" i="17" s="1"/>
  <c r="AU6" i="17" s="1"/>
  <c r="AV6" i="17" s="1"/>
  <c r="AW6" i="17" s="1"/>
  <c r="AX6" i="17" s="1"/>
  <c r="AY6" i="17" s="1"/>
  <c r="AZ6" i="17" s="1"/>
  <c r="BA6" i="17" s="1"/>
  <c r="BB6" i="17" s="1"/>
  <c r="BC6" i="17" s="1"/>
  <c r="BD6" i="17" s="1"/>
  <c r="BE6" i="17" s="1"/>
  <c r="BF6" i="17" s="1"/>
  <c r="BG6" i="17" s="1"/>
  <c r="BH6" i="17" s="1"/>
  <c r="BI6" i="17" s="1"/>
  <c r="BJ6" i="17" s="1"/>
  <c r="BK6" i="17" s="1"/>
  <c r="BL6" i="17" s="1"/>
  <c r="BM6" i="17" s="1"/>
  <c r="BN6" i="17" s="1"/>
  <c r="BO6" i="17" s="1"/>
  <c r="BP6" i="17" s="1"/>
  <c r="BQ6" i="17" s="1"/>
  <c r="BR6" i="17" s="1"/>
  <c r="BS6" i="17" s="1"/>
  <c r="BT6" i="17" s="1"/>
  <c r="BU6" i="17" s="1"/>
  <c r="BV6" i="17" s="1"/>
  <c r="BW6" i="17" s="1"/>
  <c r="BX6" i="17" s="1"/>
  <c r="BY6" i="17" s="1"/>
  <c r="BZ6" i="17" s="1"/>
  <c r="CA6" i="17" s="1"/>
  <c r="CB6" i="17" s="1"/>
  <c r="CC6" i="17" s="1"/>
  <c r="CD6" i="17" s="1"/>
  <c r="CE6" i="17" s="1"/>
  <c r="CF6" i="17" s="1"/>
  <c r="CG6" i="17" s="1"/>
  <c r="CH6" i="17" s="1"/>
  <c r="CI6" i="17" s="1"/>
  <c r="CJ6" i="17" s="1"/>
  <c r="CK6" i="17" s="1"/>
  <c r="CL6" i="17" s="1"/>
  <c r="CM6" i="17" s="1"/>
  <c r="CN6" i="17" s="1"/>
  <c r="CO6" i="17" s="1"/>
  <c r="CP6" i="17" s="1"/>
  <c r="CQ6" i="17" s="1"/>
  <c r="CR6" i="17" s="1"/>
  <c r="CS6" i="17" s="1"/>
  <c r="CT6" i="17" s="1"/>
  <c r="CU6" i="17" s="1"/>
  <c r="CV6" i="17" s="1"/>
  <c r="CW6" i="17" s="1"/>
  <c r="CX6" i="17" s="1"/>
  <c r="CY6" i="17" s="1"/>
  <c r="CZ6" i="17" s="1"/>
  <c r="DA6" i="17" s="1"/>
  <c r="DB6" i="17" s="1"/>
  <c r="DC6" i="17" s="1"/>
  <c r="DD6" i="17" s="1"/>
  <c r="DE6" i="17" s="1"/>
  <c r="DF6" i="17" s="1"/>
  <c r="DG6" i="17" s="1"/>
  <c r="DH6" i="17" s="1"/>
  <c r="DI6" i="17" s="1"/>
  <c r="DJ6" i="17" s="1"/>
  <c r="DK6" i="17" s="1"/>
  <c r="DL6" i="17" s="1"/>
  <c r="DM6" i="17" s="1"/>
  <c r="DN6" i="17" s="1"/>
  <c r="DO6" i="17" s="1"/>
  <c r="DP6" i="17" s="1"/>
  <c r="DQ6" i="17" s="1"/>
  <c r="DR6" i="17" s="1"/>
  <c r="DS6" i="17" s="1"/>
  <c r="DT6" i="17" s="1"/>
  <c r="DU6" i="17" s="1"/>
  <c r="DV6" i="17" s="1"/>
  <c r="DW6" i="17" s="1"/>
  <c r="DX6" i="17" s="1"/>
  <c r="DY6" i="17" s="1"/>
  <c r="DZ6" i="17" s="1"/>
  <c r="EA6" i="17" s="1"/>
  <c r="EB6" i="17" s="1"/>
  <c r="EC6" i="17" s="1"/>
  <c r="ED6" i="17" s="1"/>
  <c r="EE6" i="17" s="1"/>
  <c r="EF6" i="17" s="1"/>
  <c r="EG6" i="17" s="1"/>
  <c r="EH6" i="17" s="1"/>
  <c r="EI6" i="17" s="1"/>
  <c r="EJ6" i="17" s="1"/>
  <c r="EK6" i="17" s="1"/>
  <c r="EL6" i="17" s="1"/>
  <c r="EM6" i="17" s="1"/>
  <c r="EN6" i="17" s="1"/>
  <c r="EO6" i="17" s="1"/>
  <c r="EP6" i="17" s="1"/>
  <c r="EQ6" i="17" s="1"/>
  <c r="ER6" i="17" s="1"/>
  <c r="ES6" i="17" s="1"/>
  <c r="ET6" i="17" s="1"/>
  <c r="EU6" i="17" s="1"/>
  <c r="EV6" i="17" s="1"/>
  <c r="EW6" i="17" s="1"/>
  <c r="EX6" i="17" s="1"/>
  <c r="EY6" i="17" s="1"/>
  <c r="EZ6" i="17" s="1"/>
  <c r="FA6" i="17" s="1"/>
  <c r="FB6" i="17" s="1"/>
  <c r="L4" i="17"/>
  <c r="M4" i="17" s="1"/>
  <c r="N4" i="17" s="1"/>
  <c r="N1" i="17" s="1"/>
  <c r="N3" i="17" s="1"/>
  <c r="K4" i="17"/>
  <c r="J4" i="17"/>
  <c r="I4" i="17"/>
  <c r="DK2" i="17"/>
  <c r="DK8" i="17" s="1"/>
  <c r="DK13" i="17" s="1"/>
  <c r="DJ2" i="17"/>
  <c r="DJ8" i="17" s="1"/>
  <c r="DJ13" i="17" s="1"/>
  <c r="DI2" i="17"/>
  <c r="DI8" i="17" s="1"/>
  <c r="DI13" i="17" s="1"/>
  <c r="DH2" i="17"/>
  <c r="DH8" i="17" s="1"/>
  <c r="DH13" i="17" s="1"/>
  <c r="DG2" i="17"/>
  <c r="DG8" i="17" s="1"/>
  <c r="DG13" i="17" s="1"/>
  <c r="DF2" i="17"/>
  <c r="DF8" i="17" s="1"/>
  <c r="DF13" i="17" s="1"/>
  <c r="DE2" i="17"/>
  <c r="DE8" i="17" s="1"/>
  <c r="DE13" i="17" s="1"/>
  <c r="DD2" i="17"/>
  <c r="DD8" i="17" s="1"/>
  <c r="DD13" i="17" s="1"/>
  <c r="DC2" i="17"/>
  <c r="DC8" i="17" s="1"/>
  <c r="DC13" i="17" s="1"/>
  <c r="DB2" i="17"/>
  <c r="DB8" i="17" s="1"/>
  <c r="DB13" i="17" s="1"/>
  <c r="DA2" i="17"/>
  <c r="DA8" i="17" s="1"/>
  <c r="DA13" i="17" s="1"/>
  <c r="CZ2" i="17"/>
  <c r="CZ8" i="17" s="1"/>
  <c r="CZ13" i="17" s="1"/>
  <c r="CY2" i="17"/>
  <c r="CY8" i="17" s="1"/>
  <c r="CY13" i="17" s="1"/>
  <c r="CX2" i="17"/>
  <c r="CX8" i="17" s="1"/>
  <c r="CX13" i="17" s="1"/>
  <c r="CW2" i="17"/>
  <c r="CW8" i="17" s="1"/>
  <c r="CW13" i="17" s="1"/>
  <c r="CV2" i="17"/>
  <c r="CV8" i="17" s="1"/>
  <c r="CV13" i="17" s="1"/>
  <c r="CU2" i="17"/>
  <c r="CU8" i="17" s="1"/>
  <c r="CU13" i="17" s="1"/>
  <c r="CT2" i="17"/>
  <c r="CT8" i="17" s="1"/>
  <c r="CT13" i="17" s="1"/>
  <c r="CS2" i="17"/>
  <c r="CS8" i="17" s="1"/>
  <c r="CS13" i="17" s="1"/>
  <c r="CR2" i="17"/>
  <c r="CR8" i="17" s="1"/>
  <c r="CR13" i="17" s="1"/>
  <c r="CQ2" i="17"/>
  <c r="CQ8" i="17" s="1"/>
  <c r="CQ13" i="17" s="1"/>
  <c r="CP2" i="17"/>
  <c r="CP8" i="17" s="1"/>
  <c r="CP13" i="17" s="1"/>
  <c r="CO2" i="17"/>
  <c r="CO8" i="17" s="1"/>
  <c r="CO13" i="17" s="1"/>
  <c r="CN2" i="17"/>
  <c r="CN8" i="17" s="1"/>
  <c r="CN13" i="17" s="1"/>
  <c r="CM2" i="17"/>
  <c r="CM8" i="17" s="1"/>
  <c r="CM13" i="17" s="1"/>
  <c r="CL2" i="17"/>
  <c r="CL8" i="17" s="1"/>
  <c r="CL13" i="17" s="1"/>
  <c r="CK2" i="17"/>
  <c r="CK8" i="17" s="1"/>
  <c r="CK13" i="17" s="1"/>
  <c r="CJ2" i="17"/>
  <c r="CJ8" i="17" s="1"/>
  <c r="CJ13" i="17" s="1"/>
  <c r="CI2" i="17"/>
  <c r="CI8" i="17" s="1"/>
  <c r="CI13" i="17" s="1"/>
  <c r="T2" i="17"/>
  <c r="M2" i="17"/>
  <c r="L2" i="17"/>
  <c r="K2" i="17"/>
  <c r="J2" i="17"/>
  <c r="I2" i="17"/>
  <c r="H2" i="17"/>
  <c r="K1" i="17"/>
  <c r="K3" i="17" s="1"/>
  <c r="J1" i="17"/>
  <c r="J3" i="17" s="1"/>
  <c r="I1" i="17"/>
  <c r="I3" i="17" s="1"/>
  <c r="H1" i="17"/>
  <c r="H3" i="17" s="1"/>
  <c r="AV59" i="16"/>
  <c r="AH59" i="16"/>
  <c r="AU59" i="16"/>
  <c r="AH57" i="16"/>
  <c r="AV57" i="16" s="1"/>
  <c r="AH56" i="16"/>
  <c r="AU56" i="16" s="1"/>
  <c r="AH55" i="16"/>
  <c r="AV55" i="16" s="1"/>
  <c r="AH54" i="16"/>
  <c r="AV53" i="16"/>
  <c r="AU53" i="16"/>
  <c r="AH53" i="16"/>
  <c r="J53" i="16"/>
  <c r="E53" i="16"/>
  <c r="E54" i="16" s="1"/>
  <c r="AH52" i="16"/>
  <c r="J52" i="16"/>
  <c r="E52" i="16"/>
  <c r="AV51" i="16"/>
  <c r="AH51" i="16"/>
  <c r="AU51" i="16" s="1"/>
  <c r="AH50" i="16"/>
  <c r="AU50" i="16" s="1"/>
  <c r="AH49" i="16"/>
  <c r="AU49" i="16" s="1"/>
  <c r="AV41" i="16"/>
  <c r="AU41" i="16"/>
  <c r="AV40" i="16"/>
  <c r="AU40" i="16"/>
  <c r="AH39" i="16"/>
  <c r="AV38" i="16"/>
  <c r="AU38" i="16"/>
  <c r="AH38" i="16"/>
  <c r="AH37" i="16"/>
  <c r="AH36" i="16"/>
  <c r="AV36" i="16" s="1"/>
  <c r="AV33" i="16"/>
  <c r="AU33" i="16"/>
  <c r="AV32" i="16"/>
  <c r="AU32" i="16"/>
  <c r="AV30" i="16"/>
  <c r="AU30" i="16"/>
  <c r="AH29" i="16"/>
  <c r="AH27" i="16"/>
  <c r="AU27" i="16" s="1"/>
  <c r="AH22" i="16"/>
  <c r="AU22" i="16" s="1"/>
  <c r="AH21" i="16"/>
  <c r="AV21" i="16" s="1"/>
  <c r="AH19" i="16"/>
  <c r="AV19" i="16" s="1"/>
  <c r="AH18" i="16"/>
  <c r="AH17" i="16"/>
  <c r="AV17" i="16" s="1"/>
  <c r="E7" i="15"/>
  <c r="J7" i="15" s="1"/>
  <c r="J10" i="15" s="1"/>
  <c r="J6" i="15"/>
  <c r="E6" i="15"/>
  <c r="E5" i="15"/>
  <c r="J5" i="15" s="1"/>
  <c r="E4" i="15"/>
  <c r="J4" i="15" s="1"/>
  <c r="E3" i="15"/>
  <c r="J3" i="15" s="1"/>
  <c r="J2" i="15"/>
  <c r="E2" i="15"/>
  <c r="J18" i="14"/>
  <c r="K43" i="13"/>
  <c r="E172" i="11"/>
  <c r="AT168" i="11"/>
  <c r="AS168" i="11"/>
  <c r="AO168" i="11"/>
  <c r="AN168" i="11"/>
  <c r="AG168" i="11"/>
  <c r="AF168" i="11"/>
  <c r="AD168" i="11"/>
  <c r="Y168" i="11"/>
  <c r="X168" i="11"/>
  <c r="V168" i="11"/>
  <c r="U168" i="11"/>
  <c r="Q168" i="11"/>
  <c r="P168" i="11"/>
  <c r="O168" i="11"/>
  <c r="N168" i="11"/>
  <c r="I168" i="11"/>
  <c r="H168" i="11"/>
  <c r="AX167" i="11"/>
  <c r="AW167" i="11"/>
  <c r="AW168" i="11" s="1"/>
  <c r="AV167" i="11"/>
  <c r="AV168" i="11" s="1"/>
  <c r="AU167" i="11"/>
  <c r="AU168" i="11" s="1"/>
  <c r="AT167" i="11"/>
  <c r="AS167" i="11"/>
  <c r="AR167" i="11"/>
  <c r="AQ167" i="11"/>
  <c r="AP167" i="11"/>
  <c r="AO167" i="11"/>
  <c r="AN167" i="11"/>
  <c r="AM167" i="11"/>
  <c r="AL167" i="11"/>
  <c r="AK167" i="11"/>
  <c r="AJ167" i="11"/>
  <c r="AI167" i="11"/>
  <c r="AH167" i="11"/>
  <c r="AG167" i="11"/>
  <c r="AF167" i="11"/>
  <c r="AE167" i="11"/>
  <c r="AE168" i="11" s="1"/>
  <c r="AD167" i="11"/>
  <c r="AC167" i="11"/>
  <c r="AB167" i="11"/>
  <c r="AA167" i="11"/>
  <c r="Z167" i="11"/>
  <c r="Y167" i="11"/>
  <c r="X167" i="11"/>
  <c r="W167" i="11"/>
  <c r="W168" i="11" s="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AX166" i="11"/>
  <c r="AW166" i="11"/>
  <c r="AV166" i="11"/>
  <c r="AU166" i="11"/>
  <c r="AT166" i="11"/>
  <c r="AS166" i="11"/>
  <c r="AR166" i="11"/>
  <c r="AR168" i="11" s="1"/>
  <c r="AQ166" i="11"/>
  <c r="AP166" i="11"/>
  <c r="AP168" i="11" s="1"/>
  <c r="AO166" i="11"/>
  <c r="AN166" i="11"/>
  <c r="AM166" i="11"/>
  <c r="AL166" i="11"/>
  <c r="AL168" i="11" s="1"/>
  <c r="AK166" i="11"/>
  <c r="AK168" i="11" s="1"/>
  <c r="AJ166" i="11"/>
  <c r="AJ168" i="11" s="1"/>
  <c r="AI166" i="11"/>
  <c r="AH166" i="11"/>
  <c r="AH168" i="11" s="1"/>
  <c r="AG166" i="11"/>
  <c r="AF166" i="11"/>
  <c r="AE166" i="11"/>
  <c r="AD166" i="11"/>
  <c r="AC166" i="11"/>
  <c r="AC168" i="11" s="1"/>
  <c r="AB166" i="11"/>
  <c r="AB168" i="11" s="1"/>
  <c r="AA166" i="11"/>
  <c r="Z166" i="11"/>
  <c r="Z168" i="11" s="1"/>
  <c r="Y166" i="11"/>
  <c r="X166" i="11"/>
  <c r="W166" i="11"/>
  <c r="V166" i="11"/>
  <c r="U166" i="11"/>
  <c r="T166" i="11"/>
  <c r="T168" i="11" s="1"/>
  <c r="S166" i="11"/>
  <c r="S168" i="11" s="1"/>
  <c r="R166" i="11"/>
  <c r="R168" i="11" s="1"/>
  <c r="Q166" i="11"/>
  <c r="P166" i="11"/>
  <c r="O166" i="11"/>
  <c r="N166" i="11"/>
  <c r="M166" i="11"/>
  <c r="M168" i="11" s="1"/>
  <c r="L166" i="11"/>
  <c r="L168" i="11" s="1"/>
  <c r="K166" i="11"/>
  <c r="K168" i="11" s="1"/>
  <c r="J166" i="11"/>
  <c r="J168" i="11" s="1"/>
  <c r="I166" i="11"/>
  <c r="H166" i="11"/>
  <c r="G166" i="11"/>
  <c r="G168" i="11" s="1"/>
  <c r="F166" i="11"/>
  <c r="F168" i="11" s="1"/>
  <c r="E166" i="11"/>
  <c r="E168" i="11" s="1"/>
  <c r="BK155" i="11"/>
  <c r="BL155" i="11" s="1"/>
  <c r="BM155" i="11" s="1"/>
  <c r="BN155" i="11" s="1"/>
  <c r="BO155" i="11" s="1"/>
  <c r="BP155" i="11" s="1"/>
  <c r="BQ155" i="11" s="1"/>
  <c r="BR155" i="11" s="1"/>
  <c r="BS155" i="11" s="1"/>
  <c r="BT155" i="11" s="1"/>
  <c r="BU155" i="11" s="1"/>
  <c r="BV155" i="11" s="1"/>
  <c r="BW155" i="11" s="1"/>
  <c r="BX155" i="11" s="1"/>
  <c r="BY155" i="11" s="1"/>
  <c r="BZ155" i="11" s="1"/>
  <c r="CA155" i="11" s="1"/>
  <c r="CB155" i="11" s="1"/>
  <c r="CC155" i="11" s="1"/>
  <c r="CD155" i="11" s="1"/>
  <c r="CE155" i="11" s="1"/>
  <c r="CF155" i="11" s="1"/>
  <c r="CG155" i="11" s="1"/>
  <c r="CH155" i="11" s="1"/>
  <c r="CI155" i="11" s="1"/>
  <c r="CJ155" i="11" s="1"/>
  <c r="CK155" i="11" s="1"/>
  <c r="CL155" i="11" s="1"/>
  <c r="CM155" i="11" s="1"/>
  <c r="CN155" i="11" s="1"/>
  <c r="CO155" i="11" s="1"/>
  <c r="CP155" i="11" s="1"/>
  <c r="CQ155" i="11" s="1"/>
  <c r="CR155" i="11" s="1"/>
  <c r="CS155" i="11" s="1"/>
  <c r="CT155" i="11" s="1"/>
  <c r="CU155" i="11" s="1"/>
  <c r="CV155" i="11" s="1"/>
  <c r="CW155" i="11" s="1"/>
  <c r="CX155" i="11" s="1"/>
  <c r="CY155" i="11" s="1"/>
  <c r="BG155" i="11"/>
  <c r="BH155" i="11" s="1"/>
  <c r="BI155" i="11" s="1"/>
  <c r="BJ155" i="11" s="1"/>
  <c r="BE155" i="11"/>
  <c r="BF155" i="11" s="1"/>
  <c r="BB155" i="11"/>
  <c r="BC155" i="11" s="1"/>
  <c r="BD155" i="11" s="1"/>
  <c r="BA155" i="11"/>
  <c r="AZ155" i="11"/>
  <c r="BG154" i="11"/>
  <c r="BH154" i="11" s="1"/>
  <c r="BI154" i="11" s="1"/>
  <c r="BJ154" i="11" s="1"/>
  <c r="BK154" i="11" s="1"/>
  <c r="BL154" i="11" s="1"/>
  <c r="BM154" i="11" s="1"/>
  <c r="BN154" i="11" s="1"/>
  <c r="BO154" i="11" s="1"/>
  <c r="BP154" i="11" s="1"/>
  <c r="BQ154" i="11" s="1"/>
  <c r="BR154" i="11" s="1"/>
  <c r="BS154" i="11" s="1"/>
  <c r="BT154" i="11" s="1"/>
  <c r="BU154" i="11" s="1"/>
  <c r="BV154" i="11" s="1"/>
  <c r="BW154" i="11" s="1"/>
  <c r="BX154" i="11" s="1"/>
  <c r="BY154" i="11" s="1"/>
  <c r="BZ154" i="11" s="1"/>
  <c r="CA154" i="11" s="1"/>
  <c r="CB154" i="11" s="1"/>
  <c r="CC154" i="11" s="1"/>
  <c r="CD154" i="11" s="1"/>
  <c r="CE154" i="11" s="1"/>
  <c r="CF154" i="11" s="1"/>
  <c r="CG154" i="11" s="1"/>
  <c r="CH154" i="11" s="1"/>
  <c r="CI154" i="11" s="1"/>
  <c r="CJ154" i="11" s="1"/>
  <c r="CK154" i="11" s="1"/>
  <c r="CL154" i="11" s="1"/>
  <c r="CM154" i="11" s="1"/>
  <c r="CN154" i="11" s="1"/>
  <c r="CO154" i="11" s="1"/>
  <c r="CP154" i="11" s="1"/>
  <c r="CQ154" i="11" s="1"/>
  <c r="CR154" i="11" s="1"/>
  <c r="CS154" i="11" s="1"/>
  <c r="CT154" i="11" s="1"/>
  <c r="CU154" i="11" s="1"/>
  <c r="CV154" i="11" s="1"/>
  <c r="CW154" i="11" s="1"/>
  <c r="CX154" i="11" s="1"/>
  <c r="CY154" i="11" s="1"/>
  <c r="CZ154" i="11" s="1"/>
  <c r="DA154" i="11" s="1"/>
  <c r="DB154" i="11" s="1"/>
  <c r="DC154" i="11" s="1"/>
  <c r="DD154" i="11" s="1"/>
  <c r="DE154" i="11" s="1"/>
  <c r="DF154" i="11" s="1"/>
  <c r="DG154" i="11" s="1"/>
  <c r="BC154" i="11"/>
  <c r="BD154" i="11" s="1"/>
  <c r="BE154" i="11" s="1"/>
  <c r="BF154" i="11" s="1"/>
  <c r="BB154" i="11"/>
  <c r="AZ154" i="11"/>
  <c r="BA154" i="11" s="1"/>
  <c r="AX154" i="11"/>
  <c r="AW154" i="11"/>
  <c r="AV154" i="11"/>
  <c r="K51" i="5" s="1"/>
  <c r="AU154" i="11"/>
  <c r="AT154" i="11"/>
  <c r="AS154" i="11"/>
  <c r="AR154" i="11"/>
  <c r="AQ154" i="11"/>
  <c r="AP154" i="11"/>
  <c r="AO154" i="11"/>
  <c r="AN154" i="11"/>
  <c r="AM154" i="11"/>
  <c r="AL154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T153" i="11"/>
  <c r="G153" i="11"/>
  <c r="E153" i="11"/>
  <c r="D153" i="11"/>
  <c r="U152" i="11"/>
  <c r="T152" i="11"/>
  <c r="S152" i="11"/>
  <c r="R152" i="11"/>
  <c r="Q152" i="11"/>
  <c r="P152" i="11"/>
  <c r="O152" i="11"/>
  <c r="O153" i="11" s="1"/>
  <c r="N152" i="11"/>
  <c r="N153" i="11" s="1"/>
  <c r="M152" i="11"/>
  <c r="L152" i="11"/>
  <c r="K152" i="11"/>
  <c r="J152" i="11"/>
  <c r="J153" i="11" s="1"/>
  <c r="I152" i="11"/>
  <c r="I153" i="11" s="1"/>
  <c r="H152" i="11"/>
  <c r="H153" i="11" s="1"/>
  <c r="G152" i="11"/>
  <c r="F152" i="11"/>
  <c r="F153" i="11" s="1"/>
  <c r="E152" i="11"/>
  <c r="D152" i="11"/>
  <c r="AY149" i="11"/>
  <c r="AZ149" i="11" s="1"/>
  <c r="AY146" i="11"/>
  <c r="AY166" i="11" s="1"/>
  <c r="AS143" i="11"/>
  <c r="AP143" i="11"/>
  <c r="AO143" i="11"/>
  <c r="AN143" i="11"/>
  <c r="AM143" i="11"/>
  <c r="AL143" i="11"/>
  <c r="AK143" i="11"/>
  <c r="AJ143" i="11"/>
  <c r="AI143" i="11"/>
  <c r="AH143" i="11"/>
  <c r="AG143" i="11"/>
  <c r="AF143" i="11"/>
  <c r="AE143" i="11"/>
  <c r="AD143" i="11"/>
  <c r="AC143" i="11"/>
  <c r="AC162" i="11" s="1"/>
  <c r="AB143" i="11"/>
  <c r="AA143" i="11"/>
  <c r="Z143" i="11"/>
  <c r="Y143" i="11"/>
  <c r="X143" i="11"/>
  <c r="W143" i="11"/>
  <c r="V143" i="11"/>
  <c r="U143" i="11"/>
  <c r="T143" i="11"/>
  <c r="S143" i="11"/>
  <c r="S153" i="11" s="1"/>
  <c r="R143" i="11"/>
  <c r="Q143" i="11"/>
  <c r="P143" i="11"/>
  <c r="O143" i="11"/>
  <c r="N143" i="11"/>
  <c r="M143" i="11"/>
  <c r="M162" i="11" s="1"/>
  <c r="L143" i="11"/>
  <c r="K143" i="11"/>
  <c r="K162" i="11" s="1"/>
  <c r="J143" i="11"/>
  <c r="J162" i="11" s="1"/>
  <c r="AX141" i="11"/>
  <c r="AX143" i="11" s="1"/>
  <c r="AW141" i="11"/>
  <c r="AW143" i="11" s="1"/>
  <c r="AV141" i="11"/>
  <c r="AV143" i="11" s="1"/>
  <c r="AU141" i="11"/>
  <c r="AU143" i="11" s="1"/>
  <c r="AT141" i="11"/>
  <c r="AT143" i="11" s="1"/>
  <c r="AS141" i="11"/>
  <c r="AR141" i="11"/>
  <c r="AR143" i="11" s="1"/>
  <c r="AQ141" i="11"/>
  <c r="AQ143" i="11" s="1"/>
  <c r="AP141" i="11"/>
  <c r="AO141" i="11"/>
  <c r="BF139" i="11"/>
  <c r="BG139" i="11" s="1"/>
  <c r="BH139" i="11" s="1"/>
  <c r="BI139" i="11" s="1"/>
  <c r="BJ139" i="11" s="1"/>
  <c r="BK139" i="11" s="1"/>
  <c r="BL139" i="11" s="1"/>
  <c r="BM139" i="11" s="1"/>
  <c r="BN139" i="11" s="1"/>
  <c r="BO139" i="11" s="1"/>
  <c r="BP139" i="11" s="1"/>
  <c r="BQ139" i="11" s="1"/>
  <c r="BR139" i="11" s="1"/>
  <c r="BS139" i="11" s="1"/>
  <c r="BT139" i="11" s="1"/>
  <c r="BU139" i="11" s="1"/>
  <c r="BV139" i="11" s="1"/>
  <c r="BW139" i="11" s="1"/>
  <c r="BX139" i="11" s="1"/>
  <c r="BY139" i="11" s="1"/>
  <c r="BZ139" i="11" s="1"/>
  <c r="CA139" i="11" s="1"/>
  <c r="CB139" i="11" s="1"/>
  <c r="CC139" i="11" s="1"/>
  <c r="CD139" i="11" s="1"/>
  <c r="CE139" i="11" s="1"/>
  <c r="CF139" i="11" s="1"/>
  <c r="CG139" i="11" s="1"/>
  <c r="CH139" i="11" s="1"/>
  <c r="CI139" i="11" s="1"/>
  <c r="CJ139" i="11" s="1"/>
  <c r="CK139" i="11" s="1"/>
  <c r="CL139" i="11" s="1"/>
  <c r="CM139" i="11" s="1"/>
  <c r="CN139" i="11" s="1"/>
  <c r="CO139" i="11" s="1"/>
  <c r="CP139" i="11" s="1"/>
  <c r="CQ139" i="11" s="1"/>
  <c r="CR139" i="11" s="1"/>
  <c r="CS139" i="11" s="1"/>
  <c r="CT139" i="11" s="1"/>
  <c r="CU139" i="11" s="1"/>
  <c r="CV139" i="11" s="1"/>
  <c r="CW139" i="11" s="1"/>
  <c r="CX139" i="11" s="1"/>
  <c r="CY139" i="11" s="1"/>
  <c r="CZ139" i="11" s="1"/>
  <c r="DA139" i="11" s="1"/>
  <c r="DB139" i="11" s="1"/>
  <c r="DC139" i="11" s="1"/>
  <c r="DD139" i="11" s="1"/>
  <c r="DE139" i="11" s="1"/>
  <c r="DF139" i="11" s="1"/>
  <c r="DG139" i="11" s="1"/>
  <c r="AZ139" i="11"/>
  <c r="BA139" i="11" s="1"/>
  <c r="BB139" i="11" s="1"/>
  <c r="BC139" i="11" s="1"/>
  <c r="BD139" i="11" s="1"/>
  <c r="BE139" i="11" s="1"/>
  <c r="AY138" i="11"/>
  <c r="AZ138" i="11" s="1"/>
  <c r="BA138" i="11" s="1"/>
  <c r="BB138" i="11" s="1"/>
  <c r="BC138" i="11" s="1"/>
  <c r="BD138" i="11" s="1"/>
  <c r="BE138" i="11" s="1"/>
  <c r="BF138" i="11" s="1"/>
  <c r="BG138" i="11" s="1"/>
  <c r="BH138" i="11" s="1"/>
  <c r="BI138" i="11" s="1"/>
  <c r="BJ138" i="11" s="1"/>
  <c r="BK138" i="11" s="1"/>
  <c r="BL138" i="11" s="1"/>
  <c r="BM138" i="11" s="1"/>
  <c r="BN138" i="11" s="1"/>
  <c r="BO138" i="11" s="1"/>
  <c r="BP138" i="11" s="1"/>
  <c r="BQ138" i="11" s="1"/>
  <c r="BR138" i="11" s="1"/>
  <c r="BS138" i="11" s="1"/>
  <c r="BT138" i="11" s="1"/>
  <c r="BU138" i="11" s="1"/>
  <c r="BV138" i="11" s="1"/>
  <c r="BW138" i="11" s="1"/>
  <c r="BX138" i="11" s="1"/>
  <c r="BY138" i="11" s="1"/>
  <c r="BZ138" i="11" s="1"/>
  <c r="CA138" i="11" s="1"/>
  <c r="CB138" i="11" s="1"/>
  <c r="CC138" i="11" s="1"/>
  <c r="CD138" i="11" s="1"/>
  <c r="CE138" i="11" s="1"/>
  <c r="CF138" i="11" s="1"/>
  <c r="CG138" i="11" s="1"/>
  <c r="CH138" i="11" s="1"/>
  <c r="CI138" i="11" s="1"/>
  <c r="CJ138" i="11" s="1"/>
  <c r="CK138" i="11" s="1"/>
  <c r="CL138" i="11" s="1"/>
  <c r="CM138" i="11" s="1"/>
  <c r="CN138" i="11" s="1"/>
  <c r="CO138" i="11" s="1"/>
  <c r="CP138" i="11" s="1"/>
  <c r="CQ138" i="11" s="1"/>
  <c r="CR138" i="11" s="1"/>
  <c r="CS138" i="11" s="1"/>
  <c r="CT138" i="11" s="1"/>
  <c r="CU138" i="11" s="1"/>
  <c r="CV138" i="11" s="1"/>
  <c r="CW138" i="11" s="1"/>
  <c r="CX138" i="11" s="1"/>
  <c r="CY138" i="11" s="1"/>
  <c r="CZ138" i="11" s="1"/>
  <c r="DA138" i="11" s="1"/>
  <c r="DB138" i="11" s="1"/>
  <c r="DC138" i="11" s="1"/>
  <c r="DD138" i="11" s="1"/>
  <c r="DE138" i="11" s="1"/>
  <c r="DF138" i="11" s="1"/>
  <c r="DG138" i="11" s="1"/>
  <c r="AY137" i="11"/>
  <c r="AZ137" i="11" s="1"/>
  <c r="BA137" i="11" s="1"/>
  <c r="BB137" i="11" s="1"/>
  <c r="BC137" i="11" s="1"/>
  <c r="BD137" i="11" s="1"/>
  <c r="BE137" i="11" s="1"/>
  <c r="BF137" i="11" s="1"/>
  <c r="BG137" i="11" s="1"/>
  <c r="BH137" i="11" s="1"/>
  <c r="BI137" i="11" s="1"/>
  <c r="BJ137" i="11" s="1"/>
  <c r="BK137" i="11" s="1"/>
  <c r="BL137" i="11" s="1"/>
  <c r="BM137" i="11" s="1"/>
  <c r="BN137" i="11" s="1"/>
  <c r="BO137" i="11" s="1"/>
  <c r="BP137" i="11" s="1"/>
  <c r="BQ137" i="11" s="1"/>
  <c r="BR137" i="11" s="1"/>
  <c r="BS137" i="11" s="1"/>
  <c r="BT137" i="11" s="1"/>
  <c r="BU137" i="11" s="1"/>
  <c r="BV137" i="11" s="1"/>
  <c r="BW137" i="11" s="1"/>
  <c r="BX137" i="11" s="1"/>
  <c r="BY137" i="11" s="1"/>
  <c r="BZ137" i="11" s="1"/>
  <c r="CA137" i="11" s="1"/>
  <c r="CB137" i="11" s="1"/>
  <c r="CC137" i="11" s="1"/>
  <c r="CD137" i="11" s="1"/>
  <c r="CE137" i="11" s="1"/>
  <c r="CF137" i="11" s="1"/>
  <c r="CG137" i="11" s="1"/>
  <c r="CH137" i="11" s="1"/>
  <c r="CI137" i="11" s="1"/>
  <c r="CJ137" i="11" s="1"/>
  <c r="CK137" i="11" s="1"/>
  <c r="CL137" i="11" s="1"/>
  <c r="CM137" i="11" s="1"/>
  <c r="CN137" i="11" s="1"/>
  <c r="CO137" i="11" s="1"/>
  <c r="CP137" i="11" s="1"/>
  <c r="CQ137" i="11" s="1"/>
  <c r="CR137" i="11" s="1"/>
  <c r="CS137" i="11" s="1"/>
  <c r="CT137" i="11" s="1"/>
  <c r="CU137" i="11" s="1"/>
  <c r="CV137" i="11" s="1"/>
  <c r="CW137" i="11" s="1"/>
  <c r="CX137" i="11" s="1"/>
  <c r="CY137" i="11" s="1"/>
  <c r="CZ137" i="11" s="1"/>
  <c r="DA137" i="11" s="1"/>
  <c r="DB137" i="11" s="1"/>
  <c r="DC137" i="11" s="1"/>
  <c r="DD137" i="11" s="1"/>
  <c r="DE137" i="11" s="1"/>
  <c r="DF137" i="11" s="1"/>
  <c r="DG137" i="11" s="1"/>
  <c r="AY136" i="11"/>
  <c r="BA135" i="11"/>
  <c r="BB135" i="11" s="1"/>
  <c r="BC135" i="11" s="1"/>
  <c r="BD135" i="11" s="1"/>
  <c r="BE135" i="11" s="1"/>
  <c r="BF135" i="11" s="1"/>
  <c r="BG135" i="11" s="1"/>
  <c r="BH135" i="11" s="1"/>
  <c r="BI135" i="11" s="1"/>
  <c r="BJ135" i="11" s="1"/>
  <c r="BK135" i="11" s="1"/>
  <c r="BL135" i="11" s="1"/>
  <c r="BM135" i="11" s="1"/>
  <c r="BN135" i="11" s="1"/>
  <c r="BO135" i="11" s="1"/>
  <c r="BP135" i="11" s="1"/>
  <c r="BQ135" i="11" s="1"/>
  <c r="BR135" i="11" s="1"/>
  <c r="BS135" i="11" s="1"/>
  <c r="BT135" i="11" s="1"/>
  <c r="BU135" i="11" s="1"/>
  <c r="BV135" i="11" s="1"/>
  <c r="BW135" i="11" s="1"/>
  <c r="BX135" i="11" s="1"/>
  <c r="BY135" i="11" s="1"/>
  <c r="BZ135" i="11" s="1"/>
  <c r="CA135" i="11" s="1"/>
  <c r="CB135" i="11" s="1"/>
  <c r="CC135" i="11" s="1"/>
  <c r="CD135" i="11" s="1"/>
  <c r="CE135" i="11" s="1"/>
  <c r="CF135" i="11" s="1"/>
  <c r="CG135" i="11" s="1"/>
  <c r="CH135" i="11" s="1"/>
  <c r="CI135" i="11" s="1"/>
  <c r="CJ135" i="11" s="1"/>
  <c r="CK135" i="11" s="1"/>
  <c r="CL135" i="11" s="1"/>
  <c r="CM135" i="11" s="1"/>
  <c r="CN135" i="11" s="1"/>
  <c r="CO135" i="11" s="1"/>
  <c r="CP135" i="11" s="1"/>
  <c r="CQ135" i="11" s="1"/>
  <c r="CR135" i="11" s="1"/>
  <c r="CS135" i="11" s="1"/>
  <c r="CT135" i="11" s="1"/>
  <c r="CU135" i="11" s="1"/>
  <c r="CV135" i="11" s="1"/>
  <c r="CW135" i="11" s="1"/>
  <c r="CX135" i="11" s="1"/>
  <c r="CY135" i="11" s="1"/>
  <c r="CZ135" i="11" s="1"/>
  <c r="DA135" i="11" s="1"/>
  <c r="DB135" i="11" s="1"/>
  <c r="DC135" i="11" s="1"/>
  <c r="DD135" i="11" s="1"/>
  <c r="DE135" i="11" s="1"/>
  <c r="DF135" i="11" s="1"/>
  <c r="DG135" i="11" s="1"/>
  <c r="AZ135" i="11"/>
  <c r="AY132" i="11"/>
  <c r="AZ132" i="11" s="1"/>
  <c r="BA132" i="11" s="1"/>
  <c r="BB132" i="11" s="1"/>
  <c r="BC132" i="11" s="1"/>
  <c r="BD132" i="11" s="1"/>
  <c r="BE132" i="11" s="1"/>
  <c r="BF132" i="11" s="1"/>
  <c r="BG132" i="11" s="1"/>
  <c r="BH132" i="11" s="1"/>
  <c r="BI132" i="11" s="1"/>
  <c r="BJ132" i="11" s="1"/>
  <c r="BK132" i="11" s="1"/>
  <c r="BL132" i="11" s="1"/>
  <c r="BM132" i="11" s="1"/>
  <c r="BN132" i="11" s="1"/>
  <c r="BO132" i="11" s="1"/>
  <c r="BP132" i="11" s="1"/>
  <c r="BQ132" i="11" s="1"/>
  <c r="BR132" i="11" s="1"/>
  <c r="BS132" i="11" s="1"/>
  <c r="BT132" i="11" s="1"/>
  <c r="BU132" i="11" s="1"/>
  <c r="BV132" i="11" s="1"/>
  <c r="BW132" i="11" s="1"/>
  <c r="BX132" i="11" s="1"/>
  <c r="BY132" i="11" s="1"/>
  <c r="BZ132" i="11" s="1"/>
  <c r="CA132" i="11" s="1"/>
  <c r="CB132" i="11" s="1"/>
  <c r="CC132" i="11" s="1"/>
  <c r="CD132" i="11" s="1"/>
  <c r="CE132" i="11" s="1"/>
  <c r="CF132" i="11" s="1"/>
  <c r="CG132" i="11" s="1"/>
  <c r="CH132" i="11" s="1"/>
  <c r="CI132" i="11" s="1"/>
  <c r="CJ132" i="11" s="1"/>
  <c r="CK132" i="11" s="1"/>
  <c r="CL132" i="11" s="1"/>
  <c r="CM132" i="11" s="1"/>
  <c r="CN132" i="11" s="1"/>
  <c r="CO132" i="11" s="1"/>
  <c r="CP132" i="11" s="1"/>
  <c r="CQ132" i="11" s="1"/>
  <c r="CR132" i="11" s="1"/>
  <c r="CS132" i="11" s="1"/>
  <c r="CT132" i="11" s="1"/>
  <c r="CU132" i="11" s="1"/>
  <c r="CV132" i="11" s="1"/>
  <c r="CW132" i="11" s="1"/>
  <c r="CX132" i="11" s="1"/>
  <c r="CY132" i="11" s="1"/>
  <c r="CZ132" i="11" s="1"/>
  <c r="DA132" i="11" s="1"/>
  <c r="DB132" i="11" s="1"/>
  <c r="DC132" i="11" s="1"/>
  <c r="DD132" i="11" s="1"/>
  <c r="DE132" i="11" s="1"/>
  <c r="DF132" i="11" s="1"/>
  <c r="DG132" i="11" s="1"/>
  <c r="AU127" i="11"/>
  <c r="AS127" i="11"/>
  <c r="AP127" i="11"/>
  <c r="AM127" i="11"/>
  <c r="AL127" i="11"/>
  <c r="AK127" i="11"/>
  <c r="AJ127" i="11"/>
  <c r="AI127" i="11"/>
  <c r="AH127" i="11"/>
  <c r="AG127" i="11"/>
  <c r="AF127" i="11"/>
  <c r="AE127" i="11"/>
  <c r="AD127" i="11"/>
  <c r="AC127" i="11"/>
  <c r="AB127" i="11"/>
  <c r="Y127" i="11"/>
  <c r="V127" i="11"/>
  <c r="U127" i="11"/>
  <c r="T127" i="11"/>
  <c r="S127" i="11"/>
  <c r="R127" i="11"/>
  <c r="Q127" i="11"/>
  <c r="P127" i="11"/>
  <c r="AX124" i="11"/>
  <c r="AX127" i="11" s="1"/>
  <c r="AW124" i="11"/>
  <c r="AW127" i="11" s="1"/>
  <c r="AV124" i="11"/>
  <c r="AV127" i="11" s="1"/>
  <c r="AU124" i="11"/>
  <c r="AT124" i="11"/>
  <c r="AT127" i="11" s="1"/>
  <c r="AS124" i="11"/>
  <c r="AR124" i="11"/>
  <c r="AR127" i="11" s="1"/>
  <c r="AQ124" i="11"/>
  <c r="AQ127" i="11" s="1"/>
  <c r="AP124" i="11"/>
  <c r="AO124" i="11"/>
  <c r="AO127" i="11" s="1"/>
  <c r="AN124" i="11"/>
  <c r="AN127" i="11" s="1"/>
  <c r="AM124" i="11"/>
  <c r="AL124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AA127" i="11" s="1"/>
  <c r="Z124" i="11"/>
  <c r="Z127" i="11" s="1"/>
  <c r="Y124" i="11"/>
  <c r="X124" i="11"/>
  <c r="X127" i="11" s="1"/>
  <c r="W124" i="11"/>
  <c r="W127" i="11" s="1"/>
  <c r="AY123" i="11"/>
  <c r="AZ123" i="11" s="1"/>
  <c r="CA122" i="11"/>
  <c r="CB122" i="11" s="1"/>
  <c r="CC122" i="11" s="1"/>
  <c r="CD122" i="11" s="1"/>
  <c r="CE122" i="11" s="1"/>
  <c r="CF122" i="11" s="1"/>
  <c r="CG122" i="11" s="1"/>
  <c r="CH122" i="11" s="1"/>
  <c r="CI122" i="11" s="1"/>
  <c r="CJ122" i="11" s="1"/>
  <c r="CK122" i="11" s="1"/>
  <c r="CL122" i="11" s="1"/>
  <c r="CM122" i="11" s="1"/>
  <c r="CN122" i="11" s="1"/>
  <c r="CO122" i="11" s="1"/>
  <c r="CP122" i="11" s="1"/>
  <c r="CQ122" i="11" s="1"/>
  <c r="CR122" i="11" s="1"/>
  <c r="CS122" i="11" s="1"/>
  <c r="CT122" i="11" s="1"/>
  <c r="CU122" i="11" s="1"/>
  <c r="CV122" i="11" s="1"/>
  <c r="CW122" i="11" s="1"/>
  <c r="CX122" i="11" s="1"/>
  <c r="CY122" i="11" s="1"/>
  <c r="CZ122" i="11" s="1"/>
  <c r="DA122" i="11" s="1"/>
  <c r="DB122" i="11" s="1"/>
  <c r="DC122" i="11" s="1"/>
  <c r="DD122" i="11" s="1"/>
  <c r="DE122" i="11" s="1"/>
  <c r="DF122" i="11" s="1"/>
  <c r="DG122" i="11" s="1"/>
  <c r="BK122" i="11"/>
  <c r="BL122" i="11" s="1"/>
  <c r="BM122" i="11" s="1"/>
  <c r="BN122" i="11" s="1"/>
  <c r="BO122" i="11" s="1"/>
  <c r="BP122" i="11" s="1"/>
  <c r="BQ122" i="11" s="1"/>
  <c r="BR122" i="11" s="1"/>
  <c r="BS122" i="11" s="1"/>
  <c r="BT122" i="11" s="1"/>
  <c r="BU122" i="11" s="1"/>
  <c r="BV122" i="11" s="1"/>
  <c r="BW122" i="11" s="1"/>
  <c r="BX122" i="11" s="1"/>
  <c r="BY122" i="11" s="1"/>
  <c r="BZ122" i="11" s="1"/>
  <c r="AZ122" i="11"/>
  <c r="BA122" i="11" s="1"/>
  <c r="BB122" i="11" s="1"/>
  <c r="BC122" i="11" s="1"/>
  <c r="BD122" i="11" s="1"/>
  <c r="BE122" i="11" s="1"/>
  <c r="BF122" i="11" s="1"/>
  <c r="BG122" i="11" s="1"/>
  <c r="BH122" i="11" s="1"/>
  <c r="BI122" i="11" s="1"/>
  <c r="BJ122" i="11" s="1"/>
  <c r="AY122" i="11"/>
  <c r="DE121" i="11"/>
  <c r="DF121" i="11" s="1"/>
  <c r="DG121" i="11" s="1"/>
  <c r="AZ121" i="11"/>
  <c r="BA121" i="11" s="1"/>
  <c r="BB121" i="11" s="1"/>
  <c r="BC121" i="11" s="1"/>
  <c r="BD121" i="11" s="1"/>
  <c r="BE121" i="11" s="1"/>
  <c r="BF121" i="11" s="1"/>
  <c r="BG121" i="11" s="1"/>
  <c r="BH121" i="11" s="1"/>
  <c r="BI121" i="11" s="1"/>
  <c r="BJ121" i="11" s="1"/>
  <c r="BK121" i="11" s="1"/>
  <c r="BL121" i="11" s="1"/>
  <c r="BM121" i="11" s="1"/>
  <c r="BN121" i="11" s="1"/>
  <c r="BO121" i="11" s="1"/>
  <c r="BP121" i="11" s="1"/>
  <c r="BQ121" i="11" s="1"/>
  <c r="BR121" i="11" s="1"/>
  <c r="BS121" i="11" s="1"/>
  <c r="BT121" i="11" s="1"/>
  <c r="BU121" i="11" s="1"/>
  <c r="BV121" i="11" s="1"/>
  <c r="BW121" i="11" s="1"/>
  <c r="BX121" i="11" s="1"/>
  <c r="BY121" i="11" s="1"/>
  <c r="BZ121" i="11" s="1"/>
  <c r="CA121" i="11" s="1"/>
  <c r="CB121" i="11" s="1"/>
  <c r="CC121" i="11" s="1"/>
  <c r="CD121" i="11" s="1"/>
  <c r="CE121" i="11" s="1"/>
  <c r="CF121" i="11" s="1"/>
  <c r="CG121" i="11" s="1"/>
  <c r="CH121" i="11" s="1"/>
  <c r="CI121" i="11" s="1"/>
  <c r="CJ121" i="11" s="1"/>
  <c r="CK121" i="11" s="1"/>
  <c r="CL121" i="11" s="1"/>
  <c r="CM121" i="11" s="1"/>
  <c r="CN121" i="11" s="1"/>
  <c r="CO121" i="11" s="1"/>
  <c r="CP121" i="11" s="1"/>
  <c r="CQ121" i="11" s="1"/>
  <c r="CR121" i="11" s="1"/>
  <c r="CS121" i="11" s="1"/>
  <c r="CT121" i="11" s="1"/>
  <c r="CU121" i="11" s="1"/>
  <c r="CV121" i="11" s="1"/>
  <c r="CW121" i="11" s="1"/>
  <c r="CX121" i="11" s="1"/>
  <c r="CY121" i="11" s="1"/>
  <c r="CZ121" i="11" s="1"/>
  <c r="DA121" i="11" s="1"/>
  <c r="DB121" i="11" s="1"/>
  <c r="DC121" i="11" s="1"/>
  <c r="DD121" i="11" s="1"/>
  <c r="AY121" i="11"/>
  <c r="AY120" i="11"/>
  <c r="AZ120" i="11" s="1"/>
  <c r="BA120" i="11" s="1"/>
  <c r="BB120" i="11" s="1"/>
  <c r="BC120" i="11" s="1"/>
  <c r="BD120" i="11" s="1"/>
  <c r="BE120" i="11" s="1"/>
  <c r="BF120" i="11" s="1"/>
  <c r="BG120" i="11" s="1"/>
  <c r="BH120" i="11" s="1"/>
  <c r="BI120" i="11" s="1"/>
  <c r="BJ120" i="11" s="1"/>
  <c r="BK120" i="11" s="1"/>
  <c r="BL120" i="11" s="1"/>
  <c r="BM120" i="11" s="1"/>
  <c r="BN120" i="11" s="1"/>
  <c r="BO120" i="11" s="1"/>
  <c r="BP120" i="11" s="1"/>
  <c r="BQ120" i="11" s="1"/>
  <c r="BR120" i="11" s="1"/>
  <c r="BS120" i="11" s="1"/>
  <c r="BT120" i="11" s="1"/>
  <c r="BU120" i="11" s="1"/>
  <c r="BV120" i="11" s="1"/>
  <c r="BW120" i="11" s="1"/>
  <c r="BX120" i="11" s="1"/>
  <c r="BY120" i="11" s="1"/>
  <c r="BZ120" i="11" s="1"/>
  <c r="CA120" i="11" s="1"/>
  <c r="CB120" i="11" s="1"/>
  <c r="CC120" i="11" s="1"/>
  <c r="CD120" i="11" s="1"/>
  <c r="CE120" i="11" s="1"/>
  <c r="CF120" i="11" s="1"/>
  <c r="CG120" i="11" s="1"/>
  <c r="CH120" i="11" s="1"/>
  <c r="CI120" i="11" s="1"/>
  <c r="CJ120" i="11" s="1"/>
  <c r="CK120" i="11" s="1"/>
  <c r="CL120" i="11" s="1"/>
  <c r="CM120" i="11" s="1"/>
  <c r="CN120" i="11" s="1"/>
  <c r="CO120" i="11" s="1"/>
  <c r="CP120" i="11" s="1"/>
  <c r="CQ120" i="11" s="1"/>
  <c r="CR120" i="11" s="1"/>
  <c r="CS120" i="11" s="1"/>
  <c r="CT120" i="11" s="1"/>
  <c r="CU120" i="11" s="1"/>
  <c r="CV120" i="11" s="1"/>
  <c r="CW120" i="11" s="1"/>
  <c r="CX120" i="11" s="1"/>
  <c r="CY120" i="11" s="1"/>
  <c r="CZ120" i="11" s="1"/>
  <c r="DA120" i="11" s="1"/>
  <c r="DB120" i="11" s="1"/>
  <c r="DC120" i="11" s="1"/>
  <c r="DD120" i="11" s="1"/>
  <c r="DE120" i="11" s="1"/>
  <c r="DF120" i="11" s="1"/>
  <c r="DG120" i="11" s="1"/>
  <c r="AY119" i="11"/>
  <c r="AZ119" i="11" s="1"/>
  <c r="BA119" i="11" s="1"/>
  <c r="BB119" i="11" s="1"/>
  <c r="BC119" i="11" s="1"/>
  <c r="BD119" i="11" s="1"/>
  <c r="BE119" i="11" s="1"/>
  <c r="BF119" i="11" s="1"/>
  <c r="BG119" i="11" s="1"/>
  <c r="BH119" i="11" s="1"/>
  <c r="BI119" i="11" s="1"/>
  <c r="BJ119" i="11" s="1"/>
  <c r="BK119" i="11" s="1"/>
  <c r="BL119" i="11" s="1"/>
  <c r="BM119" i="11" s="1"/>
  <c r="BN119" i="11" s="1"/>
  <c r="BO119" i="11" s="1"/>
  <c r="BP119" i="11" s="1"/>
  <c r="BQ119" i="11" s="1"/>
  <c r="BR119" i="11" s="1"/>
  <c r="BS119" i="11" s="1"/>
  <c r="BT119" i="11" s="1"/>
  <c r="BU119" i="11" s="1"/>
  <c r="BV119" i="11" s="1"/>
  <c r="BW119" i="11" s="1"/>
  <c r="BX119" i="11" s="1"/>
  <c r="BY119" i="11" s="1"/>
  <c r="BZ119" i="11" s="1"/>
  <c r="CA119" i="11" s="1"/>
  <c r="CB119" i="11" s="1"/>
  <c r="CC119" i="11" s="1"/>
  <c r="CD119" i="11" s="1"/>
  <c r="CE119" i="11" s="1"/>
  <c r="CF119" i="11" s="1"/>
  <c r="CG119" i="11" s="1"/>
  <c r="CH119" i="11" s="1"/>
  <c r="CI119" i="11" s="1"/>
  <c r="CJ119" i="11" s="1"/>
  <c r="CK119" i="11" s="1"/>
  <c r="CL119" i="11" s="1"/>
  <c r="CM119" i="11" s="1"/>
  <c r="CN119" i="11" s="1"/>
  <c r="CO119" i="11" s="1"/>
  <c r="CP119" i="11" s="1"/>
  <c r="CQ119" i="11" s="1"/>
  <c r="CR119" i="11" s="1"/>
  <c r="CS119" i="11" s="1"/>
  <c r="CT119" i="11" s="1"/>
  <c r="CU119" i="11" s="1"/>
  <c r="CV119" i="11" s="1"/>
  <c r="CW119" i="11" s="1"/>
  <c r="CX119" i="11" s="1"/>
  <c r="CY119" i="11" s="1"/>
  <c r="CZ119" i="11" s="1"/>
  <c r="DA119" i="11" s="1"/>
  <c r="DB119" i="11" s="1"/>
  <c r="DC119" i="11" s="1"/>
  <c r="DD119" i="11" s="1"/>
  <c r="DE119" i="11" s="1"/>
  <c r="DF119" i="11" s="1"/>
  <c r="DG119" i="11" s="1"/>
  <c r="AY118" i="11"/>
  <c r="BA116" i="11"/>
  <c r="BB116" i="11" s="1"/>
  <c r="BC116" i="11" s="1"/>
  <c r="BD116" i="11" s="1"/>
  <c r="AZ116" i="11"/>
  <c r="AX115" i="11"/>
  <c r="AW115" i="11"/>
  <c r="AV115" i="11"/>
  <c r="AU115" i="11"/>
  <c r="AU161" i="11" s="1"/>
  <c r="AT115" i="11"/>
  <c r="AS115" i="11"/>
  <c r="AR115" i="11"/>
  <c r="AQ115" i="11"/>
  <c r="AP115" i="11"/>
  <c r="AO115" i="11"/>
  <c r="AN115" i="11"/>
  <c r="AM115" i="11"/>
  <c r="AM161" i="11" s="1"/>
  <c r="AL115" i="11"/>
  <c r="AK115" i="11"/>
  <c r="AJ115" i="11"/>
  <c r="AI115" i="11"/>
  <c r="AH115" i="11"/>
  <c r="AG115" i="11"/>
  <c r="AF115" i="11"/>
  <c r="AE115" i="11"/>
  <c r="AD115" i="11"/>
  <c r="AC115" i="11"/>
  <c r="AC161" i="11" s="1"/>
  <c r="AB115" i="11"/>
  <c r="AA115" i="11"/>
  <c r="Z115" i="11"/>
  <c r="Y115" i="11"/>
  <c r="X115" i="11"/>
  <c r="W115" i="11"/>
  <c r="W161" i="11" s="1"/>
  <c r="V115" i="11"/>
  <c r="U115" i="11"/>
  <c r="U161" i="11" s="1"/>
  <c r="T115" i="11"/>
  <c r="S115" i="11"/>
  <c r="R115" i="11"/>
  <c r="Q115" i="11"/>
  <c r="P115" i="11"/>
  <c r="O115" i="11"/>
  <c r="N115" i="11"/>
  <c r="M115" i="11"/>
  <c r="M161" i="11" s="1"/>
  <c r="L115" i="11"/>
  <c r="K115" i="11"/>
  <c r="J115" i="11"/>
  <c r="J161" i="11" s="1"/>
  <c r="I115" i="11"/>
  <c r="H115" i="11"/>
  <c r="G115" i="11"/>
  <c r="F115" i="11"/>
  <c r="E115" i="11"/>
  <c r="D115" i="11"/>
  <c r="D161" i="11" s="1"/>
  <c r="AQ112" i="11"/>
  <c r="F46" i="5" s="1"/>
  <c r="AL112" i="11"/>
  <c r="AI112" i="11"/>
  <c r="AD112" i="11"/>
  <c r="AV111" i="11"/>
  <c r="AV112" i="11" s="1"/>
  <c r="AU111" i="11"/>
  <c r="AU112" i="11" s="1"/>
  <c r="J46" i="4" s="1"/>
  <c r="AT111" i="11"/>
  <c r="AT112" i="11" s="1"/>
  <c r="AS111" i="11"/>
  <c r="AS112" i="11" s="1"/>
  <c r="AR111" i="11"/>
  <c r="AR112" i="11" s="1"/>
  <c r="G46" i="5" s="1"/>
  <c r="AQ111" i="11"/>
  <c r="AP111" i="11"/>
  <c r="AP112" i="11" s="1"/>
  <c r="AO111" i="11"/>
  <c r="AO112" i="11" s="1"/>
  <c r="AN111" i="11"/>
  <c r="AN112" i="11" s="1"/>
  <c r="AM111" i="11"/>
  <c r="AM112" i="11" s="1"/>
  <c r="AL111" i="11"/>
  <c r="AK111" i="11"/>
  <c r="AK112" i="11" s="1"/>
  <c r="AJ111" i="11"/>
  <c r="AJ112" i="11" s="1"/>
  <c r="AI111" i="11"/>
  <c r="AH111" i="11"/>
  <c r="AH112" i="11" s="1"/>
  <c r="AG111" i="11"/>
  <c r="AG112" i="11" s="1"/>
  <c r="AF111" i="11"/>
  <c r="AF112" i="11" s="1"/>
  <c r="AE111" i="11"/>
  <c r="AE112" i="11" s="1"/>
  <c r="AD111" i="11"/>
  <c r="AC111" i="11"/>
  <c r="AC112" i="11" s="1"/>
  <c r="AB111" i="11"/>
  <c r="AB112" i="11" s="1"/>
  <c r="AA111" i="11"/>
  <c r="Z111" i="11"/>
  <c r="Y111" i="11"/>
  <c r="X111" i="11"/>
  <c r="W111" i="11"/>
  <c r="W128" i="11" s="1"/>
  <c r="W129" i="11" s="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D111" i="11"/>
  <c r="D174" i="11" s="1"/>
  <c r="AY110" i="11"/>
  <c r="AZ110" i="11" s="1"/>
  <c r="BA110" i="11" s="1"/>
  <c r="BB110" i="11" s="1"/>
  <c r="BC110" i="11" s="1"/>
  <c r="BD110" i="11" s="1"/>
  <c r="BE110" i="11" s="1"/>
  <c r="BF110" i="11" s="1"/>
  <c r="BG110" i="11" s="1"/>
  <c r="BH110" i="11" s="1"/>
  <c r="BI110" i="11" s="1"/>
  <c r="BJ110" i="11" s="1"/>
  <c r="BK110" i="11" s="1"/>
  <c r="BL110" i="11" s="1"/>
  <c r="BM110" i="11" s="1"/>
  <c r="BN110" i="11" s="1"/>
  <c r="BO110" i="11" s="1"/>
  <c r="BP110" i="11" s="1"/>
  <c r="BQ110" i="11" s="1"/>
  <c r="BR110" i="11" s="1"/>
  <c r="BS110" i="11" s="1"/>
  <c r="BT110" i="11" s="1"/>
  <c r="BU110" i="11" s="1"/>
  <c r="BV110" i="11" s="1"/>
  <c r="BW110" i="11" s="1"/>
  <c r="BX110" i="11" s="1"/>
  <c r="BY110" i="11" s="1"/>
  <c r="BZ110" i="11" s="1"/>
  <c r="CA110" i="11" s="1"/>
  <c r="CB110" i="11" s="1"/>
  <c r="CC110" i="11" s="1"/>
  <c r="CD110" i="11" s="1"/>
  <c r="CE110" i="11" s="1"/>
  <c r="CF110" i="11" s="1"/>
  <c r="CG110" i="11" s="1"/>
  <c r="CH110" i="11" s="1"/>
  <c r="CI110" i="11" s="1"/>
  <c r="CJ110" i="11" s="1"/>
  <c r="CK110" i="11" s="1"/>
  <c r="CL110" i="11" s="1"/>
  <c r="CM110" i="11" s="1"/>
  <c r="CN110" i="11" s="1"/>
  <c r="CO110" i="11" s="1"/>
  <c r="CP110" i="11" s="1"/>
  <c r="CQ110" i="11" s="1"/>
  <c r="CR110" i="11" s="1"/>
  <c r="CS110" i="11" s="1"/>
  <c r="CT110" i="11" s="1"/>
  <c r="CU110" i="11" s="1"/>
  <c r="CV110" i="11" s="1"/>
  <c r="CW110" i="11" s="1"/>
  <c r="CX110" i="11" s="1"/>
  <c r="CY110" i="11" s="1"/>
  <c r="CZ110" i="11" s="1"/>
  <c r="DA110" i="11" s="1"/>
  <c r="DB110" i="11" s="1"/>
  <c r="DC110" i="11" s="1"/>
  <c r="DD110" i="11" s="1"/>
  <c r="DE110" i="11" s="1"/>
  <c r="DF110" i="11" s="1"/>
  <c r="DG110" i="11" s="1"/>
  <c r="AY108" i="11"/>
  <c r="AZ108" i="11" s="1"/>
  <c r="BA108" i="11" s="1"/>
  <c r="BB108" i="11" s="1"/>
  <c r="BC108" i="11" s="1"/>
  <c r="BD108" i="11" s="1"/>
  <c r="BE108" i="11" s="1"/>
  <c r="BF108" i="11" s="1"/>
  <c r="BG108" i="11" s="1"/>
  <c r="BH108" i="11" s="1"/>
  <c r="BI108" i="11" s="1"/>
  <c r="BJ108" i="11" s="1"/>
  <c r="BK108" i="11" s="1"/>
  <c r="BL108" i="11" s="1"/>
  <c r="BM108" i="11" s="1"/>
  <c r="BN108" i="11" s="1"/>
  <c r="BO108" i="11" s="1"/>
  <c r="BP108" i="11" s="1"/>
  <c r="BQ108" i="11" s="1"/>
  <c r="BR108" i="11" s="1"/>
  <c r="BS108" i="11" s="1"/>
  <c r="BT108" i="11" s="1"/>
  <c r="BU108" i="11" s="1"/>
  <c r="BV108" i="11" s="1"/>
  <c r="BW108" i="11" s="1"/>
  <c r="BX108" i="11" s="1"/>
  <c r="BY108" i="11" s="1"/>
  <c r="BZ108" i="11" s="1"/>
  <c r="CA108" i="11" s="1"/>
  <c r="CB108" i="11" s="1"/>
  <c r="CC108" i="11" s="1"/>
  <c r="CD108" i="11" s="1"/>
  <c r="CE108" i="11" s="1"/>
  <c r="CF108" i="11" s="1"/>
  <c r="CG108" i="11" s="1"/>
  <c r="CH108" i="11" s="1"/>
  <c r="CI108" i="11" s="1"/>
  <c r="CJ108" i="11" s="1"/>
  <c r="CK108" i="11" s="1"/>
  <c r="CL108" i="11" s="1"/>
  <c r="CM108" i="11" s="1"/>
  <c r="CN108" i="11" s="1"/>
  <c r="CO108" i="11" s="1"/>
  <c r="CP108" i="11" s="1"/>
  <c r="CQ108" i="11" s="1"/>
  <c r="CR108" i="11" s="1"/>
  <c r="CS108" i="11" s="1"/>
  <c r="CT108" i="11" s="1"/>
  <c r="CU108" i="11" s="1"/>
  <c r="CV108" i="11" s="1"/>
  <c r="CW108" i="11" s="1"/>
  <c r="CX108" i="11" s="1"/>
  <c r="CY108" i="11" s="1"/>
  <c r="CZ108" i="11" s="1"/>
  <c r="DA108" i="11" s="1"/>
  <c r="DB108" i="11" s="1"/>
  <c r="DC108" i="11" s="1"/>
  <c r="DD108" i="11" s="1"/>
  <c r="DE108" i="11" s="1"/>
  <c r="DF108" i="11" s="1"/>
  <c r="DG108" i="11" s="1"/>
  <c r="BN107" i="11"/>
  <c r="BO107" i="11" s="1"/>
  <c r="BP107" i="11" s="1"/>
  <c r="BQ107" i="11" s="1"/>
  <c r="BR107" i="11" s="1"/>
  <c r="BS107" i="11" s="1"/>
  <c r="BT107" i="11" s="1"/>
  <c r="BU107" i="11" s="1"/>
  <c r="BV107" i="11" s="1"/>
  <c r="BW107" i="11" s="1"/>
  <c r="BX107" i="11" s="1"/>
  <c r="BY107" i="11" s="1"/>
  <c r="BZ107" i="11" s="1"/>
  <c r="CA107" i="11" s="1"/>
  <c r="CB107" i="11" s="1"/>
  <c r="CC107" i="11" s="1"/>
  <c r="CD107" i="11" s="1"/>
  <c r="CE107" i="11" s="1"/>
  <c r="CF107" i="11" s="1"/>
  <c r="CG107" i="11" s="1"/>
  <c r="CH107" i="11" s="1"/>
  <c r="CI107" i="11" s="1"/>
  <c r="CJ107" i="11" s="1"/>
  <c r="CK107" i="11" s="1"/>
  <c r="CL107" i="11" s="1"/>
  <c r="CM107" i="11" s="1"/>
  <c r="CN107" i="11" s="1"/>
  <c r="CO107" i="11" s="1"/>
  <c r="CP107" i="11" s="1"/>
  <c r="CQ107" i="11" s="1"/>
  <c r="CR107" i="11" s="1"/>
  <c r="CS107" i="11" s="1"/>
  <c r="CT107" i="11" s="1"/>
  <c r="CU107" i="11" s="1"/>
  <c r="CV107" i="11" s="1"/>
  <c r="CW107" i="11" s="1"/>
  <c r="CX107" i="11" s="1"/>
  <c r="CY107" i="11" s="1"/>
  <c r="CZ107" i="11" s="1"/>
  <c r="DA107" i="11" s="1"/>
  <c r="DB107" i="11" s="1"/>
  <c r="DC107" i="11" s="1"/>
  <c r="DD107" i="11" s="1"/>
  <c r="DE107" i="11" s="1"/>
  <c r="DF107" i="11" s="1"/>
  <c r="DG107" i="11" s="1"/>
  <c r="AY107" i="11"/>
  <c r="AZ107" i="11" s="1"/>
  <c r="BA107" i="11" s="1"/>
  <c r="BB107" i="11" s="1"/>
  <c r="BC107" i="11" s="1"/>
  <c r="BD107" i="11" s="1"/>
  <c r="BE107" i="11" s="1"/>
  <c r="BF107" i="11" s="1"/>
  <c r="BG107" i="11" s="1"/>
  <c r="BH107" i="11" s="1"/>
  <c r="BI107" i="11" s="1"/>
  <c r="BJ107" i="11" s="1"/>
  <c r="BK107" i="11" s="1"/>
  <c r="BL107" i="11" s="1"/>
  <c r="BM107" i="11" s="1"/>
  <c r="BE106" i="11"/>
  <c r="BF106" i="11" s="1"/>
  <c r="BG106" i="11" s="1"/>
  <c r="BH106" i="11" s="1"/>
  <c r="BI106" i="11" s="1"/>
  <c r="BJ106" i="11" s="1"/>
  <c r="BK106" i="11" s="1"/>
  <c r="BL106" i="11" s="1"/>
  <c r="BM106" i="11" s="1"/>
  <c r="BN106" i="11" s="1"/>
  <c r="BO106" i="11" s="1"/>
  <c r="BP106" i="11" s="1"/>
  <c r="BQ106" i="11" s="1"/>
  <c r="BR106" i="11" s="1"/>
  <c r="BS106" i="11" s="1"/>
  <c r="BT106" i="11" s="1"/>
  <c r="BU106" i="11" s="1"/>
  <c r="BV106" i="11" s="1"/>
  <c r="BW106" i="11" s="1"/>
  <c r="BX106" i="11" s="1"/>
  <c r="BY106" i="11" s="1"/>
  <c r="BZ106" i="11" s="1"/>
  <c r="CA106" i="11" s="1"/>
  <c r="CB106" i="11" s="1"/>
  <c r="CC106" i="11" s="1"/>
  <c r="CD106" i="11" s="1"/>
  <c r="CE106" i="11" s="1"/>
  <c r="CF106" i="11" s="1"/>
  <c r="CG106" i="11" s="1"/>
  <c r="CH106" i="11" s="1"/>
  <c r="CI106" i="11" s="1"/>
  <c r="CJ106" i="11" s="1"/>
  <c r="CK106" i="11" s="1"/>
  <c r="CL106" i="11" s="1"/>
  <c r="CM106" i="11" s="1"/>
  <c r="CN106" i="11" s="1"/>
  <c r="CO106" i="11" s="1"/>
  <c r="CP106" i="11" s="1"/>
  <c r="CQ106" i="11" s="1"/>
  <c r="CR106" i="11" s="1"/>
  <c r="CS106" i="11" s="1"/>
  <c r="CT106" i="11" s="1"/>
  <c r="CU106" i="11" s="1"/>
  <c r="CV106" i="11" s="1"/>
  <c r="CW106" i="11" s="1"/>
  <c r="CX106" i="11" s="1"/>
  <c r="CY106" i="11" s="1"/>
  <c r="CZ106" i="11" s="1"/>
  <c r="DA106" i="11" s="1"/>
  <c r="DB106" i="11" s="1"/>
  <c r="DC106" i="11" s="1"/>
  <c r="DD106" i="11" s="1"/>
  <c r="DE106" i="11" s="1"/>
  <c r="DF106" i="11" s="1"/>
  <c r="DG106" i="11" s="1"/>
  <c r="AY106" i="11"/>
  <c r="AZ106" i="11" s="1"/>
  <c r="BA106" i="11" s="1"/>
  <c r="BB106" i="11" s="1"/>
  <c r="BC106" i="11" s="1"/>
  <c r="BD106" i="11" s="1"/>
  <c r="AX111" i="11"/>
  <c r="AX112" i="11" s="1"/>
  <c r="AN97" i="11"/>
  <c r="AL97" i="11"/>
  <c r="AJ97" i="11"/>
  <c r="AI97" i="11"/>
  <c r="AD97" i="11"/>
  <c r="AA97" i="11"/>
  <c r="X97" i="11"/>
  <c r="V97" i="11"/>
  <c r="T97" i="11"/>
  <c r="S97" i="11"/>
  <c r="N97" i="11"/>
  <c r="M97" i="11"/>
  <c r="L97" i="11"/>
  <c r="K97" i="11"/>
  <c r="H97" i="11"/>
  <c r="F97" i="11"/>
  <c r="D97" i="11"/>
  <c r="AX96" i="11"/>
  <c r="AX97" i="11" s="1"/>
  <c r="AW96" i="11"/>
  <c r="AW97" i="11" s="1"/>
  <c r="AV96" i="11"/>
  <c r="AV97" i="11" s="1"/>
  <c r="AU96" i="11"/>
  <c r="AU97" i="11" s="1"/>
  <c r="AT96" i="11"/>
  <c r="AT97" i="11" s="1"/>
  <c r="AS96" i="11"/>
  <c r="AS97" i="11" s="1"/>
  <c r="AR96" i="11"/>
  <c r="AR97" i="11" s="1"/>
  <c r="AQ96" i="11"/>
  <c r="AQ97" i="11" s="1"/>
  <c r="AP96" i="11"/>
  <c r="AP97" i="11" s="1"/>
  <c r="AO96" i="11"/>
  <c r="AO97" i="11" s="1"/>
  <c r="AN96" i="11"/>
  <c r="AM96" i="11"/>
  <c r="AM97" i="11" s="1"/>
  <c r="AL96" i="11"/>
  <c r="AK96" i="11"/>
  <c r="AK97" i="11" s="1"/>
  <c r="AJ96" i="11"/>
  <c r="AI96" i="11"/>
  <c r="AH96" i="11"/>
  <c r="AH97" i="11" s="1"/>
  <c r="AG96" i="11"/>
  <c r="AG97" i="11" s="1"/>
  <c r="AF96" i="11"/>
  <c r="AF97" i="11" s="1"/>
  <c r="AE96" i="11"/>
  <c r="AE97" i="11" s="1"/>
  <c r="AD96" i="11"/>
  <c r="AC96" i="11"/>
  <c r="AC97" i="11" s="1"/>
  <c r="AB96" i="11"/>
  <c r="AB97" i="11" s="1"/>
  <c r="AA96" i="11"/>
  <c r="Z96" i="11"/>
  <c r="Z97" i="11" s="1"/>
  <c r="Y96" i="11"/>
  <c r="Y97" i="11" s="1"/>
  <c r="X96" i="11"/>
  <c r="W96" i="11"/>
  <c r="W97" i="11" s="1"/>
  <c r="V96" i="11"/>
  <c r="U96" i="11"/>
  <c r="U97" i="11" s="1"/>
  <c r="T96" i="11"/>
  <c r="S96" i="11"/>
  <c r="R96" i="11"/>
  <c r="R97" i="11" s="1"/>
  <c r="Q96" i="11"/>
  <c r="Q97" i="11" s="1"/>
  <c r="P96" i="11"/>
  <c r="P97" i="11" s="1"/>
  <c r="O96" i="11"/>
  <c r="O97" i="11" s="1"/>
  <c r="N96" i="11"/>
  <c r="J96" i="11"/>
  <c r="J97" i="11" s="1"/>
  <c r="I96" i="11"/>
  <c r="I97" i="11" s="1"/>
  <c r="H96" i="11"/>
  <c r="G96" i="11"/>
  <c r="G97" i="11" s="1"/>
  <c r="F96" i="11"/>
  <c r="E96" i="11"/>
  <c r="E97" i="11" s="1"/>
  <c r="D96" i="11"/>
  <c r="AY95" i="11"/>
  <c r="AY96" i="11" s="1"/>
  <c r="AY97" i="11" s="1"/>
  <c r="AF91" i="11"/>
  <c r="Z91" i="11"/>
  <c r="X91" i="11"/>
  <c r="W91" i="11"/>
  <c r="U91" i="11"/>
  <c r="R91" i="11"/>
  <c r="P91" i="11"/>
  <c r="O91" i="11"/>
  <c r="M91" i="11"/>
  <c r="J91" i="11"/>
  <c r="H91" i="11"/>
  <c r="G91" i="11"/>
  <c r="E91" i="11"/>
  <c r="AI89" i="11"/>
  <c r="AI91" i="11" s="1"/>
  <c r="AA89" i="11"/>
  <c r="AA91" i="11" s="1"/>
  <c r="Z89" i="11"/>
  <c r="Y89" i="11"/>
  <c r="Y91" i="11" s="1"/>
  <c r="X89" i="11"/>
  <c r="W89" i="11"/>
  <c r="V89" i="11"/>
  <c r="V91" i="11" s="1"/>
  <c r="U89" i="11"/>
  <c r="T89" i="11"/>
  <c r="T91" i="11" s="1"/>
  <c r="S89" i="11"/>
  <c r="S91" i="11" s="1"/>
  <c r="R89" i="11"/>
  <c r="Q89" i="11"/>
  <c r="Q91" i="11" s="1"/>
  <c r="P89" i="11"/>
  <c r="O89" i="11"/>
  <c r="N89" i="11"/>
  <c r="N91" i="11" s="1"/>
  <c r="M89" i="11"/>
  <c r="L89" i="11"/>
  <c r="L91" i="11" s="1"/>
  <c r="K89" i="11"/>
  <c r="K91" i="11" s="1"/>
  <c r="J89" i="11"/>
  <c r="I89" i="11"/>
  <c r="I91" i="11" s="1"/>
  <c r="H89" i="11"/>
  <c r="G89" i="11"/>
  <c r="F89" i="11"/>
  <c r="F91" i="11" s="1"/>
  <c r="E89" i="11"/>
  <c r="D89" i="11"/>
  <c r="D91" i="11" s="1"/>
  <c r="CT88" i="11"/>
  <c r="DF88" i="11" s="1"/>
  <c r="CO88" i="11"/>
  <c r="DA88" i="11" s="1"/>
  <c r="CL88" i="11"/>
  <c r="CX88" i="11" s="1"/>
  <c r="CJ88" i="11"/>
  <c r="CV88" i="11" s="1"/>
  <c r="CB88" i="11"/>
  <c r="CN88" i="11" s="1"/>
  <c r="CZ88" i="11" s="1"/>
  <c r="BV88" i="11"/>
  <c r="CH88" i="11" s="1"/>
  <c r="BT88" i="11"/>
  <c r="CF88" i="11" s="1"/>
  <c r="CR88" i="11" s="1"/>
  <c r="DD88" i="11" s="1"/>
  <c r="BS88" i="11"/>
  <c r="CE88" i="11" s="1"/>
  <c r="CQ88" i="11" s="1"/>
  <c r="DC88" i="11" s="1"/>
  <c r="BQ88" i="11"/>
  <c r="CC88" i="11" s="1"/>
  <c r="BO88" i="11"/>
  <c r="CA88" i="11" s="1"/>
  <c r="CM88" i="11" s="1"/>
  <c r="CY88" i="11" s="1"/>
  <c r="BN88" i="11"/>
  <c r="BZ88" i="11" s="1"/>
  <c r="BL88" i="11"/>
  <c r="BX88" i="11" s="1"/>
  <c r="BK88" i="11"/>
  <c r="BW88" i="11" s="1"/>
  <c r="CI88" i="11" s="1"/>
  <c r="CU88" i="11" s="1"/>
  <c r="DG88" i="11" s="1"/>
  <c r="BJ88" i="11"/>
  <c r="BI88" i="11"/>
  <c r="BU88" i="11" s="1"/>
  <c r="CG88" i="11" s="1"/>
  <c r="CS88" i="11" s="1"/>
  <c r="DE88" i="11" s="1"/>
  <c r="BH88" i="11"/>
  <c r="BG88" i="11"/>
  <c r="BF88" i="11"/>
  <c r="BR88" i="11" s="1"/>
  <c r="CD88" i="11" s="1"/>
  <c r="CP88" i="11" s="1"/>
  <c r="DB88" i="11" s="1"/>
  <c r="BE88" i="11"/>
  <c r="BD88" i="11"/>
  <c r="BP88" i="11" s="1"/>
  <c r="BC88" i="11"/>
  <c r="BB88" i="11"/>
  <c r="BA88" i="11"/>
  <c r="BM88" i="11" s="1"/>
  <c r="BY88" i="11" s="1"/>
  <c r="CK88" i="11" s="1"/>
  <c r="CW88" i="11" s="1"/>
  <c r="AZ88" i="11"/>
  <c r="AY88" i="11"/>
  <c r="AY86" i="11"/>
  <c r="AY85" i="11"/>
  <c r="AX82" i="11"/>
  <c r="AW82" i="11"/>
  <c r="AV82" i="11"/>
  <c r="AU82" i="11"/>
  <c r="AT82" i="11"/>
  <c r="AS82" i="11"/>
  <c r="AR82" i="11"/>
  <c r="AQ82" i="11"/>
  <c r="AP82" i="11"/>
  <c r="AO82" i="11"/>
  <c r="AO89" i="11" s="1"/>
  <c r="AO91" i="11" s="1"/>
  <c r="AN82" i="11"/>
  <c r="AM82" i="11"/>
  <c r="AL82" i="11"/>
  <c r="AK82" i="11"/>
  <c r="AJ82" i="11"/>
  <c r="AI82" i="11"/>
  <c r="AH82" i="11"/>
  <c r="AG82" i="11"/>
  <c r="AF82" i="11"/>
  <c r="AE82" i="11"/>
  <c r="AD82" i="11"/>
  <c r="AC82" i="11"/>
  <c r="AB82" i="11"/>
  <c r="CS81" i="11"/>
  <c r="DE81" i="11" s="1"/>
  <c r="CP81" i="11"/>
  <c r="DB81" i="11" s="1"/>
  <c r="CM81" i="11"/>
  <c r="CY81" i="11" s="1"/>
  <c r="CK81" i="11"/>
  <c r="CW81" i="11" s="1"/>
  <c r="CH81" i="11"/>
  <c r="CT81" i="11" s="1"/>
  <c r="DF81" i="11" s="1"/>
  <c r="BZ81" i="11"/>
  <c r="CL81" i="11" s="1"/>
  <c r="CX81" i="11" s="1"/>
  <c r="BT81" i="11"/>
  <c r="CF81" i="11" s="1"/>
  <c r="CR81" i="11" s="1"/>
  <c r="DD81" i="11" s="1"/>
  <c r="BR81" i="11"/>
  <c r="CD81" i="11" s="1"/>
  <c r="BQ81" i="11"/>
  <c r="CC81" i="11" s="1"/>
  <c r="CO81" i="11" s="1"/>
  <c r="DA81" i="11" s="1"/>
  <c r="BP81" i="11"/>
  <c r="CB81" i="11" s="1"/>
  <c r="CN81" i="11" s="1"/>
  <c r="CZ81" i="11" s="1"/>
  <c r="BO81" i="11"/>
  <c r="CA81" i="11" s="1"/>
  <c r="BM81" i="11"/>
  <c r="BY81" i="11" s="1"/>
  <c r="BJ81" i="11"/>
  <c r="BV81" i="11" s="1"/>
  <c r="BI81" i="11"/>
  <c r="BU81" i="11" s="1"/>
  <c r="CG81" i="11" s="1"/>
  <c r="BH81" i="11"/>
  <c r="BG81" i="11"/>
  <c r="BS81" i="11" s="1"/>
  <c r="CE81" i="11" s="1"/>
  <c r="CQ81" i="11" s="1"/>
  <c r="DC81" i="11" s="1"/>
  <c r="BF81" i="11"/>
  <c r="BE81" i="11"/>
  <c r="BD81" i="11"/>
  <c r="BC81" i="11"/>
  <c r="BB81" i="11"/>
  <c r="BN81" i="11" s="1"/>
  <c r="BA81" i="11"/>
  <c r="AZ81" i="11"/>
  <c r="BL81" i="11" s="1"/>
  <c r="BX81" i="11" s="1"/>
  <c r="CJ81" i="11" s="1"/>
  <c r="CV81" i="11" s="1"/>
  <c r="AY81" i="11"/>
  <c r="AX78" i="11"/>
  <c r="AW78" i="11"/>
  <c r="AV78" i="11"/>
  <c r="AU78" i="11"/>
  <c r="AT78" i="11"/>
  <c r="AS78" i="11"/>
  <c r="AR78" i="11"/>
  <c r="AQ78" i="11"/>
  <c r="AP78" i="11"/>
  <c r="AO78" i="11"/>
  <c r="AN78" i="11"/>
  <c r="AM78" i="11"/>
  <c r="AL78" i="11"/>
  <c r="AK78" i="11"/>
  <c r="AJ78" i="11"/>
  <c r="AI78" i="11"/>
  <c r="AH78" i="11"/>
  <c r="AG78" i="11"/>
  <c r="AF78" i="11"/>
  <c r="AE78" i="11"/>
  <c r="AD78" i="11"/>
  <c r="AC78" i="11"/>
  <c r="AB78" i="11"/>
  <c r="AZ75" i="11"/>
  <c r="BB74" i="11"/>
  <c r="BC74" i="11" s="1"/>
  <c r="BD74" i="11" s="1"/>
  <c r="BE74" i="11" s="1"/>
  <c r="BF74" i="11" s="1"/>
  <c r="BG74" i="11" s="1"/>
  <c r="BH74" i="11" s="1"/>
  <c r="BI74" i="11" s="1"/>
  <c r="BJ74" i="11" s="1"/>
  <c r="BK74" i="11" s="1"/>
  <c r="BL74" i="11" s="1"/>
  <c r="BM74" i="11" s="1"/>
  <c r="BN74" i="11" s="1"/>
  <c r="BO74" i="11" s="1"/>
  <c r="BP74" i="11" s="1"/>
  <c r="BQ74" i="11" s="1"/>
  <c r="BR74" i="11" s="1"/>
  <c r="BS74" i="11" s="1"/>
  <c r="BT74" i="11" s="1"/>
  <c r="BU74" i="11" s="1"/>
  <c r="BV74" i="11" s="1"/>
  <c r="BW74" i="11" s="1"/>
  <c r="BX74" i="11" s="1"/>
  <c r="BY74" i="11" s="1"/>
  <c r="BZ74" i="11" s="1"/>
  <c r="CA74" i="11" s="1"/>
  <c r="CB74" i="11" s="1"/>
  <c r="CC74" i="11" s="1"/>
  <c r="CD74" i="11" s="1"/>
  <c r="CE74" i="11" s="1"/>
  <c r="CF74" i="11" s="1"/>
  <c r="CG74" i="11" s="1"/>
  <c r="CH74" i="11" s="1"/>
  <c r="CI74" i="11" s="1"/>
  <c r="CJ74" i="11" s="1"/>
  <c r="CK74" i="11" s="1"/>
  <c r="CL74" i="11" s="1"/>
  <c r="CM74" i="11" s="1"/>
  <c r="CN74" i="11" s="1"/>
  <c r="CO74" i="11" s="1"/>
  <c r="CP74" i="11" s="1"/>
  <c r="CQ74" i="11" s="1"/>
  <c r="CR74" i="11" s="1"/>
  <c r="CS74" i="11" s="1"/>
  <c r="CT74" i="11" s="1"/>
  <c r="CU74" i="11" s="1"/>
  <c r="CV74" i="11" s="1"/>
  <c r="CW74" i="11" s="1"/>
  <c r="CX74" i="11" s="1"/>
  <c r="CY74" i="11" s="1"/>
  <c r="CZ74" i="11" s="1"/>
  <c r="DA74" i="11" s="1"/>
  <c r="DB74" i="11" s="1"/>
  <c r="DC74" i="11" s="1"/>
  <c r="DD74" i="11" s="1"/>
  <c r="DE74" i="11" s="1"/>
  <c r="DF74" i="11" s="1"/>
  <c r="DG74" i="11" s="1"/>
  <c r="AY74" i="11"/>
  <c r="AZ74" i="11" s="1"/>
  <c r="BA74" i="11" s="1"/>
  <c r="CM73" i="11"/>
  <c r="CN73" i="11" s="1"/>
  <c r="CO73" i="11" s="1"/>
  <c r="CP73" i="11" s="1"/>
  <c r="CQ73" i="11" s="1"/>
  <c r="CR73" i="11" s="1"/>
  <c r="CS73" i="11" s="1"/>
  <c r="CT73" i="11" s="1"/>
  <c r="CU73" i="11" s="1"/>
  <c r="CV73" i="11" s="1"/>
  <c r="CW73" i="11" s="1"/>
  <c r="CX73" i="11" s="1"/>
  <c r="CY73" i="11" s="1"/>
  <c r="CZ73" i="11" s="1"/>
  <c r="DA73" i="11" s="1"/>
  <c r="DB73" i="11" s="1"/>
  <c r="DC73" i="11" s="1"/>
  <c r="DD73" i="11" s="1"/>
  <c r="DE73" i="11" s="1"/>
  <c r="DF73" i="11" s="1"/>
  <c r="DG73" i="11" s="1"/>
  <c r="CJ73" i="11"/>
  <c r="CK73" i="11" s="1"/>
  <c r="CL73" i="11" s="1"/>
  <c r="BX73" i="11"/>
  <c r="BY73" i="11" s="1"/>
  <c r="BZ73" i="11" s="1"/>
  <c r="CA73" i="11" s="1"/>
  <c r="CB73" i="11" s="1"/>
  <c r="CC73" i="11" s="1"/>
  <c r="CD73" i="11" s="1"/>
  <c r="CE73" i="11" s="1"/>
  <c r="CF73" i="11" s="1"/>
  <c r="CG73" i="11" s="1"/>
  <c r="CH73" i="11" s="1"/>
  <c r="AZ73" i="11"/>
  <c r="BA73" i="11" s="1"/>
  <c r="BB73" i="11" s="1"/>
  <c r="BC73" i="11" s="1"/>
  <c r="BD73" i="11" s="1"/>
  <c r="BE73" i="11" s="1"/>
  <c r="BF73" i="11" s="1"/>
  <c r="BG73" i="11" s="1"/>
  <c r="BH73" i="11" s="1"/>
  <c r="BI73" i="11" s="1"/>
  <c r="BJ73" i="11" s="1"/>
  <c r="BK73" i="11" s="1"/>
  <c r="BL73" i="11" s="1"/>
  <c r="BM73" i="11" s="1"/>
  <c r="BN73" i="11" s="1"/>
  <c r="BO73" i="11" s="1"/>
  <c r="BP73" i="11" s="1"/>
  <c r="BQ73" i="11" s="1"/>
  <c r="BR73" i="11" s="1"/>
  <c r="BS73" i="11" s="1"/>
  <c r="BT73" i="11" s="1"/>
  <c r="BU73" i="11" s="1"/>
  <c r="BV73" i="11" s="1"/>
  <c r="AX72" i="11"/>
  <c r="AW72" i="11"/>
  <c r="AV72" i="11"/>
  <c r="AU72" i="11"/>
  <c r="AT72" i="11"/>
  <c r="AS72" i="11"/>
  <c r="AR72" i="11"/>
  <c r="AQ72" i="11"/>
  <c r="AP72" i="11"/>
  <c r="AO72" i="11"/>
  <c r="AX71" i="11"/>
  <c r="AW71" i="11"/>
  <c r="AV71" i="11"/>
  <c r="AV89" i="11" s="1"/>
  <c r="AV91" i="11" s="1"/>
  <c r="AU71" i="11"/>
  <c r="AU89" i="11" s="1"/>
  <c r="AU91" i="11" s="1"/>
  <c r="AT71" i="11"/>
  <c r="AT89" i="11" s="1"/>
  <c r="AT91" i="11" s="1"/>
  <c r="AS71" i="11"/>
  <c r="AR71" i="11"/>
  <c r="AQ71" i="11"/>
  <c r="AP71" i="11"/>
  <c r="AO71" i="11"/>
  <c r="AN71" i="11"/>
  <c r="AN89" i="11" s="1"/>
  <c r="AN91" i="11" s="1"/>
  <c r="AM71" i="11"/>
  <c r="AM89" i="11" s="1"/>
  <c r="AM91" i="11" s="1"/>
  <c r="AL71" i="11"/>
  <c r="AL89" i="11" s="1"/>
  <c r="AL91" i="11" s="1"/>
  <c r="AK71" i="11"/>
  <c r="AJ71" i="11"/>
  <c r="AI71" i="11"/>
  <c r="AH71" i="11"/>
  <c r="AG71" i="11"/>
  <c r="AF71" i="11"/>
  <c r="AF89" i="11" s="1"/>
  <c r="AE71" i="11"/>
  <c r="AE89" i="11" s="1"/>
  <c r="AE91" i="11" s="1"/>
  <c r="AD71" i="11"/>
  <c r="AD89" i="11" s="1"/>
  <c r="AD91" i="11" s="1"/>
  <c r="AC71" i="11"/>
  <c r="AB71" i="11"/>
  <c r="AA71" i="11"/>
  <c r="Z71" i="11"/>
  <c r="Y71" i="11"/>
  <c r="X71" i="11"/>
  <c r="W71" i="11"/>
  <c r="V71" i="11"/>
  <c r="U71" i="11"/>
  <c r="T71" i="11"/>
  <c r="AY70" i="11"/>
  <c r="AV61" i="11"/>
  <c r="AV93" i="11" s="1"/>
  <c r="AU61" i="11"/>
  <c r="AU93" i="11" s="1"/>
  <c r="AT61" i="11"/>
  <c r="AT93" i="11" s="1"/>
  <c r="AS61" i="11"/>
  <c r="AS93" i="11" s="1"/>
  <c r="AR61" i="11"/>
  <c r="AR93" i="11" s="1"/>
  <c r="AQ61" i="11"/>
  <c r="AQ93" i="11" s="1"/>
  <c r="AP61" i="11"/>
  <c r="AP93" i="11" s="1"/>
  <c r="AO61" i="11"/>
  <c r="AO93" i="11" s="1"/>
  <c r="AN61" i="11"/>
  <c r="AN93" i="11" s="1"/>
  <c r="AM61" i="11"/>
  <c r="AM93" i="11" s="1"/>
  <c r="AL61" i="11"/>
  <c r="AL93" i="11" s="1"/>
  <c r="AK61" i="11"/>
  <c r="AK93" i="11" s="1"/>
  <c r="AJ61" i="11"/>
  <c r="AJ93" i="11" s="1"/>
  <c r="AI61" i="11"/>
  <c r="AI93" i="11" s="1"/>
  <c r="AH61" i="11"/>
  <c r="AH93" i="11" s="1"/>
  <c r="AG61" i="11"/>
  <c r="AG93" i="11" s="1"/>
  <c r="AF61" i="11"/>
  <c r="AF93" i="11" s="1"/>
  <c r="AE61" i="11"/>
  <c r="AE93" i="11" s="1"/>
  <c r="AD61" i="11"/>
  <c r="AD93" i="11" s="1"/>
  <c r="AC61" i="11"/>
  <c r="AC93" i="11" s="1"/>
  <c r="AB61" i="11"/>
  <c r="AB93" i="11" s="1"/>
  <c r="AA61" i="11"/>
  <c r="AA93" i="11" s="1"/>
  <c r="Z61" i="11"/>
  <c r="Z93" i="11" s="1"/>
  <c r="Y61" i="11"/>
  <c r="Y93" i="11" s="1"/>
  <c r="X61" i="11"/>
  <c r="X93" i="11" s="1"/>
  <c r="W61" i="11"/>
  <c r="W93" i="11" s="1"/>
  <c r="V61" i="11"/>
  <c r="AX49" i="11"/>
  <c r="AX53" i="11" s="1"/>
  <c r="AP43" i="11"/>
  <c r="AO43" i="11"/>
  <c r="AN43" i="11"/>
  <c r="AM43" i="11"/>
  <c r="AL43" i="11"/>
  <c r="AI43" i="11"/>
  <c r="AE43" i="11"/>
  <c r="AD43" i="11"/>
  <c r="AC43" i="11"/>
  <c r="AB43" i="11"/>
  <c r="AA43" i="11"/>
  <c r="Z43" i="11"/>
  <c r="Y43" i="11"/>
  <c r="X43" i="11"/>
  <c r="V43" i="11"/>
  <c r="U43" i="11"/>
  <c r="T43" i="11"/>
  <c r="S43" i="11"/>
  <c r="R43" i="11"/>
  <c r="Q43" i="11"/>
  <c r="P43" i="11"/>
  <c r="O43" i="11"/>
  <c r="N43" i="11"/>
  <c r="M43" i="11"/>
  <c r="L43" i="11"/>
  <c r="AT37" i="11"/>
  <c r="AS37" i="11"/>
  <c r="AR37" i="11"/>
  <c r="AQ37" i="11"/>
  <c r="AL37" i="11"/>
  <c r="AK37" i="11"/>
  <c r="AJ37" i="11"/>
  <c r="AI37" i="11"/>
  <c r="AD37" i="11"/>
  <c r="AY36" i="11"/>
  <c r="AY37" i="11" s="1"/>
  <c r="AX36" i="11"/>
  <c r="AX37" i="11" s="1"/>
  <c r="AW36" i="11"/>
  <c r="AW37" i="11" s="1"/>
  <c r="AV36" i="11"/>
  <c r="AV37" i="11" s="1"/>
  <c r="AU36" i="11"/>
  <c r="AU37" i="11" s="1"/>
  <c r="AT36" i="11"/>
  <c r="AS36" i="11"/>
  <c r="AR36" i="11"/>
  <c r="AQ36" i="11"/>
  <c r="AP36" i="11"/>
  <c r="AP37" i="11" s="1"/>
  <c r="AO36" i="11"/>
  <c r="AO37" i="11" s="1"/>
  <c r="AN36" i="11"/>
  <c r="AN37" i="11" s="1"/>
  <c r="AM36" i="11"/>
  <c r="AM37" i="11" s="1"/>
  <c r="AL36" i="11"/>
  <c r="AK36" i="11"/>
  <c r="AJ36" i="11"/>
  <c r="AI36" i="11"/>
  <c r="AH36" i="11"/>
  <c r="AH37" i="11" s="1"/>
  <c r="AG36" i="11"/>
  <c r="AG37" i="11" s="1"/>
  <c r="AF36" i="11"/>
  <c r="AF37" i="11" s="1"/>
  <c r="AE36" i="11"/>
  <c r="AE37" i="11" s="1"/>
  <c r="AD36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L30" i="11"/>
  <c r="AK29" i="11"/>
  <c r="AK46" i="11" s="1"/>
  <c r="AC29" i="11"/>
  <c r="AC46" i="11" s="1"/>
  <c r="U29" i="11"/>
  <c r="U46" i="11" s="1"/>
  <c r="DG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X29" i="11" s="1"/>
  <c r="AW28" i="11"/>
  <c r="AW29" i="11" s="1"/>
  <c r="AW46" i="11" s="1"/>
  <c r="AV28" i="11"/>
  <c r="AV29" i="11" s="1"/>
  <c r="AU28" i="11"/>
  <c r="AU29" i="11" s="1"/>
  <c r="AT28" i="11"/>
  <c r="AT29" i="11" s="1"/>
  <c r="AS28" i="11"/>
  <c r="AS29" i="11" s="1"/>
  <c r="AR28" i="11"/>
  <c r="AR29" i="11" s="1"/>
  <c r="AQ28" i="11"/>
  <c r="AQ29" i="11" s="1"/>
  <c r="AP28" i="11"/>
  <c r="AP29" i="11" s="1"/>
  <c r="BB29" i="11" s="1"/>
  <c r="AO28" i="11"/>
  <c r="AO29" i="11" s="1"/>
  <c r="AO46" i="11" s="1"/>
  <c r="AN28" i="11"/>
  <c r="AN29" i="11" s="1"/>
  <c r="AM28" i="11"/>
  <c r="AM29" i="11" s="1"/>
  <c r="AL28" i="11"/>
  <c r="AL29" i="11" s="1"/>
  <c r="AL46" i="11" s="1"/>
  <c r="AK28" i="11"/>
  <c r="AJ28" i="11"/>
  <c r="AJ29" i="11" s="1"/>
  <c r="AJ46" i="11" s="1"/>
  <c r="AI28" i="11"/>
  <c r="AI29" i="11" s="1"/>
  <c r="AI46" i="11" s="1"/>
  <c r="AH28" i="11"/>
  <c r="AH29" i="11" s="1"/>
  <c r="AH46" i="11" s="1"/>
  <c r="AG28" i="11"/>
  <c r="AG29" i="11" s="1"/>
  <c r="AG46" i="11" s="1"/>
  <c r="AF28" i="11"/>
  <c r="AF29" i="11" s="1"/>
  <c r="AF46" i="11" s="1"/>
  <c r="AE28" i="11"/>
  <c r="AE29" i="11" s="1"/>
  <c r="AE46" i="11" s="1"/>
  <c r="AD28" i="11"/>
  <c r="AD29" i="11" s="1"/>
  <c r="AD46" i="11" s="1"/>
  <c r="AC28" i="11"/>
  <c r="AB28" i="11"/>
  <c r="AB29" i="11" s="1"/>
  <c r="AB46" i="11" s="1"/>
  <c r="AA28" i="11"/>
  <c r="AA29" i="11" s="1"/>
  <c r="AA46" i="11" s="1"/>
  <c r="Z28" i="11"/>
  <c r="Z29" i="11" s="1"/>
  <c r="Z46" i="11" s="1"/>
  <c r="Y28" i="11"/>
  <c r="Y29" i="11" s="1"/>
  <c r="Y46" i="11" s="1"/>
  <c r="X28" i="11"/>
  <c r="X29" i="11" s="1"/>
  <c r="X46" i="11" s="1"/>
  <c r="W28" i="11"/>
  <c r="W29" i="11" s="1"/>
  <c r="W46" i="11" s="1"/>
  <c r="V28" i="11"/>
  <c r="V29" i="11" s="1"/>
  <c r="V46" i="11" s="1"/>
  <c r="U28" i="11"/>
  <c r="T28" i="11"/>
  <c r="T29" i="11" s="1"/>
  <c r="T46" i="11" s="1"/>
  <c r="S28" i="11"/>
  <c r="S29" i="11" s="1"/>
  <c r="S46" i="11" s="1"/>
  <c r="R28" i="11"/>
  <c r="R29" i="11" s="1"/>
  <c r="R46" i="11" s="1"/>
  <c r="Q28" i="11"/>
  <c r="Q29" i="11" s="1"/>
  <c r="Q46" i="11" s="1"/>
  <c r="P28" i="11"/>
  <c r="P29" i="11" s="1"/>
  <c r="P46" i="11" s="1"/>
  <c r="O28" i="11"/>
  <c r="O29" i="11" s="1"/>
  <c r="O46" i="11" s="1"/>
  <c r="N28" i="11"/>
  <c r="N29" i="11" s="1"/>
  <c r="N46" i="11" s="1"/>
  <c r="M28" i="11"/>
  <c r="M29" i="11" s="1"/>
  <c r="M46" i="11" s="1"/>
  <c r="L28" i="11"/>
  <c r="L29" i="11" s="1"/>
  <c r="L46" i="11" s="1"/>
  <c r="K28" i="11"/>
  <c r="K29" i="11" s="1"/>
  <c r="K46" i="11" s="1"/>
  <c r="J28" i="11"/>
  <c r="J29" i="11" s="1"/>
  <c r="J46" i="11" s="1"/>
  <c r="I28" i="11"/>
  <c r="I29" i="11" s="1"/>
  <c r="I46" i="11" s="1"/>
  <c r="H28" i="11"/>
  <c r="H29" i="11" s="1"/>
  <c r="H46" i="11" s="1"/>
  <c r="G28" i="11"/>
  <c r="G29" i="11" s="1"/>
  <c r="G46" i="11" s="1"/>
  <c r="F28" i="11"/>
  <c r="F29" i="11" s="1"/>
  <c r="F46" i="11" s="1"/>
  <c r="E28" i="11"/>
  <c r="E29" i="11" s="1"/>
  <c r="E46" i="11" s="1"/>
  <c r="CE26" i="11"/>
  <c r="CQ26" i="11" s="1"/>
  <c r="DC26" i="11" s="1"/>
  <c r="BI26" i="11"/>
  <c r="BU26" i="11" s="1"/>
  <c r="CG26" i="11" s="1"/>
  <c r="CS26" i="11" s="1"/>
  <c r="DE26" i="11" s="1"/>
  <c r="BH26" i="11"/>
  <c r="BT26" i="11" s="1"/>
  <c r="CF26" i="11" s="1"/>
  <c r="CR26" i="11" s="1"/>
  <c r="DD26" i="11" s="1"/>
  <c r="BG26" i="11"/>
  <c r="BS26" i="11" s="1"/>
  <c r="BF26" i="11"/>
  <c r="BR26" i="11" s="1"/>
  <c r="CD26" i="11" s="1"/>
  <c r="CP26" i="11" s="1"/>
  <c r="DB26" i="11" s="1"/>
  <c r="BA26" i="11"/>
  <c r="BM26" i="11" s="1"/>
  <c r="BY26" i="11" s="1"/>
  <c r="CK26" i="11" s="1"/>
  <c r="CW26" i="11" s="1"/>
  <c r="AZ26" i="11"/>
  <c r="BL26" i="11" s="1"/>
  <c r="BX26" i="11" s="1"/>
  <c r="CJ26" i="11" s="1"/>
  <c r="CV26" i="11" s="1"/>
  <c r="AY26" i="11"/>
  <c r="BK26" i="11" s="1"/>
  <c r="BW26" i="11" s="1"/>
  <c r="CI26" i="11" s="1"/>
  <c r="CU26" i="11" s="1"/>
  <c r="DG26" i="11" s="1"/>
  <c r="AX26" i="11"/>
  <c r="BJ26" i="11" s="1"/>
  <c r="BV26" i="11" s="1"/>
  <c r="CH26" i="11" s="1"/>
  <c r="CT26" i="11" s="1"/>
  <c r="DF26" i="11" s="1"/>
  <c r="AW26" i="11"/>
  <c r="AV26" i="11"/>
  <c r="AU26" i="11"/>
  <c r="AT26" i="11"/>
  <c r="AS26" i="11"/>
  <c r="BE26" i="11" s="1"/>
  <c r="BQ26" i="11" s="1"/>
  <c r="CC26" i="11" s="1"/>
  <c r="CO26" i="11" s="1"/>
  <c r="DA26" i="11" s="1"/>
  <c r="AR26" i="11"/>
  <c r="BD26" i="11" s="1"/>
  <c r="BP26" i="11" s="1"/>
  <c r="CB26" i="11" s="1"/>
  <c r="CN26" i="11" s="1"/>
  <c r="CZ26" i="11" s="1"/>
  <c r="AQ26" i="11"/>
  <c r="BC26" i="11" s="1"/>
  <c r="BO26" i="11" s="1"/>
  <c r="CA26" i="11" s="1"/>
  <c r="CM26" i="11" s="1"/>
  <c r="CY26" i="11" s="1"/>
  <c r="AP26" i="11"/>
  <c r="BB26" i="11" s="1"/>
  <c r="BN26" i="11" s="1"/>
  <c r="BZ26" i="11" s="1"/>
  <c r="CL26" i="11" s="1"/>
  <c r="CX26" i="11" s="1"/>
  <c r="AO26" i="11"/>
  <c r="AN26" i="1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BY23" i="11"/>
  <c r="BP23" i="11"/>
  <c r="BN23" i="11"/>
  <c r="BO23" i="11" s="1"/>
  <c r="BM23" i="11"/>
  <c r="BA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AY20" i="11"/>
  <c r="U20" i="11"/>
  <c r="T20" i="11"/>
  <c r="T18" i="11" s="1"/>
  <c r="S20" i="11"/>
  <c r="R20" i="11"/>
  <c r="Q20" i="11"/>
  <c r="P20" i="11"/>
  <c r="O20" i="11"/>
  <c r="N20" i="11"/>
  <c r="M20" i="11"/>
  <c r="S36" i="11" s="1"/>
  <c r="S37" i="11" s="1"/>
  <c r="L20" i="11"/>
  <c r="R36" i="11" s="1"/>
  <c r="R37" i="11" s="1"/>
  <c r="K20" i="11"/>
  <c r="J20" i="11"/>
  <c r="P36" i="11" s="1"/>
  <c r="P37" i="11" s="1"/>
  <c r="I20" i="11"/>
  <c r="H20" i="11"/>
  <c r="G20" i="11"/>
  <c r="F20" i="11"/>
  <c r="V19" i="11"/>
  <c r="U19" i="11"/>
  <c r="T19" i="11"/>
  <c r="S19" i="11"/>
  <c r="R19" i="11"/>
  <c r="Q19" i="11"/>
  <c r="Q18" i="11" s="1"/>
  <c r="P19" i="11"/>
  <c r="P18" i="11" s="1"/>
  <c r="O19" i="11"/>
  <c r="O18" i="11" s="1"/>
  <c r="N19" i="11"/>
  <c r="N18" i="11" s="1"/>
  <c r="M19" i="11"/>
  <c r="L19" i="11"/>
  <c r="K19" i="11"/>
  <c r="J19" i="11"/>
  <c r="I19" i="11"/>
  <c r="I18" i="11" s="1"/>
  <c r="H19" i="11"/>
  <c r="H18" i="11" s="1"/>
  <c r="G19" i="11"/>
  <c r="G18" i="11" s="1"/>
  <c r="F19" i="11"/>
  <c r="F18" i="11" s="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U18" i="11"/>
  <c r="S18" i="11"/>
  <c r="R18" i="11"/>
  <c r="M18" i="11"/>
  <c r="L18" i="11"/>
  <c r="K18" i="11"/>
  <c r="J18" i="11"/>
  <c r="E18" i="11"/>
  <c r="V15" i="11"/>
  <c r="K13" i="11"/>
  <c r="F13" i="11"/>
  <c r="AY12" i="11"/>
  <c r="J12" i="11"/>
  <c r="J13" i="11" s="1"/>
  <c r="I12" i="11"/>
  <c r="I13" i="11" s="1"/>
  <c r="H12" i="11"/>
  <c r="H13" i="11" s="1"/>
  <c r="G12" i="11"/>
  <c r="G13" i="11" s="1"/>
  <c r="F12" i="11"/>
  <c r="E12" i="11"/>
  <c r="D12" i="11"/>
  <c r="AV9" i="11"/>
  <c r="AV13" i="11" s="1"/>
  <c r="K20" i="4" s="1"/>
  <c r="AU9" i="11"/>
  <c r="AU10" i="11" s="1"/>
  <c r="AT9" i="11"/>
  <c r="AT10" i="11" s="1"/>
  <c r="AS9" i="11"/>
  <c r="AS10" i="11" s="1"/>
  <c r="AR9" i="11"/>
  <c r="AR11" i="11" s="1"/>
  <c r="AQ9" i="11"/>
  <c r="AQ13" i="11" s="1"/>
  <c r="AP9" i="11"/>
  <c r="AP13" i="11" s="1"/>
  <c r="AP38" i="11" s="1"/>
  <c r="AO9" i="11"/>
  <c r="AO13" i="11" s="1"/>
  <c r="D20" i="4" s="1"/>
  <c r="D22" i="4" s="1"/>
  <c r="AN9" i="11"/>
  <c r="AN13" i="11" s="1"/>
  <c r="C20" i="5" s="1"/>
  <c r="AM9" i="11"/>
  <c r="AM11" i="11" s="1"/>
  <c r="AL9" i="11"/>
  <c r="AL10" i="11" s="1"/>
  <c r="AK9" i="11"/>
  <c r="AK10" i="11" s="1"/>
  <c r="AJ9" i="11"/>
  <c r="AJ11" i="11" s="1"/>
  <c r="AI9" i="11"/>
  <c r="AI13" i="11" s="1"/>
  <c r="J20" i="7" s="1"/>
  <c r="J22" i="7" s="1"/>
  <c r="AH9" i="11"/>
  <c r="AH13" i="11" s="1"/>
  <c r="I20" i="7" s="1"/>
  <c r="I22" i="7" s="1"/>
  <c r="AG9" i="11"/>
  <c r="AG13" i="11" s="1"/>
  <c r="H20" i="7" s="1"/>
  <c r="H22" i="7" s="1"/>
  <c r="AF9" i="11"/>
  <c r="AF13" i="11" s="1"/>
  <c r="G20" i="7" s="1"/>
  <c r="G22" i="7" s="1"/>
  <c r="AE9" i="11"/>
  <c r="AE10" i="11" s="1"/>
  <c r="AD9" i="11"/>
  <c r="AD10" i="11" s="1"/>
  <c r="AC9" i="11"/>
  <c r="AC10" i="11" s="1"/>
  <c r="AB9" i="11"/>
  <c r="AA9" i="11"/>
  <c r="N12" i="3" s="1"/>
  <c r="N14" i="3" s="1"/>
  <c r="N16" i="3" s="1"/>
  <c r="Z9" i="11"/>
  <c r="Z13" i="11" s="1"/>
  <c r="Y9" i="11"/>
  <c r="Y13" i="11" s="1"/>
  <c r="X9" i="11"/>
  <c r="X13" i="11" s="1"/>
  <c r="W9" i="11"/>
  <c r="W13" i="11" s="1"/>
  <c r="V9" i="11"/>
  <c r="V13" i="11" s="1"/>
  <c r="U9" i="11"/>
  <c r="H12" i="3" s="1"/>
  <c r="H14" i="3" s="1"/>
  <c r="H16" i="3" s="1"/>
  <c r="T9" i="11"/>
  <c r="T13" i="11" s="1"/>
  <c r="S9" i="11"/>
  <c r="S13" i="11" s="1"/>
  <c r="R9" i="11"/>
  <c r="R13" i="11" s="1"/>
  <c r="Q9" i="11"/>
  <c r="Q13" i="11" s="1"/>
  <c r="Q38" i="11" s="1"/>
  <c r="P9" i="11"/>
  <c r="P13" i="11" s="1"/>
  <c r="O9" i="11"/>
  <c r="N12" i="8" s="1"/>
  <c r="N14" i="8" s="1"/>
  <c r="N16" i="8" s="1"/>
  <c r="N9" i="11"/>
  <c r="N13" i="11" s="1"/>
  <c r="M9" i="11"/>
  <c r="M13" i="11" s="1"/>
  <c r="L9" i="11"/>
  <c r="L13" i="11" s="1"/>
  <c r="K9" i="11"/>
  <c r="E9" i="11"/>
  <c r="E13" i="11" s="1"/>
  <c r="D9" i="11"/>
  <c r="C12" i="8" s="1"/>
  <c r="AX9" i="11"/>
  <c r="AX10" i="11" s="1"/>
  <c r="AW9" i="11"/>
  <c r="AW10" i="11" s="1"/>
  <c r="CZ3" i="11"/>
  <c r="CR3" i="11"/>
  <c r="CJ3" i="11"/>
  <c r="CB3" i="11"/>
  <c r="BL3" i="11"/>
  <c r="AN3" i="11"/>
  <c r="AF3" i="11"/>
  <c r="X3" i="11"/>
  <c r="P3" i="11"/>
  <c r="BQ2" i="11"/>
  <c r="AR2" i="17" s="1"/>
  <c r="AR8" i="17" s="1"/>
  <c r="BK2" i="11"/>
  <c r="BW2" i="11" s="1"/>
  <c r="BI2" i="11"/>
  <c r="AJ2" i="17" s="1"/>
  <c r="AJ8" i="17" s="1"/>
  <c r="BH2" i="11"/>
  <c r="AI2" i="17" s="1"/>
  <c r="AI8" i="17" s="1"/>
  <c r="BE2" i="11"/>
  <c r="BA2" i="11"/>
  <c r="AB2" i="17" s="1"/>
  <c r="AB8" i="17" s="1"/>
  <c r="AZ2" i="11"/>
  <c r="AA2" i="17" s="1"/>
  <c r="AA8" i="17" s="1"/>
  <c r="AY2" i="11"/>
  <c r="AX2" i="11"/>
  <c r="Y2" i="17" s="1"/>
  <c r="Y8" i="17" s="1"/>
  <c r="AW2" i="11"/>
  <c r="X2" i="17" s="1"/>
  <c r="AV2" i="11"/>
  <c r="W2" i="17" s="1"/>
  <c r="AU2" i="11"/>
  <c r="V2" i="17" s="1"/>
  <c r="AT2" i="11"/>
  <c r="U2" i="17" s="1"/>
  <c r="AR2" i="11"/>
  <c r="S2" i="17" s="1"/>
  <c r="AQ2" i="11"/>
  <c r="R2" i="17" s="1"/>
  <c r="AP2" i="11"/>
  <c r="Q2" i="17" s="1"/>
  <c r="AO2" i="11"/>
  <c r="P2" i="17" s="1"/>
  <c r="AN2" i="11"/>
  <c r="O2" i="17" s="1"/>
  <c r="AM2" i="11"/>
  <c r="N2" i="17" s="1"/>
  <c r="DG1" i="11"/>
  <c r="DG3" i="11" s="1"/>
  <c r="DF1" i="11"/>
  <c r="DF3" i="11" s="1"/>
  <c r="DE1" i="11"/>
  <c r="DD1" i="11"/>
  <c r="DC1" i="11"/>
  <c r="DB1" i="11"/>
  <c r="DA1" i="11"/>
  <c r="DA3" i="11" s="1"/>
  <c r="CZ1" i="11"/>
  <c r="CY1" i="11"/>
  <c r="CX1" i="11"/>
  <c r="CX3" i="11" s="1"/>
  <c r="CW1" i="11"/>
  <c r="CV1" i="11"/>
  <c r="CU1" i="11"/>
  <c r="CT1" i="11"/>
  <c r="CS1" i="11"/>
  <c r="CS3" i="11" s="1"/>
  <c r="CR1" i="11"/>
  <c r="CQ1" i="11"/>
  <c r="CP1" i="11"/>
  <c r="CP3" i="11" s="1"/>
  <c r="CO1" i="11"/>
  <c r="CN1" i="11"/>
  <c r="CM1" i="11"/>
  <c r="CL1" i="11"/>
  <c r="CK1" i="11"/>
  <c r="CK3" i="11" s="1"/>
  <c r="CJ1" i="11"/>
  <c r="CI1" i="11"/>
  <c r="CI3" i="11" s="1"/>
  <c r="CH1" i="11"/>
  <c r="CH3" i="11" s="1"/>
  <c r="CG1" i="11"/>
  <c r="CF1" i="11"/>
  <c r="CF3" i="11" s="1"/>
  <c r="CE1" i="11"/>
  <c r="CD1" i="11"/>
  <c r="CC1" i="11"/>
  <c r="CC3" i="11" s="1"/>
  <c r="CB1" i="11"/>
  <c r="CA1" i="11"/>
  <c r="BZ1" i="11"/>
  <c r="BZ3" i="11" s="1"/>
  <c r="BY1" i="11"/>
  <c r="BX1" i="11"/>
  <c r="BW1" i="11"/>
  <c r="BV1" i="11"/>
  <c r="BU1" i="11"/>
  <c r="BU3" i="11" s="1"/>
  <c r="BT1" i="11"/>
  <c r="BT3" i="11" s="1"/>
  <c r="BS1" i="11"/>
  <c r="BS3" i="11" s="1"/>
  <c r="BR1" i="11"/>
  <c r="BR3" i="11" s="1"/>
  <c r="BQ1" i="11"/>
  <c r="BP1" i="11"/>
  <c r="BO1" i="11"/>
  <c r="BN1" i="11"/>
  <c r="BM1" i="11"/>
  <c r="BM3" i="11" s="1"/>
  <c r="BL1" i="11"/>
  <c r="BK1" i="11"/>
  <c r="BK3" i="11" s="1"/>
  <c r="BJ1" i="11"/>
  <c r="BJ3" i="11" s="1"/>
  <c r="BI1" i="11"/>
  <c r="BH1" i="11"/>
  <c r="BG1" i="11"/>
  <c r="BF1" i="11"/>
  <c r="BE1" i="11"/>
  <c r="BE3" i="11" s="1"/>
  <c r="BD1" i="11"/>
  <c r="BD3" i="11" s="1"/>
  <c r="BC1" i="11"/>
  <c r="BC3" i="11" s="1"/>
  <c r="BB1" i="11"/>
  <c r="BB3" i="11" s="1"/>
  <c r="BA1" i="11"/>
  <c r="AZ1" i="11"/>
  <c r="AY1" i="11"/>
  <c r="AX1" i="11"/>
  <c r="AY3" i="11" s="1"/>
  <c r="AW1" i="11"/>
  <c r="AX3" i="11" s="1"/>
  <c r="AV1" i="11"/>
  <c r="AV3" i="11" s="1"/>
  <c r="AU1" i="11"/>
  <c r="AU3" i="11" s="1"/>
  <c r="AT1" i="11"/>
  <c r="AT3" i="11" s="1"/>
  <c r="AS1" i="11"/>
  <c r="AS3" i="11" s="1"/>
  <c r="AR1" i="11"/>
  <c r="AR3" i="11" s="1"/>
  <c r="AQ1" i="11"/>
  <c r="AQ3" i="11" s="1"/>
  <c r="AP1" i="11"/>
  <c r="AP3" i="11" s="1"/>
  <c r="AO1" i="11"/>
  <c r="AO3" i="11" s="1"/>
  <c r="AN1" i="11"/>
  <c r="AM1" i="11"/>
  <c r="AM3" i="11" s="1"/>
  <c r="AL1" i="11"/>
  <c r="AL3" i="11" s="1"/>
  <c r="AK1" i="11"/>
  <c r="AK3" i="11" s="1"/>
  <c r="AJ1" i="11"/>
  <c r="AJ3" i="11" s="1"/>
  <c r="AI1" i="11"/>
  <c r="AI3" i="11" s="1"/>
  <c r="AH1" i="11"/>
  <c r="AH3" i="11" s="1"/>
  <c r="AG1" i="11"/>
  <c r="AG3" i="11" s="1"/>
  <c r="AF1" i="11"/>
  <c r="AE1" i="11"/>
  <c r="AE3" i="11" s="1"/>
  <c r="AD1" i="11"/>
  <c r="AD3" i="11" s="1"/>
  <c r="AC1" i="11"/>
  <c r="AC3" i="11" s="1"/>
  <c r="AB1" i="11"/>
  <c r="AB3" i="11" s="1"/>
  <c r="AA1" i="11"/>
  <c r="AA3" i="11" s="1"/>
  <c r="Z1" i="11"/>
  <c r="Z3" i="11" s="1"/>
  <c r="Y1" i="11"/>
  <c r="Y3" i="11" s="1"/>
  <c r="X1" i="11"/>
  <c r="W1" i="11"/>
  <c r="W3" i="11" s="1"/>
  <c r="V1" i="11"/>
  <c r="V3" i="11" s="1"/>
  <c r="U1" i="11"/>
  <c r="U3" i="11" s="1"/>
  <c r="T1" i="11"/>
  <c r="T3" i="11" s="1"/>
  <c r="S1" i="11"/>
  <c r="S3" i="11" s="1"/>
  <c r="R1" i="11"/>
  <c r="R3" i="11" s="1"/>
  <c r="Q1" i="11"/>
  <c r="Q3" i="11" s="1"/>
  <c r="P1" i="11"/>
  <c r="O1" i="11"/>
  <c r="O3" i="11" s="1"/>
  <c r="N1" i="11"/>
  <c r="N3" i="11" s="1"/>
  <c r="M1" i="11"/>
  <c r="M3" i="11" s="1"/>
  <c r="L1" i="11"/>
  <c r="L3" i="11" s="1"/>
  <c r="K1" i="11"/>
  <c r="J1" i="11"/>
  <c r="J3" i="11" s="1"/>
  <c r="I1" i="11"/>
  <c r="I3" i="11" s="1"/>
  <c r="H1" i="11"/>
  <c r="H3" i="11" s="1"/>
  <c r="G1" i="11"/>
  <c r="G3" i="11" s="1"/>
  <c r="F1" i="11"/>
  <c r="F3" i="11" s="1"/>
  <c r="E1" i="11"/>
  <c r="E3" i="11" s="1"/>
  <c r="D1" i="11"/>
  <c r="D41" i="2" s="1"/>
  <c r="H46" i="9"/>
  <c r="F46" i="9"/>
  <c r="D46" i="9"/>
  <c r="C46" i="9"/>
  <c r="H45" i="9"/>
  <c r="F45" i="9"/>
  <c r="D45" i="9"/>
  <c r="C45" i="9"/>
  <c r="H44" i="9"/>
  <c r="F44" i="9"/>
  <c r="D44" i="9"/>
  <c r="C44" i="9"/>
  <c r="H43" i="9"/>
  <c r="F43" i="9"/>
  <c r="D43" i="9"/>
  <c r="C43" i="9"/>
  <c r="H42" i="9"/>
  <c r="F42" i="9"/>
  <c r="D42" i="9"/>
  <c r="C42" i="9"/>
  <c r="H11" i="9"/>
  <c r="F11" i="9"/>
  <c r="D11" i="9"/>
  <c r="C11" i="9"/>
  <c r="C31" i="8"/>
  <c r="C30" i="8"/>
  <c r="N26" i="8"/>
  <c r="M26" i="8"/>
  <c r="L26" i="8"/>
  <c r="K26" i="8"/>
  <c r="J26" i="8"/>
  <c r="I26" i="8"/>
  <c r="H26" i="8"/>
  <c r="G26" i="8"/>
  <c r="F26" i="8"/>
  <c r="E26" i="8"/>
  <c r="D26" i="8"/>
  <c r="C26" i="8"/>
  <c r="N20" i="8"/>
  <c r="M20" i="8"/>
  <c r="L20" i="8"/>
  <c r="K20" i="8"/>
  <c r="J20" i="8"/>
  <c r="I20" i="8"/>
  <c r="H20" i="8"/>
  <c r="G20" i="8"/>
  <c r="F20" i="8"/>
  <c r="E20" i="8"/>
  <c r="D20" i="8"/>
  <c r="C20" i="8"/>
  <c r="N19" i="8"/>
  <c r="N21" i="8" s="1"/>
  <c r="M19" i="8"/>
  <c r="M21" i="8" s="1"/>
  <c r="L19" i="8"/>
  <c r="L21" i="8" s="1"/>
  <c r="K19" i="8"/>
  <c r="K21" i="8" s="1"/>
  <c r="J19" i="8"/>
  <c r="I19" i="8"/>
  <c r="I21" i="8" s="1"/>
  <c r="H19" i="8"/>
  <c r="G19" i="8"/>
  <c r="F19" i="8"/>
  <c r="F21" i="8" s="1"/>
  <c r="E19" i="8"/>
  <c r="E21" i="8" s="1"/>
  <c r="D19" i="8"/>
  <c r="D21" i="8" s="1"/>
  <c r="C19" i="8"/>
  <c r="I17" i="8"/>
  <c r="D17" i="8"/>
  <c r="C17" i="8"/>
  <c r="I16" i="8"/>
  <c r="H16" i="8"/>
  <c r="H17" i="8" s="1"/>
  <c r="G16" i="8"/>
  <c r="G17" i="8" s="1"/>
  <c r="F16" i="8"/>
  <c r="F17" i="8" s="1"/>
  <c r="E16" i="8"/>
  <c r="E17" i="8" s="1"/>
  <c r="D16" i="8"/>
  <c r="C16" i="8"/>
  <c r="N13" i="8"/>
  <c r="M13" i="8"/>
  <c r="L13" i="8"/>
  <c r="K13" i="8"/>
  <c r="J13" i="8"/>
  <c r="I13" i="8"/>
  <c r="G13" i="8"/>
  <c r="F13" i="8"/>
  <c r="E13" i="8"/>
  <c r="D13" i="8"/>
  <c r="C13" i="8"/>
  <c r="J12" i="8"/>
  <c r="I12" i="8"/>
  <c r="H12" i="8"/>
  <c r="G12" i="8"/>
  <c r="F12" i="8"/>
  <c r="E12" i="8"/>
  <c r="D12" i="8"/>
  <c r="N10" i="8"/>
  <c r="M10" i="8"/>
  <c r="L10" i="8"/>
  <c r="K10" i="8"/>
  <c r="J10" i="8"/>
  <c r="I10" i="8"/>
  <c r="H10" i="8"/>
  <c r="G10" i="8"/>
  <c r="F10" i="8"/>
  <c r="E10" i="8"/>
  <c r="D10" i="8"/>
  <c r="C10" i="8"/>
  <c r="N51" i="7"/>
  <c r="M51" i="7"/>
  <c r="L51" i="7"/>
  <c r="K51" i="7"/>
  <c r="J51" i="7"/>
  <c r="I51" i="7"/>
  <c r="H51" i="7"/>
  <c r="G51" i="7"/>
  <c r="F51" i="7"/>
  <c r="E51" i="7"/>
  <c r="D51" i="7"/>
  <c r="C51" i="7"/>
  <c r="N50" i="7"/>
  <c r="M50" i="7"/>
  <c r="J50" i="7"/>
  <c r="G50" i="7"/>
  <c r="F50" i="7"/>
  <c r="E50" i="7"/>
  <c r="N47" i="7"/>
  <c r="M47" i="7"/>
  <c r="L47" i="7"/>
  <c r="K47" i="7"/>
  <c r="J47" i="7"/>
  <c r="I47" i="7"/>
  <c r="H47" i="7"/>
  <c r="G47" i="7"/>
  <c r="F47" i="7"/>
  <c r="E47" i="7"/>
  <c r="D47" i="7"/>
  <c r="C47" i="7"/>
  <c r="N46" i="7"/>
  <c r="N54" i="7" s="1"/>
  <c r="M46" i="7"/>
  <c r="M54" i="7" s="1"/>
  <c r="L46" i="7"/>
  <c r="K46" i="7"/>
  <c r="J46" i="7"/>
  <c r="J54" i="7" s="1"/>
  <c r="I46" i="7"/>
  <c r="H46" i="7"/>
  <c r="G46" i="7"/>
  <c r="G54" i="7" s="1"/>
  <c r="F46" i="7"/>
  <c r="F54" i="7" s="1"/>
  <c r="E46" i="7"/>
  <c r="E54" i="7" s="1"/>
  <c r="D46" i="7"/>
  <c r="C46" i="7"/>
  <c r="N42" i="7"/>
  <c r="M42" i="7"/>
  <c r="L42" i="7"/>
  <c r="K42" i="7"/>
  <c r="J42" i="7"/>
  <c r="I42" i="7"/>
  <c r="H42" i="7"/>
  <c r="G42" i="7"/>
  <c r="F42" i="7"/>
  <c r="E42" i="7"/>
  <c r="D42" i="7"/>
  <c r="C42" i="7"/>
  <c r="N36" i="7"/>
  <c r="N37" i="7" s="1"/>
  <c r="M36" i="7"/>
  <c r="M37" i="7" s="1"/>
  <c r="J36" i="7"/>
  <c r="J37" i="7" s="1"/>
  <c r="G36" i="7"/>
  <c r="G37" i="7" s="1"/>
  <c r="F36" i="7"/>
  <c r="F37" i="7" s="1"/>
  <c r="E36" i="7"/>
  <c r="E37" i="7" s="1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5" i="7"/>
  <c r="M25" i="7"/>
  <c r="L25" i="7"/>
  <c r="K25" i="7"/>
  <c r="J25" i="7"/>
  <c r="I25" i="7"/>
  <c r="H25" i="7"/>
  <c r="G25" i="7"/>
  <c r="F25" i="7"/>
  <c r="E25" i="7"/>
  <c r="D25" i="7"/>
  <c r="C25" i="7"/>
  <c r="N23" i="7"/>
  <c r="M23" i="7"/>
  <c r="L23" i="7"/>
  <c r="K23" i="7"/>
  <c r="J23" i="7"/>
  <c r="I23" i="7"/>
  <c r="H23" i="7"/>
  <c r="G23" i="7"/>
  <c r="F23" i="7"/>
  <c r="E23" i="7"/>
  <c r="D23" i="7"/>
  <c r="C23" i="7"/>
  <c r="P23" i="7" s="1"/>
  <c r="N21" i="7"/>
  <c r="M21" i="7"/>
  <c r="L21" i="7"/>
  <c r="K21" i="7"/>
  <c r="J21" i="7"/>
  <c r="I21" i="7"/>
  <c r="H21" i="7"/>
  <c r="G21" i="7"/>
  <c r="F21" i="7"/>
  <c r="E21" i="7"/>
  <c r="D21" i="7"/>
  <c r="C21" i="7"/>
  <c r="M51" i="5"/>
  <c r="L51" i="5"/>
  <c r="J51" i="5"/>
  <c r="I51" i="5"/>
  <c r="H51" i="5"/>
  <c r="G51" i="5"/>
  <c r="F51" i="5"/>
  <c r="E51" i="5"/>
  <c r="D51" i="5"/>
  <c r="C51" i="5"/>
  <c r="P50" i="5"/>
  <c r="K50" i="5"/>
  <c r="D50" i="5"/>
  <c r="C50" i="5"/>
  <c r="N47" i="5"/>
  <c r="M47" i="5"/>
  <c r="L47" i="5"/>
  <c r="K47" i="5"/>
  <c r="J47" i="5"/>
  <c r="I47" i="5"/>
  <c r="H47" i="5"/>
  <c r="G47" i="5"/>
  <c r="F47" i="5"/>
  <c r="E47" i="5"/>
  <c r="D47" i="5"/>
  <c r="C47" i="5"/>
  <c r="M46" i="5"/>
  <c r="K46" i="5"/>
  <c r="H46" i="5"/>
  <c r="E46" i="5"/>
  <c r="D46" i="5"/>
  <c r="C46" i="5"/>
  <c r="M42" i="5"/>
  <c r="L42" i="5"/>
  <c r="K42" i="5"/>
  <c r="J42" i="5"/>
  <c r="I42" i="5"/>
  <c r="H42" i="5"/>
  <c r="G42" i="5"/>
  <c r="F42" i="5"/>
  <c r="E42" i="5"/>
  <c r="D42" i="5"/>
  <c r="C42" i="5"/>
  <c r="K36" i="5"/>
  <c r="K37" i="5" s="1"/>
  <c r="J36" i="5"/>
  <c r="J37" i="5" s="1"/>
  <c r="I36" i="5"/>
  <c r="I37" i="5" s="1"/>
  <c r="D36" i="5"/>
  <c r="D37" i="5" s="1"/>
  <c r="C36" i="5"/>
  <c r="C37" i="5" s="1"/>
  <c r="M30" i="5"/>
  <c r="L30" i="5"/>
  <c r="K30" i="5"/>
  <c r="J30" i="5"/>
  <c r="I30" i="5"/>
  <c r="H30" i="5"/>
  <c r="G30" i="5"/>
  <c r="F30" i="5"/>
  <c r="E30" i="5"/>
  <c r="D30" i="5"/>
  <c r="C30" i="5"/>
  <c r="M29" i="5"/>
  <c r="L29" i="5"/>
  <c r="K29" i="5"/>
  <c r="J29" i="5"/>
  <c r="I29" i="5"/>
  <c r="H29" i="5"/>
  <c r="G29" i="5"/>
  <c r="F29" i="5"/>
  <c r="E29" i="5"/>
  <c r="D29" i="5"/>
  <c r="C29" i="5"/>
  <c r="M28" i="5"/>
  <c r="L28" i="5"/>
  <c r="K28" i="5"/>
  <c r="J28" i="5"/>
  <c r="I28" i="5"/>
  <c r="H28" i="5"/>
  <c r="G28" i="5"/>
  <c r="F28" i="5"/>
  <c r="E28" i="5"/>
  <c r="D28" i="5"/>
  <c r="C28" i="5"/>
  <c r="M25" i="5"/>
  <c r="L25" i="5"/>
  <c r="K25" i="5"/>
  <c r="J25" i="5"/>
  <c r="I25" i="5"/>
  <c r="H25" i="5"/>
  <c r="G25" i="5"/>
  <c r="F25" i="5"/>
  <c r="E25" i="5"/>
  <c r="D25" i="5"/>
  <c r="C25" i="5"/>
  <c r="M23" i="5"/>
  <c r="L23" i="5"/>
  <c r="K23" i="5"/>
  <c r="J23" i="5"/>
  <c r="I23" i="5"/>
  <c r="H23" i="5"/>
  <c r="G23" i="5"/>
  <c r="F23" i="5"/>
  <c r="E23" i="5"/>
  <c r="D23" i="5"/>
  <c r="C23" i="5"/>
  <c r="N21" i="5"/>
  <c r="M21" i="5"/>
  <c r="L21" i="5"/>
  <c r="K21" i="5"/>
  <c r="J21" i="5"/>
  <c r="I21" i="5"/>
  <c r="H21" i="5"/>
  <c r="G21" i="5"/>
  <c r="F21" i="5"/>
  <c r="E21" i="5"/>
  <c r="D21" i="5"/>
  <c r="C21" i="5"/>
  <c r="K20" i="5"/>
  <c r="N55" i="4"/>
  <c r="N54" i="4"/>
  <c r="N53" i="4"/>
  <c r="N52" i="4"/>
  <c r="N51" i="4"/>
  <c r="L51" i="4"/>
  <c r="K51" i="4"/>
  <c r="J51" i="4"/>
  <c r="I51" i="4"/>
  <c r="H51" i="4"/>
  <c r="G51" i="4"/>
  <c r="F51" i="4"/>
  <c r="E51" i="4"/>
  <c r="D51" i="4"/>
  <c r="C51" i="4"/>
  <c r="N50" i="4"/>
  <c r="K50" i="4"/>
  <c r="J50" i="4"/>
  <c r="I50" i="4"/>
  <c r="D50" i="4"/>
  <c r="C50" i="4"/>
  <c r="N49" i="4"/>
  <c r="N48" i="4"/>
  <c r="N47" i="4"/>
  <c r="L47" i="4"/>
  <c r="K47" i="4"/>
  <c r="J47" i="4"/>
  <c r="I47" i="4"/>
  <c r="H47" i="4"/>
  <c r="G47" i="4"/>
  <c r="F47" i="4"/>
  <c r="E47" i="4"/>
  <c r="D47" i="4"/>
  <c r="C47" i="4"/>
  <c r="N46" i="4"/>
  <c r="K46" i="4"/>
  <c r="H46" i="4"/>
  <c r="G46" i="4"/>
  <c r="E46" i="4"/>
  <c r="D46" i="4"/>
  <c r="C46" i="4"/>
  <c r="N42" i="4"/>
  <c r="L42" i="4"/>
  <c r="K42" i="4"/>
  <c r="J42" i="4"/>
  <c r="I42" i="4"/>
  <c r="H42" i="4"/>
  <c r="G42" i="4"/>
  <c r="F42" i="4"/>
  <c r="E42" i="4"/>
  <c r="D42" i="4"/>
  <c r="C42" i="4"/>
  <c r="N36" i="4"/>
  <c r="N37" i="4" s="1"/>
  <c r="K36" i="4"/>
  <c r="K37" i="4" s="1"/>
  <c r="I36" i="4"/>
  <c r="I37" i="4" s="1"/>
  <c r="D36" i="4"/>
  <c r="D37" i="4" s="1"/>
  <c r="C36" i="4"/>
  <c r="C37" i="4" s="1"/>
  <c r="N31" i="4"/>
  <c r="N30" i="4"/>
  <c r="L30" i="4"/>
  <c r="K30" i="4"/>
  <c r="J30" i="4"/>
  <c r="I30" i="4"/>
  <c r="H30" i="4"/>
  <c r="G30" i="4"/>
  <c r="F30" i="4"/>
  <c r="E30" i="4"/>
  <c r="D30" i="4"/>
  <c r="C30" i="4"/>
  <c r="N29" i="4"/>
  <c r="L29" i="4"/>
  <c r="K29" i="4"/>
  <c r="J29" i="4"/>
  <c r="I29" i="4"/>
  <c r="H29" i="4"/>
  <c r="G29" i="4"/>
  <c r="F29" i="4"/>
  <c r="E29" i="4"/>
  <c r="D29" i="4"/>
  <c r="C29" i="4"/>
  <c r="N28" i="4"/>
  <c r="L28" i="4"/>
  <c r="K28" i="4"/>
  <c r="J28" i="4"/>
  <c r="I28" i="4"/>
  <c r="H28" i="4"/>
  <c r="G28" i="4"/>
  <c r="F28" i="4"/>
  <c r="E28" i="4"/>
  <c r="D28" i="4"/>
  <c r="C28" i="4"/>
  <c r="N25" i="4"/>
  <c r="L25" i="4"/>
  <c r="K25" i="4"/>
  <c r="J25" i="4"/>
  <c r="I25" i="4"/>
  <c r="H25" i="4"/>
  <c r="G25" i="4"/>
  <c r="F25" i="4"/>
  <c r="E25" i="4"/>
  <c r="D25" i="4"/>
  <c r="C25" i="4"/>
  <c r="N24" i="4"/>
  <c r="N23" i="4"/>
  <c r="L23" i="4"/>
  <c r="K23" i="4"/>
  <c r="J23" i="4"/>
  <c r="I23" i="4"/>
  <c r="H23" i="4"/>
  <c r="G23" i="4"/>
  <c r="F23" i="4"/>
  <c r="E23" i="4"/>
  <c r="D23" i="4"/>
  <c r="C23" i="4"/>
  <c r="N22" i="4"/>
  <c r="N33" i="4" s="1"/>
  <c r="N21" i="4"/>
  <c r="L21" i="4"/>
  <c r="K21" i="4"/>
  <c r="J21" i="4"/>
  <c r="I21" i="4"/>
  <c r="H21" i="4"/>
  <c r="G21" i="4"/>
  <c r="F21" i="4"/>
  <c r="E21" i="4"/>
  <c r="D21" i="4"/>
  <c r="C21" i="4"/>
  <c r="N20" i="4"/>
  <c r="N25" i="3"/>
  <c r="M25" i="3"/>
  <c r="L25" i="3"/>
  <c r="K25" i="3"/>
  <c r="J25" i="3"/>
  <c r="I25" i="3"/>
  <c r="H25" i="3"/>
  <c r="G25" i="3"/>
  <c r="F25" i="3"/>
  <c r="E25" i="3"/>
  <c r="D25" i="3"/>
  <c r="C25" i="3"/>
  <c r="N19" i="3"/>
  <c r="N20" i="3" s="1"/>
  <c r="M19" i="3"/>
  <c r="M20" i="3" s="1"/>
  <c r="L19" i="3"/>
  <c r="L20" i="3" s="1"/>
  <c r="K19" i="3"/>
  <c r="K20" i="3" s="1"/>
  <c r="J19" i="3"/>
  <c r="J20" i="3" s="1"/>
  <c r="I19" i="3"/>
  <c r="I20" i="3" s="1"/>
  <c r="H19" i="3"/>
  <c r="H20" i="3" s="1"/>
  <c r="G19" i="3"/>
  <c r="G20" i="3" s="1"/>
  <c r="F19" i="3"/>
  <c r="F20" i="3" s="1"/>
  <c r="E19" i="3"/>
  <c r="E20" i="3" s="1"/>
  <c r="D19" i="3"/>
  <c r="D20" i="3" s="1"/>
  <c r="C19" i="3"/>
  <c r="C20" i="3" s="1"/>
  <c r="N13" i="3"/>
  <c r="M13" i="3"/>
  <c r="L13" i="3"/>
  <c r="K13" i="3"/>
  <c r="J13" i="3"/>
  <c r="I13" i="3"/>
  <c r="H13" i="3"/>
  <c r="G13" i="3"/>
  <c r="F13" i="3"/>
  <c r="E13" i="3"/>
  <c r="D13" i="3"/>
  <c r="C13" i="3"/>
  <c r="M12" i="3"/>
  <c r="M14" i="3" s="1"/>
  <c r="M16" i="3" s="1"/>
  <c r="K12" i="3"/>
  <c r="G12" i="3"/>
  <c r="G14" i="3" s="1"/>
  <c r="G16" i="3" s="1"/>
  <c r="F12" i="3"/>
  <c r="F14" i="3" s="1"/>
  <c r="F16" i="3" s="1"/>
  <c r="C12" i="3"/>
  <c r="C14" i="3" s="1"/>
  <c r="C16" i="3" s="1"/>
  <c r="N10" i="3"/>
  <c r="M10" i="3"/>
  <c r="L10" i="3"/>
  <c r="K10" i="3"/>
  <c r="J10" i="3"/>
  <c r="I10" i="3"/>
  <c r="H10" i="3"/>
  <c r="G10" i="3"/>
  <c r="F10" i="3"/>
  <c r="E10" i="3"/>
  <c r="D10" i="3"/>
  <c r="C10" i="3"/>
  <c r="F17" i="2"/>
  <c r="E17" i="2"/>
  <c r="AK13" i="11" l="1"/>
  <c r="M12" i="8"/>
  <c r="M14" i="8" s="1"/>
  <c r="M16" i="8" s="1"/>
  <c r="AN10" i="11"/>
  <c r="AS11" i="11"/>
  <c r="U13" i="11"/>
  <c r="U116" i="11" s="1"/>
  <c r="AI11" i="11"/>
  <c r="L12" i="8"/>
  <c r="L14" i="8" s="1"/>
  <c r="L16" i="8" s="1"/>
  <c r="L17" i="8" s="1"/>
  <c r="AF10" i="11"/>
  <c r="C20" i="4"/>
  <c r="I12" i="3"/>
  <c r="AK11" i="11"/>
  <c r="Y13" i="17"/>
  <c r="AY25" i="11"/>
  <c r="AZ25" i="11" s="1"/>
  <c r="BA25" i="11" s="1"/>
  <c r="BB25" i="11" s="1"/>
  <c r="BC25" i="11" s="1"/>
  <c r="BD25" i="11" s="1"/>
  <c r="BE25" i="11" s="1"/>
  <c r="BF25" i="11" s="1"/>
  <c r="BG25" i="11" s="1"/>
  <c r="BH25" i="11" s="1"/>
  <c r="BI25" i="11" s="1"/>
  <c r="BJ25" i="11" s="1"/>
  <c r="BK25" i="11" s="1"/>
  <c r="BL25" i="11" s="1"/>
  <c r="BM25" i="11" s="1"/>
  <c r="BN25" i="11" s="1"/>
  <c r="BO25" i="11" s="1"/>
  <c r="BP25" i="11" s="1"/>
  <c r="BQ25" i="11" s="1"/>
  <c r="BR25" i="11" s="1"/>
  <c r="BS25" i="11" s="1"/>
  <c r="BT25" i="11" s="1"/>
  <c r="BU25" i="11" s="1"/>
  <c r="BV25" i="11" s="1"/>
  <c r="BW25" i="11" s="1"/>
  <c r="BX25" i="11" s="1"/>
  <c r="BY25" i="11" s="1"/>
  <c r="BZ25" i="11" s="1"/>
  <c r="CA25" i="11" s="1"/>
  <c r="CB25" i="11" s="1"/>
  <c r="CC25" i="11" s="1"/>
  <c r="CD25" i="11" s="1"/>
  <c r="CE25" i="11" s="1"/>
  <c r="CF25" i="11" s="1"/>
  <c r="CG25" i="11" s="1"/>
  <c r="CH25" i="11" s="1"/>
  <c r="CI25" i="11" s="1"/>
  <c r="CJ25" i="11" s="1"/>
  <c r="CK25" i="11" s="1"/>
  <c r="CL25" i="11" s="1"/>
  <c r="CM25" i="11" s="1"/>
  <c r="CN25" i="11" s="1"/>
  <c r="CO25" i="11" s="1"/>
  <c r="CP25" i="11" s="1"/>
  <c r="CQ25" i="11" s="1"/>
  <c r="CR25" i="11" s="1"/>
  <c r="CS25" i="11" s="1"/>
  <c r="CT25" i="11" s="1"/>
  <c r="CU25" i="11" s="1"/>
  <c r="CV25" i="11" s="1"/>
  <c r="CW25" i="11" s="1"/>
  <c r="CX25" i="11" s="1"/>
  <c r="CY25" i="11" s="1"/>
  <c r="CZ25" i="11" s="1"/>
  <c r="DA25" i="11" s="1"/>
  <c r="DB25" i="11" s="1"/>
  <c r="DC25" i="11" s="1"/>
  <c r="DD25" i="11" s="1"/>
  <c r="DE25" i="11" s="1"/>
  <c r="DF25" i="11" s="1"/>
  <c r="DG25" i="11" s="1"/>
  <c r="C31" i="5"/>
  <c r="D31" i="4"/>
  <c r="D33" i="4" s="1"/>
  <c r="D34" i="4" s="1"/>
  <c r="L31" i="4"/>
  <c r="K31" i="5"/>
  <c r="H31" i="7"/>
  <c r="H33" i="7" s="1"/>
  <c r="H34" i="7" s="1"/>
  <c r="AU17" i="16"/>
  <c r="J31" i="7"/>
  <c r="J33" i="7" s="1"/>
  <c r="AX168" i="11"/>
  <c r="I46" i="4"/>
  <c r="I54" i="4" s="1"/>
  <c r="I46" i="5"/>
  <c r="J46" i="5"/>
  <c r="F46" i="4"/>
  <c r="N42" i="5"/>
  <c r="AT43" i="11"/>
  <c r="AQ89" i="11"/>
  <c r="F36" i="5" s="1"/>
  <c r="F37" i="5" s="1"/>
  <c r="J54" i="4"/>
  <c r="AS43" i="11"/>
  <c r="J36" i="4"/>
  <c r="J37" i="4" s="1"/>
  <c r="C54" i="4"/>
  <c r="F50" i="4"/>
  <c r="P19" i="8"/>
  <c r="D54" i="5"/>
  <c r="I50" i="5"/>
  <c r="F50" i="5"/>
  <c r="F54" i="5" s="1"/>
  <c r="J50" i="5"/>
  <c r="AY72" i="11"/>
  <c r="AZ72" i="11" s="1"/>
  <c r="BA72" i="11" s="1"/>
  <c r="BB72" i="11" s="1"/>
  <c r="BC72" i="11" s="1"/>
  <c r="BD72" i="11" s="1"/>
  <c r="BE72" i="11" s="1"/>
  <c r="BF72" i="11" s="1"/>
  <c r="BG72" i="11" s="1"/>
  <c r="BH72" i="11" s="1"/>
  <c r="BI72" i="11" s="1"/>
  <c r="BJ72" i="11" s="1"/>
  <c r="BK72" i="11" s="1"/>
  <c r="BL72" i="11" s="1"/>
  <c r="BM72" i="11" s="1"/>
  <c r="BN72" i="11" s="1"/>
  <c r="BO72" i="11" s="1"/>
  <c r="BP72" i="11" s="1"/>
  <c r="BQ72" i="11" s="1"/>
  <c r="BR72" i="11" s="1"/>
  <c r="BS72" i="11" s="1"/>
  <c r="BT72" i="11" s="1"/>
  <c r="BU72" i="11" s="1"/>
  <c r="BV72" i="11" s="1"/>
  <c r="BW72" i="11" s="1"/>
  <c r="BX72" i="11" s="1"/>
  <c r="BY72" i="11" s="1"/>
  <c r="BZ72" i="11" s="1"/>
  <c r="CA72" i="11" s="1"/>
  <c r="CB72" i="11" s="1"/>
  <c r="CC72" i="11" s="1"/>
  <c r="CD72" i="11" s="1"/>
  <c r="CE72" i="11" s="1"/>
  <c r="CF72" i="11" s="1"/>
  <c r="CG72" i="11" s="1"/>
  <c r="CH72" i="11" s="1"/>
  <c r="CI72" i="11" s="1"/>
  <c r="CJ72" i="11" s="1"/>
  <c r="CK72" i="11" s="1"/>
  <c r="CL72" i="11" s="1"/>
  <c r="CM72" i="11" s="1"/>
  <c r="CN72" i="11" s="1"/>
  <c r="CO72" i="11" s="1"/>
  <c r="CP72" i="11" s="1"/>
  <c r="CQ72" i="11" s="1"/>
  <c r="CR72" i="11" s="1"/>
  <c r="CS72" i="11" s="1"/>
  <c r="CT72" i="11" s="1"/>
  <c r="CU72" i="11" s="1"/>
  <c r="CV72" i="11" s="1"/>
  <c r="CW72" i="11" s="1"/>
  <c r="CX72" i="11" s="1"/>
  <c r="CY72" i="11" s="1"/>
  <c r="CZ72" i="11" s="1"/>
  <c r="DA72" i="11" s="1"/>
  <c r="DB72" i="11" s="1"/>
  <c r="DC72" i="11" s="1"/>
  <c r="DD72" i="11" s="1"/>
  <c r="DE72" i="11" s="1"/>
  <c r="DF72" i="11" s="1"/>
  <c r="DG72" i="11" s="1"/>
  <c r="AU43" i="11"/>
  <c r="D31" i="5"/>
  <c r="AU36" i="16"/>
  <c r="G31" i="5"/>
  <c r="AQ43" i="11"/>
  <c r="L31" i="5"/>
  <c r="F31" i="4"/>
  <c r="G31" i="4"/>
  <c r="E31" i="7"/>
  <c r="M31" i="7"/>
  <c r="AR43" i="11"/>
  <c r="AV43" i="11"/>
  <c r="K31" i="7"/>
  <c r="I31" i="4"/>
  <c r="E31" i="4"/>
  <c r="J31" i="4"/>
  <c r="K14" i="3"/>
  <c r="K16" i="3" s="1"/>
  <c r="K17" i="3" s="1"/>
  <c r="AV10" i="11"/>
  <c r="F20" i="4"/>
  <c r="F22" i="4" s="1"/>
  <c r="F20" i="5"/>
  <c r="F22" i="5" s="1"/>
  <c r="P29" i="7"/>
  <c r="P21" i="4"/>
  <c r="P30" i="4"/>
  <c r="D20" i="5"/>
  <c r="D22" i="5" s="1"/>
  <c r="E31" i="5"/>
  <c r="D31" i="7"/>
  <c r="P26" i="8"/>
  <c r="AH10" i="11"/>
  <c r="I14" i="3"/>
  <c r="I16" i="3" s="1"/>
  <c r="I17" i="3" s="1"/>
  <c r="D54" i="4"/>
  <c r="AI10" i="11"/>
  <c r="AQ11" i="11"/>
  <c r="AV22" i="16"/>
  <c r="AV49" i="16"/>
  <c r="P23" i="4"/>
  <c r="P21" i="5"/>
  <c r="P30" i="7"/>
  <c r="AG10" i="11"/>
  <c r="P28" i="4"/>
  <c r="P29" i="4"/>
  <c r="M31" i="5"/>
  <c r="C22" i="4"/>
  <c r="E20" i="5"/>
  <c r="E22" i="5" s="1"/>
  <c r="P42" i="5"/>
  <c r="P21" i="7"/>
  <c r="F31" i="7"/>
  <c r="N31" i="7"/>
  <c r="I23" i="8"/>
  <c r="I27" i="8" s="1"/>
  <c r="I28" i="8" s="1"/>
  <c r="G21" i="8"/>
  <c r="G23" i="8" s="1"/>
  <c r="G24" i="8" s="1"/>
  <c r="P20" i="8"/>
  <c r="AA13" i="11"/>
  <c r="AA62" i="11" s="1"/>
  <c r="P28" i="7"/>
  <c r="AU21" i="16"/>
  <c r="K31" i="4"/>
  <c r="L31" i="7"/>
  <c r="L12" i="3"/>
  <c r="L14" i="3" s="1"/>
  <c r="L16" i="3" s="1"/>
  <c r="L17" i="3" s="1"/>
  <c r="E20" i="4"/>
  <c r="E22" i="4" s="1"/>
  <c r="K22" i="5"/>
  <c r="K33" i="5" s="1"/>
  <c r="K34" i="5" s="1"/>
  <c r="H31" i="5"/>
  <c r="G31" i="7"/>
  <c r="G33" i="7" s="1"/>
  <c r="P42" i="7"/>
  <c r="H21" i="8"/>
  <c r="H23" i="8" s="1"/>
  <c r="AO10" i="11"/>
  <c r="AP46" i="11"/>
  <c r="AV27" i="16"/>
  <c r="AV50" i="16"/>
  <c r="D12" i="3"/>
  <c r="D14" i="3" s="1"/>
  <c r="D16" i="3" s="1"/>
  <c r="D17" i="3" s="1"/>
  <c r="P42" i="4"/>
  <c r="I31" i="5"/>
  <c r="J14" i="8"/>
  <c r="J16" i="8" s="1"/>
  <c r="J17" i="8" s="1"/>
  <c r="AP10" i="11"/>
  <c r="D13" i="11"/>
  <c r="D65" i="11" s="1"/>
  <c r="D92" i="11" s="1"/>
  <c r="D98" i="11" s="1"/>
  <c r="D160" i="11" s="1"/>
  <c r="D163" i="11" s="1"/>
  <c r="D170" i="11" s="1"/>
  <c r="E41" i="2"/>
  <c r="E12" i="3"/>
  <c r="E14" i="3" s="1"/>
  <c r="E16" i="3" s="1"/>
  <c r="E22" i="3" s="1"/>
  <c r="P25" i="3"/>
  <c r="K22" i="4"/>
  <c r="H31" i="4"/>
  <c r="J31" i="5"/>
  <c r="C54" i="5"/>
  <c r="K54" i="5"/>
  <c r="I31" i="7"/>
  <c r="I33" i="7" s="1"/>
  <c r="I34" i="7" s="1"/>
  <c r="K12" i="8"/>
  <c r="K14" i="8" s="1"/>
  <c r="K16" i="8" s="1"/>
  <c r="K17" i="8" s="1"/>
  <c r="D23" i="8"/>
  <c r="D27" i="8" s="1"/>
  <c r="D28" i="8" s="1"/>
  <c r="J21" i="8"/>
  <c r="AQ10" i="11"/>
  <c r="F17" i="3"/>
  <c r="F22" i="3"/>
  <c r="L23" i="8"/>
  <c r="C17" i="3"/>
  <c r="C22" i="3"/>
  <c r="M17" i="8"/>
  <c r="M23" i="8"/>
  <c r="AX2" i="17"/>
  <c r="AX8" i="17" s="1"/>
  <c r="CI2" i="11"/>
  <c r="N116" i="11"/>
  <c r="N65" i="11"/>
  <c r="N92" i="11" s="1"/>
  <c r="N38" i="11"/>
  <c r="N32" i="11"/>
  <c r="V116" i="11"/>
  <c r="V38" i="11"/>
  <c r="V65" i="11"/>
  <c r="V92" i="11" s="1"/>
  <c r="V98" i="11" s="1"/>
  <c r="V32" i="11"/>
  <c r="M17" i="3"/>
  <c r="M22" i="3"/>
  <c r="N17" i="8"/>
  <c r="N23" i="8"/>
  <c r="W116" i="11"/>
  <c r="W65" i="11"/>
  <c r="W92" i="11" s="1"/>
  <c r="W38" i="11"/>
  <c r="W62" i="11"/>
  <c r="W63" i="11"/>
  <c r="W32" i="11"/>
  <c r="AY10" i="11"/>
  <c r="AZ10" i="11" s="1"/>
  <c r="BA10" i="11" s="1"/>
  <c r="BB10" i="11" s="1"/>
  <c r="BC10" i="11" s="1"/>
  <c r="BD10" i="11" s="1"/>
  <c r="BE10" i="11" s="1"/>
  <c r="BF10" i="11" s="1"/>
  <c r="BG10" i="11" s="1"/>
  <c r="BH10" i="11" s="1"/>
  <c r="BI10" i="11" s="1"/>
  <c r="BJ10" i="11" s="1"/>
  <c r="BK10" i="11" s="1"/>
  <c r="BL10" i="11" s="1"/>
  <c r="BM10" i="11" s="1"/>
  <c r="BN10" i="11" s="1"/>
  <c r="BO10" i="11" s="1"/>
  <c r="BP10" i="11" s="1"/>
  <c r="BQ10" i="11" s="1"/>
  <c r="BR10" i="11" s="1"/>
  <c r="BS10" i="11" s="1"/>
  <c r="BT10" i="11" s="1"/>
  <c r="BU10" i="11" s="1"/>
  <c r="BV10" i="11" s="1"/>
  <c r="BW10" i="11" s="1"/>
  <c r="BX10" i="11" s="1"/>
  <c r="BY10" i="11" s="1"/>
  <c r="BZ10" i="11" s="1"/>
  <c r="CA10" i="11" s="1"/>
  <c r="CB10" i="11" s="1"/>
  <c r="CC10" i="11" s="1"/>
  <c r="CD10" i="11" s="1"/>
  <c r="CE10" i="11" s="1"/>
  <c r="CF10" i="11" s="1"/>
  <c r="CG10" i="11" s="1"/>
  <c r="CH10" i="11" s="1"/>
  <c r="CI10" i="11" s="1"/>
  <c r="CJ10" i="11" s="1"/>
  <c r="CK10" i="11" s="1"/>
  <c r="CL10" i="11" s="1"/>
  <c r="CM10" i="11" s="1"/>
  <c r="CN10" i="11" s="1"/>
  <c r="CO10" i="11" s="1"/>
  <c r="CP10" i="11" s="1"/>
  <c r="CQ10" i="11" s="1"/>
  <c r="CR10" i="11" s="1"/>
  <c r="CS10" i="11" s="1"/>
  <c r="CT10" i="11" s="1"/>
  <c r="CU10" i="11" s="1"/>
  <c r="CV10" i="11" s="1"/>
  <c r="CW10" i="11" s="1"/>
  <c r="CX10" i="11" s="1"/>
  <c r="CY10" i="11" s="1"/>
  <c r="CZ10" i="11" s="1"/>
  <c r="DA10" i="11" s="1"/>
  <c r="DB10" i="11" s="1"/>
  <c r="DC10" i="11" s="1"/>
  <c r="DD10" i="11" s="1"/>
  <c r="DE10" i="11" s="1"/>
  <c r="DF10" i="11" s="1"/>
  <c r="DG10" i="11" s="1"/>
  <c r="N17" i="3"/>
  <c r="N22" i="3"/>
  <c r="N34" i="4"/>
  <c r="N39" i="4"/>
  <c r="M116" i="11"/>
  <c r="M65" i="11"/>
  <c r="M92" i="11" s="1"/>
  <c r="M38" i="11"/>
  <c r="M32" i="11"/>
  <c r="G22" i="3"/>
  <c r="G17" i="3"/>
  <c r="AP39" i="11"/>
  <c r="AP41" i="11"/>
  <c r="G116" i="11"/>
  <c r="G65" i="11"/>
  <c r="G92" i="11" s="1"/>
  <c r="G98" i="11" s="1"/>
  <c r="G160" i="11" s="1"/>
  <c r="G32" i="11"/>
  <c r="H17" i="3"/>
  <c r="H22" i="3"/>
  <c r="AK116" i="11"/>
  <c r="AK62" i="11"/>
  <c r="AK65" i="11"/>
  <c r="AK63" i="11"/>
  <c r="AK32" i="11"/>
  <c r="AK38" i="11"/>
  <c r="D29" i="2"/>
  <c r="D19" i="2"/>
  <c r="D21" i="2" s="1"/>
  <c r="D20" i="2"/>
  <c r="D22" i="2"/>
  <c r="D24" i="2"/>
  <c r="F41" i="2"/>
  <c r="J12" i="3"/>
  <c r="J14" i="3" s="1"/>
  <c r="J16" i="3" s="1"/>
  <c r="C31" i="4"/>
  <c r="C31" i="7"/>
  <c r="H13" i="8"/>
  <c r="E23" i="8"/>
  <c r="BF2" i="11"/>
  <c r="AC11" i="11"/>
  <c r="O13" i="11"/>
  <c r="AE13" i="11"/>
  <c r="AU13" i="11"/>
  <c r="AT46" i="11"/>
  <c r="BF29" i="11"/>
  <c r="BA29" i="11"/>
  <c r="AE11" i="11"/>
  <c r="AN46" i="11"/>
  <c r="AZ29" i="11"/>
  <c r="E19" i="2"/>
  <c r="E20" i="2"/>
  <c r="E22" i="2"/>
  <c r="E24" i="2"/>
  <c r="F31" i="5"/>
  <c r="C21" i="8"/>
  <c r="C23" i="8" s="1"/>
  <c r="F23" i="8"/>
  <c r="AY84" i="11"/>
  <c r="AZ80" i="11"/>
  <c r="AZ82" i="11" s="1"/>
  <c r="AY83" i="11"/>
  <c r="AZ83" i="11" s="1"/>
  <c r="BA83" i="11" s="1"/>
  <c r="BB83" i="11" s="1"/>
  <c r="BC83" i="11" s="1"/>
  <c r="BD83" i="11" s="1"/>
  <c r="BE83" i="11" s="1"/>
  <c r="BF83" i="11" s="1"/>
  <c r="BG83" i="11" s="1"/>
  <c r="BH83" i="11" s="1"/>
  <c r="BI83" i="11" s="1"/>
  <c r="BJ83" i="11" s="1"/>
  <c r="BK83" i="11" s="1"/>
  <c r="BL83" i="11" s="1"/>
  <c r="BM83" i="11" s="1"/>
  <c r="BN83" i="11" s="1"/>
  <c r="BO83" i="11" s="1"/>
  <c r="BP83" i="11" s="1"/>
  <c r="BQ83" i="11" s="1"/>
  <c r="BR83" i="11" s="1"/>
  <c r="BS83" i="11" s="1"/>
  <c r="BT83" i="11" s="1"/>
  <c r="BU83" i="11" s="1"/>
  <c r="BV83" i="11" s="1"/>
  <c r="BW83" i="11" s="1"/>
  <c r="BX83" i="11" s="1"/>
  <c r="BY83" i="11" s="1"/>
  <c r="BZ83" i="11" s="1"/>
  <c r="CA83" i="11" s="1"/>
  <c r="CB83" i="11" s="1"/>
  <c r="CC83" i="11" s="1"/>
  <c r="CD83" i="11" s="1"/>
  <c r="CE83" i="11" s="1"/>
  <c r="CF83" i="11" s="1"/>
  <c r="CG83" i="11" s="1"/>
  <c r="CH83" i="11" s="1"/>
  <c r="CI83" i="11" s="1"/>
  <c r="CJ83" i="11" s="1"/>
  <c r="CK83" i="11" s="1"/>
  <c r="CL83" i="11" s="1"/>
  <c r="CM83" i="11" s="1"/>
  <c r="CN83" i="11" s="1"/>
  <c r="CO83" i="11" s="1"/>
  <c r="CP83" i="11" s="1"/>
  <c r="CQ83" i="11" s="1"/>
  <c r="CR83" i="11" s="1"/>
  <c r="CS83" i="11" s="1"/>
  <c r="CT83" i="11" s="1"/>
  <c r="CU83" i="11" s="1"/>
  <c r="CV83" i="11" s="1"/>
  <c r="CW83" i="11" s="1"/>
  <c r="CX83" i="11" s="1"/>
  <c r="CY83" i="11" s="1"/>
  <c r="CZ83" i="11" s="1"/>
  <c r="DA83" i="11" s="1"/>
  <c r="DB83" i="11" s="1"/>
  <c r="DC83" i="11" s="1"/>
  <c r="DD83" i="11" s="1"/>
  <c r="DE83" i="11" s="1"/>
  <c r="DF83" i="11" s="1"/>
  <c r="DG83" i="11" s="1"/>
  <c r="AY76" i="11"/>
  <c r="AZ76" i="11" s="1"/>
  <c r="AY77" i="11"/>
  <c r="Z2" i="17"/>
  <c r="Z8" i="17" s="1"/>
  <c r="BG2" i="11"/>
  <c r="CA3" i="11"/>
  <c r="CQ3" i="11"/>
  <c r="CY3" i="11"/>
  <c r="AM10" i="11"/>
  <c r="AD11" i="11"/>
  <c r="H116" i="11"/>
  <c r="H65" i="11"/>
  <c r="H92" i="11" s="1"/>
  <c r="H98" i="11" s="1"/>
  <c r="H160" i="11" s="1"/>
  <c r="H32" i="11"/>
  <c r="S116" i="11"/>
  <c r="S65" i="11"/>
  <c r="S92" i="11" s="1"/>
  <c r="S98" i="11" s="1"/>
  <c r="S160" i="11" s="1"/>
  <c r="S38" i="11"/>
  <c r="S32" i="11"/>
  <c r="AI116" i="11"/>
  <c r="AI65" i="11"/>
  <c r="AI62" i="11"/>
  <c r="AI63" i="11"/>
  <c r="AI38" i="11"/>
  <c r="AI32" i="11"/>
  <c r="V36" i="11"/>
  <c r="V37" i="11" s="1"/>
  <c r="Q36" i="11"/>
  <c r="Q37" i="11" s="1"/>
  <c r="Q39" i="11" s="1"/>
  <c r="AH23" i="16"/>
  <c r="AY23" i="11"/>
  <c r="BZ23" i="11"/>
  <c r="AM46" i="11"/>
  <c r="AY29" i="11"/>
  <c r="BG29" i="11"/>
  <c r="AU46" i="11"/>
  <c r="BI29" i="11"/>
  <c r="K54" i="4"/>
  <c r="AZ85" i="11"/>
  <c r="BA85" i="11" s="1"/>
  <c r="BB85" i="11" s="1"/>
  <c r="BC85" i="11" s="1"/>
  <c r="BD85" i="11" s="1"/>
  <c r="BE85" i="11" s="1"/>
  <c r="BF85" i="11" s="1"/>
  <c r="BG85" i="11" s="1"/>
  <c r="BH85" i="11" s="1"/>
  <c r="BI85" i="11" s="1"/>
  <c r="BJ85" i="11" s="1"/>
  <c r="BK85" i="11" s="1"/>
  <c r="BL85" i="11" s="1"/>
  <c r="BM85" i="11" s="1"/>
  <c r="BN85" i="11" s="1"/>
  <c r="BO85" i="11" s="1"/>
  <c r="BP85" i="11" s="1"/>
  <c r="BQ85" i="11" s="1"/>
  <c r="BR85" i="11" s="1"/>
  <c r="BS85" i="11" s="1"/>
  <c r="BT85" i="11" s="1"/>
  <c r="BU85" i="11" s="1"/>
  <c r="BV85" i="11" s="1"/>
  <c r="BW85" i="11" s="1"/>
  <c r="BX85" i="11" s="1"/>
  <c r="BY85" i="11" s="1"/>
  <c r="BZ85" i="11" s="1"/>
  <c r="CA85" i="11" s="1"/>
  <c r="CB85" i="11" s="1"/>
  <c r="CC85" i="11" s="1"/>
  <c r="CD85" i="11" s="1"/>
  <c r="CE85" i="11" s="1"/>
  <c r="CF85" i="11" s="1"/>
  <c r="CG85" i="11" s="1"/>
  <c r="CH85" i="11" s="1"/>
  <c r="CI85" i="11" s="1"/>
  <c r="CJ85" i="11" s="1"/>
  <c r="CK85" i="11" s="1"/>
  <c r="CL85" i="11" s="1"/>
  <c r="CM85" i="11" s="1"/>
  <c r="CN85" i="11" s="1"/>
  <c r="CO85" i="11" s="1"/>
  <c r="CP85" i="11" s="1"/>
  <c r="CQ85" i="11" s="1"/>
  <c r="CR85" i="11" s="1"/>
  <c r="CS85" i="11" s="1"/>
  <c r="CT85" i="11" s="1"/>
  <c r="CU85" i="11" s="1"/>
  <c r="CV85" i="11" s="1"/>
  <c r="CW85" i="11" s="1"/>
  <c r="CX85" i="11" s="1"/>
  <c r="CY85" i="11" s="1"/>
  <c r="CZ85" i="11" s="1"/>
  <c r="DA85" i="11" s="1"/>
  <c r="DB85" i="11" s="1"/>
  <c r="DC85" i="11" s="1"/>
  <c r="DD85" i="11" s="1"/>
  <c r="DE85" i="11" s="1"/>
  <c r="DF85" i="11" s="1"/>
  <c r="DG85" i="11" s="1"/>
  <c r="AZ77" i="11"/>
  <c r="BA77" i="11" s="1"/>
  <c r="BB77" i="11" s="1"/>
  <c r="BC77" i="11" s="1"/>
  <c r="BD77" i="11" s="1"/>
  <c r="BE77" i="11" s="1"/>
  <c r="BF77" i="11" s="1"/>
  <c r="BG77" i="11" s="1"/>
  <c r="BH77" i="11" s="1"/>
  <c r="BI77" i="11" s="1"/>
  <c r="BJ77" i="11" s="1"/>
  <c r="BK77" i="11" s="1"/>
  <c r="BL77" i="11" s="1"/>
  <c r="BM77" i="11" s="1"/>
  <c r="BN77" i="11" s="1"/>
  <c r="BO77" i="11" s="1"/>
  <c r="BP77" i="11" s="1"/>
  <c r="BQ77" i="11" s="1"/>
  <c r="BR77" i="11" s="1"/>
  <c r="BS77" i="11" s="1"/>
  <c r="BT77" i="11" s="1"/>
  <c r="BU77" i="11" s="1"/>
  <c r="BV77" i="11" s="1"/>
  <c r="BW77" i="11" s="1"/>
  <c r="BX77" i="11" s="1"/>
  <c r="BY77" i="11" s="1"/>
  <c r="BZ77" i="11" s="1"/>
  <c r="CA77" i="11" s="1"/>
  <c r="CB77" i="11" s="1"/>
  <c r="CC77" i="11" s="1"/>
  <c r="CD77" i="11" s="1"/>
  <c r="CE77" i="11" s="1"/>
  <c r="CF77" i="11" s="1"/>
  <c r="CG77" i="11" s="1"/>
  <c r="CH77" i="11" s="1"/>
  <c r="CI77" i="11" s="1"/>
  <c r="CJ77" i="11" s="1"/>
  <c r="CK77" i="11" s="1"/>
  <c r="CL77" i="11" s="1"/>
  <c r="CM77" i="11" s="1"/>
  <c r="CN77" i="11" s="1"/>
  <c r="CO77" i="11" s="1"/>
  <c r="CP77" i="11" s="1"/>
  <c r="CQ77" i="11" s="1"/>
  <c r="CR77" i="11" s="1"/>
  <c r="CS77" i="11" s="1"/>
  <c r="CT77" i="11" s="1"/>
  <c r="CU77" i="11" s="1"/>
  <c r="CV77" i="11" s="1"/>
  <c r="CW77" i="11" s="1"/>
  <c r="CX77" i="11" s="1"/>
  <c r="CY77" i="11" s="1"/>
  <c r="CZ77" i="11" s="1"/>
  <c r="DA77" i="11" s="1"/>
  <c r="DB77" i="11" s="1"/>
  <c r="DC77" i="11" s="1"/>
  <c r="DD77" i="11" s="1"/>
  <c r="DE77" i="11" s="1"/>
  <c r="DF77" i="11" s="1"/>
  <c r="DG77" i="11" s="1"/>
  <c r="AZ86" i="11"/>
  <c r="AZ84" i="11"/>
  <c r="BA84" i="11" s="1"/>
  <c r="BB84" i="11" s="1"/>
  <c r="BC84" i="11" s="1"/>
  <c r="BD84" i="11" s="1"/>
  <c r="BE84" i="11" s="1"/>
  <c r="BF84" i="11" s="1"/>
  <c r="BG84" i="11" s="1"/>
  <c r="BH84" i="11" s="1"/>
  <c r="BI84" i="11" s="1"/>
  <c r="BJ84" i="11" s="1"/>
  <c r="BK84" i="11" s="1"/>
  <c r="BL84" i="11" s="1"/>
  <c r="BM84" i="11" s="1"/>
  <c r="BN84" i="11" s="1"/>
  <c r="BO84" i="11" s="1"/>
  <c r="BP84" i="11" s="1"/>
  <c r="BQ84" i="11" s="1"/>
  <c r="BR84" i="11" s="1"/>
  <c r="BS84" i="11" s="1"/>
  <c r="BT84" i="11" s="1"/>
  <c r="BU84" i="11" s="1"/>
  <c r="BV84" i="11" s="1"/>
  <c r="BW84" i="11" s="1"/>
  <c r="BX84" i="11" s="1"/>
  <c r="BY84" i="11" s="1"/>
  <c r="BZ84" i="11" s="1"/>
  <c r="CA84" i="11" s="1"/>
  <c r="CB84" i="11" s="1"/>
  <c r="CC84" i="11" s="1"/>
  <c r="CD84" i="11" s="1"/>
  <c r="CE84" i="11" s="1"/>
  <c r="CF84" i="11" s="1"/>
  <c r="CG84" i="11" s="1"/>
  <c r="CH84" i="11" s="1"/>
  <c r="CI84" i="11" s="1"/>
  <c r="CJ84" i="11" s="1"/>
  <c r="CK84" i="11" s="1"/>
  <c r="CL84" i="11" s="1"/>
  <c r="CM84" i="11" s="1"/>
  <c r="CN84" i="11" s="1"/>
  <c r="CO84" i="11" s="1"/>
  <c r="CP84" i="11" s="1"/>
  <c r="CQ84" i="11" s="1"/>
  <c r="CR84" i="11" s="1"/>
  <c r="CS84" i="11" s="1"/>
  <c r="CT84" i="11" s="1"/>
  <c r="CU84" i="11" s="1"/>
  <c r="CV84" i="11" s="1"/>
  <c r="CW84" i="11" s="1"/>
  <c r="CX84" i="11" s="1"/>
  <c r="CY84" i="11" s="1"/>
  <c r="CZ84" i="11" s="1"/>
  <c r="DA84" i="11" s="1"/>
  <c r="DB84" i="11" s="1"/>
  <c r="DC84" i="11" s="1"/>
  <c r="DD84" i="11" s="1"/>
  <c r="DE84" i="11" s="1"/>
  <c r="DF84" i="11" s="1"/>
  <c r="DG84" i="11" s="1"/>
  <c r="AZ87" i="11"/>
  <c r="BA87" i="11" s="1"/>
  <c r="BB87" i="11" s="1"/>
  <c r="BC87" i="11" s="1"/>
  <c r="BD87" i="11" s="1"/>
  <c r="BE87" i="11" s="1"/>
  <c r="BF87" i="11" s="1"/>
  <c r="BG87" i="11" s="1"/>
  <c r="BH87" i="11" s="1"/>
  <c r="BI87" i="11" s="1"/>
  <c r="BJ87" i="11" s="1"/>
  <c r="BK87" i="11" s="1"/>
  <c r="BL87" i="11" s="1"/>
  <c r="BM87" i="11" s="1"/>
  <c r="BN87" i="11" s="1"/>
  <c r="BO87" i="11" s="1"/>
  <c r="BP87" i="11" s="1"/>
  <c r="BQ87" i="11" s="1"/>
  <c r="BR87" i="11" s="1"/>
  <c r="BS87" i="11" s="1"/>
  <c r="BT87" i="11" s="1"/>
  <c r="BU87" i="11" s="1"/>
  <c r="BV87" i="11" s="1"/>
  <c r="BW87" i="11" s="1"/>
  <c r="BX87" i="11" s="1"/>
  <c r="BY87" i="11" s="1"/>
  <c r="BZ87" i="11" s="1"/>
  <c r="CA87" i="11" s="1"/>
  <c r="CB87" i="11" s="1"/>
  <c r="CC87" i="11" s="1"/>
  <c r="CD87" i="11" s="1"/>
  <c r="CE87" i="11" s="1"/>
  <c r="CF87" i="11" s="1"/>
  <c r="CG87" i="11" s="1"/>
  <c r="CH87" i="11" s="1"/>
  <c r="CI87" i="11" s="1"/>
  <c r="CJ87" i="11" s="1"/>
  <c r="CK87" i="11" s="1"/>
  <c r="CL87" i="11" s="1"/>
  <c r="CM87" i="11" s="1"/>
  <c r="CN87" i="11" s="1"/>
  <c r="CO87" i="11" s="1"/>
  <c r="CP87" i="11" s="1"/>
  <c r="CQ87" i="11" s="1"/>
  <c r="CR87" i="11" s="1"/>
  <c r="CS87" i="11" s="1"/>
  <c r="CT87" i="11" s="1"/>
  <c r="CU87" i="11" s="1"/>
  <c r="CV87" i="11" s="1"/>
  <c r="CW87" i="11" s="1"/>
  <c r="CX87" i="11" s="1"/>
  <c r="CY87" i="11" s="1"/>
  <c r="CZ87" i="11" s="1"/>
  <c r="DA87" i="11" s="1"/>
  <c r="DB87" i="11" s="1"/>
  <c r="DC87" i="11" s="1"/>
  <c r="DD87" i="11" s="1"/>
  <c r="DE87" i="11" s="1"/>
  <c r="DF87" i="11" s="1"/>
  <c r="DG87" i="11" s="1"/>
  <c r="AW13" i="11"/>
  <c r="AW62" i="11" s="1"/>
  <c r="AW11" i="11"/>
  <c r="I116" i="11"/>
  <c r="I65" i="11"/>
  <c r="I92" i="11" s="1"/>
  <c r="I98" i="11" s="1"/>
  <c r="I160" i="11" s="1"/>
  <c r="I32" i="11"/>
  <c r="BA86" i="11"/>
  <c r="BB86" i="11" s="1"/>
  <c r="BC86" i="11" s="1"/>
  <c r="BD86" i="11" s="1"/>
  <c r="BE86" i="11" s="1"/>
  <c r="BF86" i="11" s="1"/>
  <c r="BG86" i="11" s="1"/>
  <c r="BH86" i="11" s="1"/>
  <c r="BI86" i="11" s="1"/>
  <c r="BJ86" i="11" s="1"/>
  <c r="BK86" i="11" s="1"/>
  <c r="BL86" i="11" s="1"/>
  <c r="BM86" i="11" s="1"/>
  <c r="BN86" i="11" s="1"/>
  <c r="BO86" i="11" s="1"/>
  <c r="BP86" i="11" s="1"/>
  <c r="BQ86" i="11" s="1"/>
  <c r="BR86" i="11" s="1"/>
  <c r="BS86" i="11" s="1"/>
  <c r="BT86" i="11" s="1"/>
  <c r="BU86" i="11" s="1"/>
  <c r="BV86" i="11" s="1"/>
  <c r="BW86" i="11" s="1"/>
  <c r="BX86" i="11" s="1"/>
  <c r="BY86" i="11" s="1"/>
  <c r="BZ86" i="11" s="1"/>
  <c r="CA86" i="11" s="1"/>
  <c r="CB86" i="11" s="1"/>
  <c r="CC86" i="11" s="1"/>
  <c r="CD86" i="11" s="1"/>
  <c r="CE86" i="11" s="1"/>
  <c r="CF86" i="11" s="1"/>
  <c r="CG86" i="11" s="1"/>
  <c r="CH86" i="11" s="1"/>
  <c r="CI86" i="11" s="1"/>
  <c r="CJ86" i="11" s="1"/>
  <c r="CK86" i="11" s="1"/>
  <c r="CL86" i="11" s="1"/>
  <c r="CM86" i="11" s="1"/>
  <c r="CN86" i="11" s="1"/>
  <c r="CO86" i="11" s="1"/>
  <c r="CP86" i="11" s="1"/>
  <c r="CQ86" i="11" s="1"/>
  <c r="CR86" i="11" s="1"/>
  <c r="CS86" i="11" s="1"/>
  <c r="CT86" i="11" s="1"/>
  <c r="CU86" i="11" s="1"/>
  <c r="CV86" i="11" s="1"/>
  <c r="CW86" i="11" s="1"/>
  <c r="CX86" i="11" s="1"/>
  <c r="CY86" i="11" s="1"/>
  <c r="CZ86" i="11" s="1"/>
  <c r="DA86" i="11" s="1"/>
  <c r="DB86" i="11" s="1"/>
  <c r="DC86" i="11" s="1"/>
  <c r="DD86" i="11" s="1"/>
  <c r="DE86" i="11" s="1"/>
  <c r="DF86" i="11" s="1"/>
  <c r="DG86" i="11" s="1"/>
  <c r="AW3" i="11"/>
  <c r="AX13" i="11"/>
  <c r="M20" i="4" s="1"/>
  <c r="M22" i="4" s="1"/>
  <c r="M33" i="4" s="1"/>
  <c r="AX11" i="11"/>
  <c r="P116" i="11"/>
  <c r="P65" i="11"/>
  <c r="P92" i="11" s="1"/>
  <c r="P38" i="11"/>
  <c r="P32" i="11"/>
  <c r="X116" i="11"/>
  <c r="X63" i="11"/>
  <c r="X65" i="11"/>
  <c r="X92" i="11" s="1"/>
  <c r="X62" i="11"/>
  <c r="X38" i="11"/>
  <c r="X32" i="11"/>
  <c r="AF116" i="11"/>
  <c r="AF63" i="11"/>
  <c r="AF65" i="11"/>
  <c r="AF62" i="11"/>
  <c r="AF38" i="11"/>
  <c r="AF32" i="11"/>
  <c r="AN116" i="11"/>
  <c r="AN63" i="11"/>
  <c r="AN62" i="11"/>
  <c r="AN65" i="11"/>
  <c r="AN38" i="11"/>
  <c r="AN32" i="11"/>
  <c r="AV116" i="11"/>
  <c r="AV63" i="11"/>
  <c r="AV65" i="11"/>
  <c r="AV62" i="11"/>
  <c r="AV38" i="11"/>
  <c r="AV32" i="11"/>
  <c r="AT11" i="11"/>
  <c r="J116" i="11"/>
  <c r="J65" i="11"/>
  <c r="J92" i="11" s="1"/>
  <c r="J98" i="11" s="1"/>
  <c r="J160" i="11" s="1"/>
  <c r="J163" i="11" s="1"/>
  <c r="J32" i="11"/>
  <c r="F116" i="11"/>
  <c r="F65" i="11"/>
  <c r="F92" i="11" s="1"/>
  <c r="F98" i="11" s="1"/>
  <c r="F160" i="11" s="1"/>
  <c r="F32" i="11"/>
  <c r="AL13" i="11"/>
  <c r="AH20" i="16"/>
  <c r="AV46" i="11"/>
  <c r="BH29" i="11"/>
  <c r="C22" i="5"/>
  <c r="C33" i="5" s="1"/>
  <c r="BB2" i="11"/>
  <c r="BJ2" i="11"/>
  <c r="BF3" i="11"/>
  <c r="BN3" i="11"/>
  <c r="BV3" i="11"/>
  <c r="CD3" i="11"/>
  <c r="CL3" i="11"/>
  <c r="CT3" i="11"/>
  <c r="DB3" i="11"/>
  <c r="Q116" i="11"/>
  <c r="Q65" i="11"/>
  <c r="Q92" i="11" s="1"/>
  <c r="Q98" i="11" s="1"/>
  <c r="Q160" i="11" s="1"/>
  <c r="Q163" i="11" s="1"/>
  <c r="Q170" i="11" s="1"/>
  <c r="D30" i="3" s="1"/>
  <c r="Q32" i="11"/>
  <c r="Y116" i="11"/>
  <c r="Y62" i="11"/>
  <c r="Y65" i="11"/>
  <c r="Y92" i="11" s="1"/>
  <c r="Y63" i="11"/>
  <c r="Y38" i="11"/>
  <c r="Y32" i="11"/>
  <c r="AG116" i="11"/>
  <c r="AG62" i="11"/>
  <c r="AG65" i="11"/>
  <c r="AG63" i="11"/>
  <c r="AG38" i="11"/>
  <c r="AG32" i="11"/>
  <c r="AO116" i="11"/>
  <c r="AO62" i="11"/>
  <c r="AO65" i="11"/>
  <c r="AO63" i="11"/>
  <c r="AO38" i="11"/>
  <c r="AO32" i="11"/>
  <c r="AU11" i="11"/>
  <c r="AZ12" i="11"/>
  <c r="AM13" i="11"/>
  <c r="L36" i="11"/>
  <c r="L37" i="11" s="1"/>
  <c r="T36" i="11"/>
  <c r="T37" i="11" s="1"/>
  <c r="BB46" i="11"/>
  <c r="BN29" i="11"/>
  <c r="AX46" i="11"/>
  <c r="BJ29" i="11"/>
  <c r="AY33" i="11"/>
  <c r="Q45" i="11"/>
  <c r="F20" i="2"/>
  <c r="E116" i="11"/>
  <c r="E65" i="11"/>
  <c r="E92" i="11" s="1"/>
  <c r="E98" i="11" s="1"/>
  <c r="E160" i="11" s="1"/>
  <c r="E163" i="11" s="1"/>
  <c r="E170" i="11" s="1"/>
  <c r="E173" i="11" s="1"/>
  <c r="E32" i="11"/>
  <c r="P19" i="3"/>
  <c r="P20" i="3" s="1"/>
  <c r="L20" i="7"/>
  <c r="L22" i="7" s="1"/>
  <c r="BC2" i="11"/>
  <c r="AL2" i="17"/>
  <c r="AL8" i="17" s="1"/>
  <c r="K3" i="11"/>
  <c r="BG3" i="11"/>
  <c r="BO3" i="11"/>
  <c r="BW3" i="11"/>
  <c r="CE3" i="11"/>
  <c r="CM3" i="11"/>
  <c r="CU3" i="11"/>
  <c r="DC3" i="11"/>
  <c r="R116" i="11"/>
  <c r="R65" i="11"/>
  <c r="R92" i="11" s="1"/>
  <c r="R98" i="11" s="1"/>
  <c r="R160" i="11" s="1"/>
  <c r="R32" i="11"/>
  <c r="R38" i="11"/>
  <c r="R39" i="11" s="1"/>
  <c r="Z116" i="11"/>
  <c r="Z65" i="11"/>
  <c r="Z92" i="11" s="1"/>
  <c r="Z62" i="11"/>
  <c r="Z63" i="11"/>
  <c r="Z38" i="11"/>
  <c r="Z32" i="11"/>
  <c r="AH116" i="11"/>
  <c r="AH65" i="11"/>
  <c r="AH62" i="11"/>
  <c r="AH63" i="11"/>
  <c r="AH38" i="11"/>
  <c r="AH32" i="11"/>
  <c r="AP116" i="11"/>
  <c r="AP62" i="11"/>
  <c r="AP65" i="11"/>
  <c r="AP63" i="11"/>
  <c r="AP32" i="11"/>
  <c r="K116" i="11"/>
  <c r="K65" i="11"/>
  <c r="K92" i="11" s="1"/>
  <c r="K98" i="11" s="1"/>
  <c r="K160" i="11" s="1"/>
  <c r="K32" i="11"/>
  <c r="AA116" i="11"/>
  <c r="AA63" i="11"/>
  <c r="AA38" i="11"/>
  <c r="AA65" i="11"/>
  <c r="AA92" i="11" s="1"/>
  <c r="AA32" i="11"/>
  <c r="AQ116" i="11"/>
  <c r="AQ62" i="11"/>
  <c r="AQ38" i="11"/>
  <c r="AQ65" i="11"/>
  <c r="AQ63" i="11"/>
  <c r="AQ32" i="11"/>
  <c r="M36" i="11"/>
  <c r="M37" i="11" s="1"/>
  <c r="U36" i="11"/>
  <c r="U37" i="11" s="1"/>
  <c r="AQ46" i="11"/>
  <c r="BC29" i="11"/>
  <c r="D27" i="2"/>
  <c r="D35" i="2"/>
  <c r="D36" i="2" s="1"/>
  <c r="BD2" i="11"/>
  <c r="BL2" i="11"/>
  <c r="BT2" i="11"/>
  <c r="D3" i="11"/>
  <c r="AZ3" i="11"/>
  <c r="BH3" i="11"/>
  <c r="BP3" i="11"/>
  <c r="BX3" i="11"/>
  <c r="CN3" i="11"/>
  <c r="CV3" i="11"/>
  <c r="DD3" i="11"/>
  <c r="AL11" i="11"/>
  <c r="AC13" i="11"/>
  <c r="AS13" i="11"/>
  <c r="N36" i="11"/>
  <c r="N37" i="11" s="1"/>
  <c r="AR46" i="11"/>
  <c r="BD29" i="11"/>
  <c r="BB23" i="11"/>
  <c r="G17" i="2"/>
  <c r="D28" i="2"/>
  <c r="E27" i="2"/>
  <c r="E28" i="2"/>
  <c r="E29" i="2"/>
  <c r="AF2" i="17"/>
  <c r="AF8" i="17" s="1"/>
  <c r="BM2" i="11"/>
  <c r="BU2" i="11"/>
  <c r="CC2" i="11"/>
  <c r="BA3" i="11"/>
  <c r="BI3" i="11"/>
  <c r="BQ3" i="11"/>
  <c r="BY3" i="11"/>
  <c r="CG3" i="11"/>
  <c r="CO3" i="11"/>
  <c r="CW3" i="11"/>
  <c r="DE3" i="11"/>
  <c r="L116" i="11"/>
  <c r="L65" i="11"/>
  <c r="L92" i="11" s="1"/>
  <c r="L38" i="11"/>
  <c r="L32" i="11"/>
  <c r="T116" i="11"/>
  <c r="T65" i="11"/>
  <c r="T92" i="11" s="1"/>
  <c r="T98" i="11" s="1"/>
  <c r="T160" i="11" s="1"/>
  <c r="T32" i="11"/>
  <c r="T38" i="11"/>
  <c r="AB13" i="11"/>
  <c r="AB10" i="11"/>
  <c r="AJ13" i="11"/>
  <c r="AJ10" i="11"/>
  <c r="AR13" i="11"/>
  <c r="AR10" i="11"/>
  <c r="AB11" i="11"/>
  <c r="AD13" i="11"/>
  <c r="AT13" i="11"/>
  <c r="O36" i="11"/>
  <c r="O37" i="11" s="1"/>
  <c r="BQ23" i="11"/>
  <c r="BE29" i="11"/>
  <c r="AS46" i="11"/>
  <c r="AK43" i="11"/>
  <c r="AJ43" i="11"/>
  <c r="AG43" i="11"/>
  <c r="AF11" i="11"/>
  <c r="AN11" i="11"/>
  <c r="AV11" i="11"/>
  <c r="AG11" i="11"/>
  <c r="AO11" i="11"/>
  <c r="V20" i="11"/>
  <c r="AC36" i="11" s="1"/>
  <c r="AC37" i="11" s="1"/>
  <c r="V23" i="11"/>
  <c r="AH11" i="11"/>
  <c r="AP11" i="11"/>
  <c r="AH24" i="16"/>
  <c r="AH25" i="16"/>
  <c r="AF43" i="11"/>
  <c r="AH26" i="16"/>
  <c r="AH43" i="11"/>
  <c r="AX54" i="11"/>
  <c r="BA75" i="11"/>
  <c r="AH45" i="16"/>
  <c r="AB89" i="11"/>
  <c r="AJ89" i="11"/>
  <c r="AR89" i="11"/>
  <c r="AY82" i="11"/>
  <c r="BK81" i="11"/>
  <c r="BW81" i="11" s="1"/>
  <c r="CI81" i="11" s="1"/>
  <c r="CU81" i="11" s="1"/>
  <c r="DG81" i="11" s="1"/>
  <c r="AH34" i="16"/>
  <c r="AX61" i="11"/>
  <c r="AX93" i="11" s="1"/>
  <c r="AW61" i="11"/>
  <c r="AW93" i="11" s="1"/>
  <c r="AY140" i="11"/>
  <c r="AZ140" i="11" s="1"/>
  <c r="BA140" i="11" s="1"/>
  <c r="BB140" i="11" s="1"/>
  <c r="BC140" i="11" s="1"/>
  <c r="BD140" i="11" s="1"/>
  <c r="BE140" i="11" s="1"/>
  <c r="BF140" i="11" s="1"/>
  <c r="BG140" i="11" s="1"/>
  <c r="BH140" i="11" s="1"/>
  <c r="BI140" i="11" s="1"/>
  <c r="BJ140" i="11" s="1"/>
  <c r="BK140" i="11" s="1"/>
  <c r="BL140" i="11" s="1"/>
  <c r="BM140" i="11" s="1"/>
  <c r="BN140" i="11" s="1"/>
  <c r="BO140" i="11" s="1"/>
  <c r="BP140" i="11" s="1"/>
  <c r="BQ140" i="11" s="1"/>
  <c r="BR140" i="11" s="1"/>
  <c r="BS140" i="11" s="1"/>
  <c r="BT140" i="11" s="1"/>
  <c r="BU140" i="11" s="1"/>
  <c r="BV140" i="11" s="1"/>
  <c r="BW140" i="11" s="1"/>
  <c r="BX140" i="11" s="1"/>
  <c r="BY140" i="11" s="1"/>
  <c r="BZ140" i="11" s="1"/>
  <c r="CA140" i="11" s="1"/>
  <c r="CB140" i="11" s="1"/>
  <c r="CC140" i="11" s="1"/>
  <c r="CD140" i="11" s="1"/>
  <c r="CE140" i="11" s="1"/>
  <c r="CF140" i="11" s="1"/>
  <c r="CG140" i="11" s="1"/>
  <c r="CH140" i="11" s="1"/>
  <c r="CI140" i="11" s="1"/>
  <c r="CJ140" i="11" s="1"/>
  <c r="CK140" i="11" s="1"/>
  <c r="CL140" i="11" s="1"/>
  <c r="CM140" i="11" s="1"/>
  <c r="CN140" i="11" s="1"/>
  <c r="CO140" i="11" s="1"/>
  <c r="CP140" i="11" s="1"/>
  <c r="CQ140" i="11" s="1"/>
  <c r="CR140" i="11" s="1"/>
  <c r="CS140" i="11" s="1"/>
  <c r="CT140" i="11" s="1"/>
  <c r="CU140" i="11" s="1"/>
  <c r="CV140" i="11" s="1"/>
  <c r="CW140" i="11" s="1"/>
  <c r="CX140" i="11" s="1"/>
  <c r="CY140" i="11" s="1"/>
  <c r="CZ140" i="11" s="1"/>
  <c r="DA140" i="11" s="1"/>
  <c r="DB140" i="11" s="1"/>
  <c r="DC140" i="11" s="1"/>
  <c r="DD140" i="11" s="1"/>
  <c r="DE140" i="11" s="1"/>
  <c r="DF140" i="11" s="1"/>
  <c r="DG140" i="11" s="1"/>
  <c r="AZ70" i="11"/>
  <c r="BA70" i="11" s="1"/>
  <c r="BB70" i="11" s="1"/>
  <c r="BC70" i="11" s="1"/>
  <c r="BD70" i="11" s="1"/>
  <c r="BE70" i="11" s="1"/>
  <c r="BF70" i="11" s="1"/>
  <c r="BG70" i="11" s="1"/>
  <c r="BH70" i="11" s="1"/>
  <c r="BI70" i="11" s="1"/>
  <c r="BJ70" i="11" s="1"/>
  <c r="BK70" i="11" s="1"/>
  <c r="BL70" i="11" s="1"/>
  <c r="BM70" i="11" s="1"/>
  <c r="BN70" i="11" s="1"/>
  <c r="BO70" i="11" s="1"/>
  <c r="BP70" i="11" s="1"/>
  <c r="BQ70" i="11" s="1"/>
  <c r="BR70" i="11" s="1"/>
  <c r="BS70" i="11" s="1"/>
  <c r="BT70" i="11" s="1"/>
  <c r="BU70" i="11" s="1"/>
  <c r="BV70" i="11" s="1"/>
  <c r="BW70" i="11" s="1"/>
  <c r="BX70" i="11" s="1"/>
  <c r="BY70" i="11" s="1"/>
  <c r="BZ70" i="11" s="1"/>
  <c r="CA70" i="11" s="1"/>
  <c r="CB70" i="11" s="1"/>
  <c r="CC70" i="11" s="1"/>
  <c r="CD70" i="11" s="1"/>
  <c r="CE70" i="11" s="1"/>
  <c r="CF70" i="11" s="1"/>
  <c r="CG70" i="11" s="1"/>
  <c r="CH70" i="11" s="1"/>
  <c r="CI70" i="11" s="1"/>
  <c r="CJ70" i="11" s="1"/>
  <c r="CK70" i="11" s="1"/>
  <c r="CL70" i="11" s="1"/>
  <c r="CM70" i="11" s="1"/>
  <c r="CN70" i="11" s="1"/>
  <c r="CO70" i="11" s="1"/>
  <c r="CP70" i="11" s="1"/>
  <c r="CQ70" i="11" s="1"/>
  <c r="CR70" i="11" s="1"/>
  <c r="CS70" i="11" s="1"/>
  <c r="CT70" i="11" s="1"/>
  <c r="CU70" i="11" s="1"/>
  <c r="CV70" i="11" s="1"/>
  <c r="CW70" i="11" s="1"/>
  <c r="CX70" i="11" s="1"/>
  <c r="CY70" i="11" s="1"/>
  <c r="CZ70" i="11" s="1"/>
  <c r="DA70" i="11" s="1"/>
  <c r="DB70" i="11" s="1"/>
  <c r="DC70" i="11" s="1"/>
  <c r="DD70" i="11" s="1"/>
  <c r="DE70" i="11" s="1"/>
  <c r="DF70" i="11" s="1"/>
  <c r="DG70" i="11" s="1"/>
  <c r="AH35" i="16"/>
  <c r="AG89" i="11"/>
  <c r="D52" i="5" s="1"/>
  <c r="AW89" i="11"/>
  <c r="AH43" i="16"/>
  <c r="AH46" i="16"/>
  <c r="AH47" i="16"/>
  <c r="AH89" i="11"/>
  <c r="AP89" i="11"/>
  <c r="AH42" i="16"/>
  <c r="AX89" i="11"/>
  <c r="AC89" i="11"/>
  <c r="C52" i="7" s="1"/>
  <c r="AK89" i="11"/>
  <c r="AS89" i="11"/>
  <c r="AH44" i="16"/>
  <c r="AZ95" i="11"/>
  <c r="AH48" i="16"/>
  <c r="J128" i="11"/>
  <c r="J129" i="11" s="1"/>
  <c r="AW111" i="11"/>
  <c r="AW112" i="11" s="1"/>
  <c r="BE116" i="11"/>
  <c r="R161" i="11"/>
  <c r="R128" i="11"/>
  <c r="R129" i="11" s="1"/>
  <c r="Z161" i="11"/>
  <c r="Z128" i="11"/>
  <c r="Z129" i="11" s="1"/>
  <c r="AH161" i="11"/>
  <c r="AH128" i="11"/>
  <c r="AH129" i="11" s="1"/>
  <c r="AP161" i="11"/>
  <c r="AP128" i="11"/>
  <c r="AP129" i="11" s="1"/>
  <c r="AX161" i="11"/>
  <c r="AX128" i="11"/>
  <c r="AX129" i="11" s="1"/>
  <c r="K161" i="11"/>
  <c r="S161" i="11"/>
  <c r="S128" i="11"/>
  <c r="S129" i="11" s="1"/>
  <c r="AA161" i="11"/>
  <c r="AI161" i="11"/>
  <c r="AQ161" i="11"/>
  <c r="AA128" i="11"/>
  <c r="AA129" i="11" s="1"/>
  <c r="L161" i="11"/>
  <c r="L128" i="11"/>
  <c r="L129" i="11" s="1"/>
  <c r="T161" i="11"/>
  <c r="T128" i="11"/>
  <c r="T129" i="11" s="1"/>
  <c r="T156" i="11" s="1"/>
  <c r="AB161" i="11"/>
  <c r="AB128" i="11"/>
  <c r="AB129" i="11" s="1"/>
  <c r="AJ161" i="11"/>
  <c r="AJ128" i="11"/>
  <c r="AJ129" i="11" s="1"/>
  <c r="AR161" i="11"/>
  <c r="AR128" i="11"/>
  <c r="AR129" i="11" s="1"/>
  <c r="BA123" i="11"/>
  <c r="D128" i="11"/>
  <c r="D129" i="11" s="1"/>
  <c r="AC128" i="11"/>
  <c r="AC129" i="11" s="1"/>
  <c r="E161" i="11"/>
  <c r="E128" i="11"/>
  <c r="E129" i="11" s="1"/>
  <c r="AK161" i="11"/>
  <c r="AK128" i="11"/>
  <c r="AK129" i="11" s="1"/>
  <c r="AS161" i="11"/>
  <c r="AS128" i="11"/>
  <c r="AS129" i="11" s="1"/>
  <c r="AI128" i="11"/>
  <c r="AI129" i="11" s="1"/>
  <c r="N156" i="11"/>
  <c r="F161" i="11"/>
  <c r="F128" i="11"/>
  <c r="F129" i="11" s="1"/>
  <c r="F156" i="11" s="1"/>
  <c r="N161" i="11"/>
  <c r="N128" i="11"/>
  <c r="N129" i="11" s="1"/>
  <c r="V161" i="11"/>
  <c r="V128" i="11"/>
  <c r="V129" i="11" s="1"/>
  <c r="AD161" i="11"/>
  <c r="AD128" i="11"/>
  <c r="AD129" i="11" s="1"/>
  <c r="AL161" i="11"/>
  <c r="AL128" i="11"/>
  <c r="AL129" i="11" s="1"/>
  <c r="AT161" i="11"/>
  <c r="AT128" i="11"/>
  <c r="AT129" i="11" s="1"/>
  <c r="K128" i="11"/>
  <c r="K129" i="11" s="1"/>
  <c r="AM128" i="11"/>
  <c r="AM129" i="11" s="1"/>
  <c r="G161" i="11"/>
  <c r="G128" i="11"/>
  <c r="G129" i="11" s="1"/>
  <c r="O161" i="11"/>
  <c r="O128" i="11"/>
  <c r="O129" i="11" s="1"/>
  <c r="AE161" i="11"/>
  <c r="AE128" i="11"/>
  <c r="AE129" i="11" s="1"/>
  <c r="M128" i="11"/>
  <c r="M129" i="11" s="1"/>
  <c r="AQ128" i="11"/>
  <c r="AQ129" i="11" s="1"/>
  <c r="H161" i="11"/>
  <c r="H128" i="11"/>
  <c r="H129" i="11" s="1"/>
  <c r="P161" i="11"/>
  <c r="P128" i="11"/>
  <c r="P129" i="11" s="1"/>
  <c r="X161" i="11"/>
  <c r="X128" i="11"/>
  <c r="X129" i="11" s="1"/>
  <c r="AF161" i="11"/>
  <c r="AF128" i="11"/>
  <c r="AF129" i="11" s="1"/>
  <c r="AN161" i="11"/>
  <c r="AN128" i="11"/>
  <c r="AN129" i="11" s="1"/>
  <c r="AV161" i="11"/>
  <c r="AV128" i="11"/>
  <c r="AV129" i="11" s="1"/>
  <c r="AY124" i="11"/>
  <c r="AY127" i="11" s="1"/>
  <c r="AM162" i="11"/>
  <c r="AU128" i="11"/>
  <c r="AU129" i="11" s="1"/>
  <c r="I161" i="11"/>
  <c r="I128" i="11"/>
  <c r="I129" i="11" s="1"/>
  <c r="I156" i="11" s="1"/>
  <c r="Q161" i="11"/>
  <c r="Q128" i="11"/>
  <c r="Q129" i="11" s="1"/>
  <c r="Y161" i="11"/>
  <c r="Y128" i="11"/>
  <c r="Y129" i="11" s="1"/>
  <c r="AG161" i="11"/>
  <c r="AG128" i="11"/>
  <c r="AG129" i="11" s="1"/>
  <c r="AO161" i="11"/>
  <c r="AO128" i="11"/>
  <c r="AO129" i="11" s="1"/>
  <c r="AW161" i="11"/>
  <c r="AW128" i="11"/>
  <c r="AW129" i="11" s="1"/>
  <c r="AZ118" i="11"/>
  <c r="U128" i="11"/>
  <c r="U129" i="11" s="1"/>
  <c r="AW162" i="11"/>
  <c r="Q153" i="11"/>
  <c r="Q162" i="11"/>
  <c r="Y162" i="11"/>
  <c r="AG162" i="11"/>
  <c r="AO162" i="11"/>
  <c r="O156" i="11"/>
  <c r="AQ162" i="11"/>
  <c r="AR162" i="11"/>
  <c r="S156" i="11"/>
  <c r="AS162" i="11"/>
  <c r="J156" i="11"/>
  <c r="D156" i="11"/>
  <c r="AU162" i="11"/>
  <c r="E156" i="11"/>
  <c r="AV162" i="11"/>
  <c r="W162" i="11"/>
  <c r="AT162" i="11"/>
  <c r="P162" i="11"/>
  <c r="X162" i="11"/>
  <c r="AF162" i="11"/>
  <c r="AN162" i="11"/>
  <c r="AX162" i="11"/>
  <c r="M153" i="11"/>
  <c r="M156" i="11" s="1"/>
  <c r="U153" i="11"/>
  <c r="J54" i="16"/>
  <c r="J59" i="16"/>
  <c r="R162" i="11"/>
  <c r="Z162" i="11"/>
  <c r="AH162" i="11"/>
  <c r="AP162" i="11"/>
  <c r="S162" i="11"/>
  <c r="AA162" i="11"/>
  <c r="AI162" i="11"/>
  <c r="H156" i="11"/>
  <c r="P153" i="11"/>
  <c r="P156" i="11" s="1"/>
  <c r="G156" i="11"/>
  <c r="AZ136" i="11"/>
  <c r="L162" i="11"/>
  <c r="L153" i="11"/>
  <c r="L156" i="11" s="1"/>
  <c r="T162" i="11"/>
  <c r="AB162" i="11"/>
  <c r="AJ162" i="11"/>
  <c r="AZ146" i="11"/>
  <c r="AY167" i="11"/>
  <c r="AY168" i="11" s="1"/>
  <c r="U162" i="11"/>
  <c r="AK162" i="11"/>
  <c r="R153" i="11"/>
  <c r="K153" i="11"/>
  <c r="K156" i="11" s="1"/>
  <c r="N162" i="11"/>
  <c r="V162" i="11"/>
  <c r="AD162" i="11"/>
  <c r="AL162" i="11"/>
  <c r="BA149" i="11"/>
  <c r="AZ167" i="11"/>
  <c r="O162" i="11"/>
  <c r="AE162" i="11"/>
  <c r="AU37" i="16"/>
  <c r="AV37" i="16"/>
  <c r="J170" i="11"/>
  <c r="AU18" i="16"/>
  <c r="AV18" i="16"/>
  <c r="AV29" i="16"/>
  <c r="AU29" i="16"/>
  <c r="AH58" i="16"/>
  <c r="AM168" i="11"/>
  <c r="AU39" i="16"/>
  <c r="AV39" i="16"/>
  <c r="AA168" i="11"/>
  <c r="AI168" i="11"/>
  <c r="AQ168" i="11"/>
  <c r="AU19" i="16"/>
  <c r="AV52" i="16"/>
  <c r="AU52" i="16"/>
  <c r="AU54" i="16"/>
  <c r="AV54" i="16"/>
  <c r="AV56" i="16"/>
  <c r="L1" i="17"/>
  <c r="L3" i="17" s="1"/>
  <c r="O4" i="17"/>
  <c r="AU55" i="16"/>
  <c r="AU57" i="16"/>
  <c r="M1" i="17"/>
  <c r="M3" i="17" s="1"/>
  <c r="M39" i="4" l="1"/>
  <c r="M34" i="4"/>
  <c r="U38" i="11"/>
  <c r="U39" i="11" s="1"/>
  <c r="U32" i="11"/>
  <c r="U65" i="11"/>
  <c r="U92" i="11" s="1"/>
  <c r="U98" i="11" s="1"/>
  <c r="U160" i="11" s="1"/>
  <c r="K22" i="3"/>
  <c r="K23" i="3" s="1"/>
  <c r="K23" i="8"/>
  <c r="K27" i="8" s="1"/>
  <c r="K28" i="8" s="1"/>
  <c r="C33" i="4"/>
  <c r="C39" i="4" s="1"/>
  <c r="D39" i="4"/>
  <c r="D43" i="4" s="1"/>
  <c r="D44" i="4" s="1"/>
  <c r="K33" i="4"/>
  <c r="D22" i="3"/>
  <c r="D26" i="3" s="1"/>
  <c r="D27" i="3" s="1"/>
  <c r="L33" i="7"/>
  <c r="L34" i="7" s="1"/>
  <c r="I54" i="5"/>
  <c r="I22" i="3"/>
  <c r="I23" i="3" s="1"/>
  <c r="J54" i="5"/>
  <c r="F54" i="4"/>
  <c r="J23" i="8"/>
  <c r="J24" i="8" s="1"/>
  <c r="AQ91" i="11"/>
  <c r="F36" i="4"/>
  <c r="F37" i="4" s="1"/>
  <c r="K52" i="4"/>
  <c r="P21" i="8"/>
  <c r="D24" i="8"/>
  <c r="G27" i="8"/>
  <c r="G28" i="8" s="1"/>
  <c r="M52" i="7"/>
  <c r="H52" i="4"/>
  <c r="P31" i="7"/>
  <c r="K39" i="5"/>
  <c r="K43" i="5" s="1"/>
  <c r="K44" i="5" s="1"/>
  <c r="E33" i="4"/>
  <c r="E34" i="4" s="1"/>
  <c r="F33" i="4"/>
  <c r="D33" i="5"/>
  <c r="D34" i="5" s="1"/>
  <c r="P12" i="8"/>
  <c r="P14" i="8" s="1"/>
  <c r="P16" i="8" s="1"/>
  <c r="P17" i="8" s="1"/>
  <c r="E17" i="3"/>
  <c r="BA76" i="11"/>
  <c r="BB76" i="11" s="1"/>
  <c r="BC76" i="11" s="1"/>
  <c r="BD76" i="11" s="1"/>
  <c r="BE76" i="11" s="1"/>
  <c r="BF76" i="11" s="1"/>
  <c r="BG76" i="11" s="1"/>
  <c r="BH76" i="11" s="1"/>
  <c r="BI76" i="11" s="1"/>
  <c r="BJ76" i="11" s="1"/>
  <c r="BK76" i="11" s="1"/>
  <c r="BL76" i="11" s="1"/>
  <c r="BM76" i="11" s="1"/>
  <c r="BN76" i="11" s="1"/>
  <c r="BO76" i="11" s="1"/>
  <c r="BP76" i="11" s="1"/>
  <c r="BQ76" i="11" s="1"/>
  <c r="BR76" i="11" s="1"/>
  <c r="BS76" i="11" s="1"/>
  <c r="BT76" i="11" s="1"/>
  <c r="BU76" i="11" s="1"/>
  <c r="BV76" i="11" s="1"/>
  <c r="BW76" i="11" s="1"/>
  <c r="BX76" i="11" s="1"/>
  <c r="BY76" i="11" s="1"/>
  <c r="BZ76" i="11" s="1"/>
  <c r="CA76" i="11" s="1"/>
  <c r="CB76" i="11" s="1"/>
  <c r="CC76" i="11" s="1"/>
  <c r="CD76" i="11" s="1"/>
  <c r="CE76" i="11" s="1"/>
  <c r="CF76" i="11" s="1"/>
  <c r="CG76" i="11" s="1"/>
  <c r="CH76" i="11" s="1"/>
  <c r="CI76" i="11" s="1"/>
  <c r="CJ76" i="11" s="1"/>
  <c r="CK76" i="11" s="1"/>
  <c r="CL76" i="11" s="1"/>
  <c r="CM76" i="11" s="1"/>
  <c r="CN76" i="11" s="1"/>
  <c r="CO76" i="11" s="1"/>
  <c r="CP76" i="11" s="1"/>
  <c r="CQ76" i="11" s="1"/>
  <c r="CR76" i="11" s="1"/>
  <c r="CS76" i="11" s="1"/>
  <c r="CT76" i="11" s="1"/>
  <c r="CU76" i="11" s="1"/>
  <c r="CV76" i="11" s="1"/>
  <c r="CW76" i="11" s="1"/>
  <c r="CX76" i="11" s="1"/>
  <c r="CY76" i="11" s="1"/>
  <c r="CZ76" i="11" s="1"/>
  <c r="DA76" i="11" s="1"/>
  <c r="DB76" i="11" s="1"/>
  <c r="DC76" i="11" s="1"/>
  <c r="DD76" i="11" s="1"/>
  <c r="DE76" i="11" s="1"/>
  <c r="DF76" i="11" s="1"/>
  <c r="DG76" i="11" s="1"/>
  <c r="AZ78" i="11"/>
  <c r="E30" i="2"/>
  <c r="L22" i="3"/>
  <c r="L26" i="3" s="1"/>
  <c r="L27" i="3" s="1"/>
  <c r="U45" i="11"/>
  <c r="F18" i="9"/>
  <c r="H32" i="9"/>
  <c r="I24" i="8"/>
  <c r="AY11" i="11"/>
  <c r="AZ11" i="11" s="1"/>
  <c r="BA11" i="11" s="1"/>
  <c r="BB11" i="11" s="1"/>
  <c r="BC11" i="11" s="1"/>
  <c r="BD11" i="11" s="1"/>
  <c r="BE11" i="11" s="1"/>
  <c r="BF11" i="11" s="1"/>
  <c r="BG11" i="11" s="1"/>
  <c r="BH11" i="11" s="1"/>
  <c r="BI11" i="11" s="1"/>
  <c r="BJ11" i="11" s="1"/>
  <c r="BK11" i="11" s="1"/>
  <c r="BL11" i="11" s="1"/>
  <c r="BM11" i="11" s="1"/>
  <c r="BN11" i="11" s="1"/>
  <c r="BO11" i="11" s="1"/>
  <c r="BP11" i="11" s="1"/>
  <c r="BQ11" i="11" s="1"/>
  <c r="BR11" i="11" s="1"/>
  <c r="BS11" i="11" s="1"/>
  <c r="BT11" i="11" s="1"/>
  <c r="BU11" i="11" s="1"/>
  <c r="BV11" i="11" s="1"/>
  <c r="BW11" i="11" s="1"/>
  <c r="BX11" i="11" s="1"/>
  <c r="BY11" i="11" s="1"/>
  <c r="BZ11" i="11" s="1"/>
  <c r="CA11" i="11" s="1"/>
  <c r="CB11" i="11" s="1"/>
  <c r="CC11" i="11" s="1"/>
  <c r="CD11" i="11" s="1"/>
  <c r="CE11" i="11" s="1"/>
  <c r="CF11" i="11" s="1"/>
  <c r="CG11" i="11" s="1"/>
  <c r="CH11" i="11" s="1"/>
  <c r="CI11" i="11" s="1"/>
  <c r="CJ11" i="11" s="1"/>
  <c r="CK11" i="11" s="1"/>
  <c r="CL11" i="11" s="1"/>
  <c r="CM11" i="11" s="1"/>
  <c r="CN11" i="11" s="1"/>
  <c r="CO11" i="11" s="1"/>
  <c r="CP11" i="11" s="1"/>
  <c r="CQ11" i="11" s="1"/>
  <c r="CR11" i="11" s="1"/>
  <c r="CS11" i="11" s="1"/>
  <c r="CT11" i="11" s="1"/>
  <c r="CU11" i="11" s="1"/>
  <c r="CV11" i="11" s="1"/>
  <c r="CW11" i="11" s="1"/>
  <c r="CX11" i="11" s="1"/>
  <c r="CY11" i="11" s="1"/>
  <c r="CZ11" i="11" s="1"/>
  <c r="DA11" i="11" s="1"/>
  <c r="DB11" i="11" s="1"/>
  <c r="DC11" i="11" s="1"/>
  <c r="DD11" i="11" s="1"/>
  <c r="DE11" i="11" s="1"/>
  <c r="DF11" i="11" s="1"/>
  <c r="DG11" i="11" s="1"/>
  <c r="F33" i="5"/>
  <c r="F39" i="5" s="1"/>
  <c r="E33" i="5"/>
  <c r="E34" i="5" s="1"/>
  <c r="P31" i="4"/>
  <c r="R45" i="11"/>
  <c r="C27" i="8"/>
  <c r="C28" i="8" s="1"/>
  <c r="C24" i="8"/>
  <c r="C34" i="4"/>
  <c r="E174" i="11"/>
  <c r="F172" i="11"/>
  <c r="D30" i="8"/>
  <c r="D31" i="8" s="1"/>
  <c r="AU46" i="16"/>
  <c r="AV46" i="16"/>
  <c r="AJ91" i="11"/>
  <c r="K36" i="7"/>
  <c r="K37" i="7" s="1"/>
  <c r="I52" i="5"/>
  <c r="K50" i="7"/>
  <c r="K54" i="7" s="1"/>
  <c r="AV2" i="17"/>
  <c r="AV8" i="17" s="1"/>
  <c r="CG2" i="11"/>
  <c r="H17" i="2"/>
  <c r="AZ33" i="11"/>
  <c r="G52" i="5"/>
  <c r="N98" i="11"/>
  <c r="N160" i="11" s="1"/>
  <c r="N163" i="11" s="1"/>
  <c r="N170" i="11" s="1"/>
  <c r="N40" i="11"/>
  <c r="AY141" i="11"/>
  <c r="AY143" i="11" s="1"/>
  <c r="AY162" i="11" s="1"/>
  <c r="AU42" i="16"/>
  <c r="AV42" i="16"/>
  <c r="AW43" i="11"/>
  <c r="AX43" i="11"/>
  <c r="AB91" i="11"/>
  <c r="C36" i="7"/>
  <c r="C50" i="7"/>
  <c r="C54" i="7" s="1"/>
  <c r="BR23" i="11"/>
  <c r="T163" i="11"/>
  <c r="T170" i="11" s="1"/>
  <c r="G30" i="3" s="1"/>
  <c r="AN2" i="17"/>
  <c r="AN8" i="17" s="1"/>
  <c r="BY2" i="11"/>
  <c r="BC23" i="11"/>
  <c r="E52" i="5"/>
  <c r="AA98" i="11"/>
  <c r="AA40" i="11"/>
  <c r="F52" i="7"/>
  <c r="BJ46" i="11"/>
  <c r="BV29" i="11"/>
  <c r="AM116" i="11"/>
  <c r="AM65" i="11"/>
  <c r="AM63" i="11"/>
  <c r="AM38" i="11"/>
  <c r="AM62" i="11"/>
  <c r="N20" i="7"/>
  <c r="N22" i="7" s="1"/>
  <c r="N33" i="7" s="1"/>
  <c r="AM32" i="11"/>
  <c r="AK2" i="17"/>
  <c r="AK8" i="17" s="1"/>
  <c r="BV2" i="11"/>
  <c r="E52" i="7"/>
  <c r="F163" i="11"/>
  <c r="F170" i="11" s="1"/>
  <c r="P98" i="11"/>
  <c r="P160" i="11" s="1"/>
  <c r="P163" i="11" s="1"/>
  <c r="P170" i="11" s="1"/>
  <c r="C30" i="3" s="1"/>
  <c r="P40" i="11"/>
  <c r="C26" i="9"/>
  <c r="D52" i="4"/>
  <c r="C52" i="4"/>
  <c r="CA23" i="11"/>
  <c r="S163" i="11"/>
  <c r="S170" i="11" s="1"/>
  <c r="F30" i="3" s="1"/>
  <c r="Y36" i="11"/>
  <c r="Y37" i="11" s="1"/>
  <c r="I52" i="4"/>
  <c r="AK41" i="11"/>
  <c r="L24" i="7" s="1"/>
  <c r="AK39" i="11"/>
  <c r="K52" i="7"/>
  <c r="G163" i="11"/>
  <c r="G170" i="11" s="1"/>
  <c r="M39" i="11"/>
  <c r="D40" i="4"/>
  <c r="N24" i="8"/>
  <c r="N27" i="8"/>
  <c r="N28" i="8" s="1"/>
  <c r="K26" i="3"/>
  <c r="K27" i="3" s="1"/>
  <c r="BE46" i="11"/>
  <c r="BQ29" i="11"/>
  <c r="P39" i="11"/>
  <c r="AZ46" i="11"/>
  <c r="BL29" i="11"/>
  <c r="AZ96" i="11"/>
  <c r="AZ97" i="11" s="1"/>
  <c r="BA95" i="11"/>
  <c r="AV43" i="16"/>
  <c r="AU43" i="16"/>
  <c r="AU26" i="16"/>
  <c r="AV26" i="16"/>
  <c r="AR116" i="11"/>
  <c r="AR65" i="11"/>
  <c r="AR62" i="11"/>
  <c r="AR63" i="11"/>
  <c r="AR32" i="11"/>
  <c r="AR38" i="11"/>
  <c r="G20" i="5"/>
  <c r="G20" i="4"/>
  <c r="E35" i="2"/>
  <c r="E36" i="2" s="1"/>
  <c r="G52" i="4"/>
  <c r="AA39" i="11"/>
  <c r="AA41" i="11"/>
  <c r="AH66" i="11"/>
  <c r="AH40" i="11"/>
  <c r="AH45" i="11" s="1"/>
  <c r="AH31" i="16"/>
  <c r="BA12" i="11"/>
  <c r="Y41" i="11"/>
  <c r="Y39" i="11"/>
  <c r="AC2" i="17"/>
  <c r="AC8" i="17" s="1"/>
  <c r="BN2" i="11"/>
  <c r="K52" i="5"/>
  <c r="AB36" i="11"/>
  <c r="AB37" i="11" s="1"/>
  <c r="AV92" i="11"/>
  <c r="AV98" i="11" s="1"/>
  <c r="AV66" i="11"/>
  <c r="AV40" i="11"/>
  <c r="X41" i="11"/>
  <c r="X39" i="11"/>
  <c r="C20" i="9"/>
  <c r="AI39" i="11"/>
  <c r="AI41" i="11"/>
  <c r="J24" i="7" s="1"/>
  <c r="J52" i="4"/>
  <c r="F32" i="9"/>
  <c r="M98" i="11"/>
  <c r="M160" i="11" s="1"/>
  <c r="M163" i="11" s="1"/>
  <c r="M170" i="11" s="1"/>
  <c r="M40" i="11"/>
  <c r="N43" i="4"/>
  <c r="N44" i="4" s="1"/>
  <c r="N40" i="4"/>
  <c r="BJ2" i="17"/>
  <c r="BJ8" i="17" s="1"/>
  <c r="CU2" i="11"/>
  <c r="L27" i="8"/>
  <c r="L28" i="8" s="1"/>
  <c r="L24" i="8"/>
  <c r="AX91" i="11"/>
  <c r="M36" i="5"/>
  <c r="M37" i="5" s="1"/>
  <c r="M50" i="5"/>
  <c r="M54" i="5" s="1"/>
  <c r="BD46" i="11"/>
  <c r="BP29" i="11"/>
  <c r="AU58" i="16"/>
  <c r="AV58" i="16"/>
  <c r="Q156" i="11"/>
  <c r="AP91" i="11"/>
  <c r="E36" i="5"/>
  <c r="E50" i="5"/>
  <c r="E54" i="5" s="1"/>
  <c r="E50" i="4"/>
  <c r="E54" i="4" s="1"/>
  <c r="E36" i="4"/>
  <c r="AW91" i="11"/>
  <c r="L36" i="5"/>
  <c r="L37" i="5" s="1"/>
  <c r="L50" i="5"/>
  <c r="L50" i="4"/>
  <c r="L36" i="4"/>
  <c r="L37" i="4" s="1"/>
  <c r="W36" i="11"/>
  <c r="W37" i="11" s="1"/>
  <c r="AA36" i="11"/>
  <c r="AA37" i="11" s="1"/>
  <c r="AS116" i="11"/>
  <c r="AS62" i="11"/>
  <c r="AS63" i="11"/>
  <c r="AS65" i="11"/>
  <c r="AS32" i="11"/>
  <c r="AS38" i="11"/>
  <c r="H20" i="5"/>
  <c r="H22" i="5" s="1"/>
  <c r="H33" i="5" s="1"/>
  <c r="H20" i="4"/>
  <c r="H22" i="4" s="1"/>
  <c r="H33" i="4" s="1"/>
  <c r="F26" i="9"/>
  <c r="AP92" i="11"/>
  <c r="AP98" i="11" s="1"/>
  <c r="AP66" i="11"/>
  <c r="AP40" i="11"/>
  <c r="BN46" i="11"/>
  <c r="BZ29" i="11"/>
  <c r="D26" i="9"/>
  <c r="C52" i="5"/>
  <c r="C19" i="9"/>
  <c r="I163" i="11"/>
  <c r="I170" i="11" s="1"/>
  <c r="BA80" i="11"/>
  <c r="AH2" i="17"/>
  <c r="AH8" i="17" s="1"/>
  <c r="BS2" i="11"/>
  <c r="AU116" i="11"/>
  <c r="AU65" i="11"/>
  <c r="AU38" i="11"/>
  <c r="AU63" i="11"/>
  <c r="AU62" i="11"/>
  <c r="AU32" i="11"/>
  <c r="J20" i="4"/>
  <c r="J22" i="4" s="1"/>
  <c r="J33" i="4" s="1"/>
  <c r="J20" i="5"/>
  <c r="J22" i="5" s="1"/>
  <c r="J33" i="5" s="1"/>
  <c r="E24" i="4"/>
  <c r="E24" i="5"/>
  <c r="V151" i="11"/>
  <c r="V152" i="11" s="1"/>
  <c r="V153" i="11" s="1"/>
  <c r="V156" i="11" s="1"/>
  <c r="V160" i="11"/>
  <c r="V163" i="11" s="1"/>
  <c r="V170" i="11" s="1"/>
  <c r="I30" i="3" s="1"/>
  <c r="P12" i="3"/>
  <c r="P14" i="3" s="1"/>
  <c r="P16" i="3" s="1"/>
  <c r="G34" i="7"/>
  <c r="G39" i="7"/>
  <c r="BA167" i="11"/>
  <c r="BB149" i="11"/>
  <c r="J52" i="5"/>
  <c r="S39" i="11"/>
  <c r="S45" i="11"/>
  <c r="AZ166" i="11"/>
  <c r="AZ168" i="11" s="1"/>
  <c r="BA146" i="11"/>
  <c r="AU44" i="16"/>
  <c r="AV44" i="16"/>
  <c r="AH91" i="11"/>
  <c r="AH92" i="11" s="1"/>
  <c r="AH98" i="11" s="1"/>
  <c r="I36" i="7"/>
  <c r="I37" i="7" s="1"/>
  <c r="I39" i="7" s="1"/>
  <c r="I50" i="7"/>
  <c r="I54" i="7" s="1"/>
  <c r="AG91" i="11"/>
  <c r="H50" i="7"/>
  <c r="H54" i="7" s="1"/>
  <c r="H36" i="7"/>
  <c r="H37" i="7" s="1"/>
  <c r="H39" i="7" s="1"/>
  <c r="AU34" i="16"/>
  <c r="AV34" i="16"/>
  <c r="AU45" i="16"/>
  <c r="AV45" i="16"/>
  <c r="AU24" i="16"/>
  <c r="AV24" i="16"/>
  <c r="AJ116" i="11"/>
  <c r="AJ65" i="11"/>
  <c r="AJ62" i="11"/>
  <c r="AJ63" i="11"/>
  <c r="AJ32" i="11"/>
  <c r="AJ38" i="11"/>
  <c r="K20" i="7"/>
  <c r="K22" i="7" s="1"/>
  <c r="K33" i="7" s="1"/>
  <c r="L39" i="11"/>
  <c r="AC116" i="11"/>
  <c r="AC63" i="11"/>
  <c r="AC65" i="11"/>
  <c r="AC62" i="11"/>
  <c r="AC32" i="11"/>
  <c r="D20" i="7"/>
  <c r="D22" i="7" s="1"/>
  <c r="D33" i="7" s="1"/>
  <c r="AC38" i="11"/>
  <c r="F20" i="9"/>
  <c r="D30" i="2"/>
  <c r="D32" i="2" s="1"/>
  <c r="AQ66" i="11"/>
  <c r="AQ92" i="11"/>
  <c r="AQ98" i="11" s="1"/>
  <c r="AQ40" i="11"/>
  <c r="R163" i="11"/>
  <c r="R170" i="11" s="1"/>
  <c r="E30" i="3" s="1"/>
  <c r="F52" i="4"/>
  <c r="AG41" i="11"/>
  <c r="H24" i="7" s="1"/>
  <c r="AG39" i="11"/>
  <c r="Y98" i="11"/>
  <c r="Y40" i="11"/>
  <c r="Y45" i="11" s="1"/>
  <c r="D20" i="9"/>
  <c r="C39" i="5"/>
  <c r="C34" i="5"/>
  <c r="V18" i="11"/>
  <c r="AF41" i="11"/>
  <c r="G24" i="7" s="1"/>
  <c r="AF39" i="11"/>
  <c r="X98" i="11"/>
  <c r="X40" i="11"/>
  <c r="X45" i="11" s="1"/>
  <c r="AH16" i="16"/>
  <c r="AU16" i="16" s="1"/>
  <c r="AX116" i="11"/>
  <c r="AX65" i="11"/>
  <c r="AX62" i="11"/>
  <c r="AX63" i="11"/>
  <c r="AX38" i="11"/>
  <c r="AX32" i="11"/>
  <c r="M20" i="5"/>
  <c r="M22" i="5" s="1"/>
  <c r="M33" i="5" s="1"/>
  <c r="C18" i="9"/>
  <c r="BU29" i="11"/>
  <c r="BI46" i="11"/>
  <c r="H163" i="11"/>
  <c r="H170" i="11" s="1"/>
  <c r="X36" i="11"/>
  <c r="X37" i="11" s="1"/>
  <c r="AE116" i="11"/>
  <c r="AE65" i="11"/>
  <c r="AE38" i="11"/>
  <c r="AE62" i="11"/>
  <c r="AE63" i="11"/>
  <c r="F20" i="7"/>
  <c r="F22" i="7" s="1"/>
  <c r="F33" i="7" s="1"/>
  <c r="AE32" i="11"/>
  <c r="E27" i="8"/>
  <c r="E28" i="8" s="1"/>
  <c r="E24" i="8"/>
  <c r="J22" i="3"/>
  <c r="J17" i="3"/>
  <c r="AK66" i="11"/>
  <c r="AK40" i="11"/>
  <c r="AK45" i="11" s="1"/>
  <c r="H26" i="3"/>
  <c r="H27" i="3" s="1"/>
  <c r="H23" i="3"/>
  <c r="K34" i="4"/>
  <c r="K39" i="4"/>
  <c r="V39" i="11"/>
  <c r="F52" i="5"/>
  <c r="AE2" i="17"/>
  <c r="AE8" i="17" s="1"/>
  <c r="BP2" i="11"/>
  <c r="U163" i="11"/>
  <c r="U170" i="11" s="1"/>
  <c r="H30" i="3" s="1"/>
  <c r="Z98" i="11"/>
  <c r="Z40" i="11"/>
  <c r="AO66" i="11"/>
  <c r="AO40" i="11"/>
  <c r="AO92" i="11"/>
  <c r="AO98" i="11" s="1"/>
  <c r="BF116" i="11"/>
  <c r="AS91" i="11"/>
  <c r="H50" i="5"/>
  <c r="H54" i="5" s="1"/>
  <c r="H50" i="4"/>
  <c r="H54" i="4" s="1"/>
  <c r="H36" i="4"/>
  <c r="H37" i="4" s="1"/>
  <c r="H36" i="5"/>
  <c r="H37" i="5" s="1"/>
  <c r="BB75" i="11"/>
  <c r="BA78" i="11"/>
  <c r="L98" i="11"/>
  <c r="L160" i="11" s="1"/>
  <c r="L163" i="11" s="1"/>
  <c r="L170" i="11" s="1"/>
  <c r="L40" i="11"/>
  <c r="L45" i="11" s="1"/>
  <c r="F16" i="9"/>
  <c r="F14" i="9"/>
  <c r="F12" i="9"/>
  <c r="D16" i="9"/>
  <c r="D14" i="9"/>
  <c r="C16" i="9"/>
  <c r="C14" i="9"/>
  <c r="C12" i="9"/>
  <c r="F19" i="9"/>
  <c r="BC46" i="11"/>
  <c r="BO29" i="11"/>
  <c r="AQ39" i="11"/>
  <c r="AQ41" i="11"/>
  <c r="Z41" i="11"/>
  <c r="D19" i="9"/>
  <c r="E52" i="4"/>
  <c r="AU20" i="16"/>
  <c r="AV20" i="16"/>
  <c r="H24" i="8"/>
  <c r="H27" i="8"/>
  <c r="H28" i="8" s="1"/>
  <c r="AU23" i="16"/>
  <c r="AV23" i="16"/>
  <c r="AI92" i="11"/>
  <c r="AI98" i="11" s="1"/>
  <c r="AI66" i="11"/>
  <c r="AI40" i="11"/>
  <c r="F24" i="8"/>
  <c r="F27" i="8"/>
  <c r="F28" i="8" s="1"/>
  <c r="O116" i="11"/>
  <c r="O65" i="11"/>
  <c r="O92" i="11" s="1"/>
  <c r="O38" i="11"/>
  <c r="O32" i="11"/>
  <c r="N26" i="3"/>
  <c r="N27" i="3" s="1"/>
  <c r="N23" i="3"/>
  <c r="M26" i="3"/>
  <c r="M27" i="3" s="1"/>
  <c r="M23" i="3"/>
  <c r="M27" i="8"/>
  <c r="M28" i="8" s="1"/>
  <c r="M24" i="8"/>
  <c r="F26" i="3"/>
  <c r="F27" i="3" s="1"/>
  <c r="F23" i="3"/>
  <c r="AU48" i="16"/>
  <c r="AV48" i="16"/>
  <c r="H52" i="5"/>
  <c r="AZ141" i="11"/>
  <c r="AZ143" i="11" s="1"/>
  <c r="BA136" i="11"/>
  <c r="AK91" i="11"/>
  <c r="AK92" i="11" s="1"/>
  <c r="AK98" i="11" s="1"/>
  <c r="L50" i="7"/>
  <c r="L54" i="7" s="1"/>
  <c r="L36" i="7"/>
  <c r="L37" i="7" s="1"/>
  <c r="AU35" i="16"/>
  <c r="AV35" i="16"/>
  <c r="AT116" i="11"/>
  <c r="AT62" i="11"/>
  <c r="AT38" i="11"/>
  <c r="AT63" i="11"/>
  <c r="AT65" i="11"/>
  <c r="AT32" i="11"/>
  <c r="I20" i="4"/>
  <c r="I22" i="4" s="1"/>
  <c r="I33" i="4" s="1"/>
  <c r="I20" i="5"/>
  <c r="I22" i="5" s="1"/>
  <c r="I33" i="5" s="1"/>
  <c r="AB116" i="11"/>
  <c r="AB65" i="11"/>
  <c r="AB62" i="11"/>
  <c r="AB63" i="11"/>
  <c r="AB38" i="11"/>
  <c r="AB32" i="11"/>
  <c r="C20" i="7"/>
  <c r="AU2" i="17"/>
  <c r="AU8" i="17" s="1"/>
  <c r="CF2" i="11"/>
  <c r="AO45" i="11"/>
  <c r="AO39" i="11"/>
  <c r="AO41" i="11"/>
  <c r="AG92" i="11"/>
  <c r="AG98" i="11" s="1"/>
  <c r="AG40" i="11"/>
  <c r="AG66" i="11"/>
  <c r="D18" i="9"/>
  <c r="BH46" i="11"/>
  <c r="BT29" i="11"/>
  <c r="AN41" i="11"/>
  <c r="AN39" i="11"/>
  <c r="AN45" i="11"/>
  <c r="AF92" i="11"/>
  <c r="AF98" i="11" s="1"/>
  <c r="AF66" i="11"/>
  <c r="AF40" i="11"/>
  <c r="AF45" i="11" s="1"/>
  <c r="L52" i="7"/>
  <c r="AW116" i="11"/>
  <c r="AW65" i="11"/>
  <c r="AW63" i="11"/>
  <c r="AW38" i="11"/>
  <c r="AW32" i="11"/>
  <c r="L20" i="4"/>
  <c r="L22" i="4" s="1"/>
  <c r="L33" i="4" s="1"/>
  <c r="L20" i="5"/>
  <c r="L22" i="5" s="1"/>
  <c r="L33" i="5" s="1"/>
  <c r="BG46" i="11"/>
  <c r="BS29" i="11"/>
  <c r="Z36" i="11"/>
  <c r="Z37" i="11" s="1"/>
  <c r="Z39" i="11" s="1"/>
  <c r="AY78" i="11"/>
  <c r="BA46" i="11"/>
  <c r="BM29" i="11"/>
  <c r="I52" i="7"/>
  <c r="D32" i="9"/>
  <c r="G26" i="3"/>
  <c r="G27" i="3" s="1"/>
  <c r="G23" i="3"/>
  <c r="W39" i="11"/>
  <c r="W41" i="11"/>
  <c r="M52" i="5"/>
  <c r="AD2" i="17"/>
  <c r="AD8" i="17" s="1"/>
  <c r="BO2" i="11"/>
  <c r="AV41" i="11"/>
  <c r="AV45" i="11"/>
  <c r="AV39" i="11"/>
  <c r="R156" i="11"/>
  <c r="BB123" i="11"/>
  <c r="L46" i="4"/>
  <c r="L46" i="5"/>
  <c r="AV47" i="16"/>
  <c r="AU47" i="16"/>
  <c r="O1" i="17"/>
  <c r="O3" i="17" s="1"/>
  <c r="P4" i="17"/>
  <c r="U156" i="11"/>
  <c r="AZ124" i="11"/>
  <c r="AZ127" i="11" s="1"/>
  <c r="BA118" i="11"/>
  <c r="AC91" i="11"/>
  <c r="D50" i="7"/>
  <c r="D54" i="7" s="1"/>
  <c r="D36" i="7"/>
  <c r="D37" i="7" s="1"/>
  <c r="AR91" i="11"/>
  <c r="G50" i="5"/>
  <c r="G54" i="5" s="1"/>
  <c r="G50" i="4"/>
  <c r="G54" i="4" s="1"/>
  <c r="G36" i="4"/>
  <c r="G37" i="4" s="1"/>
  <c r="G36" i="5"/>
  <c r="G37" i="5" s="1"/>
  <c r="AV25" i="16"/>
  <c r="AU25" i="16"/>
  <c r="AD116" i="11"/>
  <c r="AD63" i="11"/>
  <c r="AD38" i="11"/>
  <c r="AD65" i="11"/>
  <c r="AD62" i="11"/>
  <c r="AD32" i="11"/>
  <c r="E20" i="7"/>
  <c r="E22" i="7" s="1"/>
  <c r="E33" i="7" s="1"/>
  <c r="T45" i="11"/>
  <c r="T39" i="11"/>
  <c r="BD2" i="17"/>
  <c r="BD8" i="17" s="1"/>
  <c r="CO2" i="11"/>
  <c r="H52" i="7"/>
  <c r="AM2" i="17"/>
  <c r="AM8" i="17" s="1"/>
  <c r="BX2" i="11"/>
  <c r="G52" i="7"/>
  <c r="K163" i="11"/>
  <c r="K170" i="11" s="1"/>
  <c r="AH39" i="11"/>
  <c r="AH41" i="11"/>
  <c r="I24" i="7" s="1"/>
  <c r="D12" i="9"/>
  <c r="AL116" i="11"/>
  <c r="AL65" i="11"/>
  <c r="AL63" i="11"/>
  <c r="AL38" i="11"/>
  <c r="AL62" i="11"/>
  <c r="AL32" i="11"/>
  <c r="M20" i="7"/>
  <c r="M22" i="7" s="1"/>
  <c r="M33" i="7" s="1"/>
  <c r="AN92" i="11"/>
  <c r="AN98" i="11" s="1"/>
  <c r="AN66" i="11"/>
  <c r="AN40" i="11"/>
  <c r="D52" i="7"/>
  <c r="AY46" i="11"/>
  <c r="BK29" i="11"/>
  <c r="J52" i="7"/>
  <c r="E21" i="2"/>
  <c r="BR29" i="11"/>
  <c r="BF46" i="11"/>
  <c r="AG2" i="17"/>
  <c r="AG8" i="17" s="1"/>
  <c r="BR2" i="11"/>
  <c r="C32" i="9"/>
  <c r="K24" i="8"/>
  <c r="E23" i="3"/>
  <c r="E26" i="3"/>
  <c r="E27" i="3" s="1"/>
  <c r="W98" i="11"/>
  <c r="W40" i="11"/>
  <c r="N39" i="11"/>
  <c r="C26" i="3"/>
  <c r="C27" i="3" s="1"/>
  <c r="C23" i="3"/>
  <c r="J34" i="7"/>
  <c r="J39" i="7"/>
  <c r="M40" i="4" l="1"/>
  <c r="M43" i="4"/>
  <c r="M44" i="4" s="1"/>
  <c r="E32" i="2"/>
  <c r="E38" i="2" s="1"/>
  <c r="D23" i="3"/>
  <c r="I26" i="3"/>
  <c r="I27" i="3" s="1"/>
  <c r="L39" i="7"/>
  <c r="L43" i="7" s="1"/>
  <c r="L44" i="7" s="1"/>
  <c r="E20" i="9"/>
  <c r="D39" i="5"/>
  <c r="D43" i="5" s="1"/>
  <c r="D44" i="5" s="1"/>
  <c r="J27" i="8"/>
  <c r="J28" i="8" s="1"/>
  <c r="K40" i="5"/>
  <c r="L23" i="3"/>
  <c r="F34" i="4"/>
  <c r="F39" i="4"/>
  <c r="E19" i="9"/>
  <c r="F34" i="5"/>
  <c r="P23" i="8"/>
  <c r="E32" i="9"/>
  <c r="E16" i="9"/>
  <c r="G18" i="9"/>
  <c r="G20" i="9"/>
  <c r="G14" i="9"/>
  <c r="L40" i="7"/>
  <c r="AK160" i="11"/>
  <c r="AK163" i="11" s="1"/>
  <c r="AK170" i="11" s="1"/>
  <c r="L49" i="7" s="1"/>
  <c r="AH160" i="11"/>
  <c r="AH163" i="11" s="1"/>
  <c r="AH170" i="11" s="1"/>
  <c r="I49" i="7" s="1"/>
  <c r="I34" i="5"/>
  <c r="I39" i="5"/>
  <c r="BB167" i="11"/>
  <c r="BC149" i="11"/>
  <c r="AS41" i="11"/>
  <c r="AS39" i="11"/>
  <c r="AV31" i="16"/>
  <c r="AU31" i="16"/>
  <c r="I39" i="4"/>
  <c r="I34" i="4"/>
  <c r="AI160" i="11"/>
  <c r="AI163" i="11" s="1"/>
  <c r="AI170" i="11" s="1"/>
  <c r="J49" i="7" s="1"/>
  <c r="G26" i="9"/>
  <c r="F27" i="9"/>
  <c r="W42" i="11"/>
  <c r="W44" i="11" s="1"/>
  <c r="AS2" i="17"/>
  <c r="AS8" i="17" s="1"/>
  <c r="CD2" i="11"/>
  <c r="W160" i="11"/>
  <c r="W163" i="11" s="1"/>
  <c r="W170" i="11" s="1"/>
  <c r="J30" i="3" s="1"/>
  <c r="W151" i="11"/>
  <c r="W152" i="11" s="1"/>
  <c r="W153" i="11" s="1"/>
  <c r="W156" i="11" s="1"/>
  <c r="AY2" i="17"/>
  <c r="AY8" i="17" s="1"/>
  <c r="CJ2" i="11"/>
  <c r="BP2" i="17"/>
  <c r="BP8" i="17" s="1"/>
  <c r="DA2" i="11"/>
  <c r="AD92" i="11"/>
  <c r="AD98" i="11" s="1"/>
  <c r="AD66" i="11"/>
  <c r="AD40" i="11"/>
  <c r="BW29" i="11"/>
  <c r="BK46" i="11"/>
  <c r="AD39" i="11"/>
  <c r="AD41" i="11"/>
  <c r="E24" i="7" s="1"/>
  <c r="Q4" i="17"/>
  <c r="P1" i="17"/>
  <c r="P3" i="17" s="1"/>
  <c r="L34" i="4"/>
  <c r="L39" i="4"/>
  <c r="AI45" i="11"/>
  <c r="Z42" i="11"/>
  <c r="Z44" i="11" s="1"/>
  <c r="Z45" i="11"/>
  <c r="V42" i="11"/>
  <c r="AE39" i="11"/>
  <c r="AE41" i="11"/>
  <c r="F24" i="7" s="1"/>
  <c r="Y160" i="11"/>
  <c r="Y163" i="11" s="1"/>
  <c r="Y170" i="11" s="1"/>
  <c r="L30" i="3" s="1"/>
  <c r="J34" i="4"/>
  <c r="J39" i="4"/>
  <c r="BA82" i="11"/>
  <c r="BB80" i="11"/>
  <c r="H34" i="5"/>
  <c r="H39" i="5"/>
  <c r="E37" i="5"/>
  <c r="E39" i="5" s="1"/>
  <c r="AR41" i="11"/>
  <c r="AR39" i="11"/>
  <c r="P45" i="11"/>
  <c r="AA42" i="11"/>
  <c r="AA44" i="11" s="1"/>
  <c r="AA45" i="11"/>
  <c r="BD23" i="11"/>
  <c r="N42" i="11"/>
  <c r="N44" i="11" s="1"/>
  <c r="N45" i="11"/>
  <c r="F40" i="5"/>
  <c r="F43" i="5"/>
  <c r="F44" i="5" s="1"/>
  <c r="AF160" i="11"/>
  <c r="AF163" i="11" s="1"/>
  <c r="AF170" i="11" s="1"/>
  <c r="G49" i="7" s="1"/>
  <c r="AA160" i="11"/>
  <c r="AA163" i="11" s="1"/>
  <c r="AA170" i="11" s="1"/>
  <c r="N30" i="3" s="1"/>
  <c r="E33" i="2"/>
  <c r="AG160" i="11"/>
  <c r="AG163" i="11" s="1"/>
  <c r="AG170" i="11" s="1"/>
  <c r="H49" i="7" s="1"/>
  <c r="G19" i="9"/>
  <c r="H43" i="7"/>
  <c r="H44" i="7" s="1"/>
  <c r="H40" i="7"/>
  <c r="BA96" i="11"/>
  <c r="BA97" i="11" s="1"/>
  <c r="BB95" i="11"/>
  <c r="BS23" i="11"/>
  <c r="C40" i="4"/>
  <c r="C43" i="4"/>
  <c r="C44" i="4" s="1"/>
  <c r="K32" i="9"/>
  <c r="AL92" i="11"/>
  <c r="AL98" i="11" s="1"/>
  <c r="AL66" i="11"/>
  <c r="AL40" i="11"/>
  <c r="D23" i="2"/>
  <c r="D24" i="5"/>
  <c r="D24" i="4"/>
  <c r="C13" i="9"/>
  <c r="BC75" i="11"/>
  <c r="BB78" i="11"/>
  <c r="BG116" i="11"/>
  <c r="AQ2" i="17"/>
  <c r="AQ8" i="17" s="1"/>
  <c r="CB2" i="11"/>
  <c r="BU46" i="11"/>
  <c r="CG29" i="11"/>
  <c r="G40" i="7"/>
  <c r="G43" i="7"/>
  <c r="G44" i="7" s="1"/>
  <c r="AS92" i="11"/>
  <c r="AS98" i="11" s="1"/>
  <c r="AS66" i="11"/>
  <c r="AS40" i="11"/>
  <c r="AS45" i="11" s="1"/>
  <c r="AW2" i="17"/>
  <c r="AW8" i="17" s="1"/>
  <c r="CH2" i="11"/>
  <c r="AM92" i="11"/>
  <c r="AM98" i="11" s="1"/>
  <c r="AM66" i="11"/>
  <c r="AM40" i="11"/>
  <c r="AQ42" i="11" s="1"/>
  <c r="AQ44" i="11" s="1"/>
  <c r="BH2" i="17"/>
  <c r="BH8" i="17" s="1"/>
  <c r="CS2" i="11"/>
  <c r="AL41" i="11"/>
  <c r="M24" i="7" s="1"/>
  <c r="AL39" i="11"/>
  <c r="AL45" i="11"/>
  <c r="CB23" i="11"/>
  <c r="AM39" i="11"/>
  <c r="AM41" i="11"/>
  <c r="N24" i="7" s="1"/>
  <c r="C22" i="7"/>
  <c r="C33" i="7" s="1"/>
  <c r="P20" i="7"/>
  <c r="P22" i="7" s="1"/>
  <c r="AX92" i="11"/>
  <c r="AX98" i="11" s="1"/>
  <c r="AX66" i="11"/>
  <c r="AX40" i="11"/>
  <c r="AX45" i="11" s="1"/>
  <c r="E34" i="7"/>
  <c r="E39" i="7"/>
  <c r="L54" i="5"/>
  <c r="L52" i="5"/>
  <c r="K24" i="5"/>
  <c r="K24" i="4"/>
  <c r="BM46" i="11"/>
  <c r="BY29" i="11"/>
  <c r="AW92" i="11"/>
  <c r="AW98" i="11" s="1"/>
  <c r="AW40" i="11"/>
  <c r="AW66" i="11"/>
  <c r="C24" i="5"/>
  <c r="C24" i="4"/>
  <c r="AB41" i="11"/>
  <c r="AB39" i="11"/>
  <c r="AT92" i="11"/>
  <c r="AT98" i="11" s="1"/>
  <c r="AT66" i="11"/>
  <c r="AT40" i="11"/>
  <c r="AT45" i="11" s="1"/>
  <c r="G12" i="9"/>
  <c r="F13" i="9"/>
  <c r="C21" i="9"/>
  <c r="AV16" i="16"/>
  <c r="K34" i="7"/>
  <c r="K39" i="7"/>
  <c r="AU39" i="11"/>
  <c r="AU41" i="11"/>
  <c r="AT2" i="17"/>
  <c r="AT8" i="17" s="1"/>
  <c r="CE2" i="11"/>
  <c r="E26" i="9"/>
  <c r="E27" i="9" s="1"/>
  <c r="D27" i="9"/>
  <c r="AY63" i="11"/>
  <c r="M42" i="11"/>
  <c r="M44" i="11" s="1"/>
  <c r="M45" i="11"/>
  <c r="AR92" i="11"/>
  <c r="AR98" i="11" s="1"/>
  <c r="AR66" i="11"/>
  <c r="AR40" i="11"/>
  <c r="BL46" i="11"/>
  <c r="BX29" i="11"/>
  <c r="BR46" i="11"/>
  <c r="CD29" i="11"/>
  <c r="K40" i="4"/>
  <c r="K43" i="4"/>
  <c r="K44" i="4" s="1"/>
  <c r="AE92" i="11"/>
  <c r="AE98" i="11" s="1"/>
  <c r="AE66" i="11"/>
  <c r="AE40" i="11"/>
  <c r="AP160" i="11"/>
  <c r="AP163" i="11" s="1"/>
  <c r="AP170" i="11" s="1"/>
  <c r="AO2" i="17"/>
  <c r="AO8" i="17" s="1"/>
  <c r="BZ2" i="11"/>
  <c r="BQ46" i="11"/>
  <c r="CC29" i="11"/>
  <c r="BA124" i="11"/>
  <c r="BA127" i="11" s="1"/>
  <c r="BB118" i="11"/>
  <c r="L54" i="4"/>
  <c r="L52" i="4"/>
  <c r="AP2" i="17"/>
  <c r="AP8" i="17" s="1"/>
  <c r="CA2" i="11"/>
  <c r="W45" i="11"/>
  <c r="BS46" i="11"/>
  <c r="CE29" i="11"/>
  <c r="BT46" i="11"/>
  <c r="CF29" i="11"/>
  <c r="F24" i="4"/>
  <c r="F24" i="5"/>
  <c r="C15" i="9"/>
  <c r="AO160" i="11"/>
  <c r="AO163" i="11" s="1"/>
  <c r="AO170" i="11" s="1"/>
  <c r="F34" i="7"/>
  <c r="F39" i="7"/>
  <c r="M34" i="5"/>
  <c r="M39" i="5"/>
  <c r="C43" i="5"/>
  <c r="C40" i="5"/>
  <c r="AQ45" i="11"/>
  <c r="AJ41" i="11"/>
  <c r="K24" i="7" s="1"/>
  <c r="AJ39" i="11"/>
  <c r="P22" i="3"/>
  <c r="P17" i="3"/>
  <c r="AU92" i="11"/>
  <c r="AU98" i="11" s="1"/>
  <c r="AU66" i="11"/>
  <c r="AU40" i="11"/>
  <c r="AU45" i="11" s="1"/>
  <c r="BZ46" i="11"/>
  <c r="CL29" i="11"/>
  <c r="AY62" i="11"/>
  <c r="E37" i="4"/>
  <c r="E39" i="4" s="1"/>
  <c r="P36" i="4"/>
  <c r="P37" i="4" s="1"/>
  <c r="C27" i="9"/>
  <c r="CH29" i="11"/>
  <c r="BV46" i="11"/>
  <c r="BA33" i="11"/>
  <c r="F173" i="11"/>
  <c r="J23" i="3"/>
  <c r="J26" i="3"/>
  <c r="J27" i="3" s="1"/>
  <c r="AJ92" i="11"/>
  <c r="AJ98" i="11" s="1"/>
  <c r="AJ40" i="11"/>
  <c r="AJ66" i="11"/>
  <c r="I17" i="2"/>
  <c r="AC92" i="11"/>
  <c r="AC98" i="11" s="1"/>
  <c r="AC66" i="11"/>
  <c r="AC40" i="11"/>
  <c r="AC45" i="11" s="1"/>
  <c r="BA166" i="11"/>
  <c r="BA168" i="11" s="1"/>
  <c r="BB146" i="11"/>
  <c r="E12" i="9"/>
  <c r="D13" i="9"/>
  <c r="J43" i="7"/>
  <c r="J44" i="7" s="1"/>
  <c r="J40" i="7"/>
  <c r="U42" i="11"/>
  <c r="U44" i="11" s="1"/>
  <c r="AT41" i="11"/>
  <c r="AT39" i="11"/>
  <c r="BA141" i="11"/>
  <c r="BA143" i="11" s="1"/>
  <c r="BA162" i="11" s="1"/>
  <c r="BB136" i="11"/>
  <c r="O39" i="11"/>
  <c r="L42" i="11"/>
  <c r="L44" i="11" s="1"/>
  <c r="AH28" i="16"/>
  <c r="X42" i="11"/>
  <c r="X44" i="11" s="1"/>
  <c r="AQ160" i="11"/>
  <c r="AQ163" i="11" s="1"/>
  <c r="AQ170" i="11" s="1"/>
  <c r="AC39" i="11"/>
  <c r="AC41" i="11"/>
  <c r="D24" i="7" s="1"/>
  <c r="I43" i="7"/>
  <c r="I44" i="7" s="1"/>
  <c r="I40" i="7"/>
  <c r="G32" i="9"/>
  <c r="AV160" i="11"/>
  <c r="AV163" i="11" s="1"/>
  <c r="AV170" i="11" s="1"/>
  <c r="G22" i="4"/>
  <c r="G33" i="4" s="1"/>
  <c r="P20" i="4"/>
  <c r="P22" i="4" s="1"/>
  <c r="AZ2" i="17"/>
  <c r="AZ8" i="17" s="1"/>
  <c r="CK2" i="11"/>
  <c r="C37" i="7"/>
  <c r="P36" i="7"/>
  <c r="P37" i="7" s="1"/>
  <c r="I32" i="9"/>
  <c r="D33" i="2"/>
  <c r="D38" i="2"/>
  <c r="Z160" i="11"/>
  <c r="Z163" i="11" s="1"/>
  <c r="Z170" i="11" s="1"/>
  <c r="M30" i="3" s="1"/>
  <c r="AW41" i="11"/>
  <c r="AW39" i="11"/>
  <c r="BG2" i="17"/>
  <c r="BG8" i="17" s="1"/>
  <c r="CR2" i="11"/>
  <c r="AY32" i="11"/>
  <c r="AN151" i="11"/>
  <c r="AO151" i="11" s="1"/>
  <c r="AP151" i="11" s="1"/>
  <c r="AQ151" i="11" s="1"/>
  <c r="AN160" i="11"/>
  <c r="AN163" i="11" s="1"/>
  <c r="AN170" i="11" s="1"/>
  <c r="M34" i="7"/>
  <c r="M39" i="7"/>
  <c r="BC123" i="11"/>
  <c r="L34" i="5"/>
  <c r="L39" i="5"/>
  <c r="E18" i="9"/>
  <c r="D21" i="9"/>
  <c r="AB92" i="11"/>
  <c r="AB98" i="11" s="1"/>
  <c r="AB66" i="11"/>
  <c r="AB40" i="11"/>
  <c r="AB45" i="11" s="1"/>
  <c r="AZ162" i="11"/>
  <c r="O98" i="11"/>
  <c r="O160" i="11" s="1"/>
  <c r="O163" i="11" s="1"/>
  <c r="O170" i="11" s="1"/>
  <c r="O40" i="11"/>
  <c r="Q42" i="11" s="1"/>
  <c r="Q44" i="11" s="1"/>
  <c r="BO46" i="11"/>
  <c r="CA29" i="11"/>
  <c r="E14" i="9"/>
  <c r="G16" i="9"/>
  <c r="AX39" i="11"/>
  <c r="AX41" i="11"/>
  <c r="X151" i="11"/>
  <c r="X152" i="11" s="1"/>
  <c r="X153" i="11" s="1"/>
  <c r="X156" i="11" s="1"/>
  <c r="X160" i="11"/>
  <c r="X163" i="11" s="1"/>
  <c r="X170" i="11" s="1"/>
  <c r="K30" i="3" s="1"/>
  <c r="Y42" i="11"/>
  <c r="Y44" i="11" s="1"/>
  <c r="D39" i="7"/>
  <c r="D34" i="7"/>
  <c r="S42" i="11"/>
  <c r="S44" i="11" s="1"/>
  <c r="J34" i="5"/>
  <c r="J39" i="5"/>
  <c r="AP45" i="11"/>
  <c r="H34" i="4"/>
  <c r="H39" i="4"/>
  <c r="AG45" i="11"/>
  <c r="BP46" i="11"/>
  <c r="CB29" i="11"/>
  <c r="BV2" i="17"/>
  <c r="BV8" i="17" s="1"/>
  <c r="DG2" i="11"/>
  <c r="BB12" i="11"/>
  <c r="G22" i="5"/>
  <c r="G33" i="5" s="1"/>
  <c r="N34" i="7"/>
  <c r="N39" i="7"/>
  <c r="F21" i="9"/>
  <c r="AP42" i="11" l="1"/>
  <c r="AP44" i="11" s="1"/>
  <c r="AJ42" i="11"/>
  <c r="AJ44" i="11" s="1"/>
  <c r="M24" i="5"/>
  <c r="M24" i="4"/>
  <c r="AR42" i="11"/>
  <c r="AR44" i="11" s="1"/>
  <c r="E21" i="9"/>
  <c r="D40" i="5"/>
  <c r="G21" i="9"/>
  <c r="F40" i="4"/>
  <c r="F43" i="4"/>
  <c r="F44" i="4" s="1"/>
  <c r="P24" i="8"/>
  <c r="P27" i="8"/>
  <c r="P28" i="8" s="1"/>
  <c r="AG42" i="11"/>
  <c r="AG44" i="11" s="1"/>
  <c r="AB42" i="11"/>
  <c r="AB44" i="11" s="1"/>
  <c r="AM45" i="11"/>
  <c r="D15" i="9"/>
  <c r="E15" i="9" s="1"/>
  <c r="AI42" i="11"/>
  <c r="AI44" i="11" s="1"/>
  <c r="AW42" i="11"/>
  <c r="AW44" i="11" s="1"/>
  <c r="T42" i="11"/>
  <c r="T44" i="11" s="1"/>
  <c r="BX46" i="11"/>
  <c r="CJ29" i="11"/>
  <c r="AX160" i="11"/>
  <c r="AX163" i="11" s="1"/>
  <c r="AX170" i="11" s="1"/>
  <c r="CC23" i="11"/>
  <c r="H24" i="4"/>
  <c r="H24" i="5"/>
  <c r="CB46" i="11"/>
  <c r="CN29" i="11"/>
  <c r="J43" i="5"/>
  <c r="J44" i="5" s="1"/>
  <c r="J40" i="5"/>
  <c r="O42" i="11"/>
  <c r="O44" i="11" s="1"/>
  <c r="R42" i="11"/>
  <c r="R44" i="11" s="1"/>
  <c r="D42" i="2"/>
  <c r="D39" i="2"/>
  <c r="BL2" i="17"/>
  <c r="BL8" i="17" s="1"/>
  <c r="CW2" i="11"/>
  <c r="AU28" i="16"/>
  <c r="AV28" i="16"/>
  <c r="O45" i="11"/>
  <c r="J17" i="2"/>
  <c r="CH46" i="11"/>
  <c r="CT29" i="11"/>
  <c r="AU160" i="11"/>
  <c r="AU163" i="11" s="1"/>
  <c r="AU170" i="11" s="1"/>
  <c r="AK42" i="11"/>
  <c r="AK44" i="11" s="1"/>
  <c r="BB2" i="17"/>
  <c r="BB8" i="17" s="1"/>
  <c r="CM2" i="11"/>
  <c r="CC46" i="11"/>
  <c r="CO29" i="11"/>
  <c r="AE160" i="11"/>
  <c r="AE163" i="11" s="1"/>
  <c r="AE170" i="11" s="1"/>
  <c r="F49" i="7" s="1"/>
  <c r="AW160" i="11"/>
  <c r="AW163" i="11" s="1"/>
  <c r="AW170" i="11" s="1"/>
  <c r="E42" i="2"/>
  <c r="E39" i="2"/>
  <c r="J43" i="4"/>
  <c r="J44" i="4" s="1"/>
  <c r="J40" i="4"/>
  <c r="L40" i="4"/>
  <c r="L43" i="4"/>
  <c r="L44" i="4" s="1"/>
  <c r="BE2" i="17"/>
  <c r="BE8" i="17" s="1"/>
  <c r="CP2" i="11"/>
  <c r="BD123" i="11"/>
  <c r="G34" i="4"/>
  <c r="G39" i="4"/>
  <c r="P33" i="4"/>
  <c r="AH42" i="11"/>
  <c r="AH44" i="11" s="1"/>
  <c r="BB166" i="11"/>
  <c r="BB168" i="11" s="1"/>
  <c r="BC146" i="11"/>
  <c r="F174" i="11"/>
  <c r="G172" i="11"/>
  <c r="G173" i="11" s="1"/>
  <c r="E30" i="8"/>
  <c r="E31" i="8" s="1"/>
  <c r="E43" i="4"/>
  <c r="E44" i="4" s="1"/>
  <c r="E40" i="4"/>
  <c r="BA2" i="17"/>
  <c r="BA8" i="17" s="1"/>
  <c r="CL2" i="11"/>
  <c r="C24" i="7"/>
  <c r="P24" i="7" s="1"/>
  <c r="E23" i="2"/>
  <c r="CK29" i="11"/>
  <c r="BY46" i="11"/>
  <c r="BC2" i="17"/>
  <c r="BC8" i="17" s="1"/>
  <c r="CN2" i="11"/>
  <c r="E40" i="5"/>
  <c r="E43" i="5"/>
  <c r="E44" i="5" s="1"/>
  <c r="BW46" i="11"/>
  <c r="CI29" i="11"/>
  <c r="BK2" i="17"/>
  <c r="BK8" i="17" s="1"/>
  <c r="CV2" i="11"/>
  <c r="BC167" i="11"/>
  <c r="BD149" i="11"/>
  <c r="AF42" i="11"/>
  <c r="AF44" i="11" s="1"/>
  <c r="M43" i="7"/>
  <c r="M44" i="7" s="1"/>
  <c r="M40" i="7"/>
  <c r="K49" i="4"/>
  <c r="K49" i="5"/>
  <c r="BC136" i="11"/>
  <c r="BB141" i="11"/>
  <c r="BB143" i="11" s="1"/>
  <c r="AZ62" i="11"/>
  <c r="P26" i="3"/>
  <c r="P27" i="3" s="1"/>
  <c r="P23" i="3"/>
  <c r="C44" i="5"/>
  <c r="D49" i="4"/>
  <c r="D49" i="5"/>
  <c r="C39" i="7"/>
  <c r="P33" i="7"/>
  <c r="C34" i="7"/>
  <c r="C23" i="9"/>
  <c r="AL42" i="11"/>
  <c r="AL44" i="11" s="1"/>
  <c r="BT23" i="11"/>
  <c r="AD42" i="11"/>
  <c r="AD44" i="11" s="1"/>
  <c r="I43" i="4"/>
  <c r="I44" i="4" s="1"/>
  <c r="I40" i="4"/>
  <c r="BS2" i="17"/>
  <c r="BS8" i="17" s="1"/>
  <c r="DD2" i="11"/>
  <c r="H43" i="4"/>
  <c r="H44" i="4" s="1"/>
  <c r="H40" i="4"/>
  <c r="L43" i="5"/>
  <c r="L44" i="5" s="1"/>
  <c r="L40" i="5"/>
  <c r="P42" i="11"/>
  <c r="P44" i="11" s="1"/>
  <c r="AO42" i="11"/>
  <c r="AO44" i="11" s="1"/>
  <c r="M40" i="5"/>
  <c r="M43" i="5"/>
  <c r="M44" i="5" s="1"/>
  <c r="CF46" i="11"/>
  <c r="CR29" i="11"/>
  <c r="AR160" i="11"/>
  <c r="AR163" i="11" s="1"/>
  <c r="AR170" i="11" s="1"/>
  <c r="AR151" i="11"/>
  <c r="AS151" i="11" s="1"/>
  <c r="AT151" i="11" s="1"/>
  <c r="AU151" i="11" s="1"/>
  <c r="AV151" i="11" s="1"/>
  <c r="AW151" i="11" s="1"/>
  <c r="AX151" i="11" s="1"/>
  <c r="AZ63" i="11"/>
  <c r="J24" i="4"/>
  <c r="J24" i="5"/>
  <c r="AW45" i="11"/>
  <c r="AM42" i="11"/>
  <c r="AM44" i="11" s="1"/>
  <c r="AR45" i="11"/>
  <c r="H43" i="5"/>
  <c r="H44" i="5" s="1"/>
  <c r="H40" i="5"/>
  <c r="I40" i="5"/>
  <c r="I43" i="5"/>
  <c r="I44" i="5" s="1"/>
  <c r="BC12" i="11"/>
  <c r="C49" i="4"/>
  <c r="C49" i="5"/>
  <c r="C37" i="9"/>
  <c r="AC42" i="11"/>
  <c r="AC44" i="11" s="1"/>
  <c r="BB33" i="11"/>
  <c r="CX29" i="11"/>
  <c r="CX46" i="11" s="1"/>
  <c r="CL46" i="11"/>
  <c r="CD46" i="11"/>
  <c r="CP29" i="11"/>
  <c r="AT42" i="11"/>
  <c r="AT44" i="11" s="1"/>
  <c r="BH116" i="11"/>
  <c r="AL160" i="11"/>
  <c r="AL163" i="11" s="1"/>
  <c r="AL170" i="11" s="1"/>
  <c r="M49" i="7" s="1"/>
  <c r="Y151" i="11"/>
  <c r="Q1" i="17"/>
  <c r="Q3" i="17" s="1"/>
  <c r="R4" i="17"/>
  <c r="AD160" i="11"/>
  <c r="AD163" i="11" s="1"/>
  <c r="AD170" i="11" s="1"/>
  <c r="E49" i="7" s="1"/>
  <c r="G27" i="9"/>
  <c r="AZ32" i="11"/>
  <c r="AS160" i="11"/>
  <c r="AS163" i="11" s="1"/>
  <c r="AS170" i="11" s="1"/>
  <c r="BD75" i="11"/>
  <c r="BC78" i="11"/>
  <c r="D40" i="7"/>
  <c r="D43" i="7"/>
  <c r="D44" i="7" s="1"/>
  <c r="AB160" i="11"/>
  <c r="AB163" i="11" s="1"/>
  <c r="AB170" i="11" s="1"/>
  <c r="C49" i="7" s="1"/>
  <c r="AB151" i="11"/>
  <c r="AB152" i="11" s="1"/>
  <c r="AB153" i="11" s="1"/>
  <c r="AB156" i="11" s="1"/>
  <c r="AJ160" i="11"/>
  <c r="AJ163" i="11" s="1"/>
  <c r="AJ170" i="11" s="1"/>
  <c r="K49" i="7" s="1"/>
  <c r="CE46" i="11"/>
  <c r="CQ29" i="11"/>
  <c r="BB124" i="11"/>
  <c r="BB127" i="11" s="1"/>
  <c r="BC118" i="11"/>
  <c r="E49" i="5"/>
  <c r="E49" i="4"/>
  <c r="K40" i="7"/>
  <c r="K43" i="7"/>
  <c r="K44" i="7" s="1"/>
  <c r="AX42" i="11"/>
  <c r="AX44" i="11" s="1"/>
  <c r="AM160" i="11"/>
  <c r="AM163" i="11" s="1"/>
  <c r="AM170" i="11" s="1"/>
  <c r="N49" i="7" s="1"/>
  <c r="AS42" i="11"/>
  <c r="AS44" i="11" s="1"/>
  <c r="AN42" i="11"/>
  <c r="AN44" i="11" s="1"/>
  <c r="BB96" i="11"/>
  <c r="BB97" i="11" s="1"/>
  <c r="BC95" i="11"/>
  <c r="G24" i="4"/>
  <c r="G24" i="5"/>
  <c r="BB82" i="11"/>
  <c r="BC80" i="11"/>
  <c r="AD45" i="11"/>
  <c r="BF2" i="17"/>
  <c r="BF8" i="17" s="1"/>
  <c r="CQ2" i="11"/>
  <c r="G13" i="9"/>
  <c r="F23" i="9"/>
  <c r="E43" i="7"/>
  <c r="E44" i="7" s="1"/>
  <c r="E40" i="7"/>
  <c r="G34" i="5"/>
  <c r="G39" i="5"/>
  <c r="N43" i="7"/>
  <c r="N44" i="7" s="1"/>
  <c r="N40" i="7"/>
  <c r="CH2" i="17"/>
  <c r="CH8" i="17" s="1"/>
  <c r="L24" i="5"/>
  <c r="L24" i="4"/>
  <c r="CM29" i="11"/>
  <c r="CA46" i="11"/>
  <c r="F49" i="4"/>
  <c r="F49" i="5"/>
  <c r="I24" i="4"/>
  <c r="I24" i="5"/>
  <c r="F15" i="9"/>
  <c r="E13" i="9"/>
  <c r="D23" i="9"/>
  <c r="AC160" i="11"/>
  <c r="AC163" i="11" s="1"/>
  <c r="AC170" i="11" s="1"/>
  <c r="D49" i="7" s="1"/>
  <c r="AU42" i="11"/>
  <c r="AU44" i="11" s="1"/>
  <c r="F43" i="7"/>
  <c r="F44" i="7" s="1"/>
  <c r="F40" i="7"/>
  <c r="AE42" i="11"/>
  <c r="AE44" i="11" s="1"/>
  <c r="AV42" i="11"/>
  <c r="AV44" i="11" s="1"/>
  <c r="AT160" i="11"/>
  <c r="AT163" i="11" s="1"/>
  <c r="AT170" i="11" s="1"/>
  <c r="BT2" i="17"/>
  <c r="BT8" i="17" s="1"/>
  <c r="DE2" i="11"/>
  <c r="BI2" i="17"/>
  <c r="BI8" i="17" s="1"/>
  <c r="CT2" i="11"/>
  <c r="CG46" i="11"/>
  <c r="CS29" i="11"/>
  <c r="BE23" i="11"/>
  <c r="AE45" i="11"/>
  <c r="CB2" i="17"/>
  <c r="CB8" i="17" s="1"/>
  <c r="AJ45" i="11"/>
  <c r="M49" i="5" l="1"/>
  <c r="M49" i="4"/>
  <c r="AC151" i="11"/>
  <c r="AC152" i="11" s="1"/>
  <c r="AC153" i="11" s="1"/>
  <c r="AC156" i="11" s="1"/>
  <c r="D37" i="9"/>
  <c r="E37" i="9" s="1"/>
  <c r="G15" i="9"/>
  <c r="P24" i="4"/>
  <c r="BO2" i="17"/>
  <c r="BO8" i="17" s="1"/>
  <c r="CZ2" i="11"/>
  <c r="CK46" i="11"/>
  <c r="CW29" i="11"/>
  <c r="CW46" i="11" s="1"/>
  <c r="BU2" i="17"/>
  <c r="BU8" i="17" s="1"/>
  <c r="DF2" i="11"/>
  <c r="BI116" i="11"/>
  <c r="BC33" i="11"/>
  <c r="Y50" i="11"/>
  <c r="BC166" i="11"/>
  <c r="BC168" i="11" s="1"/>
  <c r="BD146" i="11"/>
  <c r="CN46" i="11"/>
  <c r="CZ29" i="11"/>
  <c r="CZ46" i="11" s="1"/>
  <c r="BW2" i="17"/>
  <c r="BW8" i="17" s="1"/>
  <c r="CM46" i="11"/>
  <c r="CY29" i="11"/>
  <c r="CY46" i="11" s="1"/>
  <c r="G23" i="9"/>
  <c r="F29" i="9"/>
  <c r="F24" i="9"/>
  <c r="BC82" i="11"/>
  <c r="BD80" i="11"/>
  <c r="AE51" i="11"/>
  <c r="G43" i="4"/>
  <c r="G44" i="4" s="1"/>
  <c r="G40" i="4"/>
  <c r="J49" i="4"/>
  <c r="J49" i="5"/>
  <c r="D44" i="2"/>
  <c r="D43" i="2"/>
  <c r="CJ46" i="11"/>
  <c r="CV29" i="11"/>
  <c r="CV46" i="11" s="1"/>
  <c r="CF2" i="17"/>
  <c r="CF8" i="17" s="1"/>
  <c r="Z50" i="11"/>
  <c r="BA32" i="11"/>
  <c r="Y152" i="11"/>
  <c r="Y153" i="11" s="1"/>
  <c r="Y156" i="11" s="1"/>
  <c r="Z151" i="11"/>
  <c r="AV52" i="11"/>
  <c r="BA63" i="11"/>
  <c r="P34" i="7"/>
  <c r="P39" i="7"/>
  <c r="BA62" i="11"/>
  <c r="DA29" i="11"/>
  <c r="DA46" i="11" s="1"/>
  <c r="CO46" i="11"/>
  <c r="CT46" i="11"/>
  <c r="DF29" i="11"/>
  <c r="DF46" i="11" s="1"/>
  <c r="S4" i="17"/>
  <c r="R1" i="17"/>
  <c r="R3" i="17" s="1"/>
  <c r="BR2" i="17"/>
  <c r="BR8" i="17" s="1"/>
  <c r="DC2" i="11"/>
  <c r="V50" i="11" s="1"/>
  <c r="AF51" i="11"/>
  <c r="BU23" i="11"/>
  <c r="C40" i="7"/>
  <c r="C43" i="7"/>
  <c r="C44" i="7" s="1"/>
  <c r="CI46" i="11"/>
  <c r="CU29" i="11"/>
  <c r="CR46" i="11"/>
  <c r="DD29" i="11"/>
  <c r="DD46" i="11" s="1"/>
  <c r="CE2" i="17"/>
  <c r="CE8" i="17" s="1"/>
  <c r="G43" i="5"/>
  <c r="G40" i="5"/>
  <c r="BC124" i="11"/>
  <c r="BC127" i="11" s="1"/>
  <c r="BD118" i="11"/>
  <c r="AL52" i="11"/>
  <c r="BB162" i="11"/>
  <c r="BE123" i="11"/>
  <c r="BN2" i="17"/>
  <c r="BN8" i="17" s="1"/>
  <c r="CY2" i="11"/>
  <c r="H49" i="4"/>
  <c r="H49" i="5"/>
  <c r="CP46" i="11"/>
  <c r="DB29" i="11"/>
  <c r="DB46" i="11" s="1"/>
  <c r="BD12" i="11"/>
  <c r="P34" i="4"/>
  <c r="P39" i="4"/>
  <c r="S50" i="11"/>
  <c r="CS46" i="11"/>
  <c r="DE29" i="11"/>
  <c r="DE46" i="11" s="1"/>
  <c r="BC96" i="11"/>
  <c r="BC97" i="11" s="1"/>
  <c r="BD95" i="11"/>
  <c r="BD78" i="11"/>
  <c r="BE75" i="11"/>
  <c r="G49" i="4"/>
  <c r="G49" i="5"/>
  <c r="Z51" i="11"/>
  <c r="BC141" i="11"/>
  <c r="BC143" i="11" s="1"/>
  <c r="BC162" i="11" s="1"/>
  <c r="BD136" i="11"/>
  <c r="AL50" i="11"/>
  <c r="G174" i="11"/>
  <c r="H172" i="11"/>
  <c r="H173" i="11" s="1"/>
  <c r="F30" i="8"/>
  <c r="F31" i="8" s="1"/>
  <c r="BX2" i="17"/>
  <c r="BX8" i="17" s="1"/>
  <c r="CD23" i="11"/>
  <c r="AH51" i="11"/>
  <c r="BF23" i="11"/>
  <c r="E23" i="9"/>
  <c r="D29" i="9"/>
  <c r="D24" i="9"/>
  <c r="I49" i="4"/>
  <c r="I49" i="5"/>
  <c r="F37" i="9"/>
  <c r="DC29" i="11"/>
  <c r="DC46" i="11" s="1"/>
  <c r="CQ46" i="11"/>
  <c r="AP52" i="11"/>
  <c r="AD151" i="11"/>
  <c r="C29" i="9"/>
  <c r="C24" i="9"/>
  <c r="T51" i="11"/>
  <c r="P48" i="5"/>
  <c r="BD167" i="11"/>
  <c r="BE149" i="11"/>
  <c r="BM2" i="17"/>
  <c r="BM8" i="17" s="1"/>
  <c r="CX2" i="11"/>
  <c r="H50" i="11" s="1"/>
  <c r="R52" i="11"/>
  <c r="AK52" i="11"/>
  <c r="BQ2" i="17"/>
  <c r="BQ8" i="17" s="1"/>
  <c r="DB2" i="11"/>
  <c r="AE52" i="11" s="1"/>
  <c r="E44" i="2"/>
  <c r="E43" i="2"/>
  <c r="L49" i="4"/>
  <c r="L49" i="5"/>
  <c r="K17" i="2"/>
  <c r="G37" i="9" l="1"/>
  <c r="I50" i="11"/>
  <c r="P43" i="4"/>
  <c r="P44" i="4" s="1"/>
  <c r="P40" i="4"/>
  <c r="AP51" i="11"/>
  <c r="AT51" i="11"/>
  <c r="AR51" i="11"/>
  <c r="C33" i="9"/>
  <c r="C34" i="9" s="1"/>
  <c r="C30" i="9"/>
  <c r="E24" i="9"/>
  <c r="U51" i="11"/>
  <c r="BD96" i="11"/>
  <c r="BD97" i="11" s="1"/>
  <c r="BE95" i="11"/>
  <c r="AK50" i="11"/>
  <c r="AM51" i="11"/>
  <c r="AC51" i="11"/>
  <c r="BV23" i="11"/>
  <c r="Z152" i="11"/>
  <c r="Z153" i="11" s="1"/>
  <c r="Z156" i="11" s="1"/>
  <c r="AA151" i="11"/>
  <c r="AA152" i="11" s="1"/>
  <c r="AA153" i="11" s="1"/>
  <c r="AA156" i="11" s="1"/>
  <c r="Q52" i="11"/>
  <c r="BD82" i="11"/>
  <c r="BE80" i="11"/>
  <c r="AO51" i="11"/>
  <c r="BF123" i="11"/>
  <c r="AN52" i="11"/>
  <c r="BD124" i="11"/>
  <c r="BD127" i="11" s="1"/>
  <c r="BE118" i="11"/>
  <c r="CD2" i="17"/>
  <c r="CD8" i="17" s="1"/>
  <c r="AD51" i="11"/>
  <c r="V52" i="11"/>
  <c r="S51" i="11"/>
  <c r="AH50" i="11"/>
  <c r="AH49" i="11" s="1"/>
  <c r="AH54" i="11" s="1"/>
  <c r="AT52" i="11"/>
  <c r="E29" i="9"/>
  <c r="D33" i="9"/>
  <c r="D30" i="9"/>
  <c r="CE23" i="11"/>
  <c r="AI51" i="11"/>
  <c r="AJ52" i="11"/>
  <c r="BZ2" i="17"/>
  <c r="BZ8" i="17" s="1"/>
  <c r="AQ51" i="11"/>
  <c r="AD50" i="11"/>
  <c r="AB52" i="11"/>
  <c r="W51" i="11"/>
  <c r="AA50" i="11"/>
  <c r="V51" i="11"/>
  <c r="V49" i="11" s="1"/>
  <c r="AG52" i="11"/>
  <c r="Q51" i="11"/>
  <c r="CA2" i="17"/>
  <c r="CA8" i="17" s="1"/>
  <c r="AI52" i="11"/>
  <c r="F52" i="11"/>
  <c r="AM50" i="11"/>
  <c r="AS51" i="11"/>
  <c r="BE167" i="11"/>
  <c r="BF149" i="11"/>
  <c r="S52" i="11"/>
  <c r="AJ50" i="11"/>
  <c r="AI50" i="11"/>
  <c r="AS52" i="11"/>
  <c r="BE12" i="11"/>
  <c r="G44" i="5"/>
  <c r="P49" i="5"/>
  <c r="P51" i="5" s="1"/>
  <c r="Z52" i="11"/>
  <c r="F50" i="11"/>
  <c r="AC52" i="11"/>
  <c r="BB32" i="11"/>
  <c r="AT50" i="11"/>
  <c r="AU51" i="11"/>
  <c r="G24" i="9"/>
  <c r="BD33" i="11"/>
  <c r="CG2" i="17"/>
  <c r="CG8" i="17" s="1"/>
  <c r="AW51" i="11"/>
  <c r="AQ52" i="11"/>
  <c r="AA52" i="11"/>
  <c r="U52" i="11"/>
  <c r="AG50" i="11"/>
  <c r="Q50" i="11"/>
  <c r="AC50" i="11"/>
  <c r="AF50" i="11"/>
  <c r="AG51" i="11"/>
  <c r="T50" i="11"/>
  <c r="AS50" i="11"/>
  <c r="AO52" i="11"/>
  <c r="AV50" i="11"/>
  <c r="BD141" i="11"/>
  <c r="BD143" i="11" s="1"/>
  <c r="BD162" i="11" s="1"/>
  <c r="BE136" i="11"/>
  <c r="AF52" i="11"/>
  <c r="AU50" i="11"/>
  <c r="CU46" i="11"/>
  <c r="DG29" i="11"/>
  <c r="DG46" i="11" s="1"/>
  <c r="AJ51" i="11"/>
  <c r="T4" i="17"/>
  <c r="S1" i="17"/>
  <c r="S3" i="17" s="1"/>
  <c r="BB63" i="11"/>
  <c r="X50" i="11"/>
  <c r="X49" i="11" s="1"/>
  <c r="AN50" i="11"/>
  <c r="AN49" i="11" s="1"/>
  <c r="G51" i="11"/>
  <c r="G29" i="9"/>
  <c r="F33" i="9"/>
  <c r="F30" i="9"/>
  <c r="G30" i="9" s="1"/>
  <c r="BD166" i="11"/>
  <c r="BD168" i="11" s="1"/>
  <c r="BE146" i="11"/>
  <c r="AR52" i="11"/>
  <c r="U50" i="11"/>
  <c r="U49" i="11" s="1"/>
  <c r="W52" i="11"/>
  <c r="Y52" i="11"/>
  <c r="T52" i="11"/>
  <c r="AW52" i="11"/>
  <c r="AB50" i="11"/>
  <c r="AK51" i="11"/>
  <c r="AU52" i="11"/>
  <c r="AL51" i="11"/>
  <c r="AL49" i="11" s="1"/>
  <c r="AL53" i="11" s="1"/>
  <c r="AM52" i="11"/>
  <c r="AN51" i="11"/>
  <c r="G50" i="11"/>
  <c r="H51" i="11"/>
  <c r="BG23" i="11"/>
  <c r="BB62" i="11"/>
  <c r="CC2" i="17"/>
  <c r="CC8" i="17" s="1"/>
  <c r="AR50" i="11"/>
  <c r="P43" i="7"/>
  <c r="P44" i="7" s="1"/>
  <c r="P40" i="7"/>
  <c r="AW50" i="11"/>
  <c r="X51" i="11"/>
  <c r="BY2" i="17"/>
  <c r="BY8" i="17" s="1"/>
  <c r="Y51" i="11"/>
  <c r="AD52" i="11"/>
  <c r="H52" i="11"/>
  <c r="R51" i="11"/>
  <c r="AO50" i="11"/>
  <c r="AH52" i="11"/>
  <c r="X52" i="11"/>
  <c r="W50" i="11"/>
  <c r="W49" i="11" s="1"/>
  <c r="AD152" i="11"/>
  <c r="AD153" i="11" s="1"/>
  <c r="AD156" i="11" s="1"/>
  <c r="AE151" i="11"/>
  <c r="I172" i="11"/>
  <c r="I173" i="11" s="1"/>
  <c r="H174" i="11"/>
  <c r="G30" i="8"/>
  <c r="G31" i="8" s="1"/>
  <c r="AE50" i="11"/>
  <c r="AE49" i="11" s="1"/>
  <c r="AE53" i="11" s="1"/>
  <c r="BE78" i="11"/>
  <c r="BF75" i="11"/>
  <c r="AQ50" i="11"/>
  <c r="AQ49" i="11" s="1"/>
  <c r="F51" i="11"/>
  <c r="AP50" i="11"/>
  <c r="AP49" i="11" s="1"/>
  <c r="AP53" i="11" s="1"/>
  <c r="G52" i="11"/>
  <c r="R50" i="11"/>
  <c r="AV51" i="11"/>
  <c r="AB51" i="11"/>
  <c r="BJ116" i="11"/>
  <c r="AA51" i="11"/>
  <c r="S49" i="11" l="1"/>
  <c r="AT49" i="11"/>
  <c r="AT54" i="11" s="1"/>
  <c r="E30" i="9"/>
  <c r="AF49" i="11"/>
  <c r="AF54" i="11" s="1"/>
  <c r="G49" i="11"/>
  <c r="G53" i="11" s="1"/>
  <c r="AS49" i="11"/>
  <c r="AS54" i="11" s="1"/>
  <c r="AI49" i="11"/>
  <c r="AI54" i="11" s="1"/>
  <c r="AD49" i="11"/>
  <c r="AD54" i="11" s="1"/>
  <c r="AN53" i="11"/>
  <c r="I51" i="11"/>
  <c r="AO49" i="11"/>
  <c r="AO53" i="11" s="1"/>
  <c r="AW49" i="11"/>
  <c r="AW54" i="11" s="1"/>
  <c r="BC62" i="11"/>
  <c r="AB49" i="11"/>
  <c r="AB54" i="11" s="1"/>
  <c r="G54" i="11"/>
  <c r="AV49" i="11"/>
  <c r="AV53" i="11" s="1"/>
  <c r="CF23" i="11"/>
  <c r="BW23" i="11"/>
  <c r="AO54" i="11"/>
  <c r="I174" i="11"/>
  <c r="J172" i="11"/>
  <c r="J173" i="11" s="1"/>
  <c r="H30" i="8"/>
  <c r="H31" i="8" s="1"/>
  <c r="BH23" i="11"/>
  <c r="BE166" i="11"/>
  <c r="BE168" i="11" s="1"/>
  <c r="BF146" i="11"/>
  <c r="Q49" i="11"/>
  <c r="Q54" i="11" s="1"/>
  <c r="BE33" i="11"/>
  <c r="AJ49" i="11"/>
  <c r="AJ53" i="11" s="1"/>
  <c r="AQ54" i="11"/>
  <c r="E33" i="9"/>
  <c r="D34" i="9"/>
  <c r="E34" i="9" s="1"/>
  <c r="BE82" i="11"/>
  <c r="BF80" i="11"/>
  <c r="I52" i="11"/>
  <c r="I49" i="11" s="1"/>
  <c r="F49" i="11"/>
  <c r="F54" i="11" s="1"/>
  <c r="AR49" i="11"/>
  <c r="AR53" i="11" s="1"/>
  <c r="T49" i="11"/>
  <c r="T54" i="11" s="1"/>
  <c r="AG49" i="11"/>
  <c r="AG54" i="11" s="1"/>
  <c r="S53" i="11"/>
  <c r="V54" i="11"/>
  <c r="BF118" i="11"/>
  <c r="BE124" i="11"/>
  <c r="BE127" i="11" s="1"/>
  <c r="AK49" i="11"/>
  <c r="AK53" i="11" s="1"/>
  <c r="AE54" i="11"/>
  <c r="AN54" i="11"/>
  <c r="AU49" i="11"/>
  <c r="AU53" i="11" s="1"/>
  <c r="AE152" i="11"/>
  <c r="AE153" i="11" s="1"/>
  <c r="AE156" i="11" s="1"/>
  <c r="AF151" i="11"/>
  <c r="BK116" i="11"/>
  <c r="BG75" i="11"/>
  <c r="BF78" i="11"/>
  <c r="AL54" i="11"/>
  <c r="W53" i="11"/>
  <c r="BC63" i="11"/>
  <c r="U53" i="11"/>
  <c r="BF167" i="11"/>
  <c r="BG149" i="11"/>
  <c r="AA49" i="11"/>
  <c r="AA53" i="11" s="1"/>
  <c r="Q53" i="11"/>
  <c r="BE96" i="11"/>
  <c r="BE97" i="11" s="1"/>
  <c r="BF95" i="11"/>
  <c r="BE141" i="11"/>
  <c r="BE143" i="11" s="1"/>
  <c r="BF136" i="11"/>
  <c r="G33" i="9"/>
  <c r="F34" i="9"/>
  <c r="U4" i="17"/>
  <c r="T1" i="17"/>
  <c r="T3" i="17" s="1"/>
  <c r="AC49" i="11"/>
  <c r="AC54" i="11" s="1"/>
  <c r="AQ53" i="11"/>
  <c r="BF12" i="11"/>
  <c r="W54" i="11"/>
  <c r="S54" i="11"/>
  <c r="Y49" i="11"/>
  <c r="Y54" i="11" s="1"/>
  <c r="U54" i="11"/>
  <c r="H49" i="11"/>
  <c r="H53" i="11" s="1"/>
  <c r="X53" i="11"/>
  <c r="R49" i="11"/>
  <c r="R53" i="11" s="1"/>
  <c r="AH53" i="11"/>
  <c r="X54" i="11"/>
  <c r="Z49" i="11"/>
  <c r="Z54" i="11" s="1"/>
  <c r="BC32" i="11"/>
  <c r="AM49" i="11"/>
  <c r="AM54" i="11" s="1"/>
  <c r="V53" i="11"/>
  <c r="BG123" i="11"/>
  <c r="AP54" i="11"/>
  <c r="J50" i="11"/>
  <c r="AI53" i="11" l="1"/>
  <c r="AK54" i="11"/>
  <c r="AA54" i="11"/>
  <c r="AF53" i="11"/>
  <c r="G34" i="9"/>
  <c r="AT53" i="11"/>
  <c r="F53" i="11"/>
  <c r="AJ54" i="11"/>
  <c r="AM53" i="11"/>
  <c r="AS53" i="11"/>
  <c r="AB53" i="11"/>
  <c r="AC53" i="11"/>
  <c r="AG53" i="11"/>
  <c r="Y53" i="11"/>
  <c r="AR54" i="11"/>
  <c r="AD53" i="11"/>
  <c r="AV54" i="11"/>
  <c r="BG95" i="11"/>
  <c r="BF96" i="11"/>
  <c r="BF97" i="11" s="1"/>
  <c r="AU54" i="11"/>
  <c r="BG78" i="11"/>
  <c r="BH75" i="11"/>
  <c r="BF124" i="11"/>
  <c r="BF127" i="11" s="1"/>
  <c r="BG118" i="11"/>
  <c r="T53" i="11"/>
  <c r="CG23" i="11"/>
  <c r="K50" i="11"/>
  <c r="BC19" i="11"/>
  <c r="BD19" i="11"/>
  <c r="BD32" i="11"/>
  <c r="BD63" i="11"/>
  <c r="BF82" i="11"/>
  <c r="BG80" i="11"/>
  <c r="BD62" i="11"/>
  <c r="V4" i="17"/>
  <c r="U1" i="17"/>
  <c r="U3" i="17" s="1"/>
  <c r="BF141" i="11"/>
  <c r="BF143" i="11" s="1"/>
  <c r="BG136" i="11"/>
  <c r="BL116" i="11"/>
  <c r="BF33" i="11"/>
  <c r="BI23" i="11"/>
  <c r="AW53" i="11"/>
  <c r="H54" i="11"/>
  <c r="BE162" i="11"/>
  <c r="BG167" i="11"/>
  <c r="BH149" i="11"/>
  <c r="AF152" i="11"/>
  <c r="AF153" i="11" s="1"/>
  <c r="AF156" i="11" s="1"/>
  <c r="AG151" i="11"/>
  <c r="R54" i="11"/>
  <c r="Z53" i="11"/>
  <c r="I53" i="11"/>
  <c r="J52" i="11"/>
  <c r="AY19" i="11"/>
  <c r="AY18" i="11" s="1"/>
  <c r="AY22" i="11" s="1"/>
  <c r="I54" i="11"/>
  <c r="J51" i="11"/>
  <c r="BG12" i="11"/>
  <c r="BF166" i="11"/>
  <c r="BF168" i="11" s="1"/>
  <c r="BG146" i="11"/>
  <c r="BH123" i="11"/>
  <c r="K172" i="11"/>
  <c r="K173" i="11" s="1"/>
  <c r="J174" i="11"/>
  <c r="I30" i="8"/>
  <c r="I31" i="8" s="1"/>
  <c r="AY16" i="11" l="1"/>
  <c r="BE62" i="11"/>
  <c r="K52" i="11"/>
  <c r="BK19" i="11"/>
  <c r="BH19" i="11"/>
  <c r="K51" i="11"/>
  <c r="AZ19" i="11"/>
  <c r="BI19" i="11"/>
  <c r="BE19" i="11"/>
  <c r="BA19" i="11"/>
  <c r="BF19" i="11"/>
  <c r="BG19" i="11"/>
  <c r="BJ19" i="11"/>
  <c r="BB19" i="11"/>
  <c r="BG33" i="11"/>
  <c r="BG124" i="11"/>
  <c r="BG127" i="11" s="1"/>
  <c r="BH118" i="11"/>
  <c r="BH167" i="11"/>
  <c r="BI149" i="11"/>
  <c r="BH78" i="11"/>
  <c r="BI75" i="11"/>
  <c r="BM116" i="11"/>
  <c r="BG82" i="11"/>
  <c r="BH80" i="11"/>
  <c r="L50" i="11"/>
  <c r="BO19" i="11"/>
  <c r="BP19" i="11"/>
  <c r="BG166" i="11"/>
  <c r="BG168" i="11" s="1"/>
  <c r="BH146" i="11"/>
  <c r="BG141" i="11"/>
  <c r="BG143" i="11" s="1"/>
  <c r="BG162" i="11" s="1"/>
  <c r="BH136" i="11"/>
  <c r="J49" i="11"/>
  <c r="J54" i="11" s="1"/>
  <c r="BI123" i="11"/>
  <c r="BE63" i="11"/>
  <c r="BF162" i="11"/>
  <c r="CH23" i="11"/>
  <c r="BH12" i="11"/>
  <c r="BJ23" i="11"/>
  <c r="L172" i="11"/>
  <c r="L173" i="11" s="1"/>
  <c r="K174" i="11"/>
  <c r="J30" i="8"/>
  <c r="J31" i="8" s="1"/>
  <c r="AG152" i="11"/>
  <c r="AG153" i="11" s="1"/>
  <c r="AG156" i="11" s="1"/>
  <c r="AH151" i="11"/>
  <c r="W4" i="17"/>
  <c r="V1" i="17"/>
  <c r="V3" i="17" s="1"/>
  <c r="BE32" i="11"/>
  <c r="BG96" i="11"/>
  <c r="BG97" i="11" s="1"/>
  <c r="BH95" i="11"/>
  <c r="BH33" i="11" l="1"/>
  <c r="BF32" i="11"/>
  <c r="L174" i="11"/>
  <c r="M172" i="11"/>
  <c r="M173" i="11" s="1"/>
  <c r="K30" i="8"/>
  <c r="K31" i="8" s="1"/>
  <c r="BH82" i="11"/>
  <c r="BI80" i="11"/>
  <c r="BI167" i="11"/>
  <c r="BJ149" i="11"/>
  <c r="BH166" i="11"/>
  <c r="BH168" i="11" s="1"/>
  <c r="BI146" i="11"/>
  <c r="J53" i="11"/>
  <c r="CI23" i="11"/>
  <c r="BF63" i="11"/>
  <c r="BI118" i="11"/>
  <c r="BH124" i="11"/>
  <c r="BH127" i="11" s="1"/>
  <c r="BI12" i="11"/>
  <c r="BJ123" i="11"/>
  <c r="BN116" i="11"/>
  <c r="L52" i="11"/>
  <c r="BW19" i="11"/>
  <c r="BT19" i="11"/>
  <c r="BF62" i="11"/>
  <c r="BH96" i="11"/>
  <c r="BH97" i="11" s="1"/>
  <c r="BI95" i="11"/>
  <c r="BK23" i="11"/>
  <c r="W1" i="17"/>
  <c r="W3" i="17" s="1"/>
  <c r="X4" i="17"/>
  <c r="AH152" i="11"/>
  <c r="AH153" i="11" s="1"/>
  <c r="AH156" i="11" s="1"/>
  <c r="AI151" i="11"/>
  <c r="BJ75" i="11"/>
  <c r="BI78" i="11"/>
  <c r="M50" i="11"/>
  <c r="CA19" i="11"/>
  <c r="CB19" i="11"/>
  <c r="AY24" i="11"/>
  <c r="AY17" i="11" s="1"/>
  <c r="AY15" i="11"/>
  <c r="AZ36" i="11"/>
  <c r="AZ37" i="11" s="1"/>
  <c r="BH141" i="11"/>
  <c r="BH143" i="11" s="1"/>
  <c r="BI136" i="11"/>
  <c r="K49" i="11"/>
  <c r="K53" i="11" s="1"/>
  <c r="L51" i="11"/>
  <c r="K54" i="11"/>
  <c r="BQ19" i="11"/>
  <c r="BM19" i="11"/>
  <c r="BU19" i="11"/>
  <c r="BL19" i="11"/>
  <c r="BV19" i="11"/>
  <c r="BN19" i="11"/>
  <c r="BR19" i="11"/>
  <c r="BS19" i="11"/>
  <c r="BK123" i="11" l="1"/>
  <c r="M51" i="11"/>
  <c r="CC19" i="11"/>
  <c r="CG19" i="11"/>
  <c r="BY19" i="11"/>
  <c r="BX19" i="11"/>
  <c r="CE19" i="11"/>
  <c r="CH19" i="11"/>
  <c r="CD19" i="11"/>
  <c r="BZ19" i="11"/>
  <c r="BJ167" i="11"/>
  <c r="BK149" i="11"/>
  <c r="N50" i="11"/>
  <c r="CM19" i="11"/>
  <c r="CN19" i="11"/>
  <c r="BG62" i="11"/>
  <c r="BJ78" i="11"/>
  <c r="BK75" i="11"/>
  <c r="AY30" i="11"/>
  <c r="N23" i="5"/>
  <c r="P23" i="5" s="1"/>
  <c r="F22" i="2"/>
  <c r="AY21" i="11"/>
  <c r="AY31" i="11" s="1"/>
  <c r="H14" i="9"/>
  <c r="N172" i="11"/>
  <c r="N173" i="11" s="1"/>
  <c r="M174" i="11"/>
  <c r="L30" i="8"/>
  <c r="L31" i="8" s="1"/>
  <c r="N25" i="5"/>
  <c r="F24" i="2"/>
  <c r="H16" i="9"/>
  <c r="BJ12" i="11"/>
  <c r="BG32" i="11"/>
  <c r="BI141" i="11"/>
  <c r="BI143" i="11" s="1"/>
  <c r="BJ136" i="11"/>
  <c r="AI152" i="11"/>
  <c r="AI153" i="11" s="1"/>
  <c r="AI156" i="11" s="1"/>
  <c r="AJ151" i="11"/>
  <c r="BI96" i="11"/>
  <c r="BI97" i="11" s="1"/>
  <c r="BJ95" i="11"/>
  <c r="BI124" i="11"/>
  <c r="BI127" i="11" s="1"/>
  <c r="BJ118" i="11"/>
  <c r="BI166" i="11"/>
  <c r="BI168" i="11" s="1"/>
  <c r="BJ146" i="11"/>
  <c r="BI82" i="11"/>
  <c r="BJ80" i="11"/>
  <c r="BI33" i="11"/>
  <c r="BO116" i="11"/>
  <c r="Y4" i="17"/>
  <c r="X1" i="17"/>
  <c r="X3" i="17" s="1"/>
  <c r="CJ23" i="11"/>
  <c r="AZ20" i="11"/>
  <c r="M52" i="11"/>
  <c r="CI19" i="11"/>
  <c r="CF19" i="11"/>
  <c r="BH162" i="11"/>
  <c r="L49" i="11"/>
  <c r="L54" i="11" s="1"/>
  <c r="BG63" i="11"/>
  <c r="BK167" i="11" l="1"/>
  <c r="BL149" i="11"/>
  <c r="N52" i="11"/>
  <c r="CU19" i="11"/>
  <c r="CR19" i="11"/>
  <c r="BH62" i="11"/>
  <c r="BJ33" i="11"/>
  <c r="BJ96" i="11"/>
  <c r="BJ97" i="11" s="1"/>
  <c r="BK95" i="11"/>
  <c r="BJ82" i="11"/>
  <c r="BK80" i="11"/>
  <c r="AJ152" i="11"/>
  <c r="AJ153" i="11" s="1"/>
  <c r="AJ156" i="11" s="1"/>
  <c r="AK151" i="11"/>
  <c r="BH63" i="11"/>
  <c r="L53" i="11"/>
  <c r="BJ166" i="11"/>
  <c r="BJ168" i="11" s="1"/>
  <c r="BK146" i="11"/>
  <c r="Z9" i="17"/>
  <c r="Z13" i="17" s="1"/>
  <c r="AY60" i="11" s="1"/>
  <c r="AY34" i="11"/>
  <c r="AY6" i="11"/>
  <c r="Y1" i="17"/>
  <c r="Z4" i="17"/>
  <c r="BK136" i="11"/>
  <c r="BJ141" i="11"/>
  <c r="BJ143" i="11" s="1"/>
  <c r="BK12" i="11"/>
  <c r="N51" i="11"/>
  <c r="CO19" i="11"/>
  <c r="CK19" i="11"/>
  <c r="CS19" i="11"/>
  <c r="CJ19" i="11"/>
  <c r="CT19" i="11"/>
  <c r="CL19" i="11"/>
  <c r="CQ19" i="11"/>
  <c r="CP19" i="11"/>
  <c r="N49" i="11"/>
  <c r="CZ19" i="11"/>
  <c r="CY19" i="11"/>
  <c r="CK23" i="11"/>
  <c r="BH32" i="11"/>
  <c r="BP116" i="11"/>
  <c r="BJ124" i="11"/>
  <c r="BJ127" i="11" s="1"/>
  <c r="BK118" i="11"/>
  <c r="BI162" i="11"/>
  <c r="I16" i="9"/>
  <c r="K16" i="9"/>
  <c r="N174" i="11"/>
  <c r="O172" i="11"/>
  <c r="O173" i="11" s="1"/>
  <c r="M30" i="8"/>
  <c r="M31" i="8" s="1"/>
  <c r="BL75" i="11"/>
  <c r="BK78" i="11"/>
  <c r="BL123" i="11"/>
  <c r="AZ18" i="11"/>
  <c r="AZ22" i="11" s="1"/>
  <c r="I14" i="9"/>
  <c r="K14" i="9"/>
  <c r="M49" i="11"/>
  <c r="M54" i="11" s="1"/>
  <c r="CL23" i="11" l="1"/>
  <c r="BK124" i="11"/>
  <c r="BK127" i="11" s="1"/>
  <c r="BL118" i="11"/>
  <c r="AY7" i="11"/>
  <c r="AY8" i="11"/>
  <c r="N53" i="11"/>
  <c r="DG19" i="11"/>
  <c r="DD19" i="11"/>
  <c r="BJ162" i="11"/>
  <c r="AK152" i="11"/>
  <c r="AK153" i="11" s="1"/>
  <c r="AK156" i="11" s="1"/>
  <c r="AL151" i="11"/>
  <c r="BK33" i="11"/>
  <c r="M53" i="11"/>
  <c r="Y15" i="17"/>
  <c r="Y18" i="17" s="1"/>
  <c r="Y3" i="17"/>
  <c r="N30" i="5"/>
  <c r="P30" i="5" s="1"/>
  <c r="F29" i="2"/>
  <c r="H20" i="9"/>
  <c r="AZ16" i="11"/>
  <c r="BM123" i="11"/>
  <c r="BI32" i="11"/>
  <c r="N54" i="11"/>
  <c r="DA19" i="11"/>
  <c r="CV19" i="11"/>
  <c r="CW19" i="11"/>
  <c r="DE19" i="11"/>
  <c r="CX19" i="11"/>
  <c r="DC19" i="11"/>
  <c r="DF19" i="11"/>
  <c r="DB19" i="11"/>
  <c r="BK166" i="11"/>
  <c r="BK168" i="11" s="1"/>
  <c r="BL146" i="11"/>
  <c r="BL167" i="11"/>
  <c r="BM149" i="11"/>
  <c r="BL78" i="11"/>
  <c r="BM75" i="11"/>
  <c r="BL12" i="11"/>
  <c r="BI63" i="11"/>
  <c r="BL95" i="11"/>
  <c r="BK96" i="11"/>
  <c r="BK97" i="11" s="1"/>
  <c r="O174" i="11"/>
  <c r="P172" i="11"/>
  <c r="P173" i="11" s="1"/>
  <c r="N30" i="8"/>
  <c r="N31" i="8" s="1"/>
  <c r="BQ116" i="11"/>
  <c r="BL136" i="11"/>
  <c r="BK141" i="11"/>
  <c r="BK143" i="11" s="1"/>
  <c r="AA4" i="17"/>
  <c r="Z1" i="17"/>
  <c r="BK82" i="11"/>
  <c r="BL80" i="11"/>
  <c r="BI62" i="11"/>
  <c r="AY9" i="11" l="1"/>
  <c r="AY58" i="11" s="1"/>
  <c r="BN75" i="11"/>
  <c r="BM78" i="11"/>
  <c r="AL152" i="11"/>
  <c r="AL153" i="11" s="1"/>
  <c r="AL156" i="11" s="1"/>
  <c r="AM151" i="11"/>
  <c r="F19" i="2"/>
  <c r="F21" i="2" s="1"/>
  <c r="AY13" i="11"/>
  <c r="AY59" i="11"/>
  <c r="Z3" i="17"/>
  <c r="Z15" i="17"/>
  <c r="Z18" i="17" s="1"/>
  <c r="AY68" i="11" s="1"/>
  <c r="BN123" i="11"/>
  <c r="P174" i="11"/>
  <c r="Q172" i="11"/>
  <c r="Q173" i="11" s="1"/>
  <c r="C29" i="3"/>
  <c r="BL33" i="11"/>
  <c r="BK162" i="11"/>
  <c r="AB4" i="17"/>
  <c r="AA1" i="17"/>
  <c r="BL166" i="11"/>
  <c r="BL168" i="11" s="1"/>
  <c r="BM146" i="11"/>
  <c r="AZ24" i="11"/>
  <c r="AZ17" i="11" s="1"/>
  <c r="AZ15" i="11"/>
  <c r="BA36" i="11"/>
  <c r="BA37" i="11" s="1"/>
  <c r="BL124" i="11"/>
  <c r="BL127" i="11" s="1"/>
  <c r="BM118" i="11"/>
  <c r="BJ63" i="11"/>
  <c r="BJ32" i="11"/>
  <c r="BL82" i="11"/>
  <c r="BM80" i="11"/>
  <c r="BM167" i="11"/>
  <c r="BN149" i="11"/>
  <c r="CM23" i="11"/>
  <c r="I20" i="9"/>
  <c r="K20" i="9"/>
  <c r="BJ62" i="11"/>
  <c r="BL141" i="11"/>
  <c r="BL143" i="11" s="1"/>
  <c r="BL162" i="11" s="1"/>
  <c r="BM136" i="11"/>
  <c r="BM95" i="11"/>
  <c r="BL96" i="11"/>
  <c r="BL97" i="11" s="1"/>
  <c r="BR116" i="11"/>
  <c r="BM12" i="11"/>
  <c r="BA20" i="11" l="1"/>
  <c r="BA18" i="11" s="1"/>
  <c r="BA22" i="11" s="1"/>
  <c r="AY114" i="11"/>
  <c r="AY115" i="11" s="1"/>
  <c r="AY161" i="11" s="1"/>
  <c r="AZ30" i="11"/>
  <c r="AZ21" i="11"/>
  <c r="AZ31" i="11" s="1"/>
  <c r="BO123" i="11"/>
  <c r="BM33" i="11"/>
  <c r="BM82" i="11"/>
  <c r="BN80" i="11"/>
  <c r="BS116" i="11"/>
  <c r="BN12" i="11"/>
  <c r="BK32" i="11"/>
  <c r="BM166" i="11"/>
  <c r="BM168" i="11" s="1"/>
  <c r="BN146" i="11"/>
  <c r="AY61" i="11"/>
  <c r="AY93" i="11" s="1"/>
  <c r="AY43" i="11" s="1"/>
  <c r="N28" i="5"/>
  <c r="F27" i="2"/>
  <c r="F30" i="2" s="1"/>
  <c r="F32" i="2" s="1"/>
  <c r="H18" i="9"/>
  <c r="BO75" i="11"/>
  <c r="BN78" i="11"/>
  <c r="BK62" i="11"/>
  <c r="AY69" i="11"/>
  <c r="AY71" i="11" s="1"/>
  <c r="AY89" i="11" s="1"/>
  <c r="N51" i="5"/>
  <c r="BN118" i="11"/>
  <c r="BM124" i="11"/>
  <c r="BM127" i="11" s="1"/>
  <c r="BN167" i="11"/>
  <c r="BO149" i="11"/>
  <c r="AM152" i="11"/>
  <c r="AM153" i="11" s="1"/>
  <c r="AM156" i="11" s="1"/>
  <c r="AN150" i="11"/>
  <c r="N29" i="5"/>
  <c r="P29" i="5" s="1"/>
  <c r="F28" i="2"/>
  <c r="H19" i="9"/>
  <c r="BM96" i="11"/>
  <c r="BM97" i="11" s="1"/>
  <c r="BN95" i="11"/>
  <c r="CN23" i="11"/>
  <c r="AA15" i="17"/>
  <c r="AA18" i="17" s="1"/>
  <c r="AZ68" i="11" s="1"/>
  <c r="AA3" i="17"/>
  <c r="Q174" i="11"/>
  <c r="R172" i="11"/>
  <c r="R173" i="11" s="1"/>
  <c r="D29" i="3"/>
  <c r="AY65" i="11"/>
  <c r="AY38" i="11"/>
  <c r="N20" i="5"/>
  <c r="H12" i="9"/>
  <c r="BM141" i="11"/>
  <c r="BM143" i="11" s="1"/>
  <c r="BM162" i="11" s="1"/>
  <c r="BN136" i="11"/>
  <c r="BK63" i="11"/>
  <c r="AC4" i="17"/>
  <c r="AB1" i="17"/>
  <c r="F25" i="2"/>
  <c r="F33" i="2" l="1"/>
  <c r="AY91" i="11"/>
  <c r="AY92" i="11" s="1"/>
  <c r="AY98" i="11" s="1"/>
  <c r="N50" i="5"/>
  <c r="N36" i="5"/>
  <c r="N52" i="7"/>
  <c r="F35" i="2"/>
  <c r="F36" i="2" s="1"/>
  <c r="F38" i="2" s="1"/>
  <c r="H26" i="9"/>
  <c r="AD4" i="17"/>
  <c r="AC1" i="17"/>
  <c r="AY66" i="11"/>
  <c r="AY40" i="11"/>
  <c r="I19" i="9"/>
  <c r="K19" i="9"/>
  <c r="BO12" i="11"/>
  <c r="BP123" i="11"/>
  <c r="N31" i="5"/>
  <c r="P28" i="5"/>
  <c r="P31" i="5" s="1"/>
  <c r="BA16" i="11"/>
  <c r="BN33" i="11"/>
  <c r="BL63" i="11"/>
  <c r="R174" i="11"/>
  <c r="S172" i="11"/>
  <c r="S173" i="11" s="1"/>
  <c r="E29" i="3"/>
  <c r="BN141" i="11"/>
  <c r="BN143" i="11" s="1"/>
  <c r="BO136" i="11"/>
  <c r="BN124" i="11"/>
  <c r="BN127" i="11" s="1"/>
  <c r="BO118" i="11"/>
  <c r="BN166" i="11"/>
  <c r="BN168" i="11" s="1"/>
  <c r="BO146" i="11"/>
  <c r="BO95" i="11"/>
  <c r="BN96" i="11"/>
  <c r="BN97" i="11" s="1"/>
  <c r="I12" i="9"/>
  <c r="H13" i="9"/>
  <c r="K12" i="9"/>
  <c r="K13" i="9" s="1"/>
  <c r="AO150" i="11"/>
  <c r="AN152" i="11"/>
  <c r="AN153" i="11" s="1"/>
  <c r="AN156" i="11" s="1"/>
  <c r="BO78" i="11"/>
  <c r="BP75" i="11"/>
  <c r="BL32" i="11"/>
  <c r="BT116" i="11"/>
  <c r="AZ69" i="11"/>
  <c r="AZ71" i="11"/>
  <c r="AZ89" i="11" s="1"/>
  <c r="N22" i="5"/>
  <c r="P20" i="5"/>
  <c r="P22" i="5" s="1"/>
  <c r="I18" i="9"/>
  <c r="H21" i="9"/>
  <c r="I21" i="9" s="1"/>
  <c r="K18" i="9"/>
  <c r="K21" i="9" s="1"/>
  <c r="BN82" i="11"/>
  <c r="BO80" i="11"/>
  <c r="AB3" i="17"/>
  <c r="AB15" i="17"/>
  <c r="AB18" i="17" s="1"/>
  <c r="BA68" i="11" s="1"/>
  <c r="AY39" i="11"/>
  <c r="AY41" i="11"/>
  <c r="CO23" i="11"/>
  <c r="BO167" i="11"/>
  <c r="BP149" i="11"/>
  <c r="BL62" i="11"/>
  <c r="AA9" i="17"/>
  <c r="AA13" i="17" s="1"/>
  <c r="AZ60" i="11" s="1"/>
  <c r="AZ34" i="11"/>
  <c r="AZ6" i="11"/>
  <c r="AY42" i="11" l="1"/>
  <c r="AY44" i="11" s="1"/>
  <c r="K23" i="9"/>
  <c r="K24" i="9" s="1"/>
  <c r="F42" i="2"/>
  <c r="F39" i="2"/>
  <c r="BU116" i="11"/>
  <c r="BA15" i="11"/>
  <c r="BA24" i="11"/>
  <c r="BA17" i="11" s="1"/>
  <c r="BB36" i="11"/>
  <c r="BB37" i="11" s="1"/>
  <c r="I26" i="9"/>
  <c r="H27" i="9"/>
  <c r="I27" i="9" s="1"/>
  <c r="K26" i="9"/>
  <c r="K27" i="9" s="1"/>
  <c r="N37" i="5"/>
  <c r="P36" i="5"/>
  <c r="P37" i="5" s="1"/>
  <c r="T172" i="11"/>
  <c r="T173" i="11" s="1"/>
  <c r="S174" i="11"/>
  <c r="F29" i="3"/>
  <c r="AZ7" i="11"/>
  <c r="AZ8" i="11"/>
  <c r="BQ123" i="11"/>
  <c r="AO152" i="11"/>
  <c r="AO153" i="11" s="1"/>
  <c r="AO156" i="11" s="1"/>
  <c r="AP150" i="11"/>
  <c r="I13" i="9"/>
  <c r="H23" i="9"/>
  <c r="N24" i="5"/>
  <c r="P24" i="5" s="1"/>
  <c r="F23" i="2"/>
  <c r="H15" i="9"/>
  <c r="BM63" i="11"/>
  <c r="BO141" i="11"/>
  <c r="BO143" i="11" s="1"/>
  <c r="BP136" i="11"/>
  <c r="AY45" i="11"/>
  <c r="AY160" i="11"/>
  <c r="AY163" i="11" s="1"/>
  <c r="AY170" i="11" s="1"/>
  <c r="AY151" i="11"/>
  <c r="BO166" i="11"/>
  <c r="BO168" i="11" s="1"/>
  <c r="BP146" i="11"/>
  <c r="CP23" i="11"/>
  <c r="BP78" i="11"/>
  <c r="BQ75" i="11"/>
  <c r="N33" i="5"/>
  <c r="BM62" i="11"/>
  <c r="AZ91" i="11"/>
  <c r="BO96" i="11"/>
  <c r="BO97" i="11" s="1"/>
  <c r="BP95" i="11"/>
  <c r="BN162" i="11"/>
  <c r="BO33" i="11"/>
  <c r="AC15" i="17"/>
  <c r="AC18" i="17" s="1"/>
  <c r="BB68" i="11" s="1"/>
  <c r="AC3" i="17"/>
  <c r="BM32" i="11"/>
  <c r="BO124" i="11"/>
  <c r="BO127" i="11" s="1"/>
  <c r="BP118" i="11"/>
  <c r="BA69" i="11"/>
  <c r="BA71" i="11" s="1"/>
  <c r="BA89" i="11" s="1"/>
  <c r="BA91" i="11" s="1"/>
  <c r="BP167" i="11"/>
  <c r="BQ149" i="11"/>
  <c r="BO82" i="11"/>
  <c r="BP80" i="11"/>
  <c r="BP12" i="11"/>
  <c r="AE4" i="17"/>
  <c r="AD1" i="17"/>
  <c r="K29" i="9" l="1"/>
  <c r="K30" i="9" s="1"/>
  <c r="AZ9" i="11"/>
  <c r="AF4" i="17"/>
  <c r="AE1" i="17"/>
  <c r="BQ12" i="11"/>
  <c r="N34" i="5"/>
  <c r="N39" i="5"/>
  <c r="P33" i="5"/>
  <c r="BV116" i="11"/>
  <c r="BN62" i="11"/>
  <c r="U172" i="11"/>
  <c r="U173" i="11" s="1"/>
  <c r="T174" i="11"/>
  <c r="G29" i="3"/>
  <c r="BP124" i="11"/>
  <c r="BP127" i="11" s="1"/>
  <c r="BQ118" i="11"/>
  <c r="BP33" i="11"/>
  <c r="BQ146" i="11"/>
  <c r="BP166" i="11"/>
  <c r="BP168" i="11" s="1"/>
  <c r="BN63" i="11"/>
  <c r="BR123" i="11"/>
  <c r="BA30" i="11"/>
  <c r="BA21" i="11"/>
  <c r="BA31" i="11" s="1"/>
  <c r="BQ78" i="11"/>
  <c r="BR75" i="11"/>
  <c r="BP82" i="11"/>
  <c r="BQ80" i="11"/>
  <c r="AZ114" i="11"/>
  <c r="AZ115" i="11" s="1"/>
  <c r="AZ13" i="11"/>
  <c r="AZ58" i="11"/>
  <c r="AZ59" i="11"/>
  <c r="BN32" i="11"/>
  <c r="I23" i="9"/>
  <c r="H29" i="9"/>
  <c r="H24" i="9"/>
  <c r="I24" i="9" s="1"/>
  <c r="AY105" i="11"/>
  <c r="N49" i="5"/>
  <c r="H37" i="9"/>
  <c r="I37" i="9" s="1"/>
  <c r="BQ167" i="11"/>
  <c r="BR149" i="11"/>
  <c r="I15" i="9"/>
  <c r="K15" i="9"/>
  <c r="BQ95" i="11"/>
  <c r="BP96" i="11"/>
  <c r="BP97" i="11" s="1"/>
  <c r="CQ23" i="11"/>
  <c r="BP141" i="11"/>
  <c r="BP143" i="11" s="1"/>
  <c r="BQ136" i="11"/>
  <c r="AD15" i="17"/>
  <c r="AD18" i="17" s="1"/>
  <c r="BC68" i="11" s="1"/>
  <c r="AD3" i="17"/>
  <c r="BB69" i="11"/>
  <c r="BB71" i="11"/>
  <c r="BB89" i="11" s="1"/>
  <c r="BB91" i="11" s="1"/>
  <c r="BO162" i="11"/>
  <c r="AQ150" i="11"/>
  <c r="AP152" i="11"/>
  <c r="AP153" i="11" s="1"/>
  <c r="AP156" i="11" s="1"/>
  <c r="BB20" i="11"/>
  <c r="F44" i="2"/>
  <c r="F43" i="2"/>
  <c r="K33" i="9" l="1"/>
  <c r="K34" i="9" s="1"/>
  <c r="BC69" i="11"/>
  <c r="BC71" i="11" s="1"/>
  <c r="BC89" i="11" s="1"/>
  <c r="U174" i="11"/>
  <c r="V172" i="11"/>
  <c r="V173" i="11" s="1"/>
  <c r="H29" i="3"/>
  <c r="AZ161" i="11"/>
  <c r="BQ82" i="11"/>
  <c r="BR80" i="11"/>
  <c r="AB9" i="17"/>
  <c r="AB13" i="17" s="1"/>
  <c r="BA60" i="11" s="1"/>
  <c r="BA34" i="11"/>
  <c r="BA6" i="11"/>
  <c r="BR12" i="11"/>
  <c r="BQ96" i="11"/>
  <c r="BQ97" i="11" s="1"/>
  <c r="BR95" i="11"/>
  <c r="AR150" i="11"/>
  <c r="AQ152" i="11"/>
  <c r="AQ153" i="11" s="1"/>
  <c r="AQ156" i="11" s="1"/>
  <c r="CR23" i="11"/>
  <c r="BR167" i="11"/>
  <c r="BS149" i="11"/>
  <c r="BR146" i="11"/>
  <c r="BQ166" i="11"/>
  <c r="BQ168" i="11" s="1"/>
  <c r="I29" i="9"/>
  <c r="H33" i="9"/>
  <c r="H30" i="9"/>
  <c r="I30" i="9" s="1"/>
  <c r="BO62" i="11"/>
  <c r="BO32" i="11"/>
  <c r="BQ33" i="11"/>
  <c r="BW116" i="11"/>
  <c r="AY111" i="11"/>
  <c r="BR78" i="11"/>
  <c r="BS75" i="11"/>
  <c r="BS123" i="11"/>
  <c r="BQ124" i="11"/>
  <c r="BQ127" i="11" s="1"/>
  <c r="BR118" i="11"/>
  <c r="AE15" i="17"/>
  <c r="AE18" i="17" s="1"/>
  <c r="BD68" i="11" s="1"/>
  <c r="AE3" i="17"/>
  <c r="AG4" i="17"/>
  <c r="AF1" i="17"/>
  <c r="BO63" i="11"/>
  <c r="BQ141" i="11"/>
  <c r="BQ143" i="11" s="1"/>
  <c r="BQ162" i="11" s="1"/>
  <c r="BR136" i="11"/>
  <c r="AZ61" i="11"/>
  <c r="AZ93" i="11" s="1"/>
  <c r="P34" i="5"/>
  <c r="P39" i="5"/>
  <c r="BB18" i="11"/>
  <c r="BB22" i="11" s="1"/>
  <c r="BP162" i="11"/>
  <c r="AZ38" i="11"/>
  <c r="N40" i="5"/>
  <c r="N43" i="5"/>
  <c r="N44" i="5" s="1"/>
  <c r="BC91" i="11" l="1"/>
  <c r="AZ43" i="11"/>
  <c r="BS136" i="11"/>
  <c r="BR141" i="11"/>
  <c r="BR143" i="11" s="1"/>
  <c r="BR162" i="11" s="1"/>
  <c r="BR166" i="11"/>
  <c r="BR168" i="11" s="1"/>
  <c r="BS146" i="11"/>
  <c r="BS118" i="11"/>
  <c r="BR124" i="11"/>
  <c r="BR127" i="11" s="1"/>
  <c r="AY112" i="11"/>
  <c r="N46" i="5" s="1"/>
  <c r="AY128" i="11"/>
  <c r="AY129" i="11" s="1"/>
  <c r="BP62" i="11"/>
  <c r="BS167" i="11"/>
  <c r="BT149" i="11"/>
  <c r="BD69" i="11"/>
  <c r="BD71" i="11" s="1"/>
  <c r="BD89" i="11" s="1"/>
  <c r="BD91" i="11" s="1"/>
  <c r="AZ41" i="11"/>
  <c r="AZ39" i="11"/>
  <c r="AZ65" i="11"/>
  <c r="BB16" i="11"/>
  <c r="BR96" i="11"/>
  <c r="BR97" i="11" s="1"/>
  <c r="BS95" i="11"/>
  <c r="BS12" i="11"/>
  <c r="BP63" i="11"/>
  <c r="BT123" i="11"/>
  <c r="BX116" i="11"/>
  <c r="CS23" i="11"/>
  <c r="BA7" i="11"/>
  <c r="BA8" i="11"/>
  <c r="V174" i="11"/>
  <c r="W172" i="11"/>
  <c r="W173" i="11" s="1"/>
  <c r="I29" i="3"/>
  <c r="I33" i="9"/>
  <c r="H34" i="9"/>
  <c r="I34" i="9" s="1"/>
  <c r="BT75" i="11"/>
  <c r="BS78" i="11"/>
  <c r="BP32" i="11"/>
  <c r="P43" i="5"/>
  <c r="P44" i="5" s="1"/>
  <c r="P40" i="5"/>
  <c r="AF15" i="17"/>
  <c r="AF18" i="17" s="1"/>
  <c r="BE68" i="11" s="1"/>
  <c r="AF3" i="17"/>
  <c r="AG1" i="17"/>
  <c r="AH4" i="17"/>
  <c r="BR33" i="11"/>
  <c r="AR152" i="11"/>
  <c r="AR153" i="11" s="1"/>
  <c r="AR156" i="11" s="1"/>
  <c r="AS150" i="11"/>
  <c r="BR82" i="11"/>
  <c r="BS80" i="11"/>
  <c r="BA9" i="11" l="1"/>
  <c r="BA114" i="11" s="1"/>
  <c r="BA115" i="11" s="1"/>
  <c r="BT78" i="11"/>
  <c r="BU75" i="11"/>
  <c r="BQ63" i="11"/>
  <c r="BB15" i="11"/>
  <c r="BB24" i="11"/>
  <c r="BB17" i="11" s="1"/>
  <c r="BC36" i="11"/>
  <c r="BC37" i="11" s="1"/>
  <c r="BQ62" i="11"/>
  <c r="BE69" i="11"/>
  <c r="BE71" i="11" s="1"/>
  <c r="BE89" i="11" s="1"/>
  <c r="AZ92" i="11"/>
  <c r="AZ98" i="11" s="1"/>
  <c r="AZ40" i="11"/>
  <c r="AZ42" i="11" s="1"/>
  <c r="AZ44" i="11" s="1"/>
  <c r="AZ66" i="11"/>
  <c r="BT136" i="11"/>
  <c r="BS141" i="11"/>
  <c r="BS143" i="11" s="1"/>
  <c r="BS162" i="11" s="1"/>
  <c r="N54" i="5"/>
  <c r="N52" i="5"/>
  <c r="BY116" i="11"/>
  <c r="BT12" i="11"/>
  <c r="BS33" i="11"/>
  <c r="BQ32" i="11"/>
  <c r="W174" i="11"/>
  <c r="X172" i="11"/>
  <c r="X173" i="11" s="1"/>
  <c r="J29" i="3"/>
  <c r="BS96" i="11"/>
  <c r="BS97" i="11" s="1"/>
  <c r="BT95" i="11"/>
  <c r="BS124" i="11"/>
  <c r="BS127" i="11" s="1"/>
  <c r="BT118" i="11"/>
  <c r="AT150" i="11"/>
  <c r="AS152" i="11"/>
  <c r="AS153" i="11" s="1"/>
  <c r="AS156" i="11" s="1"/>
  <c r="CT23" i="11"/>
  <c r="BS82" i="11"/>
  <c r="BT80" i="11"/>
  <c r="AI4" i="17"/>
  <c r="AH1" i="17"/>
  <c r="BT167" i="11"/>
  <c r="BU149" i="11"/>
  <c r="BS166" i="11"/>
  <c r="BS168" i="11" s="1"/>
  <c r="BT146" i="11"/>
  <c r="AG15" i="17"/>
  <c r="AG18" i="17" s="1"/>
  <c r="BF68" i="11" s="1"/>
  <c r="AG3" i="17"/>
  <c r="BU123" i="11"/>
  <c r="BA59" i="11" l="1"/>
  <c r="BA58" i="11"/>
  <c r="BA13" i="11"/>
  <c r="BE91" i="11"/>
  <c r="BT166" i="11"/>
  <c r="BT168" i="11" s="1"/>
  <c r="BU146" i="11"/>
  <c r="BU167" i="11"/>
  <c r="BV149" i="11"/>
  <c r="BC20" i="11"/>
  <c r="BT96" i="11"/>
  <c r="BT97" i="11" s="1"/>
  <c r="BU95" i="11"/>
  <c r="BU78" i="11"/>
  <c r="BV75" i="11"/>
  <c r="BT141" i="11"/>
  <c r="BT143" i="11" s="1"/>
  <c r="BT162" i="11" s="1"/>
  <c r="BU136" i="11"/>
  <c r="CU23" i="11"/>
  <c r="BU12" i="11"/>
  <c r="BZ116" i="11"/>
  <c r="BR62" i="11"/>
  <c r="AH15" i="17"/>
  <c r="AH18" i="17" s="1"/>
  <c r="BG68" i="11" s="1"/>
  <c r="AH3" i="17"/>
  <c r="AZ45" i="11"/>
  <c r="BR32" i="11"/>
  <c r="BB30" i="11"/>
  <c r="BB21" i="11"/>
  <c r="BB31" i="11" s="1"/>
  <c r="BV123" i="11"/>
  <c r="AI1" i="17"/>
  <c r="AJ4" i="17"/>
  <c r="BT124" i="11"/>
  <c r="BT127" i="11" s="1"/>
  <c r="BU118" i="11"/>
  <c r="BR63" i="11"/>
  <c r="BA38" i="11"/>
  <c r="Y172" i="11"/>
  <c r="Y173" i="11" s="1"/>
  <c r="X174" i="11"/>
  <c r="K29" i="3"/>
  <c r="AU150" i="11"/>
  <c r="AT152" i="11"/>
  <c r="AT153" i="11" s="1"/>
  <c r="AT156" i="11" s="1"/>
  <c r="AZ160" i="11"/>
  <c r="AZ163" i="11" s="1"/>
  <c r="AZ170" i="11" s="1"/>
  <c r="AZ105" i="11" s="1"/>
  <c r="AZ151" i="11"/>
  <c r="BF69" i="11"/>
  <c r="BF71" i="11" s="1"/>
  <c r="BF89" i="11" s="1"/>
  <c r="BF91" i="11" s="1"/>
  <c r="BT82" i="11"/>
  <c r="BU80" i="11"/>
  <c r="BT33" i="11"/>
  <c r="BA161" i="11"/>
  <c r="BA61" i="11" l="1"/>
  <c r="BA93" i="11" s="1"/>
  <c r="BA43" i="11" s="1"/>
  <c r="BW75" i="11"/>
  <c r="BV78" i="11"/>
  <c r="AZ111" i="11"/>
  <c r="BS32" i="11"/>
  <c r="AU152" i="11"/>
  <c r="AU153" i="11" s="1"/>
  <c r="AU156" i="11" s="1"/>
  <c r="AV150" i="11"/>
  <c r="BV118" i="11"/>
  <c r="BU124" i="11"/>
  <c r="BU127" i="11" s="1"/>
  <c r="CA116" i="11"/>
  <c r="BU141" i="11"/>
  <c r="BU143" i="11" s="1"/>
  <c r="BU162" i="11" s="1"/>
  <c r="BV136" i="11"/>
  <c r="BS63" i="11"/>
  <c r="BU82" i="11"/>
  <c r="BV80" i="11"/>
  <c r="BV12" i="11"/>
  <c r="BU166" i="11"/>
  <c r="BU168" i="11" s="1"/>
  <c r="BV146" i="11"/>
  <c r="AC9" i="17"/>
  <c r="AC13" i="17" s="1"/>
  <c r="BB60" i="11" s="1"/>
  <c r="BB34" i="11"/>
  <c r="BB6" i="11"/>
  <c r="BU33" i="11"/>
  <c r="BU96" i="11"/>
  <c r="BU97" i="11" s="1"/>
  <c r="BV95" i="11"/>
  <c r="Y174" i="11"/>
  <c r="Z172" i="11"/>
  <c r="Z173" i="11" s="1"/>
  <c r="L29" i="3"/>
  <c r="BV167" i="11"/>
  <c r="BW149" i="11"/>
  <c r="AK4" i="17"/>
  <c r="AJ1" i="17"/>
  <c r="AI15" i="17"/>
  <c r="AI18" i="17" s="1"/>
  <c r="BH68" i="11" s="1"/>
  <c r="AI3" i="17"/>
  <c r="BG69" i="11"/>
  <c r="BG71" i="11" s="1"/>
  <c r="BG89" i="11" s="1"/>
  <c r="BG91" i="11" s="1"/>
  <c r="BA41" i="11"/>
  <c r="BA39" i="11"/>
  <c r="BW123" i="11"/>
  <c r="BS62" i="11"/>
  <c r="CV23" i="11"/>
  <c r="BC18" i="11"/>
  <c r="BC22" i="11" s="1"/>
  <c r="BA65" i="11" l="1"/>
  <c r="BA92" i="11" s="1"/>
  <c r="BA98" i="11" s="1"/>
  <c r="BA40" i="11"/>
  <c r="BA42" i="11" s="1"/>
  <c r="BA44" i="11" s="1"/>
  <c r="BA66" i="11"/>
  <c r="BV166" i="11"/>
  <c r="BV168" i="11" s="1"/>
  <c r="BW146" i="11"/>
  <c r="BV33" i="11"/>
  <c r="CB116" i="11"/>
  <c r="BT62" i="11"/>
  <c r="BH69" i="11"/>
  <c r="BH71" i="11"/>
  <c r="BH89" i="11" s="1"/>
  <c r="BH91" i="11" s="1"/>
  <c r="BX123" i="11"/>
  <c r="AJ15" i="17"/>
  <c r="AJ18" i="17" s="1"/>
  <c r="BI68" i="11" s="1"/>
  <c r="AJ3" i="17"/>
  <c r="AA172" i="11"/>
  <c r="AA173" i="11" s="1"/>
  <c r="Z174" i="11"/>
  <c r="M29" i="3"/>
  <c r="BB8" i="11"/>
  <c r="BB7" i="11"/>
  <c r="BV82" i="11"/>
  <c r="BW80" i="11"/>
  <c r="AZ112" i="11"/>
  <c r="AZ128" i="11"/>
  <c r="AZ129" i="11" s="1"/>
  <c r="BA160" i="11"/>
  <c r="BA163" i="11" s="1"/>
  <c r="BA170" i="11" s="1"/>
  <c r="BA105" i="11" s="1"/>
  <c r="BA151" i="11"/>
  <c r="AL4" i="17"/>
  <c r="AK1" i="17"/>
  <c r="BV141" i="11"/>
  <c r="BV143" i="11" s="1"/>
  <c r="BV162" i="11" s="1"/>
  <c r="BW136" i="11"/>
  <c r="BW12" i="11"/>
  <c r="BC16" i="11"/>
  <c r="BX149" i="11"/>
  <c r="BW167" i="11"/>
  <c r="BT63" i="11"/>
  <c r="BV124" i="11"/>
  <c r="BV127" i="11" s="1"/>
  <c r="BW118" i="11"/>
  <c r="CW23" i="11"/>
  <c r="BT32" i="11"/>
  <c r="BV96" i="11"/>
  <c r="BV97" i="11" s="1"/>
  <c r="BW95" i="11"/>
  <c r="AV152" i="11"/>
  <c r="AV153" i="11" s="1"/>
  <c r="AV156" i="11" s="1"/>
  <c r="AW150" i="11"/>
  <c r="BW78" i="11"/>
  <c r="BX75" i="11"/>
  <c r="BB9" i="11" l="1"/>
  <c r="BB114" i="11" s="1"/>
  <c r="BB115" i="11" s="1"/>
  <c r="BA45" i="11"/>
  <c r="BW141" i="11"/>
  <c r="BW143" i="11" s="1"/>
  <c r="BW162" i="11" s="1"/>
  <c r="BX136" i="11"/>
  <c r="CC116" i="11"/>
  <c r="BI69" i="11"/>
  <c r="BI71" i="11" s="1"/>
  <c r="BI89" i="11" s="1"/>
  <c r="BI91" i="11" s="1"/>
  <c r="BW82" i="11"/>
  <c r="BX80" i="11"/>
  <c r="BU32" i="11"/>
  <c r="BU63" i="11"/>
  <c r="BW166" i="11"/>
  <c r="BW168" i="11" s="1"/>
  <c r="BX146" i="11"/>
  <c r="AK15" i="17"/>
  <c r="AK18" i="17" s="1"/>
  <c r="BJ68" i="11" s="1"/>
  <c r="AK3" i="17"/>
  <c r="BY123" i="11"/>
  <c r="BX167" i="11"/>
  <c r="BY149" i="11"/>
  <c r="CX23" i="11"/>
  <c r="BA111" i="11"/>
  <c r="BW96" i="11"/>
  <c r="BW97" i="11" s="1"/>
  <c r="BX95" i="11"/>
  <c r="BW124" i="11"/>
  <c r="BW127" i="11" s="1"/>
  <c r="BX118" i="11"/>
  <c r="BX12" i="11"/>
  <c r="BX78" i="11"/>
  <c r="BY75" i="11"/>
  <c r="AL1" i="17"/>
  <c r="AM4" i="17"/>
  <c r="BW33" i="11"/>
  <c r="AW152" i="11"/>
  <c r="AW153" i="11" s="1"/>
  <c r="AW156" i="11" s="1"/>
  <c r="AX150" i="11"/>
  <c r="BC24" i="11"/>
  <c r="BC17" i="11" s="1"/>
  <c r="BC15" i="11"/>
  <c r="BD36" i="11"/>
  <c r="BD37" i="11" s="1"/>
  <c r="AB172" i="11"/>
  <c r="AB173" i="11" s="1"/>
  <c r="AA174" i="11"/>
  <c r="N29" i="3"/>
  <c r="BU62" i="11"/>
  <c r="BB58" i="11" l="1"/>
  <c r="BB13" i="11"/>
  <c r="BB38" i="11" s="1"/>
  <c r="BB59" i="11"/>
  <c r="BD20" i="11"/>
  <c r="BD18" i="11" s="1"/>
  <c r="BD22" i="11" s="1"/>
  <c r="BX96" i="11"/>
  <c r="BX97" i="11" s="1"/>
  <c r="BY95" i="11"/>
  <c r="BV63" i="11"/>
  <c r="BV32" i="11"/>
  <c r="BV62" i="11"/>
  <c r="BA112" i="11"/>
  <c r="BA128" i="11"/>
  <c r="BA129" i="11" s="1"/>
  <c r="BY78" i="11"/>
  <c r="BZ75" i="11"/>
  <c r="BX141" i="11"/>
  <c r="BX143" i="11" s="1"/>
  <c r="BY136" i="11"/>
  <c r="AX152" i="11"/>
  <c r="AX153" i="11" s="1"/>
  <c r="AX156" i="11" s="1"/>
  <c r="AY150" i="11"/>
  <c r="BJ69" i="11"/>
  <c r="BJ71" i="11" s="1"/>
  <c r="BJ89" i="11" s="1"/>
  <c r="BJ91" i="11" s="1"/>
  <c r="BX82" i="11"/>
  <c r="BY80" i="11"/>
  <c r="BY12" i="11"/>
  <c r="CY23" i="11"/>
  <c r="BX166" i="11"/>
  <c r="BX168" i="11" s="1"/>
  <c r="BY146" i="11"/>
  <c r="BZ123" i="11"/>
  <c r="AB174" i="11"/>
  <c r="AC172" i="11"/>
  <c r="AC173" i="11" s="1"/>
  <c r="C48" i="7"/>
  <c r="BX33" i="11"/>
  <c r="AM1" i="17"/>
  <c r="AN4" i="17"/>
  <c r="BY118" i="11"/>
  <c r="BX124" i="11"/>
  <c r="BX127" i="11" s="1"/>
  <c r="BY167" i="11"/>
  <c r="BZ149" i="11"/>
  <c r="CD116" i="11"/>
  <c r="BC30" i="11"/>
  <c r="BC21" i="11"/>
  <c r="BC31" i="11" s="1"/>
  <c r="AL15" i="17"/>
  <c r="AL18" i="17" s="1"/>
  <c r="BK68" i="11" s="1"/>
  <c r="AL3" i="17"/>
  <c r="BB161" i="11"/>
  <c r="BB61" i="11" l="1"/>
  <c r="BB93" i="11" s="1"/>
  <c r="BB43" i="11" s="1"/>
  <c r="BW32" i="11"/>
  <c r="C55" i="7"/>
  <c r="C53" i="7"/>
  <c r="CZ23" i="11"/>
  <c r="BZ78" i="11"/>
  <c r="CA75" i="11"/>
  <c r="BY82" i="11"/>
  <c r="BZ80" i="11"/>
  <c r="BZ167" i="11"/>
  <c r="CA149" i="11"/>
  <c r="BW62" i="11"/>
  <c r="BY33" i="11"/>
  <c r="AD9" i="17"/>
  <c r="AD13" i="17" s="1"/>
  <c r="BC60" i="11" s="1"/>
  <c r="BC34" i="11"/>
  <c r="BC6" i="11"/>
  <c r="CE116" i="11"/>
  <c r="BY124" i="11"/>
  <c r="BY127" i="11" s="1"/>
  <c r="BZ118" i="11"/>
  <c r="AD172" i="11"/>
  <c r="AD173" i="11" s="1"/>
  <c r="AC174" i="11"/>
  <c r="D48" i="7"/>
  <c r="AZ150" i="11"/>
  <c r="AY152" i="11"/>
  <c r="AY153" i="11" s="1"/>
  <c r="AY156" i="11" s="1"/>
  <c r="BW63" i="11"/>
  <c r="AO4" i="17"/>
  <c r="AN1" i="17"/>
  <c r="AM3" i="17"/>
  <c r="AM15" i="17"/>
  <c r="AM18" i="17" s="1"/>
  <c r="BL68" i="11" s="1"/>
  <c r="BY141" i="11"/>
  <c r="BY143" i="11" s="1"/>
  <c r="BY162" i="11" s="1"/>
  <c r="BZ136" i="11"/>
  <c r="BD16" i="11"/>
  <c r="BY166" i="11"/>
  <c r="BY168" i="11" s="1"/>
  <c r="BZ146" i="11"/>
  <c r="CA123" i="11"/>
  <c r="BZ12" i="11"/>
  <c r="BK69" i="11"/>
  <c r="BK71" i="11" s="1"/>
  <c r="BK89" i="11" s="1"/>
  <c r="BK91" i="11" s="1"/>
  <c r="BB39" i="11"/>
  <c r="BB41" i="11"/>
  <c r="BX162" i="11"/>
  <c r="BY96" i="11"/>
  <c r="BY97" i="11" s="1"/>
  <c r="BZ95" i="11"/>
  <c r="BB65" i="11" l="1"/>
  <c r="CB123" i="11"/>
  <c r="CA136" i="11"/>
  <c r="BZ141" i="11"/>
  <c r="BZ143" i="11" s="1"/>
  <c r="BX63" i="11"/>
  <c r="CF116" i="11"/>
  <c r="BX62" i="11"/>
  <c r="DA23" i="11"/>
  <c r="BB92" i="11"/>
  <c r="BB98" i="11" s="1"/>
  <c r="BB66" i="11"/>
  <c r="BB40" i="11"/>
  <c r="BL69" i="11"/>
  <c r="BL71" i="11" s="1"/>
  <c r="BL89" i="11" s="1"/>
  <c r="BA150" i="11"/>
  <c r="AZ152" i="11"/>
  <c r="AZ153" i="11" s="1"/>
  <c r="AZ156" i="11" s="1"/>
  <c r="BC8" i="11"/>
  <c r="BC7" i="11"/>
  <c r="BC9" i="11" s="1"/>
  <c r="CA167" i="11"/>
  <c r="CB149" i="11"/>
  <c r="D55" i="7"/>
  <c r="D53" i="7"/>
  <c r="CA146" i="11"/>
  <c r="BZ166" i="11"/>
  <c r="BZ168" i="11" s="1"/>
  <c r="AN3" i="17"/>
  <c r="AN15" i="17"/>
  <c r="AN18" i="17" s="1"/>
  <c r="BM68" i="11" s="1"/>
  <c r="BZ82" i="11"/>
  <c r="CA80" i="11"/>
  <c r="AO1" i="17"/>
  <c r="AP4" i="17"/>
  <c r="AE172" i="11"/>
  <c r="AE173" i="11" s="1"/>
  <c r="AD174" i="11"/>
  <c r="E48" i="7"/>
  <c r="C36" i="9"/>
  <c r="BX32" i="11"/>
  <c r="CA118" i="11"/>
  <c r="BZ124" i="11"/>
  <c r="BZ127" i="11" s="1"/>
  <c r="BZ96" i="11"/>
  <c r="BZ97" i="11" s="1"/>
  <c r="CA95" i="11"/>
  <c r="CA12" i="11"/>
  <c r="BD24" i="11"/>
  <c r="BD17" i="11" s="1"/>
  <c r="BD15" i="11"/>
  <c r="BE36" i="11"/>
  <c r="BE37" i="11" s="1"/>
  <c r="BZ33" i="11"/>
  <c r="CA78" i="11"/>
  <c r="CB75" i="11"/>
  <c r="CB12" i="11" l="1"/>
  <c r="BL91" i="11"/>
  <c r="BB151" i="11"/>
  <c r="BB160" i="11"/>
  <c r="BB163" i="11" s="1"/>
  <c r="BB170" i="11" s="1"/>
  <c r="BB105" i="11" s="1"/>
  <c r="BY63" i="11"/>
  <c r="CB95" i="11"/>
  <c r="CA96" i="11"/>
  <c r="CA97" i="11" s="1"/>
  <c r="BC114" i="11"/>
  <c r="BC115" i="11" s="1"/>
  <c r="BC13" i="11"/>
  <c r="BC59" i="11"/>
  <c r="BC58" i="11"/>
  <c r="AE174" i="11"/>
  <c r="AF172" i="11"/>
  <c r="AF173" i="11" s="1"/>
  <c r="F48" i="7"/>
  <c r="BE20" i="11"/>
  <c r="AQ4" i="17"/>
  <c r="AP1" i="17"/>
  <c r="CA166" i="11"/>
  <c r="CA168" i="11" s="1"/>
  <c r="CB146" i="11"/>
  <c r="DB23" i="11"/>
  <c r="BZ162" i="11"/>
  <c r="E55" i="7"/>
  <c r="E53" i="7"/>
  <c r="BB42" i="11"/>
  <c r="BB44" i="11" s="1"/>
  <c r="BB45" i="11"/>
  <c r="CA124" i="11"/>
  <c r="CA127" i="11" s="1"/>
  <c r="CB118" i="11"/>
  <c r="BM69" i="11"/>
  <c r="BM71" i="11" s="1"/>
  <c r="BM89" i="11" s="1"/>
  <c r="CB78" i="11"/>
  <c r="CC75" i="11"/>
  <c r="AO15" i="17"/>
  <c r="AO18" i="17" s="1"/>
  <c r="BN68" i="11" s="1"/>
  <c r="AO3" i="17"/>
  <c r="CA141" i="11"/>
  <c r="CA143" i="11" s="1"/>
  <c r="CA162" i="11" s="1"/>
  <c r="CB136" i="11"/>
  <c r="BB150" i="11"/>
  <c r="BA152" i="11"/>
  <c r="BA153" i="11" s="1"/>
  <c r="BA156" i="11" s="1"/>
  <c r="BY62" i="11"/>
  <c r="CA33" i="11"/>
  <c r="CB167" i="11"/>
  <c r="CC149" i="11"/>
  <c r="CG116" i="11"/>
  <c r="BD30" i="11"/>
  <c r="BD21" i="11"/>
  <c r="BD31" i="11" s="1"/>
  <c r="BY32" i="11"/>
  <c r="CA82" i="11"/>
  <c r="CB80" i="11"/>
  <c r="CC123" i="11"/>
  <c r="BM91" i="11" l="1"/>
  <c r="CB166" i="11"/>
  <c r="CB168" i="11" s="1"/>
  <c r="CC146" i="11"/>
  <c r="AP15" i="17"/>
  <c r="AP18" i="17" s="1"/>
  <c r="BO68" i="11" s="1"/>
  <c r="AP3" i="17"/>
  <c r="BC65" i="11"/>
  <c r="BC38" i="11"/>
  <c r="BN71" i="11"/>
  <c r="BN89" i="11" s="1"/>
  <c r="BN91" i="11" s="1"/>
  <c r="BN69" i="11"/>
  <c r="CB82" i="11"/>
  <c r="CC80" i="11"/>
  <c r="BZ62" i="11"/>
  <c r="BC61" i="11"/>
  <c r="BC93" i="11" s="1"/>
  <c r="CH116" i="11"/>
  <c r="CD123" i="11"/>
  <c r="CB141" i="11"/>
  <c r="CB143" i="11" s="1"/>
  <c r="CB162" i="11" s="1"/>
  <c r="CC136" i="11"/>
  <c r="F55" i="7"/>
  <c r="F53" i="7"/>
  <c r="BB111" i="11"/>
  <c r="AE9" i="17"/>
  <c r="AE13" i="17" s="1"/>
  <c r="BD60" i="11" s="1"/>
  <c r="BD34" i="11"/>
  <c r="BD6" i="11"/>
  <c r="CC78" i="11"/>
  <c r="CD75" i="11"/>
  <c r="BZ32" i="11"/>
  <c r="CC167" i="11"/>
  <c r="CD149" i="11"/>
  <c r="CB124" i="11"/>
  <c r="CB127" i="11" s="1"/>
  <c r="CC118" i="11"/>
  <c r="DC23" i="11"/>
  <c r="AG172" i="11"/>
  <c r="AG173" i="11" s="1"/>
  <c r="AF174" i="11"/>
  <c r="G48" i="7"/>
  <c r="CC95" i="11"/>
  <c r="CB96" i="11"/>
  <c r="CB97" i="11" s="1"/>
  <c r="AR4" i="17"/>
  <c r="AQ1" i="17"/>
  <c r="BC150" i="11"/>
  <c r="BB152" i="11"/>
  <c r="BB153" i="11" s="1"/>
  <c r="BE18" i="11"/>
  <c r="BE22" i="11" s="1"/>
  <c r="BC161" i="11"/>
  <c r="CB33" i="11"/>
  <c r="BZ63" i="11"/>
  <c r="CC12" i="11"/>
  <c r="BC92" i="11" l="1"/>
  <c r="BC98" i="11" s="1"/>
  <c r="BC66" i="11"/>
  <c r="BC40" i="11"/>
  <c r="CC33" i="11"/>
  <c r="BD8" i="11"/>
  <c r="BD7" i="11"/>
  <c r="BD9" i="11" s="1"/>
  <c r="BO69" i="11"/>
  <c r="BO71" i="11" s="1"/>
  <c r="BO89" i="11" s="1"/>
  <c r="CD118" i="11"/>
  <c r="CC124" i="11"/>
  <c r="CC127" i="11" s="1"/>
  <c r="CC141" i="11"/>
  <c r="CC143" i="11" s="1"/>
  <c r="CC162" i="11" s="1"/>
  <c r="CD136" i="11"/>
  <c r="CA62" i="11"/>
  <c r="CD167" i="11"/>
  <c r="CE149" i="11"/>
  <c r="CC82" i="11"/>
  <c r="CD80" i="11"/>
  <c r="AQ15" i="17"/>
  <c r="AQ18" i="17" s="1"/>
  <c r="BP68" i="11" s="1"/>
  <c r="AQ3" i="17"/>
  <c r="CE75" i="11"/>
  <c r="CD78" i="11"/>
  <c r="BE16" i="11"/>
  <c r="CC96" i="11"/>
  <c r="CC97" i="11" s="1"/>
  <c r="CD95" i="11"/>
  <c r="CE123" i="11"/>
  <c r="G55" i="7"/>
  <c r="G53" i="7"/>
  <c r="CA32" i="11"/>
  <c r="CC166" i="11"/>
  <c r="CC168" i="11" s="1"/>
  <c r="CD146" i="11"/>
  <c r="CD12" i="11"/>
  <c r="BD150" i="11"/>
  <c r="AG174" i="11"/>
  <c r="AH172" i="11"/>
  <c r="AH173" i="11" s="1"/>
  <c r="H48" i="7"/>
  <c r="D36" i="9"/>
  <c r="BB112" i="11"/>
  <c r="BB128" i="11"/>
  <c r="BB129" i="11" s="1"/>
  <c r="BB156" i="11" s="1"/>
  <c r="CI116" i="11"/>
  <c r="CA63" i="11"/>
  <c r="AS4" i="17"/>
  <c r="AR1" i="17"/>
  <c r="DD23" i="11"/>
  <c r="BC43" i="11"/>
  <c r="BC45" i="11" s="1"/>
  <c r="BC39" i="11"/>
  <c r="BC41" i="11"/>
  <c r="BD114" i="11" l="1"/>
  <c r="BD115" i="11" s="1"/>
  <c r="BD13" i="11"/>
  <c r="BD58" i="11"/>
  <c r="BD59" i="11"/>
  <c r="BO91" i="11"/>
  <c r="CB63" i="11"/>
  <c r="AI172" i="11"/>
  <c r="AI173" i="11" s="1"/>
  <c r="AH174" i="11"/>
  <c r="I48" i="7"/>
  <c r="BP69" i="11"/>
  <c r="BP71" i="11"/>
  <c r="BP89" i="11" s="1"/>
  <c r="BP91" i="11" s="1"/>
  <c r="CD96" i="11"/>
  <c r="CD97" i="11" s="1"/>
  <c r="CE95" i="11"/>
  <c r="CD33" i="11"/>
  <c r="CB32" i="11"/>
  <c r="CD82" i="11"/>
  <c r="CE80" i="11"/>
  <c r="BE150" i="11"/>
  <c r="CE118" i="11"/>
  <c r="CD124" i="11"/>
  <c r="CD127" i="11" s="1"/>
  <c r="BC42" i="11"/>
  <c r="BC44" i="11" s="1"/>
  <c r="CE78" i="11"/>
  <c r="CF75" i="11"/>
  <c r="DE23" i="11"/>
  <c r="BE24" i="11"/>
  <c r="BE17" i="11" s="1"/>
  <c r="BE15" i="11"/>
  <c r="BF36" i="11"/>
  <c r="BF37" i="11" s="1"/>
  <c r="CF149" i="11"/>
  <c r="CE167" i="11"/>
  <c r="CB62" i="11"/>
  <c r="H55" i="7"/>
  <c r="H53" i="7"/>
  <c r="CF123" i="11"/>
  <c r="CD166" i="11"/>
  <c r="CD168" i="11" s="1"/>
  <c r="CE146" i="11"/>
  <c r="CD141" i="11"/>
  <c r="CD143" i="11" s="1"/>
  <c r="CE136" i="11"/>
  <c r="CJ116" i="11"/>
  <c r="AR15" i="17"/>
  <c r="AR18" i="17" s="1"/>
  <c r="BQ68" i="11" s="1"/>
  <c r="AR3" i="17"/>
  <c r="AT4" i="17"/>
  <c r="AS1" i="17"/>
  <c r="CE12" i="11"/>
  <c r="BC160" i="11"/>
  <c r="BC163" i="11" s="1"/>
  <c r="BC170" i="11" s="1"/>
  <c r="BC105" i="11" s="1"/>
  <c r="BC151" i="11"/>
  <c r="BC152" i="11" s="1"/>
  <c r="BC153" i="11" s="1"/>
  <c r="BD61" i="11" l="1"/>
  <c r="BD93" i="11" s="1"/>
  <c r="BD43" i="11" s="1"/>
  <c r="BF20" i="11"/>
  <c r="BF18" i="11" s="1"/>
  <c r="BF22" i="11" s="1"/>
  <c r="BC111" i="11"/>
  <c r="CK116" i="11"/>
  <c r="CE33" i="11"/>
  <c r="I55" i="7"/>
  <c r="I53" i="7"/>
  <c r="CF12" i="11"/>
  <c r="CE141" i="11"/>
  <c r="CE143" i="11" s="1"/>
  <c r="CF136" i="11"/>
  <c r="CE124" i="11"/>
  <c r="CE127" i="11" s="1"/>
  <c r="CF118" i="11"/>
  <c r="BD38" i="11"/>
  <c r="CD162" i="11"/>
  <c r="CC62" i="11"/>
  <c r="DF23" i="11"/>
  <c r="AS15" i="17"/>
  <c r="AS18" i="17" s="1"/>
  <c r="BR68" i="11" s="1"/>
  <c r="AS3" i="17"/>
  <c r="BF150" i="11"/>
  <c r="CE96" i="11"/>
  <c r="CE97" i="11" s="1"/>
  <c r="CF95" i="11"/>
  <c r="AU4" i="17"/>
  <c r="AT1" i="17"/>
  <c r="CE166" i="11"/>
  <c r="CE168" i="11" s="1"/>
  <c r="CF146" i="11"/>
  <c r="CF78" i="11"/>
  <c r="CG75" i="11"/>
  <c r="CE82" i="11"/>
  <c r="CF80" i="11"/>
  <c r="CC63" i="11"/>
  <c r="CG149" i="11"/>
  <c r="CF167" i="11"/>
  <c r="BQ69" i="11"/>
  <c r="BQ71" i="11" s="1"/>
  <c r="BQ89" i="11" s="1"/>
  <c r="BQ91" i="11" s="1"/>
  <c r="CC32" i="11"/>
  <c r="CG123" i="11"/>
  <c r="BE30" i="11"/>
  <c r="BE21" i="11"/>
  <c r="BE31" i="11" s="1"/>
  <c r="AJ172" i="11"/>
  <c r="AJ173" i="11" s="1"/>
  <c r="AI174" i="11"/>
  <c r="J48" i="7"/>
  <c r="BD161" i="11"/>
  <c r="BD65" i="11" l="1"/>
  <c r="BD92" i="11" s="1"/>
  <c r="BD98" i="11" s="1"/>
  <c r="CD32" i="11"/>
  <c r="CF82" i="11"/>
  <c r="CG80" i="11"/>
  <c r="DG23" i="11"/>
  <c r="BF16" i="11"/>
  <c r="CF124" i="11"/>
  <c r="CF127" i="11" s="1"/>
  <c r="CG118" i="11"/>
  <c r="CH75" i="11"/>
  <c r="CG78" i="11"/>
  <c r="AT15" i="17"/>
  <c r="AT18" i="17" s="1"/>
  <c r="BS68" i="11" s="1"/>
  <c r="AT3" i="17"/>
  <c r="AF9" i="17"/>
  <c r="AF13" i="17" s="1"/>
  <c r="BE60" i="11" s="1"/>
  <c r="BE34" i="11"/>
  <c r="BE6" i="11"/>
  <c r="CD62" i="11"/>
  <c r="CF141" i="11"/>
  <c r="CF143" i="11" s="1"/>
  <c r="CF162" i="11" s="1"/>
  <c r="CG136" i="11"/>
  <c r="CF33" i="11"/>
  <c r="BR69" i="11"/>
  <c r="BR71" i="11" s="1"/>
  <c r="BR89" i="11" s="1"/>
  <c r="BR91" i="11" s="1"/>
  <c r="AV4" i="17"/>
  <c r="AU1" i="17"/>
  <c r="CF96" i="11"/>
  <c r="CF97" i="11" s="1"/>
  <c r="CG95" i="11"/>
  <c r="CH123" i="11"/>
  <c r="CG167" i="11"/>
  <c r="CH149" i="11"/>
  <c r="CE162" i="11"/>
  <c r="CL116" i="11"/>
  <c r="CD63" i="11"/>
  <c r="CF166" i="11"/>
  <c r="CF168" i="11" s="1"/>
  <c r="CG146" i="11"/>
  <c r="BG150" i="11"/>
  <c r="BD41" i="11"/>
  <c r="BD39" i="11"/>
  <c r="CG12" i="11"/>
  <c r="BC112" i="11"/>
  <c r="BC128" i="11"/>
  <c r="BC129" i="11" s="1"/>
  <c r="BC156" i="11" s="1"/>
  <c r="AJ174" i="11"/>
  <c r="AK172" i="11"/>
  <c r="AK173" i="11" s="1"/>
  <c r="K48" i="7"/>
  <c r="F36" i="9"/>
  <c r="J55" i="7"/>
  <c r="J53" i="7"/>
  <c r="BD40" i="11" l="1"/>
  <c r="BD42" i="11" s="1"/>
  <c r="BD44" i="11" s="1"/>
  <c r="BD66" i="11"/>
  <c r="CG33" i="11"/>
  <c r="CG141" i="11"/>
  <c r="CG143" i="11" s="1"/>
  <c r="CH136" i="11"/>
  <c r="BF24" i="11"/>
  <c r="BF17" i="11" s="1"/>
  <c r="BF15" i="11"/>
  <c r="BG36" i="11"/>
  <c r="BG37" i="11" s="1"/>
  <c r="CE63" i="11"/>
  <c r="K55" i="7"/>
  <c r="K53" i="7"/>
  <c r="CG96" i="11"/>
  <c r="CG97" i="11" s="1"/>
  <c r="CH95" i="11"/>
  <c r="AU15" i="17"/>
  <c r="AU18" i="17" s="1"/>
  <c r="BT68" i="11" s="1"/>
  <c r="AU3" i="17"/>
  <c r="CI75" i="11"/>
  <c r="CH78" i="11"/>
  <c r="BH150" i="11"/>
  <c r="AW4" i="17"/>
  <c r="AV1" i="17"/>
  <c r="CE62" i="11"/>
  <c r="BS69" i="11"/>
  <c r="BS71" i="11" s="1"/>
  <c r="BS89" i="11" s="1"/>
  <c r="BS91" i="11" s="1"/>
  <c r="AK174" i="11"/>
  <c r="AL172" i="11"/>
  <c r="AL173" i="11" s="1"/>
  <c r="L48" i="7"/>
  <c r="CM116" i="11"/>
  <c r="CG82" i="11"/>
  <c r="CH80" i="11"/>
  <c r="BD151" i="11"/>
  <c r="BD152" i="11" s="1"/>
  <c r="BD153" i="11" s="1"/>
  <c r="BD160" i="11"/>
  <c r="BD163" i="11" s="1"/>
  <c r="BD170" i="11" s="1"/>
  <c r="BD105" i="11" s="1"/>
  <c r="CG166" i="11"/>
  <c r="CG168" i="11" s="1"/>
  <c r="CH146" i="11"/>
  <c r="CH167" i="11"/>
  <c r="CI149" i="11"/>
  <c r="BE8" i="11"/>
  <c r="BE7" i="11"/>
  <c r="BE9" i="11" s="1"/>
  <c r="CG124" i="11"/>
  <c r="CG127" i="11" s="1"/>
  <c r="CH118" i="11"/>
  <c r="CE32" i="11"/>
  <c r="CH12" i="11"/>
  <c r="CI123" i="11"/>
  <c r="BD45" i="11" l="1"/>
  <c r="BG20" i="11"/>
  <c r="BG18" i="11" s="1"/>
  <c r="BG22" i="11" s="1"/>
  <c r="BE114" i="11"/>
  <c r="BE115" i="11" s="1"/>
  <c r="BE13" i="11"/>
  <c r="BE58" i="11"/>
  <c r="BE59" i="11"/>
  <c r="BF30" i="11"/>
  <c r="BF21" i="11"/>
  <c r="BF31" i="11" s="1"/>
  <c r="AL174" i="11"/>
  <c r="AM172" i="11"/>
  <c r="AM173" i="11" s="1"/>
  <c r="M48" i="7"/>
  <c r="CJ123" i="11"/>
  <c r="BD111" i="11"/>
  <c r="BI150" i="11"/>
  <c r="CI12" i="11"/>
  <c r="CI167" i="11"/>
  <c r="CJ149" i="11"/>
  <c r="CI136" i="11"/>
  <c r="CH141" i="11"/>
  <c r="CH143" i="11" s="1"/>
  <c r="CH96" i="11"/>
  <c r="CH97" i="11" s="1"/>
  <c r="CI95" i="11"/>
  <c r="CF32" i="11"/>
  <c r="CF62" i="11"/>
  <c r="CG162" i="11"/>
  <c r="CH82" i="11"/>
  <c r="CI80" i="11"/>
  <c r="CJ75" i="11"/>
  <c r="CI78" i="11"/>
  <c r="CH166" i="11"/>
  <c r="CH168" i="11" s="1"/>
  <c r="CI146" i="11"/>
  <c r="CN116" i="11"/>
  <c r="AV15" i="17"/>
  <c r="AV18" i="17" s="1"/>
  <c r="BU68" i="11" s="1"/>
  <c r="AV3" i="17"/>
  <c r="BT69" i="11"/>
  <c r="BT71" i="11" s="1"/>
  <c r="BT89" i="11" s="1"/>
  <c r="BT91" i="11" s="1"/>
  <c r="CF63" i="11"/>
  <c r="CH124" i="11"/>
  <c r="CH127" i="11" s="1"/>
  <c r="CI118" i="11"/>
  <c r="L55" i="7"/>
  <c r="L53" i="7"/>
  <c r="AW1" i="17"/>
  <c r="AX4" i="17"/>
  <c r="CH33" i="11"/>
  <c r="CI166" i="11" l="1"/>
  <c r="CI168" i="11" s="1"/>
  <c r="CJ146" i="11"/>
  <c r="CK123" i="11"/>
  <c r="CI141" i="11"/>
  <c r="CI143" i="11" s="1"/>
  <c r="CJ136" i="11"/>
  <c r="M55" i="7"/>
  <c r="M53" i="7"/>
  <c r="AG9" i="17"/>
  <c r="AG13" i="17" s="1"/>
  <c r="BF60" i="11" s="1"/>
  <c r="BF34" i="11"/>
  <c r="BF6" i="11"/>
  <c r="BD112" i="11"/>
  <c r="BD128" i="11"/>
  <c r="BD129" i="11" s="1"/>
  <c r="BD156" i="11" s="1"/>
  <c r="CG62" i="11"/>
  <c r="AW15" i="17"/>
  <c r="AW18" i="17" s="1"/>
  <c r="BV68" i="11" s="1"/>
  <c r="AW3" i="17"/>
  <c r="CG32" i="11"/>
  <c r="CJ12" i="11"/>
  <c r="AM174" i="11"/>
  <c r="AN172" i="11"/>
  <c r="AN173" i="11" s="1"/>
  <c r="H36" i="9"/>
  <c r="N48" i="7"/>
  <c r="E45" i="2"/>
  <c r="CI33" i="11"/>
  <c r="AY4" i="17"/>
  <c r="AX1" i="17"/>
  <c r="CJ78" i="11"/>
  <c r="CK75" i="11"/>
  <c r="CI96" i="11"/>
  <c r="CI97" i="11" s="1"/>
  <c r="CJ95" i="11"/>
  <c r="BE61" i="11"/>
  <c r="BE93" i="11" s="1"/>
  <c r="CJ167" i="11"/>
  <c r="CK149" i="11"/>
  <c r="BU69" i="11"/>
  <c r="BU71" i="11" s="1"/>
  <c r="BU89" i="11" s="1"/>
  <c r="BU91" i="11" s="1"/>
  <c r="BG16" i="11"/>
  <c r="CI124" i="11"/>
  <c r="CI127" i="11" s="1"/>
  <c r="CJ118" i="11"/>
  <c r="CO116" i="11"/>
  <c r="CI82" i="11"/>
  <c r="CJ80" i="11"/>
  <c r="BJ150" i="11"/>
  <c r="BE38" i="11"/>
  <c r="CG63" i="11"/>
  <c r="CH162" i="11"/>
  <c r="BE161" i="11"/>
  <c r="BE65" i="11" l="1"/>
  <c r="BE92" i="11" s="1"/>
  <c r="BE98" i="11" s="1"/>
  <c r="CH62" i="11"/>
  <c r="CK167" i="11"/>
  <c r="CL149" i="11"/>
  <c r="BE41" i="11"/>
  <c r="BE39" i="11"/>
  <c r="AZ4" i="17"/>
  <c r="AY1" i="17"/>
  <c r="CK12" i="11"/>
  <c r="CI162" i="11"/>
  <c r="AX15" i="17"/>
  <c r="AX18" i="17" s="1"/>
  <c r="BW68" i="11" s="1"/>
  <c r="AX3" i="17"/>
  <c r="CJ141" i="11"/>
  <c r="CJ143" i="11" s="1"/>
  <c r="CJ162" i="11" s="1"/>
  <c r="CK136" i="11"/>
  <c r="CJ124" i="11"/>
  <c r="CJ127" i="11" s="1"/>
  <c r="CK118" i="11"/>
  <c r="BE66" i="11"/>
  <c r="BE43" i="11"/>
  <c r="CJ33" i="11"/>
  <c r="CH32" i="11"/>
  <c r="BF7" i="11"/>
  <c r="BF8" i="11"/>
  <c r="CL123" i="11"/>
  <c r="AN174" i="11"/>
  <c r="AO172" i="11"/>
  <c r="AO173" i="11" s="1"/>
  <c r="C48" i="4"/>
  <c r="C48" i="5"/>
  <c r="CH63" i="11"/>
  <c r="CJ166" i="11"/>
  <c r="CJ168" i="11" s="1"/>
  <c r="CK146" i="11"/>
  <c r="CP116" i="11"/>
  <c r="CK95" i="11"/>
  <c r="CJ96" i="11"/>
  <c r="CJ97" i="11" s="1"/>
  <c r="BK150" i="11"/>
  <c r="BG24" i="11"/>
  <c r="BG17" i="11" s="1"/>
  <c r="BG15" i="11"/>
  <c r="BH36" i="11"/>
  <c r="BH37" i="11" s="1"/>
  <c r="CJ82" i="11"/>
  <c r="CK80" i="11"/>
  <c r="CK78" i="11"/>
  <c r="CL75" i="11"/>
  <c r="N55" i="7"/>
  <c r="N53" i="7"/>
  <c r="BV69" i="11"/>
  <c r="BV71" i="11" s="1"/>
  <c r="BV89" i="11" s="1"/>
  <c r="BV91" i="11" s="1"/>
  <c r="BE40" i="11" l="1"/>
  <c r="BE45" i="11" s="1"/>
  <c r="BF9" i="11"/>
  <c r="BF13" i="11" s="1"/>
  <c r="AY15" i="17"/>
  <c r="AY18" i="17" s="1"/>
  <c r="BX68" i="11" s="1"/>
  <c r="AY3" i="17"/>
  <c r="BL150" i="11"/>
  <c r="CK166" i="11"/>
  <c r="CK168" i="11" s="1"/>
  <c r="CL146" i="11"/>
  <c r="BW69" i="11"/>
  <c r="BW71" i="11" s="1"/>
  <c r="BW89" i="11" s="1"/>
  <c r="BW91" i="11" s="1"/>
  <c r="C55" i="5"/>
  <c r="C53" i="5"/>
  <c r="CL167" i="11"/>
  <c r="CM149" i="11"/>
  <c r="CM123" i="11"/>
  <c r="CK141" i="11"/>
  <c r="CK143" i="11" s="1"/>
  <c r="CL136" i="11"/>
  <c r="C55" i="4"/>
  <c r="C53" i="4"/>
  <c r="BH20" i="11"/>
  <c r="CQ116" i="11"/>
  <c r="AO174" i="11"/>
  <c r="AP172" i="11"/>
  <c r="AP173" i="11" s="1"/>
  <c r="D48" i="4"/>
  <c r="D48" i="5"/>
  <c r="CL118" i="11"/>
  <c r="CK124" i="11"/>
  <c r="CK127" i="11" s="1"/>
  <c r="CL12" i="11"/>
  <c r="CI62" i="11"/>
  <c r="BA4" i="17"/>
  <c r="AZ1" i="17"/>
  <c r="CK82" i="11"/>
  <c r="CL80" i="11"/>
  <c r="CI63" i="11"/>
  <c r="BE151" i="11"/>
  <c r="BE152" i="11" s="1"/>
  <c r="BE153" i="11" s="1"/>
  <c r="BE160" i="11"/>
  <c r="BE163" i="11" s="1"/>
  <c r="BE170" i="11" s="1"/>
  <c r="BE105" i="11" s="1"/>
  <c r="CK96" i="11"/>
  <c r="CK97" i="11" s="1"/>
  <c r="CL95" i="11"/>
  <c r="BG30" i="11"/>
  <c r="BG21" i="11"/>
  <c r="BG31" i="11" s="1"/>
  <c r="CI32" i="11"/>
  <c r="CM75" i="11"/>
  <c r="CL78" i="11"/>
  <c r="CK33" i="11"/>
  <c r="BE42" i="11" l="1"/>
  <c r="BE44" i="11" s="1"/>
  <c r="BF58" i="11"/>
  <c r="BF59" i="11"/>
  <c r="BF114" i="11"/>
  <c r="BF115" i="11" s="1"/>
  <c r="D55" i="5"/>
  <c r="D53" i="5"/>
  <c r="BM150" i="11"/>
  <c r="CJ62" i="11"/>
  <c r="CL96" i="11"/>
  <c r="CL97" i="11" s="1"/>
  <c r="CM95" i="11"/>
  <c r="BB4" i="17"/>
  <c r="BA1" i="17"/>
  <c r="CL141" i="11"/>
  <c r="CL143" i="11" s="1"/>
  <c r="CM136" i="11"/>
  <c r="CN123" i="11"/>
  <c r="BX69" i="11"/>
  <c r="BX71" i="11"/>
  <c r="BX89" i="11" s="1"/>
  <c r="BE111" i="11"/>
  <c r="AQ172" i="11"/>
  <c r="AQ173" i="11" s="1"/>
  <c r="AP174" i="11"/>
  <c r="E48" i="4"/>
  <c r="E48" i="5"/>
  <c r="CM12" i="11"/>
  <c r="D55" i="4"/>
  <c r="D53" i="4"/>
  <c r="CM78" i="11"/>
  <c r="CN75" i="11"/>
  <c r="CK162" i="11"/>
  <c r="CJ32" i="11"/>
  <c r="CL33" i="11"/>
  <c r="CJ63" i="11"/>
  <c r="CR116" i="11"/>
  <c r="CM167" i="11"/>
  <c r="CN149" i="11"/>
  <c r="BH18" i="11"/>
  <c r="BH22" i="11" s="1"/>
  <c r="CL166" i="11"/>
  <c r="CL168" i="11" s="1"/>
  <c r="CM146" i="11"/>
  <c r="BF38" i="11"/>
  <c r="AZ3" i="17"/>
  <c r="AZ15" i="17"/>
  <c r="AZ18" i="17" s="1"/>
  <c r="BY68" i="11" s="1"/>
  <c r="CL82" i="11"/>
  <c r="CM80" i="11"/>
  <c r="AH9" i="17"/>
  <c r="AH13" i="17" s="1"/>
  <c r="BG60" i="11" s="1"/>
  <c r="BG34" i="11"/>
  <c r="BG6" i="11"/>
  <c r="CL124" i="11"/>
  <c r="CL127" i="11" s="1"/>
  <c r="CM118" i="11"/>
  <c r="BF161" i="11"/>
  <c r="BF61" i="11" l="1"/>
  <c r="E55" i="4"/>
  <c r="E53" i="4"/>
  <c r="CO123" i="11"/>
  <c r="CN12" i="11"/>
  <c r="CM166" i="11"/>
  <c r="CM168" i="11" s="1"/>
  <c r="CN146" i="11"/>
  <c r="CM33" i="11"/>
  <c r="CK62" i="11"/>
  <c r="E55" i="5"/>
  <c r="E53" i="5"/>
  <c r="CM96" i="11"/>
  <c r="CM97" i="11" s="1"/>
  <c r="CN95" i="11"/>
  <c r="BG8" i="11"/>
  <c r="BG7" i="11"/>
  <c r="CK63" i="11"/>
  <c r="BH16" i="11"/>
  <c r="AR172" i="11"/>
  <c r="AR173" i="11" s="1"/>
  <c r="AQ174" i="11"/>
  <c r="F48" i="4"/>
  <c r="F48" i="5"/>
  <c r="CM141" i="11"/>
  <c r="CM143" i="11" s="1"/>
  <c r="CN136" i="11"/>
  <c r="BF39" i="11"/>
  <c r="BF41" i="11"/>
  <c r="CK32" i="11"/>
  <c r="CM82" i="11"/>
  <c r="CN80" i="11"/>
  <c r="CN167" i="11"/>
  <c r="CO149" i="11"/>
  <c r="CL162" i="11"/>
  <c r="BE112" i="11"/>
  <c r="BE128" i="11"/>
  <c r="BE129" i="11" s="1"/>
  <c r="BE156" i="11" s="1"/>
  <c r="BA3" i="17"/>
  <c r="BA15" i="17"/>
  <c r="BA18" i="17" s="1"/>
  <c r="BZ68" i="11" s="1"/>
  <c r="BN150" i="11"/>
  <c r="BY69" i="11"/>
  <c r="BY71" i="11" s="1"/>
  <c r="BY89" i="11" s="1"/>
  <c r="BB1" i="17"/>
  <c r="BC4" i="17"/>
  <c r="BX91" i="11"/>
  <c r="CM124" i="11"/>
  <c r="CM127" i="11" s="1"/>
  <c r="CN118" i="11"/>
  <c r="CS116" i="11"/>
  <c r="CN78" i="11"/>
  <c r="CO75" i="11"/>
  <c r="BG9" i="11" l="1"/>
  <c r="BG59" i="11" s="1"/>
  <c r="BF93" i="11"/>
  <c r="BF43" i="11" s="1"/>
  <c r="BF65" i="11"/>
  <c r="BY91" i="11"/>
  <c r="CO167" i="11"/>
  <c r="CP149" i="11"/>
  <c r="CN82" i="11"/>
  <c r="CO80" i="11"/>
  <c r="F55" i="5"/>
  <c r="F53" i="5"/>
  <c r="CN166" i="11"/>
  <c r="CN168" i="11" s="1"/>
  <c r="CO146" i="11"/>
  <c r="F55" i="4"/>
  <c r="F53" i="4"/>
  <c r="BB15" i="17"/>
  <c r="BB18" i="17" s="1"/>
  <c r="CA68" i="11" s="1"/>
  <c r="BB3" i="17"/>
  <c r="CL32" i="11"/>
  <c r="CO12" i="11"/>
  <c r="BO150" i="11"/>
  <c r="CN141" i="11"/>
  <c r="CN143" i="11" s="1"/>
  <c r="CO136" i="11"/>
  <c r="CP75" i="11"/>
  <c r="CO78" i="11"/>
  <c r="AR174" i="11"/>
  <c r="AS172" i="11"/>
  <c r="AS173" i="11" s="1"/>
  <c r="G48" i="4"/>
  <c r="G48" i="5"/>
  <c r="CT116" i="11"/>
  <c r="CL62" i="11"/>
  <c r="CP123" i="11"/>
  <c r="BC1" i="17"/>
  <c r="BD4" i="17"/>
  <c r="CO118" i="11"/>
  <c r="CN124" i="11"/>
  <c r="CN127" i="11" s="1"/>
  <c r="BH24" i="11"/>
  <c r="BH17" i="11" s="1"/>
  <c r="BH15" i="11"/>
  <c r="BI36" i="11"/>
  <c r="BI37" i="11" s="1"/>
  <c r="CN33" i="11"/>
  <c r="BZ69" i="11"/>
  <c r="BZ71" i="11"/>
  <c r="BZ89" i="11" s="1"/>
  <c r="BZ91" i="11" s="1"/>
  <c r="CM162" i="11"/>
  <c r="CL63" i="11"/>
  <c r="CN96" i="11"/>
  <c r="CN97" i="11" s="1"/>
  <c r="CO95" i="11"/>
  <c r="BG58" i="11" l="1"/>
  <c r="BG13" i="11"/>
  <c r="BG38" i="11" s="1"/>
  <c r="BG114" i="11"/>
  <c r="BG115" i="11" s="1"/>
  <c r="BF66" i="11"/>
  <c r="BF92" i="11"/>
  <c r="BF98" i="11" s="1"/>
  <c r="BF40" i="11"/>
  <c r="CP167" i="11"/>
  <c r="CQ149" i="11"/>
  <c r="CO166" i="11"/>
  <c r="CO168" i="11" s="1"/>
  <c r="CP146" i="11"/>
  <c r="G55" i="5"/>
  <c r="G53" i="5"/>
  <c r="CN162" i="11"/>
  <c r="G55" i="4"/>
  <c r="G53" i="4"/>
  <c r="BG61" i="11"/>
  <c r="BG93" i="11" s="1"/>
  <c r="BG43" i="11" s="1"/>
  <c r="BE4" i="17"/>
  <c r="BD1" i="17"/>
  <c r="CM63" i="11"/>
  <c r="AT172" i="11"/>
  <c r="AT173" i="11" s="1"/>
  <c r="AS174" i="11"/>
  <c r="H48" i="4"/>
  <c r="H48" i="5"/>
  <c r="BP150" i="11"/>
  <c r="CA69" i="11"/>
  <c r="CA71" i="11" s="1"/>
  <c r="CA89" i="11" s="1"/>
  <c r="CP12" i="11"/>
  <c r="CO124" i="11"/>
  <c r="CO127" i="11" s="1"/>
  <c r="CP118" i="11"/>
  <c r="CO141" i="11"/>
  <c r="CO143" i="11" s="1"/>
  <c r="CO162" i="11" s="1"/>
  <c r="CP136" i="11"/>
  <c r="CO96" i="11"/>
  <c r="CO97" i="11" s="1"/>
  <c r="CP95" i="11"/>
  <c r="BC15" i="17"/>
  <c r="BC18" i="17" s="1"/>
  <c r="CB68" i="11" s="1"/>
  <c r="BC3" i="17"/>
  <c r="BH30" i="11"/>
  <c r="BH21" i="11"/>
  <c r="BH31" i="11" s="1"/>
  <c r="CQ123" i="11"/>
  <c r="BI20" i="11"/>
  <c r="CO82" i="11"/>
  <c r="CP80" i="11"/>
  <c r="CP78" i="11"/>
  <c r="CQ75" i="11"/>
  <c r="CU116" i="11"/>
  <c r="CM32" i="11"/>
  <c r="CO33" i="11"/>
  <c r="CM62" i="11"/>
  <c r="BG161" i="11"/>
  <c r="BF42" i="11" l="1"/>
  <c r="BF44" i="11" s="1"/>
  <c r="BF45" i="11"/>
  <c r="BF151" i="11"/>
  <c r="BF152" i="11" s="1"/>
  <c r="BF153" i="11" s="1"/>
  <c r="BF160" i="11"/>
  <c r="BF163" i="11" s="1"/>
  <c r="BF170" i="11" s="1"/>
  <c r="BF105" i="11" s="1"/>
  <c r="BF111" i="11" s="1"/>
  <c r="CA91" i="11"/>
  <c r="H55" i="5"/>
  <c r="H53" i="5"/>
  <c r="CP33" i="11"/>
  <c r="BG39" i="11"/>
  <c r="BG41" i="11"/>
  <c r="CR123" i="11"/>
  <c r="CN32" i="11"/>
  <c r="BG65" i="11"/>
  <c r="CQ136" i="11"/>
  <c r="CP141" i="11"/>
  <c r="CP143" i="11" s="1"/>
  <c r="CP162" i="11" s="1"/>
  <c r="CN63" i="11"/>
  <c r="CP82" i="11"/>
  <c r="CQ80" i="11"/>
  <c r="BD15" i="17"/>
  <c r="BD18" i="17" s="1"/>
  <c r="CC68" i="11" s="1"/>
  <c r="BD3" i="17"/>
  <c r="AI9" i="17"/>
  <c r="AI13" i="17" s="1"/>
  <c r="BH60" i="11" s="1"/>
  <c r="BH34" i="11"/>
  <c r="BH6" i="11"/>
  <c r="CP124" i="11"/>
  <c r="CP127" i="11" s="1"/>
  <c r="CQ118" i="11"/>
  <c r="BQ150" i="11"/>
  <c r="BE1" i="17"/>
  <c r="BF4" i="17"/>
  <c r="CP166" i="11"/>
  <c r="CP168" i="11" s="1"/>
  <c r="CQ146" i="11"/>
  <c r="CR75" i="11"/>
  <c r="CQ78" i="11"/>
  <c r="CB69" i="11"/>
  <c r="CB71" i="11" s="1"/>
  <c r="CB89" i="11" s="1"/>
  <c r="CB91" i="11" s="1"/>
  <c r="H55" i="4"/>
  <c r="H53" i="4"/>
  <c r="CN62" i="11"/>
  <c r="CV116" i="11"/>
  <c r="BF112" i="11"/>
  <c r="BF128" i="11"/>
  <c r="BF129" i="11" s="1"/>
  <c r="BF156" i="11" s="1"/>
  <c r="BI18" i="11"/>
  <c r="BI22" i="11" s="1"/>
  <c r="CP96" i="11"/>
  <c r="CP97" i="11" s="1"/>
  <c r="CQ95" i="11"/>
  <c r="CQ12" i="11"/>
  <c r="AT174" i="11"/>
  <c r="AU172" i="11"/>
  <c r="AU173" i="11" s="1"/>
  <c r="I48" i="5"/>
  <c r="I48" i="4"/>
  <c r="CR149" i="11"/>
  <c r="CQ167" i="11"/>
  <c r="I55" i="5" l="1"/>
  <c r="I53" i="5"/>
  <c r="AU174" i="11"/>
  <c r="AV172" i="11"/>
  <c r="AV173" i="11" s="1"/>
  <c r="J48" i="5"/>
  <c r="J48" i="4"/>
  <c r="BG4" i="17"/>
  <c r="BF1" i="17"/>
  <c r="CQ141" i="11"/>
  <c r="CQ143" i="11" s="1"/>
  <c r="CR136" i="11"/>
  <c r="CQ33" i="11"/>
  <c r="I55" i="4"/>
  <c r="I53" i="4"/>
  <c r="BH7" i="11"/>
  <c r="BH8" i="11"/>
  <c r="BE15" i="17"/>
  <c r="BE18" i="17" s="1"/>
  <c r="CD68" i="11" s="1"/>
  <c r="BE3" i="17"/>
  <c r="BG66" i="11"/>
  <c r="BG92" i="11"/>
  <c r="BG98" i="11" s="1"/>
  <c r="BG40" i="11"/>
  <c r="CQ124" i="11"/>
  <c r="CQ127" i="11" s="1"/>
  <c r="CR118" i="11"/>
  <c r="CW116" i="11"/>
  <c r="CR78" i="11"/>
  <c r="CS75" i="11"/>
  <c r="CC69" i="11"/>
  <c r="CC71" i="11" s="1"/>
  <c r="CC89" i="11" s="1"/>
  <c r="CC91" i="11" s="1"/>
  <c r="CO32" i="11"/>
  <c r="CO62" i="11"/>
  <c r="CQ166" i="11"/>
  <c r="CQ168" i="11" s="1"/>
  <c r="CR146" i="11"/>
  <c r="CO63" i="11"/>
  <c r="CR12" i="11"/>
  <c r="BI16" i="11"/>
  <c r="BR150" i="11"/>
  <c r="CQ82" i="11"/>
  <c r="CR80" i="11"/>
  <c r="CR95" i="11"/>
  <c r="CQ96" i="11"/>
  <c r="CQ97" i="11" s="1"/>
  <c r="CS149" i="11"/>
  <c r="CR167" i="11"/>
  <c r="CS123" i="11"/>
  <c r="BH9" i="11" l="1"/>
  <c r="BH114" i="11" s="1"/>
  <c r="BH115" i="11" s="1"/>
  <c r="CR82" i="11"/>
  <c r="CS80" i="11"/>
  <c r="BG42" i="11"/>
  <c r="BG44" i="11" s="1"/>
  <c r="BG45" i="11"/>
  <c r="J55" i="4"/>
  <c r="J53" i="4"/>
  <c r="CR124" i="11"/>
  <c r="CR127" i="11" s="1"/>
  <c r="CS118" i="11"/>
  <c r="J55" i="5"/>
  <c r="J53" i="5"/>
  <c r="BF15" i="17"/>
  <c r="BF18" i="17" s="1"/>
  <c r="CE68" i="11" s="1"/>
  <c r="BF3" i="17"/>
  <c r="CP63" i="11"/>
  <c r="CR166" i="11"/>
  <c r="CR168" i="11" s="1"/>
  <c r="CS146" i="11"/>
  <c r="CR33" i="11"/>
  <c r="AV174" i="11"/>
  <c r="AW172" i="11"/>
  <c r="AW173" i="11" s="1"/>
  <c r="K48" i="5"/>
  <c r="K48" i="4"/>
  <c r="CS167" i="11"/>
  <c r="CT149" i="11"/>
  <c r="BI15" i="11"/>
  <c r="BI24" i="11"/>
  <c r="BI17" i="11" s="1"/>
  <c r="BJ36" i="11"/>
  <c r="BJ37" i="11" s="1"/>
  <c r="CP62" i="11"/>
  <c r="BG151" i="11"/>
  <c r="BG152" i="11" s="1"/>
  <c r="BG153" i="11" s="1"/>
  <c r="BG160" i="11"/>
  <c r="BG163" i="11" s="1"/>
  <c r="BG170" i="11" s="1"/>
  <c r="BG105" i="11" s="1"/>
  <c r="CD69" i="11"/>
  <c r="CD71" i="11" s="1"/>
  <c r="CD89" i="11" s="1"/>
  <c r="CD91" i="11" s="1"/>
  <c r="CR141" i="11"/>
  <c r="CR143" i="11" s="1"/>
  <c r="CR162" i="11" s="1"/>
  <c r="CS136" i="11"/>
  <c r="BH4" i="17"/>
  <c r="BG1" i="17"/>
  <c r="CT123" i="11"/>
  <c r="BS150" i="11"/>
  <c r="CS78" i="11"/>
  <c r="CT75" i="11"/>
  <c r="CS95" i="11"/>
  <c r="CR96" i="11"/>
  <c r="CR97" i="11" s="1"/>
  <c r="CS12" i="11"/>
  <c r="CP32" i="11"/>
  <c r="CX116" i="11"/>
  <c r="CQ162" i="11"/>
  <c r="BH58" i="11" l="1"/>
  <c r="BH61" i="11" s="1"/>
  <c r="BH93" i="11" s="1"/>
  <c r="BH43" i="11" s="1"/>
  <c r="BH59" i="11"/>
  <c r="BH13" i="11"/>
  <c r="BH38" i="11" s="1"/>
  <c r="CE69" i="11"/>
  <c r="CE71" i="11" s="1"/>
  <c r="CE89" i="11" s="1"/>
  <c r="CE91" i="11" s="1"/>
  <c r="CT12" i="11"/>
  <c r="BT150" i="11"/>
  <c r="BI30" i="11"/>
  <c r="BI21" i="11"/>
  <c r="BI31" i="11" s="1"/>
  <c r="CS33" i="11"/>
  <c r="CU123" i="11"/>
  <c r="BG111" i="11"/>
  <c r="CT167" i="11"/>
  <c r="CU149" i="11"/>
  <c r="CS82" i="11"/>
  <c r="CT80" i="11"/>
  <c r="CS166" i="11"/>
  <c r="CS168" i="11" s="1"/>
  <c r="CT146" i="11"/>
  <c r="CS96" i="11"/>
  <c r="CS97" i="11" s="1"/>
  <c r="CT95" i="11"/>
  <c r="K55" i="4"/>
  <c r="K53" i="4"/>
  <c r="CT118" i="11"/>
  <c r="CS124" i="11"/>
  <c r="CS127" i="11" s="1"/>
  <c r="K55" i="5"/>
  <c r="K53" i="5"/>
  <c r="BI4" i="17"/>
  <c r="BH1" i="17"/>
  <c r="CY116" i="11"/>
  <c r="CS141" i="11"/>
  <c r="CS143" i="11" s="1"/>
  <c r="CS162" i="11" s="1"/>
  <c r="CT136" i="11"/>
  <c r="AW174" i="11"/>
  <c r="AX172" i="11"/>
  <c r="AX173" i="11" s="1"/>
  <c r="M48" i="4" s="1"/>
  <c r="L48" i="4"/>
  <c r="L48" i="5"/>
  <c r="CQ63" i="11"/>
  <c r="BG15" i="17"/>
  <c r="BG18" i="17" s="1"/>
  <c r="CF68" i="11" s="1"/>
  <c r="BG3" i="17"/>
  <c r="CQ62" i="11"/>
  <c r="CU75" i="11"/>
  <c r="CT78" i="11"/>
  <c r="CQ32" i="11"/>
  <c r="BJ20" i="11"/>
  <c r="BH161" i="11"/>
  <c r="M55" i="4" l="1"/>
  <c r="M53" i="4"/>
  <c r="BH65" i="11"/>
  <c r="BH92" i="11" s="1"/>
  <c r="BH98" i="11" s="1"/>
  <c r="BH41" i="11"/>
  <c r="BH39" i="11"/>
  <c r="CT166" i="11"/>
  <c r="CT168" i="11" s="1"/>
  <c r="CU146" i="11"/>
  <c r="CV123" i="11"/>
  <c r="CR63" i="11"/>
  <c r="CT124" i="11"/>
  <c r="CT127" i="11" s="1"/>
  <c r="CU118" i="11"/>
  <c r="CR62" i="11"/>
  <c r="CR32" i="11"/>
  <c r="AJ9" i="17"/>
  <c r="AJ13" i="17" s="1"/>
  <c r="BI60" i="11" s="1"/>
  <c r="BI34" i="11"/>
  <c r="BI6" i="11"/>
  <c r="CU78" i="11"/>
  <c r="CV75" i="11"/>
  <c r="CZ116" i="11"/>
  <c r="CT82" i="11"/>
  <c r="CU80" i="11"/>
  <c r="CT33" i="11"/>
  <c r="BU150" i="11"/>
  <c r="L55" i="5"/>
  <c r="L53" i="5"/>
  <c r="BH15" i="17"/>
  <c r="BH18" i="17" s="1"/>
  <c r="CG68" i="11" s="1"/>
  <c r="BH3" i="17"/>
  <c r="CU12" i="11"/>
  <c r="L55" i="4"/>
  <c r="L53" i="4"/>
  <c r="BJ4" i="17"/>
  <c r="BI1" i="17"/>
  <c r="CV149" i="11"/>
  <c r="CU167" i="11"/>
  <c r="BJ18" i="11"/>
  <c r="BJ22" i="11" s="1"/>
  <c r="AX174" i="11"/>
  <c r="AY172" i="11"/>
  <c r="AY173" i="11" s="1"/>
  <c r="M48" i="5"/>
  <c r="CU95" i="11"/>
  <c r="CT96" i="11"/>
  <c r="CT97" i="11" s="1"/>
  <c r="CF69" i="11"/>
  <c r="CF71" i="11"/>
  <c r="CF89" i="11" s="1"/>
  <c r="CF91" i="11" s="1"/>
  <c r="CT141" i="11"/>
  <c r="CT143" i="11" s="1"/>
  <c r="CT162" i="11" s="1"/>
  <c r="CU136" i="11"/>
  <c r="BG112" i="11"/>
  <c r="BG128" i="11"/>
  <c r="BG129" i="11" s="1"/>
  <c r="BG156" i="11" s="1"/>
  <c r="BH66" i="11" l="1"/>
  <c r="BH40" i="11"/>
  <c r="M55" i="5"/>
  <c r="M53" i="5"/>
  <c r="BJ16" i="11"/>
  <c r="CV12" i="11"/>
  <c r="CU33" i="11"/>
  <c r="CS62" i="11"/>
  <c r="CW123" i="11"/>
  <c r="CV167" i="11"/>
  <c r="CW149" i="11"/>
  <c r="CU96" i="11"/>
  <c r="CU97" i="11" s="1"/>
  <c r="CV95" i="11"/>
  <c r="BV150" i="11"/>
  <c r="CS32" i="11"/>
  <c r="CS63" i="11"/>
  <c r="CU141" i="11"/>
  <c r="CU143" i="11" s="1"/>
  <c r="CU162" i="11" s="1"/>
  <c r="CV136" i="11"/>
  <c r="AZ172" i="11"/>
  <c r="AZ173" i="11" s="1"/>
  <c r="AY174" i="11"/>
  <c r="N48" i="5"/>
  <c r="F45" i="2"/>
  <c r="BI7" i="11"/>
  <c r="BI8" i="11"/>
  <c r="CU82" i="11"/>
  <c r="CV80" i="11"/>
  <c r="CU166" i="11"/>
  <c r="CU168" i="11" s="1"/>
  <c r="CV146" i="11"/>
  <c r="CG69" i="11"/>
  <c r="CG71" i="11" s="1"/>
  <c r="CG89" i="11" s="1"/>
  <c r="CG91" i="11" s="1"/>
  <c r="BI15" i="17"/>
  <c r="BI18" i="17" s="1"/>
  <c r="CH68" i="11" s="1"/>
  <c r="BI3" i="17"/>
  <c r="CU124" i="11"/>
  <c r="CU127" i="11" s="1"/>
  <c r="CV118" i="11"/>
  <c r="DA116" i="11"/>
  <c r="BJ1" i="17"/>
  <c r="BK4" i="17"/>
  <c r="CV78" i="11"/>
  <c r="CW75" i="11"/>
  <c r="BH160" i="11"/>
  <c r="BH163" i="11" s="1"/>
  <c r="BH170" i="11" s="1"/>
  <c r="BH105" i="11" s="1"/>
  <c r="BH151" i="11"/>
  <c r="BH152" i="11" s="1"/>
  <c r="BH153" i="11" s="1"/>
  <c r="BI9" i="11" l="1"/>
  <c r="BH42" i="11"/>
  <c r="BH44" i="11" s="1"/>
  <c r="BH45" i="11"/>
  <c r="BK1" i="17"/>
  <c r="BL4" i="17"/>
  <c r="BI114" i="11"/>
  <c r="BI115" i="11" s="1"/>
  <c r="BI13" i="11"/>
  <c r="BI58" i="11"/>
  <c r="BI59" i="11"/>
  <c r="CV33" i="11"/>
  <c r="CH69" i="11"/>
  <c r="CH71" i="11" s="1"/>
  <c r="CH89" i="11" s="1"/>
  <c r="CH91" i="11" s="1"/>
  <c r="BJ15" i="17"/>
  <c r="BJ18" i="17" s="1"/>
  <c r="CI68" i="11" s="1"/>
  <c r="BJ3" i="17"/>
  <c r="CT63" i="11"/>
  <c r="CW167" i="11"/>
  <c r="CX149" i="11"/>
  <c r="CW12" i="11"/>
  <c r="CV141" i="11"/>
  <c r="CV143" i="11" s="1"/>
  <c r="CW136" i="11"/>
  <c r="CW95" i="11"/>
  <c r="CV96" i="11"/>
  <c r="CV97" i="11" s="1"/>
  <c r="DB116" i="11"/>
  <c r="CT32" i="11"/>
  <c r="CX123" i="11"/>
  <c r="N55" i="5"/>
  <c r="N53" i="5"/>
  <c r="BJ15" i="11"/>
  <c r="BJ24" i="11"/>
  <c r="BJ17" i="11" s="1"/>
  <c r="BK36" i="11"/>
  <c r="BK37" i="11" s="1"/>
  <c r="BH111" i="11"/>
  <c r="CV124" i="11"/>
  <c r="CV127" i="11" s="1"/>
  <c r="CW118" i="11"/>
  <c r="CV166" i="11"/>
  <c r="CV168" i="11" s="1"/>
  <c r="CW146" i="11"/>
  <c r="CW78" i="11"/>
  <c r="CX75" i="11"/>
  <c r="CV82" i="11"/>
  <c r="CW80" i="11"/>
  <c r="BA172" i="11"/>
  <c r="BA173" i="11" s="1"/>
  <c r="AZ174" i="11"/>
  <c r="BW150" i="11"/>
  <c r="CT62" i="11"/>
  <c r="BI61" i="11" l="1"/>
  <c r="BI93" i="11" s="1"/>
  <c r="BI43" i="11" s="1"/>
  <c r="BK20" i="11"/>
  <c r="CW33" i="11"/>
  <c r="CY123" i="11"/>
  <c r="CW96" i="11"/>
  <c r="CW97" i="11" s="1"/>
  <c r="CX95" i="11"/>
  <c r="CU63" i="11"/>
  <c r="CU62" i="11"/>
  <c r="CW124" i="11"/>
  <c r="CW127" i="11" s="1"/>
  <c r="CX118" i="11"/>
  <c r="CX167" i="11"/>
  <c r="CY149" i="11"/>
  <c r="BX150" i="11"/>
  <c r="BH112" i="11"/>
  <c r="BH128" i="11"/>
  <c r="BH129" i="11" s="1"/>
  <c r="BH156" i="11" s="1"/>
  <c r="CW141" i="11"/>
  <c r="CW143" i="11" s="1"/>
  <c r="CW162" i="11" s="1"/>
  <c r="CX136" i="11"/>
  <c r="CX78" i="11"/>
  <c r="CY75" i="11"/>
  <c r="CW166" i="11"/>
  <c r="CW168" i="11" s="1"/>
  <c r="CX146" i="11"/>
  <c r="CU32" i="11"/>
  <c r="CV162" i="11"/>
  <c r="BI38" i="11"/>
  <c r="CI69" i="11"/>
  <c r="CI71" i="11" s="1"/>
  <c r="CI89" i="11" s="1"/>
  <c r="CI91" i="11" s="1"/>
  <c r="BI161" i="11"/>
  <c r="BK18" i="11"/>
  <c r="BK22" i="11" s="1"/>
  <c r="CX12" i="11"/>
  <c r="BM4" i="17"/>
  <c r="BL1" i="17"/>
  <c r="BA174" i="11"/>
  <c r="BB172" i="11"/>
  <c r="BB173" i="11" s="1"/>
  <c r="CW82" i="11"/>
  <c r="CX80" i="11"/>
  <c r="DC116" i="11"/>
  <c r="BJ30" i="11"/>
  <c r="BJ21" i="11"/>
  <c r="BJ31" i="11" s="1"/>
  <c r="BK15" i="17"/>
  <c r="BK18" i="17" s="1"/>
  <c r="CJ68" i="11" s="1"/>
  <c r="BK3" i="17"/>
  <c r="BI65" i="11" l="1"/>
  <c r="BI40" i="11" s="1"/>
  <c r="DD116" i="11"/>
  <c r="BI41" i="11"/>
  <c r="BI39" i="11"/>
  <c r="CV63" i="11"/>
  <c r="BM1" i="17"/>
  <c r="BN4" i="17"/>
  <c r="BK16" i="11"/>
  <c r="CY167" i="11"/>
  <c r="CZ149" i="11"/>
  <c r="CX96" i="11"/>
  <c r="CX97" i="11" s="1"/>
  <c r="CY95" i="11"/>
  <c r="CV32" i="11"/>
  <c r="BL3" i="17"/>
  <c r="BL15" i="17"/>
  <c r="BL18" i="17" s="1"/>
  <c r="CK68" i="11" s="1"/>
  <c r="CZ75" i="11"/>
  <c r="CY78" i="11"/>
  <c r="CJ69" i="11"/>
  <c r="CJ71" i="11" s="1"/>
  <c r="CJ89" i="11" s="1"/>
  <c r="CX82" i="11"/>
  <c r="CY80" i="11"/>
  <c r="CY12" i="11"/>
  <c r="CY136" i="11"/>
  <c r="CX141" i="11"/>
  <c r="CX143" i="11" s="1"/>
  <c r="CX162" i="11" s="1"/>
  <c r="CY118" i="11"/>
  <c r="CX124" i="11"/>
  <c r="CX127" i="11" s="1"/>
  <c r="CZ123" i="11"/>
  <c r="BY150" i="11"/>
  <c r="CX166" i="11"/>
  <c r="CX168" i="11" s="1"/>
  <c r="CY146" i="11"/>
  <c r="CV62" i="11"/>
  <c r="AK9" i="17"/>
  <c r="AK13" i="17" s="1"/>
  <c r="BJ60" i="11" s="1"/>
  <c r="BJ34" i="11"/>
  <c r="BJ6" i="11"/>
  <c r="BB174" i="11"/>
  <c r="BC172" i="11"/>
  <c r="BC173" i="11" s="1"/>
  <c r="CX33" i="11"/>
  <c r="BI66" i="11" l="1"/>
  <c r="BI92" i="11"/>
  <c r="BI98" i="11" s="1"/>
  <c r="BI151" i="11" s="1"/>
  <c r="BI152" i="11" s="1"/>
  <c r="BI153" i="11" s="1"/>
  <c r="BI42" i="11"/>
  <c r="BI44" i="11" s="1"/>
  <c r="BO4" i="17"/>
  <c r="BN1" i="17"/>
  <c r="BJ7" i="11"/>
  <c r="BJ8" i="11"/>
  <c r="BZ150" i="11"/>
  <c r="CY82" i="11"/>
  <c r="CZ80" i="11"/>
  <c r="CY96" i="11"/>
  <c r="CY97" i="11" s="1"/>
  <c r="CZ95" i="11"/>
  <c r="CY33" i="11"/>
  <c r="CW62" i="11"/>
  <c r="CW63" i="11"/>
  <c r="BM15" i="17"/>
  <c r="BM18" i="17" s="1"/>
  <c r="CL68" i="11" s="1"/>
  <c r="BM3" i="17"/>
  <c r="CY166" i="11"/>
  <c r="CY168" i="11" s="1"/>
  <c r="CZ146" i="11"/>
  <c r="CY124" i="11"/>
  <c r="CY127" i="11" s="1"/>
  <c r="CZ118" i="11"/>
  <c r="CK69" i="11"/>
  <c r="CK71" i="11" s="1"/>
  <c r="CK89" i="11" s="1"/>
  <c r="CZ167" i="11"/>
  <c r="DA149" i="11"/>
  <c r="CZ12" i="11"/>
  <c r="DA123" i="11"/>
  <c r="BC174" i="11"/>
  <c r="BD172" i="11"/>
  <c r="BD173" i="11" s="1"/>
  <c r="CJ91" i="11"/>
  <c r="CZ136" i="11"/>
  <c r="CY141" i="11"/>
  <c r="CY143" i="11" s="1"/>
  <c r="CY162" i="11" s="1"/>
  <c r="BI45" i="11"/>
  <c r="DE116" i="11"/>
  <c r="CZ78" i="11"/>
  <c r="DA75" i="11"/>
  <c r="CW32" i="11"/>
  <c r="BK24" i="11"/>
  <c r="BK17" i="11" s="1"/>
  <c r="BK15" i="11"/>
  <c r="BL36" i="11"/>
  <c r="BL37" i="11" s="1"/>
  <c r="BI160" i="11" l="1"/>
  <c r="BI163" i="11" s="1"/>
  <c r="BI170" i="11" s="1"/>
  <c r="BI105" i="11" s="1"/>
  <c r="BI111" i="11" s="1"/>
  <c r="BJ9" i="11"/>
  <c r="BJ114" i="11" s="1"/>
  <c r="BJ115" i="11" s="1"/>
  <c r="BL20" i="11"/>
  <c r="BL18" i="11" s="1"/>
  <c r="BL22" i="11" s="1"/>
  <c r="CK91" i="11"/>
  <c r="CZ141" i="11"/>
  <c r="CZ143" i="11" s="1"/>
  <c r="DA136" i="11"/>
  <c r="DA12" i="11"/>
  <c r="CZ166" i="11"/>
  <c r="CZ168" i="11" s="1"/>
  <c r="DA146" i="11"/>
  <c r="DF116" i="11"/>
  <c r="DA78" i="11"/>
  <c r="DB75" i="11"/>
  <c r="DB149" i="11"/>
  <c r="DA167" i="11"/>
  <c r="CX62" i="11"/>
  <c r="CA150" i="11"/>
  <c r="CZ33" i="11"/>
  <c r="CL69" i="11"/>
  <c r="CL71" i="11" s="1"/>
  <c r="CL89" i="11" s="1"/>
  <c r="CZ124" i="11"/>
  <c r="CZ127" i="11" s="1"/>
  <c r="DA118" i="11"/>
  <c r="CX63" i="11"/>
  <c r="BN15" i="17"/>
  <c r="BN18" i="17" s="1"/>
  <c r="CM68" i="11" s="1"/>
  <c r="BN3" i="17"/>
  <c r="BK30" i="11"/>
  <c r="BK21" i="11"/>
  <c r="BK31" i="11" s="1"/>
  <c r="BE172" i="11"/>
  <c r="BE173" i="11" s="1"/>
  <c r="BD174" i="11"/>
  <c r="CZ96" i="11"/>
  <c r="CZ97" i="11" s="1"/>
  <c r="DA95" i="11"/>
  <c r="CX32" i="11"/>
  <c r="DB123" i="11"/>
  <c r="CZ82" i="11"/>
  <c r="DA80" i="11"/>
  <c r="BP4" i="17"/>
  <c r="BO1" i="17"/>
  <c r="BJ58" i="11" l="1"/>
  <c r="BJ59" i="11"/>
  <c r="BJ13" i="11"/>
  <c r="BJ38" i="11" s="1"/>
  <c r="CL91" i="11"/>
  <c r="DA141" i="11"/>
  <c r="DA143" i="11" s="1"/>
  <c r="DB136" i="11"/>
  <c r="DB118" i="11"/>
  <c r="DA124" i="11"/>
  <c r="DA127" i="11" s="1"/>
  <c r="DG116" i="11"/>
  <c r="BI112" i="11"/>
  <c r="BI128" i="11"/>
  <c r="BI129" i="11" s="1"/>
  <c r="BI156" i="11" s="1"/>
  <c r="CZ162" i="11"/>
  <c r="DA82" i="11"/>
  <c r="DB80" i="11"/>
  <c r="DA33" i="11"/>
  <c r="DB167" i="11"/>
  <c r="DC149" i="11"/>
  <c r="BL16" i="11"/>
  <c r="DB12" i="11"/>
  <c r="CY32" i="11"/>
  <c r="BO15" i="17"/>
  <c r="BO18" i="17" s="1"/>
  <c r="CN68" i="11" s="1"/>
  <c r="BO3" i="17"/>
  <c r="BQ4" i="17"/>
  <c r="BP1" i="17"/>
  <c r="AL9" i="17"/>
  <c r="AL13" i="17" s="1"/>
  <c r="BK60" i="11" s="1"/>
  <c r="BK34" i="11"/>
  <c r="BK6" i="11"/>
  <c r="DC75" i="11"/>
  <c r="DB78" i="11"/>
  <c r="DA166" i="11"/>
  <c r="DA168" i="11" s="1"/>
  <c r="DB146" i="11"/>
  <c r="CY63" i="11"/>
  <c r="DC123" i="11"/>
  <c r="CY62" i="11"/>
  <c r="BE174" i="11"/>
  <c r="BF172" i="11"/>
  <c r="BF173" i="11" s="1"/>
  <c r="DA96" i="11"/>
  <c r="DA97" i="11" s="1"/>
  <c r="DB95" i="11"/>
  <c r="CM69" i="11"/>
  <c r="CM71" i="11" s="1"/>
  <c r="CM89" i="11" s="1"/>
  <c r="CM91" i="11" s="1"/>
  <c r="CB150" i="11"/>
  <c r="BJ161" i="11"/>
  <c r="BJ61" i="11" l="1"/>
  <c r="BJ93" i="11" s="1"/>
  <c r="BJ43" i="11" s="1"/>
  <c r="BK8" i="11"/>
  <c r="BK7" i="11"/>
  <c r="DB33" i="11"/>
  <c r="DB82" i="11"/>
  <c r="DC80" i="11"/>
  <c r="DB124" i="11"/>
  <c r="DB127" i="11" s="1"/>
  <c r="DC118" i="11"/>
  <c r="DD123" i="11"/>
  <c r="DB166" i="11"/>
  <c r="DB168" i="11" s="1"/>
  <c r="DC146" i="11"/>
  <c r="BP15" i="17"/>
  <c r="BP18" i="17" s="1"/>
  <c r="CO68" i="11" s="1"/>
  <c r="BP3" i="17"/>
  <c r="DB141" i="11"/>
  <c r="DB143" i="11" s="1"/>
  <c r="DB162" i="11" s="1"/>
  <c r="DC136" i="11"/>
  <c r="CZ62" i="11"/>
  <c r="CC150" i="11"/>
  <c r="BL24" i="11"/>
  <c r="BL17" i="11" s="1"/>
  <c r="BL15" i="11"/>
  <c r="BM36" i="11"/>
  <c r="BM37" i="11" s="1"/>
  <c r="DA162" i="11"/>
  <c r="CZ63" i="11"/>
  <c r="BR4" i="17"/>
  <c r="BQ1" i="17"/>
  <c r="DB96" i="11"/>
  <c r="DB97" i="11" s="1"/>
  <c r="DC95" i="11"/>
  <c r="BJ41" i="11"/>
  <c r="BJ39" i="11"/>
  <c r="CN69" i="11"/>
  <c r="CN71" i="11" s="1"/>
  <c r="CN89" i="11" s="1"/>
  <c r="CN91" i="11" s="1"/>
  <c r="DC167" i="11"/>
  <c r="DD149" i="11"/>
  <c r="DC12" i="11"/>
  <c r="BG172" i="11"/>
  <c r="BG173" i="11" s="1"/>
  <c r="BF174" i="11"/>
  <c r="DC78" i="11"/>
  <c r="DD75" i="11"/>
  <c r="CZ32" i="11"/>
  <c r="BJ65" i="11" l="1"/>
  <c r="BK9" i="11"/>
  <c r="BK114" i="11" s="1"/>
  <c r="BK115" i="11" s="1"/>
  <c r="BH172" i="11"/>
  <c r="BH173" i="11" s="1"/>
  <c r="BG174" i="11"/>
  <c r="CO69" i="11"/>
  <c r="CO71" i="11" s="1"/>
  <c r="CO89" i="11" s="1"/>
  <c r="CO91" i="11" s="1"/>
  <c r="DC82" i="11"/>
  <c r="DD80" i="11"/>
  <c r="DD167" i="11"/>
  <c r="DE149" i="11"/>
  <c r="DC33" i="11"/>
  <c r="BQ15" i="17"/>
  <c r="BQ18" i="17" s="1"/>
  <c r="CP68" i="11" s="1"/>
  <c r="BQ3" i="17"/>
  <c r="DD12" i="11"/>
  <c r="DA63" i="11"/>
  <c r="DC166" i="11"/>
  <c r="DC168" i="11" s="1"/>
  <c r="DD146" i="11"/>
  <c r="DA32" i="11"/>
  <c r="CD150" i="11"/>
  <c r="DA62" i="11"/>
  <c r="DE75" i="11"/>
  <c r="DD78" i="11"/>
  <c r="DC96" i="11"/>
  <c r="DC97" i="11" s="1"/>
  <c r="DD95" i="11"/>
  <c r="DE123" i="11"/>
  <c r="BL30" i="11"/>
  <c r="BL21" i="11"/>
  <c r="BL31" i="11" s="1"/>
  <c r="DC141" i="11"/>
  <c r="DC143" i="11" s="1"/>
  <c r="DC162" i="11" s="1"/>
  <c r="DD136" i="11"/>
  <c r="DC124" i="11"/>
  <c r="DC127" i="11" s="1"/>
  <c r="DD118" i="11"/>
  <c r="BS4" i="17"/>
  <c r="BR1" i="17"/>
  <c r="BM20" i="11"/>
  <c r="BJ92" i="11" l="1"/>
  <c r="BJ98" i="11" s="1"/>
  <c r="BJ40" i="11"/>
  <c r="BJ66" i="11"/>
  <c r="BK59" i="11"/>
  <c r="BK58" i="11"/>
  <c r="BK13" i="11"/>
  <c r="BK38" i="11" s="1"/>
  <c r="BK161" i="11"/>
  <c r="DD96" i="11"/>
  <c r="DD97" i="11" s="1"/>
  <c r="DE95" i="11"/>
  <c r="DB63" i="11"/>
  <c r="BR15" i="17"/>
  <c r="BR18" i="17" s="1"/>
  <c r="CQ68" i="11" s="1"/>
  <c r="BR3" i="17"/>
  <c r="DE78" i="11"/>
  <c r="DF75" i="11"/>
  <c r="DB32" i="11"/>
  <c r="DD82" i="11"/>
  <c r="DE80" i="11"/>
  <c r="BH174" i="11"/>
  <c r="BI172" i="11"/>
  <c r="BI173" i="11" s="1"/>
  <c r="BM18" i="11"/>
  <c r="BM22" i="11" s="1"/>
  <c r="DE167" i="11"/>
  <c r="DF149" i="11"/>
  <c r="CE150" i="11"/>
  <c r="DE12" i="11"/>
  <c r="BT4" i="17"/>
  <c r="BS1" i="17"/>
  <c r="DE118" i="11"/>
  <c r="DD124" i="11"/>
  <c r="DD127" i="11" s="1"/>
  <c r="DD33" i="11"/>
  <c r="AM9" i="17"/>
  <c r="AM13" i="17" s="1"/>
  <c r="BL60" i="11" s="1"/>
  <c r="BL34" i="11"/>
  <c r="BL6" i="11"/>
  <c r="DD166" i="11"/>
  <c r="DD168" i="11" s="1"/>
  <c r="DE146" i="11"/>
  <c r="CP69" i="11"/>
  <c r="CP71" i="11"/>
  <c r="CP89" i="11" s="1"/>
  <c r="CP91" i="11" s="1"/>
  <c r="DD141" i="11"/>
  <c r="DD143" i="11" s="1"/>
  <c r="DD162" i="11" s="1"/>
  <c r="DE136" i="11"/>
  <c r="DF123" i="11"/>
  <c r="DB62" i="11"/>
  <c r="BJ160" i="11" l="1"/>
  <c r="BJ163" i="11" s="1"/>
  <c r="BJ170" i="11" s="1"/>
  <c r="BJ105" i="11" s="1"/>
  <c r="BJ111" i="11" s="1"/>
  <c r="BJ112" i="11" s="1"/>
  <c r="BJ151" i="11"/>
  <c r="BJ152" i="11" s="1"/>
  <c r="BJ153" i="11" s="1"/>
  <c r="BJ42" i="11"/>
  <c r="BJ44" i="11" s="1"/>
  <c r="BJ45" i="11"/>
  <c r="BK61" i="11"/>
  <c r="BK65" i="11" s="1"/>
  <c r="BK93" i="11"/>
  <c r="BK43" i="11" s="1"/>
  <c r="DC63" i="11"/>
  <c r="DC62" i="11"/>
  <c r="DE33" i="11"/>
  <c r="CF150" i="11"/>
  <c r="DF78" i="11"/>
  <c r="DG75" i="11"/>
  <c r="BK39" i="11"/>
  <c r="BK41" i="11"/>
  <c r="DC32" i="11"/>
  <c r="DE166" i="11"/>
  <c r="DE168" i="11" s="1"/>
  <c r="DF146" i="11"/>
  <c r="BM16" i="11"/>
  <c r="DG123" i="11"/>
  <c r="DF167" i="11"/>
  <c r="DG149" i="11"/>
  <c r="DG167" i="11" s="1"/>
  <c r="DE124" i="11"/>
  <c r="DE127" i="11" s="1"/>
  <c r="DF118" i="11"/>
  <c r="DE96" i="11"/>
  <c r="DE97" i="11" s="1"/>
  <c r="DF95" i="11"/>
  <c r="DE141" i="11"/>
  <c r="DE143" i="11" s="1"/>
  <c r="DF136" i="11"/>
  <c r="BS15" i="17"/>
  <c r="BS18" i="17" s="1"/>
  <c r="CR68" i="11" s="1"/>
  <c r="BS3" i="17"/>
  <c r="BI174" i="11"/>
  <c r="BJ172" i="11"/>
  <c r="BJ173" i="11" s="1"/>
  <c r="BU4" i="17"/>
  <c r="BT1" i="17"/>
  <c r="BL8" i="11"/>
  <c r="BL7" i="11"/>
  <c r="BL9" i="11" s="1"/>
  <c r="DF12" i="11"/>
  <c r="DE82" i="11"/>
  <c r="DF80" i="11"/>
  <c r="CQ69" i="11"/>
  <c r="CQ71" i="11" s="1"/>
  <c r="CQ89" i="11" s="1"/>
  <c r="CQ91" i="11" s="1"/>
  <c r="BJ128" i="11" l="1"/>
  <c r="BJ129" i="11" s="1"/>
  <c r="BJ156" i="11" s="1"/>
  <c r="BK92" i="11"/>
  <c r="BK98" i="11" s="1"/>
  <c r="BK66" i="11"/>
  <c r="BK40" i="11"/>
  <c r="BK45" i="11" s="1"/>
  <c r="BL114" i="11"/>
  <c r="BL115" i="11" s="1"/>
  <c r="BL13" i="11"/>
  <c r="BL58" i="11"/>
  <c r="BL59" i="11"/>
  <c r="BM24" i="11"/>
  <c r="BM17" i="11" s="1"/>
  <c r="BM15" i="11"/>
  <c r="BN36" i="11"/>
  <c r="BN37" i="11" s="1"/>
  <c r="DG12" i="11"/>
  <c r="DF166" i="11"/>
  <c r="DF168" i="11" s="1"/>
  <c r="DG146" i="11"/>
  <c r="DD62" i="11"/>
  <c r="DG78" i="11"/>
  <c r="BJ174" i="11"/>
  <c r="BK172" i="11"/>
  <c r="CR69" i="11"/>
  <c r="CR71" i="11" s="1"/>
  <c r="CR89" i="11" s="1"/>
  <c r="CR91" i="11" s="1"/>
  <c r="DD63" i="11"/>
  <c r="DG136" i="11"/>
  <c r="DG141" i="11" s="1"/>
  <c r="DG143" i="11" s="1"/>
  <c r="DF141" i="11"/>
  <c r="DF143" i="11" s="1"/>
  <c r="DD32" i="11"/>
  <c r="DE162" i="11"/>
  <c r="DF82" i="11"/>
  <c r="DG80" i="11"/>
  <c r="DG82" i="11" s="1"/>
  <c r="BT15" i="17"/>
  <c r="BT18" i="17" s="1"/>
  <c r="CS68" i="11" s="1"/>
  <c r="BT3" i="17"/>
  <c r="DF96" i="11"/>
  <c r="DF97" i="11" s="1"/>
  <c r="DG95" i="11"/>
  <c r="CG150" i="11"/>
  <c r="DG118" i="11"/>
  <c r="DG124" i="11" s="1"/>
  <c r="DG127" i="11" s="1"/>
  <c r="DF124" i="11"/>
  <c r="DF127" i="11" s="1"/>
  <c r="BV4" i="17"/>
  <c r="BU1" i="17"/>
  <c r="BK151" i="11"/>
  <c r="BK152" i="11" s="1"/>
  <c r="BK153" i="11" s="1"/>
  <c r="BK160" i="11"/>
  <c r="BK163" i="11" s="1"/>
  <c r="BK170" i="11" s="1"/>
  <c r="BK105" i="11" s="1"/>
  <c r="DF33" i="11"/>
  <c r="BK42" i="11" l="1"/>
  <c r="BK44" i="11" s="1"/>
  <c r="DE63" i="11"/>
  <c r="DG33" i="11"/>
  <c r="DE62" i="11"/>
  <c r="BM30" i="11"/>
  <c r="BM21" i="11"/>
  <c r="BM31" i="11" s="1"/>
  <c r="BK111" i="11"/>
  <c r="CH150" i="11"/>
  <c r="BN20" i="11"/>
  <c r="DG96" i="11"/>
  <c r="DG97" i="11" s="1"/>
  <c r="G41" i="2"/>
  <c r="H41" i="2"/>
  <c r="I41" i="2"/>
  <c r="J41" i="2"/>
  <c r="K41" i="2"/>
  <c r="DE32" i="11"/>
  <c r="DG166" i="11"/>
  <c r="DG168" i="11" s="1"/>
  <c r="BU15" i="17"/>
  <c r="BU18" i="17" s="1"/>
  <c r="CT68" i="11" s="1"/>
  <c r="BU3" i="17"/>
  <c r="BK173" i="11"/>
  <c r="BL61" i="11"/>
  <c r="BL93" i="11" s="1"/>
  <c r="BL43" i="11" s="1"/>
  <c r="BW4" i="17"/>
  <c r="BV1" i="17"/>
  <c r="DF162" i="11"/>
  <c r="G20" i="2"/>
  <c r="H20" i="2"/>
  <c r="I20" i="2"/>
  <c r="J20" i="2"/>
  <c r="K20" i="2"/>
  <c r="BL38" i="11"/>
  <c r="CS69" i="11"/>
  <c r="CS71" i="11" s="1"/>
  <c r="CS89" i="11" s="1"/>
  <c r="CS91" i="11" s="1"/>
  <c r="DG162" i="11"/>
  <c r="BL161" i="11"/>
  <c r="BL65" i="11" l="1"/>
  <c r="BL66" i="11" s="1"/>
  <c r="CT69" i="11"/>
  <c r="CT71" i="11" s="1"/>
  <c r="CT89" i="11" s="1"/>
  <c r="CT91" i="11" s="1"/>
  <c r="CI150" i="11"/>
  <c r="BV15" i="17"/>
  <c r="BV18" i="17" s="1"/>
  <c r="CU68" i="11" s="1"/>
  <c r="BV3" i="17"/>
  <c r="BX4" i="17"/>
  <c r="BW1" i="17"/>
  <c r="DF62" i="11"/>
  <c r="DF32" i="11"/>
  <c r="BK112" i="11"/>
  <c r="BK128" i="11"/>
  <c r="BK129" i="11" s="1"/>
  <c r="BK156" i="11" s="1"/>
  <c r="BL41" i="11"/>
  <c r="BL39" i="11"/>
  <c r="AN9" i="17"/>
  <c r="AN13" i="17" s="1"/>
  <c r="BM60" i="11" s="1"/>
  <c r="BM34" i="11"/>
  <c r="BM6" i="11"/>
  <c r="BN18" i="11"/>
  <c r="BN22" i="11" s="1"/>
  <c r="BK174" i="11"/>
  <c r="BL172" i="11"/>
  <c r="G45" i="2"/>
  <c r="DF63" i="11"/>
  <c r="BL92" i="11" l="1"/>
  <c r="BL98" i="11" s="1"/>
  <c r="BL151" i="11" s="1"/>
  <c r="BL152" i="11" s="1"/>
  <c r="BL153" i="11" s="1"/>
  <c r="BL40" i="11"/>
  <c r="BL45" i="11" s="1"/>
  <c r="BL42" i="11"/>
  <c r="BL44" i="11" s="1"/>
  <c r="BY4" i="17"/>
  <c r="BX1" i="17"/>
  <c r="BW15" i="17"/>
  <c r="BW18" i="17" s="1"/>
  <c r="CV68" i="11" s="1"/>
  <c r="BW3" i="17"/>
  <c r="BL160" i="11"/>
  <c r="BL163" i="11" s="1"/>
  <c r="BL170" i="11" s="1"/>
  <c r="BL105" i="11" s="1"/>
  <c r="BM8" i="11"/>
  <c r="BM7" i="11"/>
  <c r="DG32" i="11"/>
  <c r="BN16" i="11"/>
  <c r="DG63" i="11"/>
  <c r="CU69" i="11"/>
  <c r="CU71" i="11" s="1"/>
  <c r="CU89" i="11" s="1"/>
  <c r="CU91" i="11" s="1"/>
  <c r="DG62" i="11"/>
  <c r="CJ150" i="11"/>
  <c r="BM9" i="11" l="1"/>
  <c r="BM114" i="11" s="1"/>
  <c r="BM115" i="11" s="1"/>
  <c r="BM59" i="11"/>
  <c r="BL111" i="11"/>
  <c r="CK150" i="11"/>
  <c r="BN24" i="11"/>
  <c r="BN17" i="11" s="1"/>
  <c r="BN15" i="11"/>
  <c r="BO36" i="11"/>
  <c r="BO37" i="11" s="1"/>
  <c r="BL173" i="11"/>
  <c r="CV69" i="11"/>
  <c r="CV71" i="11"/>
  <c r="CV89" i="11" s="1"/>
  <c r="BX15" i="17"/>
  <c r="BX18" i="17" s="1"/>
  <c r="CW68" i="11" s="1"/>
  <c r="BX3" i="17"/>
  <c r="BZ4" i="17"/>
  <c r="BY1" i="17"/>
  <c r="BM58" i="11" l="1"/>
  <c r="BM61" i="11" s="1"/>
  <c r="BM93" i="11" s="1"/>
  <c r="BM43" i="11" s="1"/>
  <c r="BM13" i="11"/>
  <c r="BZ1" i="17"/>
  <c r="CA4" i="17"/>
  <c r="BN30" i="11"/>
  <c r="BN21" i="11"/>
  <c r="BN31" i="11" s="1"/>
  <c r="CW69" i="11"/>
  <c r="CW71" i="11" s="1"/>
  <c r="CW89" i="11" s="1"/>
  <c r="CW91" i="11" s="1"/>
  <c r="BO20" i="11"/>
  <c r="BY3" i="17"/>
  <c r="BY15" i="17"/>
  <c r="BY18" i="17" s="1"/>
  <c r="CX68" i="11" s="1"/>
  <c r="CL150" i="11"/>
  <c r="BL112" i="11"/>
  <c r="BL128" i="11"/>
  <c r="BL129" i="11" s="1"/>
  <c r="BL156" i="11" s="1"/>
  <c r="CV91" i="11"/>
  <c r="BM38" i="11"/>
  <c r="BL174" i="11"/>
  <c r="BM172" i="11"/>
  <c r="BM161" i="11"/>
  <c r="BO18" i="11" l="1"/>
  <c r="BO22" i="11" s="1"/>
  <c r="BZ15" i="17"/>
  <c r="BZ18" i="17" s="1"/>
  <c r="CY68" i="11" s="1"/>
  <c r="BZ3" i="17"/>
  <c r="BM65" i="11"/>
  <c r="CA1" i="17"/>
  <c r="CB4" i="17"/>
  <c r="BM41" i="11"/>
  <c r="BM39" i="11"/>
  <c r="CX69" i="11"/>
  <c r="CX71" i="11" s="1"/>
  <c r="CX89" i="11" s="1"/>
  <c r="CM150" i="11"/>
  <c r="AO9" i="17"/>
  <c r="AO13" i="17" s="1"/>
  <c r="BN60" i="11" s="1"/>
  <c r="BN34" i="11"/>
  <c r="BN6" i="11"/>
  <c r="CX91" i="11" l="1"/>
  <c r="CY69" i="11"/>
  <c r="CY71" i="11" s="1"/>
  <c r="CY89" i="11" s="1"/>
  <c r="CY91" i="11" s="1"/>
  <c r="BN8" i="11"/>
  <c r="BN7" i="11"/>
  <c r="CC4" i="17"/>
  <c r="CB1" i="17"/>
  <c r="CA3" i="17"/>
  <c r="CA15" i="17"/>
  <c r="CA18" i="17" s="1"/>
  <c r="CZ68" i="11" s="1"/>
  <c r="CN150" i="11"/>
  <c r="BM92" i="11"/>
  <c r="BM98" i="11" s="1"/>
  <c r="BM40" i="11"/>
  <c r="BM66" i="11"/>
  <c r="BO16" i="11"/>
  <c r="BN9" i="11" l="1"/>
  <c r="BN114" i="11" s="1"/>
  <c r="BN115" i="11" s="1"/>
  <c r="BN59" i="11"/>
  <c r="CC1" i="17"/>
  <c r="CD4" i="17"/>
  <c r="BM42" i="11"/>
  <c r="BM44" i="11" s="1"/>
  <c r="BM45" i="11"/>
  <c r="CZ69" i="11"/>
  <c r="CZ71" i="11" s="1"/>
  <c r="CZ89" i="11" s="1"/>
  <c r="BM160" i="11"/>
  <c r="BM163" i="11" s="1"/>
  <c r="BM170" i="11" s="1"/>
  <c r="BM151" i="11"/>
  <c r="BM152" i="11" s="1"/>
  <c r="BM153" i="11" s="1"/>
  <c r="CO150" i="11"/>
  <c r="BO24" i="11"/>
  <c r="BO17" i="11" s="1"/>
  <c r="BO15" i="11"/>
  <c r="BP36" i="11"/>
  <c r="BP37" i="11" s="1"/>
  <c r="CB3" i="17"/>
  <c r="CB15" i="17"/>
  <c r="CB18" i="17" s="1"/>
  <c r="DA68" i="11" s="1"/>
  <c r="BN58" i="11" l="1"/>
  <c r="BN61" i="11" s="1"/>
  <c r="BN93" i="11" s="1"/>
  <c r="BN43" i="11" s="1"/>
  <c r="BN13" i="11"/>
  <c r="BP20" i="11"/>
  <c r="BP18" i="11" s="1"/>
  <c r="BP22" i="11" s="1"/>
  <c r="CE4" i="17"/>
  <c r="CD1" i="17"/>
  <c r="CP150" i="11"/>
  <c r="CC15" i="17"/>
  <c r="CC18" i="17" s="1"/>
  <c r="DB68" i="11" s="1"/>
  <c r="CC3" i="17"/>
  <c r="DA69" i="11"/>
  <c r="DA71" i="11" s="1"/>
  <c r="DA89" i="11" s="1"/>
  <c r="DA91" i="11" s="1"/>
  <c r="BM105" i="11"/>
  <c r="BM173" i="11"/>
  <c r="CZ91" i="11"/>
  <c r="BN38" i="11"/>
  <c r="BO30" i="11"/>
  <c r="BO21" i="11"/>
  <c r="BO31" i="11" s="1"/>
  <c r="BN161" i="11"/>
  <c r="BN65" i="11" l="1"/>
  <c r="BN92" i="11" s="1"/>
  <c r="BN98" i="11" s="1"/>
  <c r="DB69" i="11"/>
  <c r="DB71" i="11" s="1"/>
  <c r="DB89" i="11" s="1"/>
  <c r="AP9" i="17"/>
  <c r="AP13" i="17" s="1"/>
  <c r="BO60" i="11" s="1"/>
  <c r="BO34" i="11"/>
  <c r="BO6" i="11"/>
  <c r="BN172" i="11"/>
  <c r="CQ150" i="11"/>
  <c r="BM111" i="11"/>
  <c r="BM174" i="11" s="1"/>
  <c r="CD15" i="17"/>
  <c r="CD18" i="17" s="1"/>
  <c r="DC68" i="11" s="1"/>
  <c r="CD3" i="17"/>
  <c r="BP16" i="11"/>
  <c r="BN39" i="11"/>
  <c r="BN41" i="11"/>
  <c r="CF4" i="17"/>
  <c r="CE1" i="17"/>
  <c r="BN40" i="11" l="1"/>
  <c r="BN42" i="11" s="1"/>
  <c r="BN44" i="11" s="1"/>
  <c r="BN66" i="11"/>
  <c r="CR150" i="11"/>
  <c r="BN160" i="11"/>
  <c r="BN163" i="11" s="1"/>
  <c r="BN170" i="11" s="1"/>
  <c r="BN105" i="11" s="1"/>
  <c r="BN151" i="11"/>
  <c r="BN152" i="11" s="1"/>
  <c r="BN153" i="11" s="1"/>
  <c r="DC69" i="11"/>
  <c r="DC71" i="11" s="1"/>
  <c r="DC89" i="11" s="1"/>
  <c r="DC91" i="11" s="1"/>
  <c r="CE15" i="17"/>
  <c r="CE18" i="17" s="1"/>
  <c r="DD68" i="11" s="1"/>
  <c r="CE3" i="17"/>
  <c r="CG4" i="17"/>
  <c r="CF1" i="17"/>
  <c r="BP24" i="11"/>
  <c r="BP17" i="11" s="1"/>
  <c r="BP15" i="11"/>
  <c r="BQ36" i="11"/>
  <c r="BQ37" i="11" s="1"/>
  <c r="BO8" i="11"/>
  <c r="BO7" i="11"/>
  <c r="BO9" i="11" s="1"/>
  <c r="BM112" i="11"/>
  <c r="BM128" i="11"/>
  <c r="BM129" i="11" s="1"/>
  <c r="BM156" i="11" s="1"/>
  <c r="DB91" i="11"/>
  <c r="BN45" i="11" l="1"/>
  <c r="BQ20" i="11"/>
  <c r="BQ18" i="11" s="1"/>
  <c r="BQ22" i="11" s="1"/>
  <c r="BN173" i="11"/>
  <c r="BO172" i="11" s="1"/>
  <c r="BP30" i="11"/>
  <c r="BP21" i="11"/>
  <c r="BP31" i="11" s="1"/>
  <c r="CF15" i="17"/>
  <c r="CF18" i="17" s="1"/>
  <c r="DE68" i="11" s="1"/>
  <c r="CF3" i="17"/>
  <c r="BN111" i="11"/>
  <c r="CH4" i="17"/>
  <c r="CG1" i="17"/>
  <c r="BO114" i="11"/>
  <c r="BO115" i="11" s="1"/>
  <c r="BO13" i="11"/>
  <c r="BO58" i="11"/>
  <c r="BO59" i="11"/>
  <c r="DD69" i="11"/>
  <c r="DD71" i="11" s="1"/>
  <c r="DD89" i="11" s="1"/>
  <c r="DD91" i="11" s="1"/>
  <c r="CS150" i="11"/>
  <c r="CG15" i="17" l="1"/>
  <c r="CG18" i="17" s="1"/>
  <c r="DF68" i="11" s="1"/>
  <c r="CG3" i="17"/>
  <c r="BO61" i="11"/>
  <c r="BO93" i="11" s="1"/>
  <c r="BN112" i="11"/>
  <c r="BN128" i="11"/>
  <c r="BN129" i="11" s="1"/>
  <c r="BN156" i="11" s="1"/>
  <c r="BO38" i="11"/>
  <c r="DE69" i="11"/>
  <c r="DE71" i="11" s="1"/>
  <c r="DE89" i="11" s="1"/>
  <c r="DE91" i="11" s="1"/>
  <c r="AQ9" i="17"/>
  <c r="AQ13" i="17" s="1"/>
  <c r="BP60" i="11" s="1"/>
  <c r="BP34" i="11"/>
  <c r="BP6" i="11"/>
  <c r="BO161" i="11"/>
  <c r="CT150" i="11"/>
  <c r="BN174" i="11"/>
  <c r="BQ16" i="11"/>
  <c r="CI4" i="17"/>
  <c r="CH1" i="17"/>
  <c r="BO65" i="11" l="1"/>
  <c r="BO40" i="11" s="1"/>
  <c r="BQ15" i="11"/>
  <c r="BQ24" i="11"/>
  <c r="BQ17" i="11" s="1"/>
  <c r="BR36" i="11"/>
  <c r="BR37" i="11" s="1"/>
  <c r="CU150" i="11"/>
  <c r="BO39" i="11"/>
  <c r="BO41" i="11"/>
  <c r="BO66" i="11"/>
  <c r="CI1" i="17"/>
  <c r="CJ4" i="17"/>
  <c r="BP7" i="11"/>
  <c r="BP8" i="11"/>
  <c r="BP9" i="11" s="1"/>
  <c r="BO43" i="11"/>
  <c r="CH15" i="17"/>
  <c r="CH18" i="17" s="1"/>
  <c r="DG68" i="11" s="1"/>
  <c r="CH3" i="17"/>
  <c r="DF69" i="11"/>
  <c r="DF71" i="11" s="1"/>
  <c r="DF89" i="11" s="1"/>
  <c r="DF91" i="11" s="1"/>
  <c r="BO92" i="11" l="1"/>
  <c r="BO98" i="11" s="1"/>
  <c r="BO45" i="11"/>
  <c r="CI15" i="17"/>
  <c r="CI18" i="17" s="1"/>
  <c r="CI3" i="17"/>
  <c r="CK4" i="17"/>
  <c r="CJ1" i="17"/>
  <c r="DG69" i="11"/>
  <c r="DG71" i="11"/>
  <c r="DG89" i="11" s="1"/>
  <c r="BO42" i="11"/>
  <c r="BO44" i="11" s="1"/>
  <c r="BR20" i="11"/>
  <c r="BP114" i="11"/>
  <c r="BP115" i="11" s="1"/>
  <c r="BP13" i="11"/>
  <c r="BP59" i="11"/>
  <c r="BP58" i="11"/>
  <c r="BP61" i="11" s="1"/>
  <c r="BP93" i="11" s="1"/>
  <c r="BP43" i="11" s="1"/>
  <c r="CV150" i="11"/>
  <c r="BO151" i="11"/>
  <c r="BO152" i="11" s="1"/>
  <c r="BO153" i="11" s="1"/>
  <c r="BO160" i="11"/>
  <c r="BO163" i="11" s="1"/>
  <c r="BO170" i="11" s="1"/>
  <c r="BQ30" i="11"/>
  <c r="BQ21" i="11"/>
  <c r="BQ31" i="11" s="1"/>
  <c r="BR18" i="11" l="1"/>
  <c r="BR22" i="11" s="1"/>
  <c r="BO105" i="11"/>
  <c r="BO173" i="11"/>
  <c r="CW150" i="11"/>
  <c r="DG91" i="11"/>
  <c r="G35" i="2"/>
  <c r="G36" i="2" s="1"/>
  <c r="H35" i="2"/>
  <c r="H36" i="2" s="1"/>
  <c r="I35" i="2"/>
  <c r="I36" i="2" s="1"/>
  <c r="J35" i="2"/>
  <c r="J36" i="2" s="1"/>
  <c r="K35" i="2"/>
  <c r="K36" i="2" s="1"/>
  <c r="BP65" i="11"/>
  <c r="BP38" i="11"/>
  <c r="CJ15" i="17"/>
  <c r="CJ18" i="17" s="1"/>
  <c r="CJ3" i="17"/>
  <c r="AR9" i="17"/>
  <c r="AR13" i="17" s="1"/>
  <c r="BQ60" i="11" s="1"/>
  <c r="BQ34" i="11"/>
  <c r="BQ6" i="11"/>
  <c r="BP161" i="11"/>
  <c r="CK1" i="17"/>
  <c r="CL4" i="17"/>
  <c r="CK15" i="17" l="1"/>
  <c r="CK18" i="17" s="1"/>
  <c r="CK3" i="17"/>
  <c r="BP41" i="11"/>
  <c r="BP39" i="11"/>
  <c r="BQ7" i="11"/>
  <c r="BQ8" i="11"/>
  <c r="CM4" i="17"/>
  <c r="CL1" i="17"/>
  <c r="BP92" i="11"/>
  <c r="BP98" i="11" s="1"/>
  <c r="BP40" i="11"/>
  <c r="BP45" i="11" s="1"/>
  <c r="BP66" i="11"/>
  <c r="CX150" i="11"/>
  <c r="BP172" i="11"/>
  <c r="BO111" i="11"/>
  <c r="BO174" i="11" s="1"/>
  <c r="BR16" i="11"/>
  <c r="BQ9" i="11" l="1"/>
  <c r="BQ114" i="11" s="1"/>
  <c r="BQ115" i="11" s="1"/>
  <c r="CN4" i="17"/>
  <c r="CM1" i="17"/>
  <c r="CY150" i="11"/>
  <c r="BR15" i="11"/>
  <c r="BR24" i="11"/>
  <c r="BR17" i="11" s="1"/>
  <c r="BS36" i="11"/>
  <c r="BS37" i="11" s="1"/>
  <c r="BP42" i="11"/>
  <c r="BP44" i="11" s="1"/>
  <c r="BP160" i="11"/>
  <c r="BP163" i="11" s="1"/>
  <c r="BP170" i="11" s="1"/>
  <c r="BP105" i="11" s="1"/>
  <c r="BP151" i="11"/>
  <c r="BP152" i="11" s="1"/>
  <c r="BP153" i="11" s="1"/>
  <c r="BO112" i="11"/>
  <c r="BO128" i="11"/>
  <c r="BO129" i="11" s="1"/>
  <c r="BO156" i="11" s="1"/>
  <c r="CL15" i="17"/>
  <c r="CL18" i="17" s="1"/>
  <c r="CL3" i="17"/>
  <c r="BQ58" i="11" l="1"/>
  <c r="BQ13" i="11"/>
  <c r="BQ59" i="11"/>
  <c r="CO4" i="17"/>
  <c r="CN1" i="17"/>
  <c r="CZ150" i="11"/>
  <c r="BP111" i="11"/>
  <c r="BS20" i="11"/>
  <c r="BQ161" i="11"/>
  <c r="BP173" i="11"/>
  <c r="BR30" i="11"/>
  <c r="BR21" i="11"/>
  <c r="BR31" i="11" s="1"/>
  <c r="CM15" i="17"/>
  <c r="CM18" i="17" s="1"/>
  <c r="CM3" i="17"/>
  <c r="BQ61" i="11" l="1"/>
  <c r="BQ93" i="11" s="1"/>
  <c r="BQ43" i="11" s="1"/>
  <c r="BQ38" i="11"/>
  <c r="BQ41" i="11" s="1"/>
  <c r="CP4" i="17"/>
  <c r="CO1" i="17"/>
  <c r="AS9" i="17"/>
  <c r="AS13" i="17" s="1"/>
  <c r="BR60" i="11" s="1"/>
  <c r="BR34" i="11"/>
  <c r="BR6" i="11"/>
  <c r="BP112" i="11"/>
  <c r="BP128" i="11"/>
  <c r="BP129" i="11" s="1"/>
  <c r="BP156" i="11" s="1"/>
  <c r="BP174" i="11"/>
  <c r="BQ172" i="11"/>
  <c r="DA150" i="11"/>
  <c r="BS18" i="11"/>
  <c r="BS22" i="11" s="1"/>
  <c r="CN3" i="17"/>
  <c r="CN15" i="17"/>
  <c r="CN18" i="17" s="1"/>
  <c r="BQ65" i="11" l="1"/>
  <c r="BQ39" i="11"/>
  <c r="BR7" i="11"/>
  <c r="BR8" i="11"/>
  <c r="DB150" i="11"/>
  <c r="BS16" i="11"/>
  <c r="CO15" i="17"/>
  <c r="CO18" i="17" s="1"/>
  <c r="CO3" i="17"/>
  <c r="CQ4" i="17"/>
  <c r="CP1" i="17"/>
  <c r="BQ92" i="11" l="1"/>
  <c r="BQ98" i="11" s="1"/>
  <c r="BQ66" i="11"/>
  <c r="BQ40" i="11"/>
  <c r="BQ45" i="11" s="1"/>
  <c r="BQ42" i="11"/>
  <c r="BQ44" i="11" s="1"/>
  <c r="BR9" i="11"/>
  <c r="BR13" i="11" s="1"/>
  <c r="BR114" i="11"/>
  <c r="BR115" i="11" s="1"/>
  <c r="CR4" i="17"/>
  <c r="CQ1" i="17"/>
  <c r="BS24" i="11"/>
  <c r="BS17" i="11" s="1"/>
  <c r="BS15" i="11"/>
  <c r="BT36" i="11"/>
  <c r="BT37" i="11" s="1"/>
  <c r="CP15" i="17"/>
  <c r="CP18" i="17" s="1"/>
  <c r="CP3" i="17"/>
  <c r="DC150" i="11"/>
  <c r="BQ160" i="11" l="1"/>
  <c r="BQ163" i="11" s="1"/>
  <c r="BQ170" i="11" s="1"/>
  <c r="BQ151" i="11"/>
  <c r="BQ152" i="11" s="1"/>
  <c r="BQ153" i="11" s="1"/>
  <c r="BR58" i="11"/>
  <c r="BR59" i="11"/>
  <c r="CQ15" i="17"/>
  <c r="CQ18" i="17" s="1"/>
  <c r="CQ3" i="17"/>
  <c r="CS4" i="17"/>
  <c r="CR1" i="17"/>
  <c r="BS30" i="11"/>
  <c r="BS21" i="11"/>
  <c r="BS31" i="11" s="1"/>
  <c r="DD150" i="11"/>
  <c r="BT20" i="11"/>
  <c r="BR38" i="11"/>
  <c r="BR161" i="11"/>
  <c r="BR61" i="11" l="1"/>
  <c r="BR93" i="11" s="1"/>
  <c r="BR43" i="11" s="1"/>
  <c r="BQ105" i="11"/>
  <c r="BQ111" i="11" s="1"/>
  <c r="BQ173" i="11"/>
  <c r="BR172" i="11" s="1"/>
  <c r="BR65" i="11"/>
  <c r="BR66" i="11" s="1"/>
  <c r="BR92" i="11"/>
  <c r="BR98" i="11" s="1"/>
  <c r="BT18" i="11"/>
  <c r="BT22" i="11" s="1"/>
  <c r="AT9" i="17"/>
  <c r="AT13" i="17" s="1"/>
  <c r="BS60" i="11" s="1"/>
  <c r="BS34" i="11"/>
  <c r="BS6" i="11"/>
  <c r="BR41" i="11"/>
  <c r="BR39" i="11"/>
  <c r="CR15" i="17"/>
  <c r="CR18" i="17" s="1"/>
  <c r="CR3" i="17"/>
  <c r="CS1" i="17"/>
  <c r="CT4" i="17"/>
  <c r="DE150" i="11"/>
  <c r="BQ174" i="11" l="1"/>
  <c r="BQ112" i="11"/>
  <c r="BQ128" i="11"/>
  <c r="BQ129" i="11" s="1"/>
  <c r="BQ156" i="11" s="1"/>
  <c r="BR40" i="11"/>
  <c r="BR45" i="11" s="1"/>
  <c r="DF150" i="11"/>
  <c r="BS8" i="11"/>
  <c r="BS7" i="11"/>
  <c r="BS9" i="11" s="1"/>
  <c r="BT16" i="11"/>
  <c r="CS15" i="17"/>
  <c r="CS18" i="17" s="1"/>
  <c r="CS3" i="17"/>
  <c r="CU4" i="17"/>
  <c r="CT1" i="17"/>
  <c r="BR160" i="11"/>
  <c r="BR163" i="11" s="1"/>
  <c r="BR170" i="11" s="1"/>
  <c r="BR151" i="11"/>
  <c r="BR152" i="11" s="1"/>
  <c r="BR153" i="11" s="1"/>
  <c r="BR42" i="11" l="1"/>
  <c r="BR44" i="11" s="1"/>
  <c r="BS114" i="11"/>
  <c r="BS115" i="11" s="1"/>
  <c r="BS13" i="11"/>
  <c r="BS58" i="11"/>
  <c r="BS59" i="11"/>
  <c r="BT24" i="11"/>
  <c r="BT17" i="11" s="1"/>
  <c r="BT15" i="11"/>
  <c r="BU36" i="11"/>
  <c r="BU37" i="11" s="1"/>
  <c r="BR105" i="11"/>
  <c r="BR173" i="11"/>
  <c r="CT15" i="17"/>
  <c r="CT18" i="17" s="1"/>
  <c r="CT3" i="17"/>
  <c r="CU1" i="17"/>
  <c r="CV4" i="17"/>
  <c r="DG150" i="11"/>
  <c r="BS61" i="11" l="1"/>
  <c r="BS93" i="11" s="1"/>
  <c r="BS43" i="11" s="1"/>
  <c r="BU20" i="11"/>
  <c r="BU18" i="11" s="1"/>
  <c r="BU22" i="11" s="1"/>
  <c r="CW4" i="17"/>
  <c r="CV1" i="17"/>
  <c r="CU15" i="17"/>
  <c r="CU18" i="17" s="1"/>
  <c r="CU3" i="17"/>
  <c r="BS172" i="11"/>
  <c r="BT30" i="11"/>
  <c r="BT21" i="11"/>
  <c r="BT31" i="11" s="1"/>
  <c r="BR111" i="11"/>
  <c r="BR174" i="11" s="1"/>
  <c r="BS38" i="11"/>
  <c r="BS161" i="11"/>
  <c r="BS65" i="11" l="1"/>
  <c r="BS92" i="11" s="1"/>
  <c r="BS98" i="11" s="1"/>
  <c r="BR112" i="11"/>
  <c r="BR128" i="11"/>
  <c r="BR129" i="11" s="1"/>
  <c r="BR156" i="11" s="1"/>
  <c r="BU16" i="11"/>
  <c r="CV15" i="17"/>
  <c r="CV18" i="17" s="1"/>
  <c r="CV3" i="17"/>
  <c r="BS39" i="11"/>
  <c r="BS41" i="11"/>
  <c r="AU9" i="17"/>
  <c r="AU13" i="17" s="1"/>
  <c r="BT60" i="11" s="1"/>
  <c r="BT34" i="11"/>
  <c r="BT6" i="11"/>
  <c r="CX4" i="17"/>
  <c r="CW1" i="17"/>
  <c r="BS40" i="11" l="1"/>
  <c r="BS42" i="11" s="1"/>
  <c r="BS44" i="11" s="1"/>
  <c r="BS66" i="11"/>
  <c r="CX1" i="17"/>
  <c r="CY4" i="17"/>
  <c r="BU24" i="11"/>
  <c r="BU17" i="11" s="1"/>
  <c r="BU15" i="11"/>
  <c r="BV36" i="11"/>
  <c r="BV37" i="11" s="1"/>
  <c r="BT8" i="11"/>
  <c r="BT7" i="11"/>
  <c r="BS160" i="11"/>
  <c r="BS163" i="11" s="1"/>
  <c r="BS170" i="11" s="1"/>
  <c r="BS151" i="11"/>
  <c r="BS152" i="11" s="1"/>
  <c r="BS153" i="11" s="1"/>
  <c r="CW15" i="17"/>
  <c r="CW18" i="17" s="1"/>
  <c r="CW3" i="17"/>
  <c r="BS45" i="11" l="1"/>
  <c r="BT9" i="11"/>
  <c r="BT114" i="11" s="1"/>
  <c r="BT115" i="11" s="1"/>
  <c r="BU30" i="11"/>
  <c r="BU21" i="11"/>
  <c r="BU31" i="11" s="1"/>
  <c r="BV20" i="11"/>
  <c r="BS105" i="11"/>
  <c r="BS173" i="11"/>
  <c r="CY1" i="17"/>
  <c r="CZ4" i="17"/>
  <c r="CX15" i="17"/>
  <c r="CX18" i="17" s="1"/>
  <c r="CX3" i="17"/>
  <c r="BT58" i="11" l="1"/>
  <c r="BT59" i="11"/>
  <c r="BT13" i="11"/>
  <c r="DA4" i="17"/>
  <c r="CZ1" i="17"/>
  <c r="AV9" i="17"/>
  <c r="AV13" i="17" s="1"/>
  <c r="BU60" i="11" s="1"/>
  <c r="BU34" i="11"/>
  <c r="BU6" i="11"/>
  <c r="CY3" i="17"/>
  <c r="CY15" i="17"/>
  <c r="CY18" i="17" s="1"/>
  <c r="BT172" i="11"/>
  <c r="BS111" i="11"/>
  <c r="BT38" i="11"/>
  <c r="BV18" i="11"/>
  <c r="BV22" i="11" s="1"/>
  <c r="BT161" i="11"/>
  <c r="BT61" i="11" l="1"/>
  <c r="BT93" i="11" s="1"/>
  <c r="BV16" i="11"/>
  <c r="BT41" i="11"/>
  <c r="BT39" i="11"/>
  <c r="BU8" i="11"/>
  <c r="BU7" i="11"/>
  <c r="BU9" i="11" s="1"/>
  <c r="BT43" i="11"/>
  <c r="BS112" i="11"/>
  <c r="BS128" i="11"/>
  <c r="BS129" i="11" s="1"/>
  <c r="BS156" i="11" s="1"/>
  <c r="CZ3" i="17"/>
  <c r="CZ15" i="17"/>
  <c r="CZ18" i="17" s="1"/>
  <c r="BS174" i="11"/>
  <c r="DA1" i="17"/>
  <c r="DB4" i="17"/>
  <c r="BT65" i="11" l="1"/>
  <c r="BU114" i="11"/>
  <c r="BU115" i="11" s="1"/>
  <c r="BU13" i="11"/>
  <c r="BU59" i="11"/>
  <c r="BU58" i="11"/>
  <c r="DC4" i="17"/>
  <c r="DB1" i="17"/>
  <c r="BT92" i="11"/>
  <c r="BT98" i="11" s="1"/>
  <c r="BT66" i="11"/>
  <c r="BT40" i="11"/>
  <c r="BT42" i="11" s="1"/>
  <c r="BT44" i="11" s="1"/>
  <c r="BV24" i="11"/>
  <c r="BV17" i="11" s="1"/>
  <c r="BV15" i="11"/>
  <c r="BW36" i="11"/>
  <c r="BW37" i="11" s="1"/>
  <c r="DA15" i="17"/>
  <c r="DA18" i="17" s="1"/>
  <c r="DA3" i="17"/>
  <c r="BT45" i="11" l="1"/>
  <c r="BW20" i="11"/>
  <c r="DB15" i="17"/>
  <c r="DB18" i="17" s="1"/>
  <c r="DB3" i="17"/>
  <c r="DD4" i="17"/>
  <c r="DC1" i="17"/>
  <c r="BT151" i="11"/>
  <c r="BT152" i="11" s="1"/>
  <c r="BT153" i="11" s="1"/>
  <c r="BT160" i="11"/>
  <c r="BT163" i="11" s="1"/>
  <c r="BT170" i="11" s="1"/>
  <c r="BV30" i="11"/>
  <c r="BV21" i="11"/>
  <c r="BV31" i="11" s="1"/>
  <c r="BU61" i="11"/>
  <c r="BU93" i="11" s="1"/>
  <c r="BU43" i="11" s="1"/>
  <c r="BU38" i="11"/>
  <c r="BW18" i="11"/>
  <c r="BW22" i="11" s="1"/>
  <c r="BU161" i="11"/>
  <c r="BW16" i="11" l="1"/>
  <c r="BT105" i="11"/>
  <c r="BT173" i="11"/>
  <c r="BU65" i="11"/>
  <c r="AW9" i="17"/>
  <c r="AW13" i="17" s="1"/>
  <c r="BV60" i="11" s="1"/>
  <c r="BV34" i="11"/>
  <c r="BV6" i="11"/>
  <c r="BU41" i="11"/>
  <c r="BU39" i="11"/>
  <c r="DC15" i="17"/>
  <c r="DC18" i="17" s="1"/>
  <c r="DC3" i="17"/>
  <c r="DE4" i="17"/>
  <c r="DD1" i="17"/>
  <c r="DF4" i="17" l="1"/>
  <c r="DE1" i="17"/>
  <c r="BU66" i="11"/>
  <c r="BU92" i="11"/>
  <c r="BU98" i="11" s="1"/>
  <c r="BU40" i="11"/>
  <c r="DD15" i="17"/>
  <c r="DD18" i="17" s="1"/>
  <c r="DD3" i="17"/>
  <c r="BT174" i="11"/>
  <c r="BU172" i="11"/>
  <c r="BV7" i="11"/>
  <c r="BV8" i="11"/>
  <c r="BT111" i="11"/>
  <c r="BW24" i="11"/>
  <c r="BW17" i="11" s="1"/>
  <c r="BW15" i="11"/>
  <c r="BX36" i="11"/>
  <c r="BX37" i="11" s="1"/>
  <c r="BX20" i="11" l="1"/>
  <c r="BX18" i="11" s="1"/>
  <c r="BX22" i="11" s="1"/>
  <c r="BV9" i="11"/>
  <c r="BV114" i="11" s="1"/>
  <c r="BV115" i="11" s="1"/>
  <c r="BU42" i="11"/>
  <c r="BU44" i="11" s="1"/>
  <c r="BU45" i="11"/>
  <c r="BT112" i="11"/>
  <c r="BT128" i="11"/>
  <c r="BT129" i="11" s="1"/>
  <c r="BT156" i="11" s="1"/>
  <c r="BU151" i="11"/>
  <c r="BU152" i="11" s="1"/>
  <c r="BU153" i="11" s="1"/>
  <c r="BU160" i="11"/>
  <c r="BU163" i="11" s="1"/>
  <c r="BU170" i="11" s="1"/>
  <c r="BU105" i="11" s="1"/>
  <c r="DE15" i="17"/>
  <c r="DE18" i="17" s="1"/>
  <c r="DE3" i="17"/>
  <c r="BV13" i="11"/>
  <c r="BV58" i="11"/>
  <c r="BW30" i="11"/>
  <c r="BW21" i="11"/>
  <c r="BW31" i="11" s="1"/>
  <c r="DG4" i="17"/>
  <c r="DF1" i="17"/>
  <c r="BV59" i="11" l="1"/>
  <c r="BV61" i="11" s="1"/>
  <c r="BV93" i="11" s="1"/>
  <c r="BU111" i="11"/>
  <c r="AX9" i="17"/>
  <c r="AX13" i="17" s="1"/>
  <c r="BW60" i="11" s="1"/>
  <c r="BW34" i="11"/>
  <c r="BW6" i="11"/>
  <c r="DF15" i="17"/>
  <c r="DF18" i="17" s="1"/>
  <c r="DF3" i="17"/>
  <c r="BV38" i="11"/>
  <c r="BX16" i="11"/>
  <c r="DH4" i="17"/>
  <c r="DG1" i="17"/>
  <c r="BV161" i="11"/>
  <c r="BU173" i="11"/>
  <c r="DI4" i="17" l="1"/>
  <c r="DH1" i="17"/>
  <c r="BW7" i="11"/>
  <c r="BW9" i="11" s="1"/>
  <c r="BW8" i="11"/>
  <c r="BX24" i="11"/>
  <c r="BX17" i="11" s="1"/>
  <c r="BX15" i="11"/>
  <c r="BY36" i="11"/>
  <c r="BY37" i="11" s="1"/>
  <c r="DG15" i="17"/>
  <c r="DG18" i="17" s="1"/>
  <c r="DG3" i="17"/>
  <c r="BV39" i="11"/>
  <c r="BV41" i="11"/>
  <c r="BV43" i="11"/>
  <c r="BU174" i="11"/>
  <c r="BV172" i="11"/>
  <c r="BV65" i="11"/>
  <c r="BU112" i="11"/>
  <c r="BU128" i="11"/>
  <c r="BU129" i="11" s="1"/>
  <c r="BU156" i="11" s="1"/>
  <c r="BX30" i="11" l="1"/>
  <c r="BX21" i="11"/>
  <c r="BX31" i="11" s="1"/>
  <c r="BV92" i="11"/>
  <c r="BV98" i="11" s="1"/>
  <c r="BV66" i="11"/>
  <c r="BV40" i="11"/>
  <c r="BV42" i="11" s="1"/>
  <c r="BV44" i="11" s="1"/>
  <c r="BW114" i="11"/>
  <c r="BW115" i="11" s="1"/>
  <c r="BW13" i="11"/>
  <c r="BW58" i="11"/>
  <c r="BW59" i="11"/>
  <c r="BY20" i="11"/>
  <c r="DH15" i="17"/>
  <c r="DH18" i="17" s="1"/>
  <c r="DH3" i="17"/>
  <c r="DI1" i="17"/>
  <c r="DJ4" i="17"/>
  <c r="BV45" i="11" l="1"/>
  <c r="AY9" i="17"/>
  <c r="AY13" i="17" s="1"/>
  <c r="BX60" i="11" s="1"/>
  <c r="BX34" i="11"/>
  <c r="BX6" i="11"/>
  <c r="BW61" i="11"/>
  <c r="BW93" i="11" s="1"/>
  <c r="BV160" i="11"/>
  <c r="BV163" i="11" s="1"/>
  <c r="BV170" i="11" s="1"/>
  <c r="BV151" i="11"/>
  <c r="BV152" i="11" s="1"/>
  <c r="BV153" i="11" s="1"/>
  <c r="BY18" i="11"/>
  <c r="BY22" i="11" s="1"/>
  <c r="DK4" i="17"/>
  <c r="DK1" i="17" s="1"/>
  <c r="DJ1" i="17"/>
  <c r="BW38" i="11"/>
  <c r="DI15" i="17"/>
  <c r="DI18" i="17" s="1"/>
  <c r="DI3" i="17"/>
  <c r="BW161" i="11"/>
  <c r="BW65" i="11" l="1"/>
  <c r="BW40" i="11" s="1"/>
  <c r="BY16" i="11"/>
  <c r="BW39" i="11"/>
  <c r="BW41" i="11"/>
  <c r="DK3" i="17"/>
  <c r="BV105" i="11"/>
  <c r="BV173" i="11"/>
  <c r="DJ15" i="17"/>
  <c r="DJ18" i="17" s="1"/>
  <c r="DJ3" i="17"/>
  <c r="BW43" i="11"/>
  <c r="BX7" i="11"/>
  <c r="BX8" i="11"/>
  <c r="BW92" i="11" l="1"/>
  <c r="BW98" i="11" s="1"/>
  <c r="BW42" i="11"/>
  <c r="BW44" i="11" s="1"/>
  <c r="BW66" i="11"/>
  <c r="BX9" i="11"/>
  <c r="BW45" i="11"/>
  <c r="BX114" i="11"/>
  <c r="BX115" i="11" s="1"/>
  <c r="BX13" i="11"/>
  <c r="BX59" i="11"/>
  <c r="BX58" i="11"/>
  <c r="BY15" i="11"/>
  <c r="BY24" i="11"/>
  <c r="BY17" i="11" s="1"/>
  <c r="BZ36" i="11"/>
  <c r="BZ37" i="11" s="1"/>
  <c r="DK15" i="17"/>
  <c r="BW172" i="11"/>
  <c r="BV111" i="11"/>
  <c r="BV174" i="11" s="1"/>
  <c r="BW160" i="11"/>
  <c r="BW163" i="11" s="1"/>
  <c r="BW170" i="11" s="1"/>
  <c r="BW105" i="11" s="1"/>
  <c r="BW151" i="11"/>
  <c r="BW152" i="11" s="1"/>
  <c r="BW153" i="11" s="1"/>
  <c r="BW111" i="11" l="1"/>
  <c r="BZ20" i="11"/>
  <c r="BV112" i="11"/>
  <c r="BV128" i="11"/>
  <c r="BV129" i="11" s="1"/>
  <c r="BV156" i="11" s="1"/>
  <c r="BY30" i="11"/>
  <c r="BY21" i="11"/>
  <c r="BY31" i="11" s="1"/>
  <c r="BX61" i="11"/>
  <c r="BX93" i="11" s="1"/>
  <c r="BX43" i="11" s="1"/>
  <c r="DK18" i="17"/>
  <c r="DL15" i="17"/>
  <c r="BW173" i="11"/>
  <c r="BX38" i="11"/>
  <c r="BX161" i="11"/>
  <c r="BX65" i="11" l="1"/>
  <c r="BW112" i="11"/>
  <c r="BW128" i="11"/>
  <c r="BW129" i="11" s="1"/>
  <c r="BW156" i="11" s="1"/>
  <c r="AZ9" i="17"/>
  <c r="AZ13" i="17" s="1"/>
  <c r="BY60" i="11" s="1"/>
  <c r="BY34" i="11"/>
  <c r="BY6" i="11"/>
  <c r="BZ18" i="11"/>
  <c r="BZ22" i="11" s="1"/>
  <c r="DL18" i="17"/>
  <c r="DM15" i="17"/>
  <c r="BX41" i="11"/>
  <c r="BX39" i="11"/>
  <c r="BX92" i="11"/>
  <c r="BX98" i="11" s="1"/>
  <c r="BX66" i="11"/>
  <c r="BX40" i="11"/>
  <c r="BX172" i="11"/>
  <c r="BW174" i="11"/>
  <c r="H45" i="2"/>
  <c r="BX42" i="11" l="1"/>
  <c r="BX44" i="11" s="1"/>
  <c r="BX45" i="11"/>
  <c r="BX160" i="11"/>
  <c r="BX163" i="11" s="1"/>
  <c r="BX170" i="11" s="1"/>
  <c r="BX105" i="11" s="1"/>
  <c r="BX151" i="11"/>
  <c r="BX152" i="11" s="1"/>
  <c r="BX153" i="11" s="1"/>
  <c r="BZ16" i="11"/>
  <c r="DN15" i="17"/>
  <c r="DM18" i="17"/>
  <c r="BY7" i="11"/>
  <c r="BY8" i="11"/>
  <c r="BY9" i="11" l="1"/>
  <c r="BY114" i="11" s="1"/>
  <c r="BY115" i="11" s="1"/>
  <c r="BX173" i="11"/>
  <c r="DN18" i="17"/>
  <c r="DO15" i="17"/>
  <c r="BZ15" i="11"/>
  <c r="BZ24" i="11"/>
  <c r="BZ17" i="11" s="1"/>
  <c r="CA36" i="11"/>
  <c r="CA37" i="11" s="1"/>
  <c r="BX111" i="11"/>
  <c r="BY58" i="11" l="1"/>
  <c r="BY59" i="11"/>
  <c r="CA20" i="11"/>
  <c r="BY13" i="11"/>
  <c r="BY38" i="11" s="1"/>
  <c r="DO18" i="17"/>
  <c r="DP15" i="17"/>
  <c r="BX112" i="11"/>
  <c r="BX128" i="11"/>
  <c r="BX129" i="11" s="1"/>
  <c r="BX156" i="11" s="1"/>
  <c r="BX174" i="11"/>
  <c r="BY172" i="11"/>
  <c r="CA18" i="11"/>
  <c r="CA22" i="11" s="1"/>
  <c r="BZ30" i="11"/>
  <c r="BZ21" i="11"/>
  <c r="BZ31" i="11" s="1"/>
  <c r="BY161" i="11"/>
  <c r="BY61" i="11" l="1"/>
  <c r="BY93" i="11" s="1"/>
  <c r="BY43" i="11" s="1"/>
  <c r="DQ15" i="17"/>
  <c r="DP18" i="17"/>
  <c r="BA9" i="17"/>
  <c r="BA13" i="17" s="1"/>
  <c r="BZ60" i="11" s="1"/>
  <c r="BZ34" i="11"/>
  <c r="BZ6" i="11"/>
  <c r="BY41" i="11"/>
  <c r="BY39" i="11"/>
  <c r="BY65" i="11"/>
  <c r="CA16" i="11"/>
  <c r="CA24" i="11" l="1"/>
  <c r="CA17" i="11" s="1"/>
  <c r="CA15" i="11"/>
  <c r="CB36" i="11"/>
  <c r="CB37" i="11" s="1"/>
  <c r="BY92" i="11"/>
  <c r="BY98" i="11" s="1"/>
  <c r="BY66" i="11"/>
  <c r="BY40" i="11"/>
  <c r="DQ18" i="17"/>
  <c r="DR15" i="17"/>
  <c r="BZ7" i="11"/>
  <c r="BZ8" i="11"/>
  <c r="BZ9" i="11" l="1"/>
  <c r="BZ114" i="11" s="1"/>
  <c r="BZ115" i="11" s="1"/>
  <c r="CA30" i="11"/>
  <c r="CA21" i="11"/>
  <c r="CA31" i="11" s="1"/>
  <c r="BY42" i="11"/>
  <c r="BY44" i="11" s="1"/>
  <c r="BY45" i="11"/>
  <c r="BY160" i="11"/>
  <c r="BY163" i="11" s="1"/>
  <c r="BY170" i="11" s="1"/>
  <c r="BY151" i="11"/>
  <c r="BY152" i="11" s="1"/>
  <c r="BY153" i="11" s="1"/>
  <c r="CB20" i="11"/>
  <c r="DR18" i="17"/>
  <c r="DS15" i="17"/>
  <c r="BZ58" i="11" l="1"/>
  <c r="BZ59" i="11"/>
  <c r="BZ13" i="11"/>
  <c r="BZ38" i="11" s="1"/>
  <c r="DS18" i="17"/>
  <c r="DT15" i="17"/>
  <c r="BB9" i="17"/>
  <c r="BB13" i="17" s="1"/>
  <c r="CA60" i="11" s="1"/>
  <c r="CA34" i="11"/>
  <c r="CA6" i="11"/>
  <c r="CB18" i="11"/>
  <c r="CB22" i="11" s="1"/>
  <c r="BY105" i="11"/>
  <c r="BY173" i="11"/>
  <c r="BZ161" i="11"/>
  <c r="BZ61" i="11" l="1"/>
  <c r="BZ93" i="11" s="1"/>
  <c r="BZ43" i="11"/>
  <c r="BZ65" i="11"/>
  <c r="BZ172" i="11"/>
  <c r="BY111" i="11"/>
  <c r="BY174" i="11" s="1"/>
  <c r="CA8" i="11"/>
  <c r="CA7" i="11"/>
  <c r="CA9" i="11" s="1"/>
  <c r="CB16" i="11"/>
  <c r="BZ41" i="11"/>
  <c r="BZ39" i="11"/>
  <c r="DT18" i="17"/>
  <c r="DU15" i="17"/>
  <c r="CA114" i="11" l="1"/>
  <c r="CA115" i="11" s="1"/>
  <c r="CA13" i="11"/>
  <c r="CA59" i="11"/>
  <c r="CA58" i="11"/>
  <c r="DV15" i="17"/>
  <c r="DU18" i="17"/>
  <c r="BY112" i="11"/>
  <c r="BY128" i="11"/>
  <c r="BY129" i="11" s="1"/>
  <c r="BY156" i="11" s="1"/>
  <c r="CB24" i="11"/>
  <c r="CB17" i="11" s="1"/>
  <c r="CB15" i="11"/>
  <c r="CC36" i="11"/>
  <c r="CC37" i="11" s="1"/>
  <c r="BZ92" i="11"/>
  <c r="BZ98" i="11" s="1"/>
  <c r="BZ66" i="11"/>
  <c r="BZ40" i="11"/>
  <c r="BZ42" i="11" s="1"/>
  <c r="BZ44" i="11" s="1"/>
  <c r="CA38" i="11" l="1"/>
  <c r="BZ160" i="11"/>
  <c r="BZ163" i="11" s="1"/>
  <c r="BZ170" i="11" s="1"/>
  <c r="BZ151" i="11"/>
  <c r="BZ152" i="11" s="1"/>
  <c r="BZ153" i="11" s="1"/>
  <c r="BZ45" i="11"/>
  <c r="CA161" i="11"/>
  <c r="CB30" i="11"/>
  <c r="CB21" i="11"/>
  <c r="CB31" i="11" s="1"/>
  <c r="DV18" i="17"/>
  <c r="DW15" i="17"/>
  <c r="CC20" i="11"/>
  <c r="CA61" i="11"/>
  <c r="CA93" i="11" s="1"/>
  <c r="CA43" i="11" s="1"/>
  <c r="CA65" i="11" l="1"/>
  <c r="CA66" i="11" s="1"/>
  <c r="BC9" i="17"/>
  <c r="BC13" i="17" s="1"/>
  <c r="CB60" i="11" s="1"/>
  <c r="CB34" i="11"/>
  <c r="CB6" i="11"/>
  <c r="CC18" i="11"/>
  <c r="CC22" i="11" s="1"/>
  <c r="CA39" i="11"/>
  <c r="CA41" i="11"/>
  <c r="DW18" i="17"/>
  <c r="DX15" i="17"/>
  <c r="BZ105" i="11"/>
  <c r="BZ173" i="11"/>
  <c r="CA40" i="11" l="1"/>
  <c r="CA92" i="11"/>
  <c r="CA98" i="11" s="1"/>
  <c r="CA151" i="11"/>
  <c r="CA152" i="11" s="1"/>
  <c r="CA153" i="11" s="1"/>
  <c r="CA160" i="11"/>
  <c r="CA163" i="11" s="1"/>
  <c r="CA170" i="11" s="1"/>
  <c r="CA105" i="11" s="1"/>
  <c r="CA42" i="11"/>
  <c r="CA44" i="11" s="1"/>
  <c r="CA172" i="11"/>
  <c r="BZ111" i="11"/>
  <c r="CB8" i="11"/>
  <c r="CB7" i="11"/>
  <c r="DY15" i="17"/>
  <c r="DX18" i="17"/>
  <c r="CC16" i="11"/>
  <c r="CA45" i="11"/>
  <c r="CB9" i="11" l="1"/>
  <c r="CB114" i="11" s="1"/>
  <c r="CB115" i="11" s="1"/>
  <c r="CA111" i="11"/>
  <c r="BZ112" i="11"/>
  <c r="BZ128" i="11"/>
  <c r="BZ129" i="11" s="1"/>
  <c r="BZ156" i="11" s="1"/>
  <c r="CC24" i="11"/>
  <c r="CC17" i="11" s="1"/>
  <c r="CC15" i="11"/>
  <c r="CD36" i="11"/>
  <c r="CD37" i="11" s="1"/>
  <c r="CA173" i="11"/>
  <c r="BZ174" i="11"/>
  <c r="DY18" i="17"/>
  <c r="DZ15" i="17"/>
  <c r="CB58" i="11" l="1"/>
  <c r="CB59" i="11"/>
  <c r="CB13" i="11"/>
  <c r="DZ18" i="17"/>
  <c r="EA15" i="17"/>
  <c r="CA174" i="11"/>
  <c r="CB172" i="11"/>
  <c r="CC30" i="11"/>
  <c r="CC21" i="11"/>
  <c r="CC31" i="11" s="1"/>
  <c r="CA112" i="11"/>
  <c r="CA128" i="11"/>
  <c r="CA129" i="11" s="1"/>
  <c r="CA156" i="11" s="1"/>
  <c r="CB38" i="11"/>
  <c r="CD20" i="11"/>
  <c r="CB161" i="11"/>
  <c r="CB61" i="11" l="1"/>
  <c r="CD18" i="11"/>
  <c r="CD22" i="11" s="1"/>
  <c r="BD9" i="17"/>
  <c r="BD13" i="17" s="1"/>
  <c r="CC60" i="11" s="1"/>
  <c r="CC34" i="11"/>
  <c r="CC6" i="11"/>
  <c r="CB41" i="11"/>
  <c r="CB39" i="11"/>
  <c r="EA18" i="17"/>
  <c r="EB15" i="17"/>
  <c r="CB93" i="11" l="1"/>
  <c r="CB43" i="11" s="1"/>
  <c r="CB65" i="11"/>
  <c r="CC8" i="11"/>
  <c r="CC7" i="11"/>
  <c r="CD16" i="11"/>
  <c r="EB18" i="17"/>
  <c r="EC15" i="17"/>
  <c r="CB92" i="11" l="1"/>
  <c r="CB98" i="11" s="1"/>
  <c r="CB66" i="11"/>
  <c r="CB40" i="11"/>
  <c r="CC9" i="11"/>
  <c r="CC114" i="11"/>
  <c r="CC115" i="11" s="1"/>
  <c r="CC13" i="11"/>
  <c r="CC59" i="11"/>
  <c r="CC58" i="11"/>
  <c r="CD24" i="11"/>
  <c r="CD17" i="11" s="1"/>
  <c r="CE20" i="11"/>
  <c r="CD15" i="11"/>
  <c r="CE36" i="11"/>
  <c r="CE37" i="11" s="1"/>
  <c r="ED15" i="17"/>
  <c r="EC18" i="17"/>
  <c r="CB45" i="11" l="1"/>
  <c r="CB42" i="11"/>
  <c r="CB44" i="11" s="1"/>
  <c r="CB151" i="11"/>
  <c r="CB152" i="11" s="1"/>
  <c r="CB153" i="11" s="1"/>
  <c r="CB160" i="11"/>
  <c r="CB163" i="11" s="1"/>
  <c r="CB170" i="11" s="1"/>
  <c r="ED18" i="17"/>
  <c r="EE15" i="17"/>
  <c r="CE18" i="11"/>
  <c r="CE22" i="11" s="1"/>
  <c r="CC61" i="11"/>
  <c r="CC93" i="11" s="1"/>
  <c r="CC43" i="11" s="1"/>
  <c r="CC38" i="11"/>
  <c r="CD30" i="11"/>
  <c r="CD21" i="11"/>
  <c r="CD31" i="11" s="1"/>
  <c r="CC161" i="11"/>
  <c r="CB105" i="11" l="1"/>
  <c r="CB111" i="11" s="1"/>
  <c r="CB112" i="11" s="1"/>
  <c r="CB173" i="11"/>
  <c r="CC172" i="11" s="1"/>
  <c r="EE18" i="17"/>
  <c r="EF15" i="17"/>
  <c r="CE16" i="11"/>
  <c r="BE9" i="17"/>
  <c r="BE13" i="17" s="1"/>
  <c r="CD60" i="11" s="1"/>
  <c r="CD34" i="11"/>
  <c r="CD6" i="11"/>
  <c r="CC39" i="11"/>
  <c r="CC41" i="11"/>
  <c r="CC65" i="11"/>
  <c r="CB174" i="11"/>
  <c r="CB128" i="11" l="1"/>
  <c r="CB129" i="11" s="1"/>
  <c r="CB156" i="11" s="1"/>
  <c r="CC92" i="11"/>
  <c r="CC98" i="11" s="1"/>
  <c r="CC40" i="11"/>
  <c r="CC66" i="11"/>
  <c r="CE24" i="11"/>
  <c r="CE17" i="11" s="1"/>
  <c r="CE15" i="11"/>
  <c r="CF36" i="11"/>
  <c r="CF37" i="11" s="1"/>
  <c r="CD7" i="11"/>
  <c r="CD8" i="11"/>
  <c r="EG15" i="17"/>
  <c r="EF18" i="17"/>
  <c r="CD9" i="11" l="1"/>
  <c r="CD114" i="11" s="1"/>
  <c r="CD115" i="11" s="1"/>
  <c r="CE30" i="11"/>
  <c r="CE21" i="11"/>
  <c r="CE31" i="11" s="1"/>
  <c r="CF20" i="11"/>
  <c r="CD13" i="11"/>
  <c r="CD59" i="11"/>
  <c r="CD58" i="11"/>
  <c r="EG18" i="17"/>
  <c r="EH15" i="17"/>
  <c r="CC42" i="11"/>
  <c r="CC44" i="11" s="1"/>
  <c r="CC45" i="11"/>
  <c r="CC160" i="11"/>
  <c r="CC163" i="11" s="1"/>
  <c r="CC170" i="11" s="1"/>
  <c r="CC151" i="11"/>
  <c r="CC152" i="11" s="1"/>
  <c r="CC153" i="11" s="1"/>
  <c r="CC105" i="11" l="1"/>
  <c r="CC173" i="11"/>
  <c r="BF9" i="17"/>
  <c r="BF13" i="17" s="1"/>
  <c r="CE60" i="11" s="1"/>
  <c r="CE34" i="11"/>
  <c r="CE6" i="11"/>
  <c r="CD161" i="11"/>
  <c r="EH18" i="17"/>
  <c r="EI15" i="17"/>
  <c r="CF18" i="11"/>
  <c r="CF22" i="11" s="1"/>
  <c r="CD38" i="11"/>
  <c r="CD61" i="11"/>
  <c r="CD93" i="11" s="1"/>
  <c r="CE7" i="11" l="1"/>
  <c r="CE8" i="11"/>
  <c r="CF16" i="11"/>
  <c r="CD39" i="11"/>
  <c r="CD41" i="11"/>
  <c r="CD172" i="11"/>
  <c r="CD65" i="11"/>
  <c r="EI18" i="17"/>
  <c r="EJ15" i="17"/>
  <c r="CC111" i="11"/>
  <c r="CC174" i="11" s="1"/>
  <c r="CD43" i="11"/>
  <c r="CE9" i="11" l="1"/>
  <c r="CE13" i="11" s="1"/>
  <c r="EJ18" i="17"/>
  <c r="EK15" i="17"/>
  <c r="CF24" i="11"/>
  <c r="CF17" i="11" s="1"/>
  <c r="CF15" i="11"/>
  <c r="CG36" i="11"/>
  <c r="CG37" i="11" s="1"/>
  <c r="CC112" i="11"/>
  <c r="CC128" i="11"/>
  <c r="CC129" i="11" s="1"/>
  <c r="CC156" i="11" s="1"/>
  <c r="CE114" i="11"/>
  <c r="CE115" i="11" s="1"/>
  <c r="CE59" i="11"/>
  <c r="CD92" i="11"/>
  <c r="CD98" i="11" s="1"/>
  <c r="CD66" i="11"/>
  <c r="CD40" i="11"/>
  <c r="CD42" i="11" s="1"/>
  <c r="CD44" i="11" s="1"/>
  <c r="CE58" i="11" l="1"/>
  <c r="CE61" i="11" s="1"/>
  <c r="CE93" i="11" s="1"/>
  <c r="CE43" i="11" s="1"/>
  <c r="CD45" i="11"/>
  <c r="CD160" i="11"/>
  <c r="CD163" i="11" s="1"/>
  <c r="CD170" i="11" s="1"/>
  <c r="CD151" i="11"/>
  <c r="CD152" i="11" s="1"/>
  <c r="CD153" i="11" s="1"/>
  <c r="CF30" i="11"/>
  <c r="CF21" i="11"/>
  <c r="CF31" i="11" s="1"/>
  <c r="CG20" i="11"/>
  <c r="CE38" i="11"/>
  <c r="EL15" i="17"/>
  <c r="EK18" i="17"/>
  <c r="CE161" i="11"/>
  <c r="EL18" i="17" l="1"/>
  <c r="EM15" i="17"/>
  <c r="BG9" i="17"/>
  <c r="BG13" i="17" s="1"/>
  <c r="CF60" i="11" s="1"/>
  <c r="CF34" i="11"/>
  <c r="CF6" i="11"/>
  <c r="CG18" i="11"/>
  <c r="CG22" i="11" s="1"/>
  <c r="CD105" i="11"/>
  <c r="CD173" i="11"/>
  <c r="CE39" i="11"/>
  <c r="CE41" i="11"/>
  <c r="CE65" i="11"/>
  <c r="CD111" i="11" l="1"/>
  <c r="CF7" i="11"/>
  <c r="CF8" i="11"/>
  <c r="CF9" i="11"/>
  <c r="CE92" i="11"/>
  <c r="CE98" i="11" s="1"/>
  <c r="CE66" i="11"/>
  <c r="CE40" i="11"/>
  <c r="CG16" i="11"/>
  <c r="EM18" i="17"/>
  <c r="EN15" i="17"/>
  <c r="CE172" i="11"/>
  <c r="CD112" i="11" l="1"/>
  <c r="CD128" i="11"/>
  <c r="CD129" i="11" s="1"/>
  <c r="CD156" i="11" s="1"/>
  <c r="CE160" i="11"/>
  <c r="CE163" i="11" s="1"/>
  <c r="CE170" i="11" s="1"/>
  <c r="CE105" i="11" s="1"/>
  <c r="CE151" i="11"/>
  <c r="CE152" i="11" s="1"/>
  <c r="CE153" i="11" s="1"/>
  <c r="CF114" i="11"/>
  <c r="CF115" i="11" s="1"/>
  <c r="CF13" i="11"/>
  <c r="CF58" i="11"/>
  <c r="CF59" i="11"/>
  <c r="CG15" i="11"/>
  <c r="CG24" i="11"/>
  <c r="CG17" i="11" s="1"/>
  <c r="CH36" i="11"/>
  <c r="CH37" i="11" s="1"/>
  <c r="CD174" i="11"/>
  <c r="CE42" i="11"/>
  <c r="CE44" i="11" s="1"/>
  <c r="CE45" i="11"/>
  <c r="EO15" i="17"/>
  <c r="EN18" i="17"/>
  <c r="CF61" i="11" l="1"/>
  <c r="CF93" i="11" s="1"/>
  <c r="CF43" i="11" s="1"/>
  <c r="CF38" i="11"/>
  <c r="CF161" i="11"/>
  <c r="CH20" i="11"/>
  <c r="CE111" i="11"/>
  <c r="CG30" i="11"/>
  <c r="CG21" i="11"/>
  <c r="CG31" i="11" s="1"/>
  <c r="EO18" i="17"/>
  <c r="EP15" i="17"/>
  <c r="CE173" i="11"/>
  <c r="CF65" i="11" l="1"/>
  <c r="CF92" i="11" s="1"/>
  <c r="CF98" i="11" s="1"/>
  <c r="BH9" i="17"/>
  <c r="BH13" i="17" s="1"/>
  <c r="CG60" i="11" s="1"/>
  <c r="CG34" i="11"/>
  <c r="CG6" i="11"/>
  <c r="CE112" i="11"/>
  <c r="CE128" i="11"/>
  <c r="CE129" i="11" s="1"/>
  <c r="CE156" i="11" s="1"/>
  <c r="EP18" i="17"/>
  <c r="EQ15" i="17"/>
  <c r="CH18" i="11"/>
  <c r="CH22" i="11" s="1"/>
  <c r="CF41" i="11"/>
  <c r="CF39" i="11"/>
  <c r="CF172" i="11"/>
  <c r="CE174" i="11"/>
  <c r="CF66" i="11" l="1"/>
  <c r="CF40" i="11"/>
  <c r="CF45" i="11" s="1"/>
  <c r="EQ18" i="17"/>
  <c r="ER15" i="17"/>
  <c r="CG7" i="11"/>
  <c r="CG8" i="11"/>
  <c r="CG9" i="11" s="1"/>
  <c r="CF160" i="11"/>
  <c r="CF163" i="11" s="1"/>
  <c r="CF170" i="11" s="1"/>
  <c r="CF105" i="11" s="1"/>
  <c r="CF151" i="11"/>
  <c r="CF152" i="11" s="1"/>
  <c r="CF153" i="11" s="1"/>
  <c r="CH16" i="11"/>
  <c r="CF42" i="11" l="1"/>
  <c r="CF44" i="11" s="1"/>
  <c r="CF111" i="11"/>
  <c r="CH15" i="11"/>
  <c r="CH24" i="11"/>
  <c r="CH17" i="11" s="1"/>
  <c r="CI36" i="11"/>
  <c r="CI37" i="11" s="1"/>
  <c r="CG114" i="11"/>
  <c r="CG115" i="11" s="1"/>
  <c r="CG13" i="11"/>
  <c r="CG58" i="11"/>
  <c r="CG59" i="11"/>
  <c r="CF173" i="11"/>
  <c r="ER18" i="17"/>
  <c r="ES15" i="17"/>
  <c r="CI20" i="11" l="1"/>
  <c r="CG161" i="11"/>
  <c r="CG38" i="11"/>
  <c r="CI18" i="11"/>
  <c r="CI22" i="11" s="1"/>
  <c r="CH30" i="11"/>
  <c r="CH21" i="11"/>
  <c r="CH31" i="11" s="1"/>
  <c r="ET15" i="17"/>
  <c r="ES18" i="17"/>
  <c r="CG172" i="11"/>
  <c r="CF174" i="11"/>
  <c r="CG61" i="11"/>
  <c r="CG93" i="11" s="1"/>
  <c r="CG43" i="11" s="1"/>
  <c r="CF112" i="11"/>
  <c r="CF128" i="11"/>
  <c r="CF129" i="11" s="1"/>
  <c r="CF156" i="11" s="1"/>
  <c r="CI16" i="11" l="1"/>
  <c r="BI9" i="17"/>
  <c r="BI13" i="17" s="1"/>
  <c r="CH60" i="11" s="1"/>
  <c r="CH34" i="11"/>
  <c r="CH6" i="11"/>
  <c r="CG41" i="11"/>
  <c r="CG39" i="11"/>
  <c r="CG65" i="11"/>
  <c r="EU15" i="17"/>
  <c r="ET18" i="17"/>
  <c r="CG92" i="11" l="1"/>
  <c r="CG98" i="11" s="1"/>
  <c r="CG66" i="11"/>
  <c r="CG40" i="11"/>
  <c r="CH7" i="11"/>
  <c r="CH8" i="11"/>
  <c r="CH9" i="11" s="1"/>
  <c r="EU18" i="17"/>
  <c r="EV15" i="17"/>
  <c r="CI24" i="11"/>
  <c r="CI17" i="11" s="1"/>
  <c r="CI15" i="11"/>
  <c r="CJ36" i="11"/>
  <c r="CJ37" i="11" s="1"/>
  <c r="CH114" i="11" l="1"/>
  <c r="CH115" i="11" s="1"/>
  <c r="CH13" i="11"/>
  <c r="CH59" i="11"/>
  <c r="CH58" i="11"/>
  <c r="EW15" i="17"/>
  <c r="EV18" i="17"/>
  <c r="CI30" i="11"/>
  <c r="CI21" i="11"/>
  <c r="CI31" i="11" s="1"/>
  <c r="CJ20" i="11"/>
  <c r="CG42" i="11"/>
  <c r="CG44" i="11" s="1"/>
  <c r="CG45" i="11"/>
  <c r="CG160" i="11"/>
  <c r="CG163" i="11" s="1"/>
  <c r="CG170" i="11" s="1"/>
  <c r="CG151" i="11"/>
  <c r="CG152" i="11" s="1"/>
  <c r="CG153" i="11" s="1"/>
  <c r="CH61" i="11" l="1"/>
  <c r="CH93" i="11" s="1"/>
  <c r="CH43" i="11" s="1"/>
  <c r="EX15" i="17"/>
  <c r="EW18" i="17"/>
  <c r="BJ9" i="17"/>
  <c r="BJ13" i="17" s="1"/>
  <c r="CI60" i="11" s="1"/>
  <c r="CI34" i="11"/>
  <c r="CI6" i="11"/>
  <c r="CG105" i="11"/>
  <c r="CG173" i="11"/>
  <c r="CJ18" i="11"/>
  <c r="CJ22" i="11" s="1"/>
  <c r="CH38" i="11"/>
  <c r="CH161" i="11"/>
  <c r="CH65" i="11" l="1"/>
  <c r="CH92" i="11" s="1"/>
  <c r="CH98" i="11" s="1"/>
  <c r="CH41" i="11"/>
  <c r="CH39" i="11"/>
  <c r="CH172" i="11"/>
  <c r="CI8" i="11"/>
  <c r="CI7" i="11"/>
  <c r="CH40" i="11"/>
  <c r="CH42" i="11" s="1"/>
  <c r="CH44" i="11" s="1"/>
  <c r="CJ16" i="11"/>
  <c r="CG111" i="11"/>
  <c r="EX18" i="17"/>
  <c r="EY15" i="17"/>
  <c r="CH66" i="11" l="1"/>
  <c r="CI9" i="11"/>
  <c r="CH45" i="11"/>
  <c r="CI114" i="11"/>
  <c r="CI115" i="11" s="1"/>
  <c r="CI13" i="11"/>
  <c r="CI58" i="11"/>
  <c r="CI59" i="11"/>
  <c r="CH151" i="11"/>
  <c r="CH152" i="11" s="1"/>
  <c r="CH153" i="11" s="1"/>
  <c r="CH160" i="11"/>
  <c r="CH163" i="11" s="1"/>
  <c r="CH170" i="11" s="1"/>
  <c r="CH105" i="11" s="1"/>
  <c r="CG112" i="11"/>
  <c r="CG128" i="11"/>
  <c r="CG129" i="11" s="1"/>
  <c r="CG156" i="11" s="1"/>
  <c r="CJ24" i="11"/>
  <c r="CJ17" i="11" s="1"/>
  <c r="CJ15" i="11"/>
  <c r="CK36" i="11"/>
  <c r="CK37" i="11" s="1"/>
  <c r="CG174" i="11"/>
  <c r="EZ15" i="17"/>
  <c r="EY18" i="17"/>
  <c r="CI61" i="11" l="1"/>
  <c r="CI93" i="11" s="1"/>
  <c r="CI43" i="11" s="1"/>
  <c r="CH111" i="11"/>
  <c r="EZ18" i="17"/>
  <c r="FA15" i="17"/>
  <c r="CJ30" i="11"/>
  <c r="CJ21" i="11"/>
  <c r="CJ31" i="11" s="1"/>
  <c r="CK20" i="11"/>
  <c r="CI38" i="11"/>
  <c r="CH173" i="11"/>
  <c r="CI161" i="11"/>
  <c r="CI65" i="11" l="1"/>
  <c r="CI92" i="11" s="1"/>
  <c r="CI98" i="11" s="1"/>
  <c r="CI39" i="11"/>
  <c r="CI41" i="11"/>
  <c r="FB15" i="17"/>
  <c r="FB18" i="17" s="1"/>
  <c r="FA18" i="17"/>
  <c r="CK18" i="11"/>
  <c r="CK22" i="11" s="1"/>
  <c r="BK9" i="17"/>
  <c r="BK13" i="17" s="1"/>
  <c r="CJ60" i="11" s="1"/>
  <c r="CJ34" i="11"/>
  <c r="CJ6" i="11"/>
  <c r="CH112" i="11"/>
  <c r="CH128" i="11"/>
  <c r="CH129" i="11" s="1"/>
  <c r="CH156" i="11" s="1"/>
  <c r="CH174" i="11"/>
  <c r="CI172" i="11"/>
  <c r="CI40" i="11" l="1"/>
  <c r="CI45" i="11" s="1"/>
  <c r="CI66" i="11"/>
  <c r="CI42" i="11"/>
  <c r="CI44" i="11" s="1"/>
  <c r="CJ8" i="11"/>
  <c r="CJ7" i="11"/>
  <c r="CJ9" i="11" s="1"/>
  <c r="CK16" i="11"/>
  <c r="CI160" i="11"/>
  <c r="CI163" i="11" s="1"/>
  <c r="CI170" i="11" s="1"/>
  <c r="CI105" i="11" s="1"/>
  <c r="CI151" i="11"/>
  <c r="CI152" i="11" s="1"/>
  <c r="CI153" i="11" s="1"/>
  <c r="CI173" i="11" l="1"/>
  <c r="CJ172" i="11" s="1"/>
  <c r="CJ114" i="11"/>
  <c r="CJ115" i="11" s="1"/>
  <c r="CJ13" i="11"/>
  <c r="CJ58" i="11"/>
  <c r="CJ59" i="11"/>
  <c r="I45" i="2"/>
  <c r="CK24" i="11"/>
  <c r="CK17" i="11" s="1"/>
  <c r="CK15" i="11"/>
  <c r="CL36" i="11"/>
  <c r="CL37" i="11" s="1"/>
  <c r="CI111" i="11"/>
  <c r="CI112" i="11" l="1"/>
  <c r="CI128" i="11"/>
  <c r="CI129" i="11" s="1"/>
  <c r="CI156" i="11" s="1"/>
  <c r="CJ61" i="11"/>
  <c r="CJ93" i="11" s="1"/>
  <c r="CJ43" i="11" s="1"/>
  <c r="CJ38" i="11"/>
  <c r="CI174" i="11"/>
  <c r="CK30" i="11"/>
  <c r="CK21" i="11"/>
  <c r="CK31" i="11" s="1"/>
  <c r="CL20" i="11"/>
  <c r="CJ161" i="11"/>
  <c r="CJ65" i="11" l="1"/>
  <c r="CL18" i="11"/>
  <c r="CL22" i="11" s="1"/>
  <c r="CJ92" i="11"/>
  <c r="CJ98" i="11" s="1"/>
  <c r="CJ66" i="11"/>
  <c r="CJ40" i="11"/>
  <c r="CJ41" i="11"/>
  <c r="CJ39" i="11"/>
  <c r="BL9" i="17"/>
  <c r="BL13" i="17" s="1"/>
  <c r="CK60" i="11" s="1"/>
  <c r="CK34" i="11"/>
  <c r="CK6" i="11"/>
  <c r="CJ42" i="11" l="1"/>
  <c r="CJ44" i="11" s="1"/>
  <c r="CK8" i="11"/>
  <c r="CK7" i="11"/>
  <c r="CK9" i="11" s="1"/>
  <c r="CJ151" i="11"/>
  <c r="CJ152" i="11" s="1"/>
  <c r="CJ153" i="11" s="1"/>
  <c r="CJ160" i="11"/>
  <c r="CJ163" i="11" s="1"/>
  <c r="CJ170" i="11" s="1"/>
  <c r="CJ45" i="11"/>
  <c r="CL16" i="11"/>
  <c r="CK114" i="11" l="1"/>
  <c r="CK115" i="11" s="1"/>
  <c r="CK13" i="11"/>
  <c r="CK58" i="11"/>
  <c r="CK59" i="11"/>
  <c r="CJ105" i="11"/>
  <c r="CJ173" i="11"/>
  <c r="CL24" i="11"/>
  <c r="CL17" i="11" s="1"/>
  <c r="CL15" i="11"/>
  <c r="CM36" i="11"/>
  <c r="CM37" i="11" s="1"/>
  <c r="CK61" i="11" l="1"/>
  <c r="CK93" i="11" s="1"/>
  <c r="CK43" i="11" s="1"/>
  <c r="CK172" i="11"/>
  <c r="CJ111" i="11"/>
  <c r="CM20" i="11"/>
  <c r="CK38" i="11"/>
  <c r="CL30" i="11"/>
  <c r="CL21" i="11"/>
  <c r="CL31" i="11" s="1"/>
  <c r="CK161" i="11"/>
  <c r="CK65" i="11" l="1"/>
  <c r="CK92" i="11" s="1"/>
  <c r="CK98" i="11" s="1"/>
  <c r="CJ112" i="11"/>
  <c r="CJ128" i="11"/>
  <c r="CJ129" i="11" s="1"/>
  <c r="CJ156" i="11" s="1"/>
  <c r="CM18" i="11"/>
  <c r="CM22" i="11" s="1"/>
  <c r="CJ174" i="11"/>
  <c r="BM9" i="17"/>
  <c r="BM13" i="17" s="1"/>
  <c r="CL60" i="11" s="1"/>
  <c r="CL34" i="11"/>
  <c r="CL6" i="11"/>
  <c r="CK41" i="11"/>
  <c r="CK39" i="11"/>
  <c r="CK40" i="11" l="1"/>
  <c r="CK45" i="11" s="1"/>
  <c r="CK66" i="11"/>
  <c r="CM16" i="11"/>
  <c r="CL8" i="11"/>
  <c r="CL7" i="11"/>
  <c r="CK151" i="11"/>
  <c r="CK152" i="11" s="1"/>
  <c r="CK153" i="11" s="1"/>
  <c r="CK160" i="11"/>
  <c r="CK163" i="11" s="1"/>
  <c r="CK170" i="11" s="1"/>
  <c r="CK42" i="11" l="1"/>
  <c r="CK44" i="11" s="1"/>
  <c r="CL9" i="11"/>
  <c r="CL114" i="11" s="1"/>
  <c r="CL115" i="11" s="1"/>
  <c r="CK105" i="11"/>
  <c r="CK173" i="11"/>
  <c r="CM24" i="11"/>
  <c r="CM17" i="11" s="1"/>
  <c r="CM15" i="11"/>
  <c r="CN36" i="11"/>
  <c r="CN37" i="11" s="1"/>
  <c r="CL58" i="11" l="1"/>
  <c r="CL59" i="11"/>
  <c r="CL13" i="11"/>
  <c r="CL38" i="11" s="1"/>
  <c r="CK111" i="11"/>
  <c r="CK174" i="11" s="1"/>
  <c r="CL172" i="11"/>
  <c r="CM30" i="11"/>
  <c r="CM21" i="11"/>
  <c r="CM31" i="11" s="1"/>
  <c r="CN20" i="11"/>
  <c r="CL161" i="11"/>
  <c r="CL61" i="11" l="1"/>
  <c r="CL93" i="11" s="1"/>
  <c r="CL43" i="11" s="1"/>
  <c r="CL39" i="11"/>
  <c r="CL41" i="11"/>
  <c r="CN18" i="11"/>
  <c r="CN22" i="11" s="1"/>
  <c r="BN9" i="17"/>
  <c r="BN13" i="17" s="1"/>
  <c r="CM60" i="11" s="1"/>
  <c r="CM34" i="11"/>
  <c r="CM6" i="11"/>
  <c r="CK112" i="11"/>
  <c r="CK128" i="11"/>
  <c r="CK129" i="11" s="1"/>
  <c r="CK156" i="11" s="1"/>
  <c r="CL65" i="11" l="1"/>
  <c r="CM8" i="11"/>
  <c r="CM7" i="11"/>
  <c r="CN16" i="11"/>
  <c r="CL92" i="11"/>
  <c r="CL98" i="11" s="1"/>
  <c r="CL66" i="11"/>
  <c r="CL40" i="11"/>
  <c r="CM9" i="11" l="1"/>
  <c r="CM114" i="11"/>
  <c r="CM115" i="11" s="1"/>
  <c r="CM13" i="11"/>
  <c r="CM59" i="11"/>
  <c r="CM58" i="11"/>
  <c r="CL42" i="11"/>
  <c r="CL44" i="11" s="1"/>
  <c r="CL45" i="11"/>
  <c r="CL160" i="11"/>
  <c r="CL163" i="11" s="1"/>
  <c r="CL170" i="11" s="1"/>
  <c r="CL151" i="11"/>
  <c r="CL152" i="11" s="1"/>
  <c r="CL153" i="11" s="1"/>
  <c r="CN24" i="11"/>
  <c r="CN17" i="11" s="1"/>
  <c r="CN15" i="11"/>
  <c r="CO36" i="11"/>
  <c r="CO37" i="11" s="1"/>
  <c r="CL105" i="11" l="1"/>
  <c r="CL173" i="11"/>
  <c r="CN30" i="11"/>
  <c r="CN21" i="11"/>
  <c r="CN31" i="11" s="1"/>
  <c r="CM61" i="11"/>
  <c r="CM93" i="11" s="1"/>
  <c r="CM43" i="11" s="1"/>
  <c r="CO20" i="11"/>
  <c r="CM38" i="11"/>
  <c r="CM161" i="11"/>
  <c r="CM39" i="11" l="1"/>
  <c r="CM41" i="11"/>
  <c r="CO18" i="11"/>
  <c r="CO22" i="11" s="1"/>
  <c r="CM65" i="11"/>
  <c r="BO9" i="17"/>
  <c r="BO13" i="17" s="1"/>
  <c r="CN60" i="11" s="1"/>
  <c r="CN34" i="11"/>
  <c r="CN6" i="11"/>
  <c r="CM172" i="11"/>
  <c r="CL111" i="11"/>
  <c r="CL174" i="11" s="1"/>
  <c r="CN7" i="11" l="1"/>
  <c r="CN8" i="11"/>
  <c r="CO16" i="11"/>
  <c r="CM66" i="11"/>
  <c r="CM92" i="11"/>
  <c r="CM98" i="11" s="1"/>
  <c r="CM40" i="11"/>
  <c r="CL112" i="11"/>
  <c r="CL128" i="11"/>
  <c r="CL129" i="11" s="1"/>
  <c r="CL156" i="11" s="1"/>
  <c r="CN9" i="11" l="1"/>
  <c r="CN13" i="11" s="1"/>
  <c r="CM42" i="11"/>
  <c r="CM44" i="11" s="1"/>
  <c r="CM45" i="11"/>
  <c r="CO15" i="11"/>
  <c r="CO24" i="11"/>
  <c r="CO17" i="11" s="1"/>
  <c r="CP36" i="11"/>
  <c r="CP37" i="11" s="1"/>
  <c r="CM160" i="11"/>
  <c r="CM163" i="11" s="1"/>
  <c r="CM170" i="11" s="1"/>
  <c r="CM151" i="11"/>
  <c r="CM152" i="11" s="1"/>
  <c r="CM153" i="11" s="1"/>
  <c r="CN114" i="11" l="1"/>
  <c r="CN115" i="11" s="1"/>
  <c r="CN161" i="11" s="1"/>
  <c r="CN59" i="11"/>
  <c r="CN58" i="11"/>
  <c r="CN61" i="11" s="1"/>
  <c r="CN93" i="11" s="1"/>
  <c r="CN43" i="11" s="1"/>
  <c r="CP20" i="11"/>
  <c r="CM105" i="11"/>
  <c r="CM173" i="11"/>
  <c r="CO30" i="11"/>
  <c r="CO21" i="11"/>
  <c r="CO31" i="11" s="1"/>
  <c r="CN38" i="11"/>
  <c r="CN65" i="11" l="1"/>
  <c r="CN92" i="11" s="1"/>
  <c r="CN98" i="11" s="1"/>
  <c r="BP9" i="17"/>
  <c r="BP13" i="17" s="1"/>
  <c r="CO60" i="11" s="1"/>
  <c r="CO34" i="11"/>
  <c r="CO6" i="11"/>
  <c r="CM111" i="11"/>
  <c r="CM174" i="11" s="1"/>
  <c r="CN41" i="11"/>
  <c r="CN39" i="11"/>
  <c r="CP18" i="11"/>
  <c r="CP22" i="11" s="1"/>
  <c r="CN172" i="11"/>
  <c r="CN40" i="11" l="1"/>
  <c r="CN42" i="11" s="1"/>
  <c r="CN44" i="11" s="1"/>
  <c r="CN66" i="11"/>
  <c r="CN160" i="11"/>
  <c r="CN163" i="11" s="1"/>
  <c r="CN170" i="11" s="1"/>
  <c r="CN105" i="11" s="1"/>
  <c r="CN151" i="11"/>
  <c r="CN152" i="11" s="1"/>
  <c r="CN153" i="11" s="1"/>
  <c r="CP16" i="11"/>
  <c r="CM112" i="11"/>
  <c r="CM128" i="11"/>
  <c r="CM129" i="11" s="1"/>
  <c r="CM156" i="11" s="1"/>
  <c r="CO7" i="11"/>
  <c r="CO8" i="11"/>
  <c r="CN45" i="11" l="1"/>
  <c r="CN173" i="11"/>
  <c r="CO172" i="11" s="1"/>
  <c r="CO9" i="11"/>
  <c r="CO13" i="11" s="1"/>
  <c r="CO58" i="11"/>
  <c r="CP15" i="11"/>
  <c r="CP24" i="11"/>
  <c r="CP17" i="11" s="1"/>
  <c r="CQ36" i="11"/>
  <c r="CQ37" i="11" s="1"/>
  <c r="CN111" i="11"/>
  <c r="CN174" i="11" s="1"/>
  <c r="CO59" i="11" l="1"/>
  <c r="CO61" i="11" s="1"/>
  <c r="CO114" i="11"/>
  <c r="CO115" i="11" s="1"/>
  <c r="CO161" i="11" s="1"/>
  <c r="CP30" i="11"/>
  <c r="CP21" i="11"/>
  <c r="CP31" i="11" s="1"/>
  <c r="CN112" i="11"/>
  <c r="CN128" i="11"/>
  <c r="CN129" i="11" s="1"/>
  <c r="CN156" i="11" s="1"/>
  <c r="CO38" i="11"/>
  <c r="CQ20" i="11"/>
  <c r="CO93" i="11" l="1"/>
  <c r="CO43" i="11" s="1"/>
  <c r="CO65" i="11"/>
  <c r="CO92" i="11" s="1"/>
  <c r="CO98" i="11" s="1"/>
  <c r="CQ18" i="11"/>
  <c r="CQ22" i="11" s="1"/>
  <c r="CO39" i="11"/>
  <c r="CO41" i="11"/>
  <c r="BQ9" i="17"/>
  <c r="BQ13" i="17" s="1"/>
  <c r="CP60" i="11" s="1"/>
  <c r="CP34" i="11"/>
  <c r="CP6" i="11"/>
  <c r="CO40" i="11" l="1"/>
  <c r="CO42" i="11" s="1"/>
  <c r="CO44" i="11" s="1"/>
  <c r="CO66" i="11"/>
  <c r="CO160" i="11"/>
  <c r="CO163" i="11" s="1"/>
  <c r="CO170" i="11" s="1"/>
  <c r="CO151" i="11"/>
  <c r="CO152" i="11" s="1"/>
  <c r="CO153" i="11" s="1"/>
  <c r="CP7" i="11"/>
  <c r="CP8" i="11"/>
  <c r="CQ16" i="11"/>
  <c r="CO45" i="11" l="1"/>
  <c r="CP9" i="11"/>
  <c r="CP114" i="11" s="1"/>
  <c r="CP115" i="11" s="1"/>
  <c r="CQ24" i="11"/>
  <c r="CQ17" i="11" s="1"/>
  <c r="CQ15" i="11"/>
  <c r="CR36" i="11"/>
  <c r="CR37" i="11" s="1"/>
  <c r="CO105" i="11"/>
  <c r="CO173" i="11"/>
  <c r="CP13" i="11" l="1"/>
  <c r="CP59" i="11"/>
  <c r="CP58" i="11"/>
  <c r="CR20" i="11"/>
  <c r="CQ30" i="11"/>
  <c r="CQ21" i="11"/>
  <c r="CQ31" i="11" s="1"/>
  <c r="CP172" i="11"/>
  <c r="CO111" i="11"/>
  <c r="CO174" i="11" s="1"/>
  <c r="CP38" i="11"/>
  <c r="CP161" i="11"/>
  <c r="CP61" i="11" l="1"/>
  <c r="CP93" i="11" s="1"/>
  <c r="CP43" i="11" s="1"/>
  <c r="CP65" i="11"/>
  <c r="CP92" i="11" s="1"/>
  <c r="CP98" i="11" s="1"/>
  <c r="CP39" i="11"/>
  <c r="CP41" i="11"/>
  <c r="BR9" i="17"/>
  <c r="BR13" i="17" s="1"/>
  <c r="CQ60" i="11" s="1"/>
  <c r="CQ34" i="11"/>
  <c r="CQ6" i="11"/>
  <c r="CO112" i="11"/>
  <c r="CO128" i="11"/>
  <c r="CO129" i="11" s="1"/>
  <c r="CO156" i="11" s="1"/>
  <c r="CR18" i="11"/>
  <c r="CR22" i="11" s="1"/>
  <c r="CP40" i="11" l="1"/>
  <c r="CP45" i="11" s="1"/>
  <c r="CP66" i="11"/>
  <c r="CR16" i="11"/>
  <c r="CQ8" i="11"/>
  <c r="CQ7" i="11"/>
  <c r="CQ9" i="11" s="1"/>
  <c r="CP160" i="11"/>
  <c r="CP163" i="11" s="1"/>
  <c r="CP170" i="11" s="1"/>
  <c r="CP151" i="11"/>
  <c r="CP152" i="11" s="1"/>
  <c r="CP153" i="11" s="1"/>
  <c r="CP42" i="11" l="1"/>
  <c r="CP44" i="11" s="1"/>
  <c r="CQ114" i="11"/>
  <c r="CQ115" i="11" s="1"/>
  <c r="CQ13" i="11"/>
  <c r="CQ59" i="11"/>
  <c r="CQ58" i="11"/>
  <c r="CQ61" i="11" s="1"/>
  <c r="CQ93" i="11" s="1"/>
  <c r="CQ43" i="11" s="1"/>
  <c r="CP105" i="11"/>
  <c r="CP173" i="11"/>
  <c r="CR24" i="11"/>
  <c r="CR17" i="11" s="1"/>
  <c r="CR15" i="11"/>
  <c r="CS36" i="11"/>
  <c r="CS37" i="11" s="1"/>
  <c r="CQ172" i="11" l="1"/>
  <c r="CP111" i="11"/>
  <c r="CR30" i="11"/>
  <c r="CR21" i="11"/>
  <c r="CR31" i="11" s="1"/>
  <c r="CQ65" i="11"/>
  <c r="CQ38" i="11"/>
  <c r="CS20" i="11"/>
  <c r="CQ161" i="11"/>
  <c r="CQ92" i="11" l="1"/>
  <c r="CQ98" i="11" s="1"/>
  <c r="CQ66" i="11"/>
  <c r="CQ40" i="11"/>
  <c r="CS18" i="11"/>
  <c r="CS22" i="11" s="1"/>
  <c r="BS9" i="17"/>
  <c r="BS13" i="17" s="1"/>
  <c r="CR60" i="11" s="1"/>
  <c r="CR34" i="11"/>
  <c r="CR6" i="11"/>
  <c r="CQ39" i="11"/>
  <c r="CQ41" i="11"/>
  <c r="CP112" i="11"/>
  <c r="CP128" i="11"/>
  <c r="CP129" i="11" s="1"/>
  <c r="CP156" i="11" s="1"/>
  <c r="CP174" i="11"/>
  <c r="CS16" i="11" l="1"/>
  <c r="CR8" i="11"/>
  <c r="CR7" i="11"/>
  <c r="CQ42" i="11"/>
  <c r="CQ44" i="11" s="1"/>
  <c r="CQ45" i="11"/>
  <c r="CQ151" i="11"/>
  <c r="CQ152" i="11" s="1"/>
  <c r="CQ153" i="11" s="1"/>
  <c r="CQ160" i="11"/>
  <c r="CQ163" i="11" s="1"/>
  <c r="CQ170" i="11" s="1"/>
  <c r="CR9" i="11" l="1"/>
  <c r="CR114" i="11" s="1"/>
  <c r="CR115" i="11" s="1"/>
  <c r="CR58" i="11"/>
  <c r="CR59" i="11"/>
  <c r="CQ105" i="11"/>
  <c r="CQ173" i="11"/>
  <c r="CS24" i="11"/>
  <c r="CS17" i="11" s="1"/>
  <c r="CS15" i="11"/>
  <c r="CT36" i="11"/>
  <c r="CT37" i="11" s="1"/>
  <c r="CR13" i="11" l="1"/>
  <c r="CR172" i="11"/>
  <c r="CQ111" i="11"/>
  <c r="CR38" i="11"/>
  <c r="CR61" i="11"/>
  <c r="CR93" i="11" s="1"/>
  <c r="CR43" i="11" s="1"/>
  <c r="CS30" i="11"/>
  <c r="CS21" i="11"/>
  <c r="CS31" i="11" s="1"/>
  <c r="CT20" i="11"/>
  <c r="CR161" i="11"/>
  <c r="CR65" i="11" l="1"/>
  <c r="CR92" i="11" s="1"/>
  <c r="CR98" i="11" s="1"/>
  <c r="CQ112" i="11"/>
  <c r="CQ128" i="11"/>
  <c r="CQ129" i="11" s="1"/>
  <c r="CQ156" i="11" s="1"/>
  <c r="BT9" i="17"/>
  <c r="BT13" i="17" s="1"/>
  <c r="CS60" i="11" s="1"/>
  <c r="CS34" i="11"/>
  <c r="CS6" i="11"/>
  <c r="CR41" i="11"/>
  <c r="CR39" i="11"/>
  <c r="CT18" i="11"/>
  <c r="CT22" i="11" s="1"/>
  <c r="CQ174" i="11"/>
  <c r="CR40" i="11" l="1"/>
  <c r="CR45" i="11" s="1"/>
  <c r="CR66" i="11"/>
  <c r="CS8" i="11"/>
  <c r="CS7" i="11"/>
  <c r="CT16" i="11"/>
  <c r="CR151" i="11"/>
  <c r="CR152" i="11" s="1"/>
  <c r="CR153" i="11" s="1"/>
  <c r="CR160" i="11"/>
  <c r="CR163" i="11" s="1"/>
  <c r="CR170" i="11" s="1"/>
  <c r="CR42" i="11" l="1"/>
  <c r="CR44" i="11" s="1"/>
  <c r="CS9" i="11"/>
  <c r="CS114" i="11" s="1"/>
  <c r="CS115" i="11" s="1"/>
  <c r="CR105" i="11"/>
  <c r="CR173" i="11"/>
  <c r="CT24" i="11"/>
  <c r="CT17" i="11" s="1"/>
  <c r="CT15" i="11"/>
  <c r="CU36" i="11"/>
  <c r="CU37" i="11" s="1"/>
  <c r="CS58" i="11" l="1"/>
  <c r="CS59" i="11"/>
  <c r="CS13" i="11"/>
  <c r="CS172" i="11"/>
  <c r="CR111" i="11"/>
  <c r="CR174" i="11" s="1"/>
  <c r="CT30" i="11"/>
  <c r="CT21" i="11"/>
  <c r="CT31" i="11" s="1"/>
  <c r="CU20" i="11"/>
  <c r="CS161" i="11"/>
  <c r="CS61" i="11" l="1"/>
  <c r="CS93" i="11" s="1"/>
  <c r="CS43" i="11" s="1"/>
  <c r="CS38" i="11"/>
  <c r="CS41" i="11" s="1"/>
  <c r="CU18" i="11"/>
  <c r="CU22" i="11" s="1"/>
  <c r="CR112" i="11"/>
  <c r="CR128" i="11"/>
  <c r="CR129" i="11" s="1"/>
  <c r="CR156" i="11" s="1"/>
  <c r="BU9" i="17"/>
  <c r="BU13" i="17" s="1"/>
  <c r="CT60" i="11" s="1"/>
  <c r="CT34" i="11"/>
  <c r="CT6" i="11"/>
  <c r="CS65" i="11" l="1"/>
  <c r="CS39" i="11"/>
  <c r="CU16" i="11"/>
  <c r="CT7" i="11"/>
  <c r="CT8" i="11"/>
  <c r="CS66" i="11" l="1"/>
  <c r="CS92" i="11"/>
  <c r="CS98" i="11" s="1"/>
  <c r="CS40" i="11"/>
  <c r="CT9" i="11"/>
  <c r="CT114" i="11" s="1"/>
  <c r="CT115" i="11" s="1"/>
  <c r="CU24" i="11"/>
  <c r="CU17" i="11" s="1"/>
  <c r="CU15" i="11"/>
  <c r="CV36" i="11"/>
  <c r="CV37" i="11" s="1"/>
  <c r="CS45" i="11" l="1"/>
  <c r="CS42" i="11"/>
  <c r="CS44" i="11" s="1"/>
  <c r="CS151" i="11"/>
  <c r="CS152" i="11" s="1"/>
  <c r="CS153" i="11" s="1"/>
  <c r="CS160" i="11"/>
  <c r="CS163" i="11" s="1"/>
  <c r="CS170" i="11" s="1"/>
  <c r="CT58" i="11"/>
  <c r="CT59" i="11"/>
  <c r="CT13" i="11"/>
  <c r="CV20" i="11"/>
  <c r="CV18" i="11" s="1"/>
  <c r="CV22" i="11" s="1"/>
  <c r="CU30" i="11"/>
  <c r="CU21" i="11"/>
  <c r="CU31" i="11" s="1"/>
  <c r="CT161" i="11"/>
  <c r="CT61" i="11" l="1"/>
  <c r="CT93" i="11" s="1"/>
  <c r="CT43" i="11" s="1"/>
  <c r="CS173" i="11"/>
  <c r="CT172" i="11" s="1"/>
  <c r="CS105" i="11"/>
  <c r="CS111" i="11" s="1"/>
  <c r="CS174" i="11" s="1"/>
  <c r="CT38" i="11"/>
  <c r="CT39" i="11" s="1"/>
  <c r="CV16" i="11"/>
  <c r="BV9" i="17"/>
  <c r="BV13" i="17" s="1"/>
  <c r="CU60" i="11" s="1"/>
  <c r="CU34" i="11"/>
  <c r="CU6" i="11"/>
  <c r="CS128" i="11" l="1"/>
  <c r="CS129" i="11" s="1"/>
  <c r="CS156" i="11" s="1"/>
  <c r="CS112" i="11"/>
  <c r="CT65" i="11"/>
  <c r="CT92" i="11" s="1"/>
  <c r="CT98" i="11" s="1"/>
  <c r="CT41" i="11"/>
  <c r="CT40" i="11"/>
  <c r="CT45" i="11" s="1"/>
  <c r="CT66" i="11"/>
  <c r="CU7" i="11"/>
  <c r="CU8" i="11"/>
  <c r="CV24" i="11"/>
  <c r="CV17" i="11" s="1"/>
  <c r="CV15" i="11"/>
  <c r="CW36" i="11"/>
  <c r="CW37" i="11" s="1"/>
  <c r="CT160" i="11"/>
  <c r="CT163" i="11" s="1"/>
  <c r="CT170" i="11" s="1"/>
  <c r="CT151" i="11"/>
  <c r="CT152" i="11" s="1"/>
  <c r="CT153" i="11" s="1"/>
  <c r="CT42" i="11" l="1"/>
  <c r="CT44" i="11" s="1"/>
  <c r="CU9" i="11"/>
  <c r="CU114" i="11" s="1"/>
  <c r="CU115" i="11" s="1"/>
  <c r="CW20" i="11"/>
  <c r="CV30" i="11"/>
  <c r="CV21" i="11"/>
  <c r="CV31" i="11" s="1"/>
  <c r="CT105" i="11"/>
  <c r="CT173" i="11"/>
  <c r="CU59" i="11" l="1"/>
  <c r="CU58" i="11"/>
  <c r="CU13" i="11"/>
  <c r="CU38" i="11" s="1"/>
  <c r="CU172" i="11"/>
  <c r="CW18" i="11"/>
  <c r="CW22" i="11" s="1"/>
  <c r="CT111" i="11"/>
  <c r="CU61" i="11"/>
  <c r="CU93" i="11" s="1"/>
  <c r="BW9" i="17"/>
  <c r="BW13" i="17" s="1"/>
  <c r="CV60" i="11" s="1"/>
  <c r="CV34" i="11"/>
  <c r="CV6" i="11"/>
  <c r="CU161" i="11"/>
  <c r="CU65" i="11" l="1"/>
  <c r="CU39" i="11"/>
  <c r="CU41" i="11"/>
  <c r="CU92" i="11"/>
  <c r="CU98" i="11" s="1"/>
  <c r="CU66" i="11"/>
  <c r="CU40" i="11"/>
  <c r="CU43" i="11"/>
  <c r="CU45" i="11" s="1"/>
  <c r="CW16" i="11"/>
  <c r="CT112" i="11"/>
  <c r="CT128" i="11"/>
  <c r="CT129" i="11" s="1"/>
  <c r="CT156" i="11" s="1"/>
  <c r="CT174" i="11"/>
  <c r="CV7" i="11"/>
  <c r="CV8" i="11"/>
  <c r="CV9" i="11" l="1"/>
  <c r="CV13" i="11" s="1"/>
  <c r="CU42" i="11"/>
  <c r="CU44" i="11" s="1"/>
  <c r="CV114" i="11"/>
  <c r="CV115" i="11" s="1"/>
  <c r="CV59" i="11"/>
  <c r="CV58" i="11"/>
  <c r="CU160" i="11"/>
  <c r="CU163" i="11" s="1"/>
  <c r="CU170" i="11" s="1"/>
  <c r="CU151" i="11"/>
  <c r="CU152" i="11" s="1"/>
  <c r="CU153" i="11" s="1"/>
  <c r="CW15" i="11"/>
  <c r="CW24" i="11"/>
  <c r="CW17" i="11" s="1"/>
  <c r="CX36" i="11"/>
  <c r="CX37" i="11" s="1"/>
  <c r="CU105" i="11" l="1"/>
  <c r="CU173" i="11"/>
  <c r="CV61" i="11"/>
  <c r="CV93" i="11" s="1"/>
  <c r="CV43" i="11" s="1"/>
  <c r="CV38" i="11"/>
  <c r="CW30" i="11"/>
  <c r="CW21" i="11"/>
  <c r="CW31" i="11" s="1"/>
  <c r="CX20" i="11"/>
  <c r="CV161" i="11"/>
  <c r="CV65" i="11" l="1"/>
  <c r="CV92" i="11" s="1"/>
  <c r="CV98" i="11" s="1"/>
  <c r="CX18" i="11"/>
  <c r="CX22" i="11" s="1"/>
  <c r="CV41" i="11"/>
  <c r="CV39" i="11"/>
  <c r="CV172" i="11"/>
  <c r="J45" i="2"/>
  <c r="CU111" i="11"/>
  <c r="CU174" i="11" s="1"/>
  <c r="BX9" i="17"/>
  <c r="BX13" i="17" s="1"/>
  <c r="CW60" i="11" s="1"/>
  <c r="CW34" i="11"/>
  <c r="CW6" i="11"/>
  <c r="CV40" i="11" l="1"/>
  <c r="CV45" i="11" s="1"/>
  <c r="CV66" i="11"/>
  <c r="CX16" i="11"/>
  <c r="CW7" i="11"/>
  <c r="CW8" i="11"/>
  <c r="CV42" i="11"/>
  <c r="CV44" i="11" s="1"/>
  <c r="CU112" i="11"/>
  <c r="CU128" i="11"/>
  <c r="CU129" i="11" s="1"/>
  <c r="CU156" i="11" s="1"/>
  <c r="CV160" i="11"/>
  <c r="CV163" i="11" s="1"/>
  <c r="CV170" i="11" s="1"/>
  <c r="CV105" i="11" s="1"/>
  <c r="CV151" i="11"/>
  <c r="CV152" i="11" s="1"/>
  <c r="CV153" i="11" s="1"/>
  <c r="CW9" i="11" l="1"/>
  <c r="CW114" i="11" s="1"/>
  <c r="CW115" i="11" s="1"/>
  <c r="CV111" i="11"/>
  <c r="CX15" i="11"/>
  <c r="CX24" i="11"/>
  <c r="CX17" i="11" s="1"/>
  <c r="CY36" i="11"/>
  <c r="CY37" i="11" s="1"/>
  <c r="CV173" i="11"/>
  <c r="CW58" i="11" l="1"/>
  <c r="CW59" i="11"/>
  <c r="CW13" i="11"/>
  <c r="CW38" i="11" s="1"/>
  <c r="CV112" i="11"/>
  <c r="CV128" i="11"/>
  <c r="CV129" i="11" s="1"/>
  <c r="CV156" i="11" s="1"/>
  <c r="CV174" i="11"/>
  <c r="CW172" i="11"/>
  <c r="CW61" i="11"/>
  <c r="CW93" i="11" s="1"/>
  <c r="CW43" i="11" s="1"/>
  <c r="CY20" i="11"/>
  <c r="CX30" i="11"/>
  <c r="CX21" i="11"/>
  <c r="CX31" i="11" s="1"/>
  <c r="CW161" i="11"/>
  <c r="BY9" i="17" l="1"/>
  <c r="BY13" i="17" s="1"/>
  <c r="CX60" i="11" s="1"/>
  <c r="CX34" i="11"/>
  <c r="CX6" i="11"/>
  <c r="CW41" i="11"/>
  <c r="CW39" i="11"/>
  <c r="CW65" i="11"/>
  <c r="CY18" i="11"/>
  <c r="CY22" i="11" s="1"/>
  <c r="CY16" i="11" l="1"/>
  <c r="CX7" i="11"/>
  <c r="CX8" i="11"/>
  <c r="CW92" i="11"/>
  <c r="CW98" i="11" s="1"/>
  <c r="CW66" i="11"/>
  <c r="CW40" i="11"/>
  <c r="CX9" i="11" l="1"/>
  <c r="CX114" i="11" s="1"/>
  <c r="CX115" i="11" s="1"/>
  <c r="CW42" i="11"/>
  <c r="CW44" i="11" s="1"/>
  <c r="CW45" i="11"/>
  <c r="CW160" i="11"/>
  <c r="CW163" i="11" s="1"/>
  <c r="CW170" i="11" s="1"/>
  <c r="CW151" i="11"/>
  <c r="CW152" i="11" s="1"/>
  <c r="CW153" i="11" s="1"/>
  <c r="CY24" i="11"/>
  <c r="CY17" i="11" s="1"/>
  <c r="CY15" i="11"/>
  <c r="CZ36" i="11"/>
  <c r="CZ37" i="11" s="1"/>
  <c r="CX59" i="11" l="1"/>
  <c r="CX58" i="11"/>
  <c r="CX61" i="11" s="1"/>
  <c r="CX93" i="11" s="1"/>
  <c r="CX43" i="11" s="1"/>
  <c r="CX13" i="11"/>
  <c r="CX38" i="11" s="1"/>
  <c r="CW105" i="11"/>
  <c r="CW173" i="11"/>
  <c r="CZ20" i="11"/>
  <c r="CY30" i="11"/>
  <c r="CY21" i="11"/>
  <c r="CY31" i="11" s="1"/>
  <c r="CX161" i="11"/>
  <c r="CX65" i="11" l="1"/>
  <c r="CX92" i="11" s="1"/>
  <c r="CX98" i="11" s="1"/>
  <c r="BZ9" i="17"/>
  <c r="BZ13" i="17" s="1"/>
  <c r="CY60" i="11" s="1"/>
  <c r="CY34" i="11"/>
  <c r="CY6" i="11"/>
  <c r="CX41" i="11"/>
  <c r="CX39" i="11"/>
  <c r="CZ18" i="11"/>
  <c r="CZ22" i="11" s="1"/>
  <c r="CX172" i="11"/>
  <c r="CW111" i="11"/>
  <c r="CX40" i="11" l="1"/>
  <c r="CX42" i="11" s="1"/>
  <c r="CX44" i="11" s="1"/>
  <c r="CX66" i="11"/>
  <c r="CX160" i="11"/>
  <c r="CX163" i="11" s="1"/>
  <c r="CX170" i="11" s="1"/>
  <c r="CX105" i="11" s="1"/>
  <c r="CX151" i="11"/>
  <c r="CX152" i="11" s="1"/>
  <c r="CX153" i="11" s="1"/>
  <c r="CY8" i="11"/>
  <c r="CY7" i="11"/>
  <c r="CY9" i="11"/>
  <c r="CW112" i="11"/>
  <c r="CW128" i="11"/>
  <c r="CW129" i="11" s="1"/>
  <c r="CW156" i="11" s="1"/>
  <c r="CZ16" i="11"/>
  <c r="CW174" i="11"/>
  <c r="CX45" i="11"/>
  <c r="CZ24" i="11" l="1"/>
  <c r="CZ17" i="11" s="1"/>
  <c r="CZ15" i="11"/>
  <c r="DA36" i="11"/>
  <c r="DA37" i="11" s="1"/>
  <c r="CY114" i="11"/>
  <c r="CY115" i="11" s="1"/>
  <c r="CY13" i="11"/>
  <c r="CY59" i="11"/>
  <c r="CY58" i="11"/>
  <c r="CX173" i="11"/>
  <c r="CX111" i="11"/>
  <c r="CY61" i="11" l="1"/>
  <c r="CY93" i="11" s="1"/>
  <c r="CY43" i="11" s="1"/>
  <c r="CY38" i="11"/>
  <c r="CY161" i="11"/>
  <c r="CZ30" i="11"/>
  <c r="CZ21" i="11"/>
  <c r="CZ31" i="11" s="1"/>
  <c r="CX112" i="11"/>
  <c r="CX128" i="11"/>
  <c r="CX129" i="11" s="1"/>
  <c r="CX156" i="11" s="1"/>
  <c r="CX174" i="11"/>
  <c r="CY172" i="11"/>
  <c r="DA20" i="11"/>
  <c r="CY65" i="11" l="1"/>
  <c r="DA18" i="11"/>
  <c r="DA22" i="11" s="1"/>
  <c r="CY92" i="11"/>
  <c r="CY98" i="11" s="1"/>
  <c r="CY66" i="11"/>
  <c r="CY40" i="11"/>
  <c r="CY45" i="11" s="1"/>
  <c r="CA9" i="17"/>
  <c r="CA13" i="17" s="1"/>
  <c r="CZ60" i="11" s="1"/>
  <c r="CZ34" i="11"/>
  <c r="CZ6" i="11"/>
  <c r="CY39" i="11"/>
  <c r="CY41" i="11"/>
  <c r="CY160" i="11" l="1"/>
  <c r="CY163" i="11" s="1"/>
  <c r="CY170" i="11" s="1"/>
  <c r="CY151" i="11"/>
  <c r="CY152" i="11" s="1"/>
  <c r="CY153" i="11" s="1"/>
  <c r="CZ8" i="11"/>
  <c r="CZ7" i="11"/>
  <c r="CY42" i="11"/>
  <c r="CY44" i="11" s="1"/>
  <c r="DA16" i="11"/>
  <c r="CZ9" i="11" l="1"/>
  <c r="CZ114" i="11" s="1"/>
  <c r="CZ115" i="11" s="1"/>
  <c r="CZ58" i="11"/>
  <c r="CZ59" i="11"/>
  <c r="DA24" i="11"/>
  <c r="DA17" i="11" s="1"/>
  <c r="DA15" i="11"/>
  <c r="DB36" i="11"/>
  <c r="DB37" i="11" s="1"/>
  <c r="CY105" i="11"/>
  <c r="CY173" i="11"/>
  <c r="CZ13" i="11" l="1"/>
  <c r="DA30" i="11"/>
  <c r="DA21" i="11"/>
  <c r="DA31" i="11" s="1"/>
  <c r="DB20" i="11"/>
  <c r="CZ172" i="11"/>
  <c r="CZ38" i="11"/>
  <c r="CZ61" i="11"/>
  <c r="CZ93" i="11" s="1"/>
  <c r="CZ43" i="11" s="1"/>
  <c r="CY111" i="11"/>
  <c r="CZ161" i="11"/>
  <c r="CZ65" i="11" l="1"/>
  <c r="CZ92" i="11" s="1"/>
  <c r="CZ98" i="11" s="1"/>
  <c r="CZ66" i="11"/>
  <c r="CZ40" i="11"/>
  <c r="CY112" i="11"/>
  <c r="CY128" i="11"/>
  <c r="CY129" i="11" s="1"/>
  <c r="CY156" i="11" s="1"/>
  <c r="CY174" i="11"/>
  <c r="DB18" i="11"/>
  <c r="DB22" i="11" s="1"/>
  <c r="CZ41" i="11"/>
  <c r="CZ39" i="11"/>
  <c r="CB9" i="17"/>
  <c r="CB13" i="17" s="1"/>
  <c r="DA60" i="11" s="1"/>
  <c r="DA34" i="11"/>
  <c r="DA6" i="11"/>
  <c r="CZ42" i="11" l="1"/>
  <c r="CZ44" i="11" s="1"/>
  <c r="DA8" i="11"/>
  <c r="DA7" i="11"/>
  <c r="DA9" i="11" s="1"/>
  <c r="DB16" i="11"/>
  <c r="CZ45" i="11"/>
  <c r="CZ151" i="11"/>
  <c r="CZ152" i="11" s="1"/>
  <c r="CZ153" i="11" s="1"/>
  <c r="CZ160" i="11"/>
  <c r="CZ163" i="11" s="1"/>
  <c r="CZ170" i="11" s="1"/>
  <c r="DA114" i="11" l="1"/>
  <c r="DA115" i="11" s="1"/>
  <c r="DA13" i="11"/>
  <c r="DA58" i="11"/>
  <c r="DA59" i="11"/>
  <c r="DB24" i="11"/>
  <c r="DB17" i="11" s="1"/>
  <c r="DB15" i="11"/>
  <c r="DC36" i="11"/>
  <c r="DC37" i="11" s="1"/>
  <c r="CZ105" i="11"/>
  <c r="CZ173" i="11"/>
  <c r="DC20" i="11" l="1"/>
  <c r="DC18" i="11"/>
  <c r="DC22" i="11" s="1"/>
  <c r="DB30" i="11"/>
  <c r="DB21" i="11"/>
  <c r="DB31" i="11" s="1"/>
  <c r="DA172" i="11"/>
  <c r="DA61" i="11"/>
  <c r="DA93" i="11" s="1"/>
  <c r="DA43" i="11" s="1"/>
  <c r="CZ111" i="11"/>
  <c r="DA65" i="11"/>
  <c r="DA38" i="11"/>
  <c r="DA161" i="11"/>
  <c r="DA92" i="11" l="1"/>
  <c r="DA98" i="11" s="1"/>
  <c r="DA66" i="11"/>
  <c r="DA40" i="11"/>
  <c r="DA45" i="11" s="1"/>
  <c r="DA39" i="11"/>
  <c r="DA41" i="11"/>
  <c r="CZ112" i="11"/>
  <c r="CZ128" i="11"/>
  <c r="CZ129" i="11" s="1"/>
  <c r="CZ156" i="11" s="1"/>
  <c r="CC9" i="17"/>
  <c r="CC13" i="17" s="1"/>
  <c r="DB60" i="11" s="1"/>
  <c r="DB34" i="11"/>
  <c r="DB6" i="11"/>
  <c r="CZ174" i="11"/>
  <c r="DC16" i="11"/>
  <c r="DC24" i="11" l="1"/>
  <c r="DC17" i="11" s="1"/>
  <c r="DC15" i="11"/>
  <c r="DD36" i="11"/>
  <c r="DD37" i="11" s="1"/>
  <c r="DA42" i="11"/>
  <c r="DA44" i="11" s="1"/>
  <c r="DB8" i="11"/>
  <c r="DB7" i="11"/>
  <c r="DB9" i="11" s="1"/>
  <c r="DA151" i="11"/>
  <c r="DA152" i="11" s="1"/>
  <c r="DA153" i="11" s="1"/>
  <c r="DA160" i="11"/>
  <c r="DA163" i="11" s="1"/>
  <c r="DA170" i="11" s="1"/>
  <c r="DB114" i="11" l="1"/>
  <c r="DB115" i="11" s="1"/>
  <c r="DB13" i="11"/>
  <c r="DB59" i="11"/>
  <c r="DB58" i="11"/>
  <c r="DC30" i="11"/>
  <c r="DC21" i="11"/>
  <c r="DC31" i="11" s="1"/>
  <c r="DA105" i="11"/>
  <c r="DA173" i="11"/>
  <c r="DD20" i="11"/>
  <c r="DB61" i="11" l="1"/>
  <c r="DB93" i="11" s="1"/>
  <c r="DB43" i="11" s="1"/>
  <c r="DA111" i="11"/>
  <c r="DA174" i="11" s="1"/>
  <c r="CD9" i="17"/>
  <c r="CD13" i="17" s="1"/>
  <c r="DC60" i="11" s="1"/>
  <c r="DC34" i="11"/>
  <c r="DC6" i="11"/>
  <c r="DD18" i="11"/>
  <c r="DD22" i="11" s="1"/>
  <c r="DB38" i="11"/>
  <c r="DB172" i="11"/>
  <c r="DB161" i="11"/>
  <c r="DB65" i="11" l="1"/>
  <c r="DD16" i="11"/>
  <c r="DC7" i="11"/>
  <c r="DC8" i="11"/>
  <c r="DB39" i="11"/>
  <c r="DB41" i="11"/>
  <c r="DB92" i="11"/>
  <c r="DB98" i="11" s="1"/>
  <c r="DB66" i="11"/>
  <c r="DB40" i="11"/>
  <c r="DA112" i="11"/>
  <c r="DA128" i="11"/>
  <c r="DA129" i="11" s="1"/>
  <c r="DA156" i="11" s="1"/>
  <c r="DC9" i="11" l="1"/>
  <c r="DC114" i="11" s="1"/>
  <c r="DC115" i="11" s="1"/>
  <c r="DB42" i="11"/>
  <c r="DB44" i="11" s="1"/>
  <c r="DB45" i="11"/>
  <c r="DD24" i="11"/>
  <c r="DD17" i="11" s="1"/>
  <c r="DD15" i="11"/>
  <c r="DE36" i="11"/>
  <c r="DE37" i="11" s="1"/>
  <c r="DB160" i="11"/>
  <c r="DB163" i="11" s="1"/>
  <c r="DB170" i="11" s="1"/>
  <c r="DB151" i="11"/>
  <c r="DB152" i="11" s="1"/>
  <c r="DB153" i="11" s="1"/>
  <c r="DC59" i="11" l="1"/>
  <c r="DC58" i="11"/>
  <c r="DC13" i="11"/>
  <c r="DE20" i="11"/>
  <c r="DE18" i="11" s="1"/>
  <c r="DE22" i="11" s="1"/>
  <c r="DB105" i="11"/>
  <c r="DB173" i="11"/>
  <c r="DC38" i="11"/>
  <c r="DD30" i="11"/>
  <c r="DD21" i="11"/>
  <c r="DD31" i="11" s="1"/>
  <c r="DC161" i="11"/>
  <c r="DC61" i="11" l="1"/>
  <c r="DC93" i="11" s="1"/>
  <c r="DC43" i="11" s="1"/>
  <c r="DC65" i="11"/>
  <c r="DC40" i="11" s="1"/>
  <c r="DC42" i="11" s="1"/>
  <c r="DC44" i="11" s="1"/>
  <c r="DC39" i="11"/>
  <c r="DC41" i="11"/>
  <c r="DB111" i="11"/>
  <c r="DB174" i="11" s="1"/>
  <c r="CE9" i="17"/>
  <c r="CE13" i="17" s="1"/>
  <c r="DD60" i="11" s="1"/>
  <c r="DD34" i="11"/>
  <c r="DD6" i="11"/>
  <c r="DC172" i="11"/>
  <c r="DE16" i="11"/>
  <c r="DC92" i="11" l="1"/>
  <c r="DC98" i="11" s="1"/>
  <c r="DC66" i="11"/>
  <c r="DC45" i="11"/>
  <c r="DD7" i="11"/>
  <c r="DD8" i="11"/>
  <c r="DD9" i="11" s="1"/>
  <c r="DB112" i="11"/>
  <c r="DB128" i="11"/>
  <c r="DB129" i="11" s="1"/>
  <c r="DB156" i="11" s="1"/>
  <c r="DE15" i="11"/>
  <c r="DE24" i="11"/>
  <c r="DE17" i="11" s="1"/>
  <c r="DF36" i="11"/>
  <c r="DF37" i="11" s="1"/>
  <c r="DC160" i="11"/>
  <c r="DC163" i="11" s="1"/>
  <c r="DC170" i="11" s="1"/>
  <c r="DC105" i="11" s="1"/>
  <c r="DC151" i="11"/>
  <c r="DC152" i="11" s="1"/>
  <c r="DC153" i="11" s="1"/>
  <c r="DF20" i="11" l="1"/>
  <c r="DF18" i="11" s="1"/>
  <c r="DF22" i="11" s="1"/>
  <c r="DD114" i="11"/>
  <c r="DD115" i="11" s="1"/>
  <c r="DD13" i="11"/>
  <c r="DD59" i="11"/>
  <c r="DD58" i="11"/>
  <c r="DD61" i="11" s="1"/>
  <c r="DD93" i="11" s="1"/>
  <c r="DD43" i="11" s="1"/>
  <c r="DE30" i="11"/>
  <c r="DE21" i="11"/>
  <c r="DE31" i="11" s="1"/>
  <c r="DC111" i="11"/>
  <c r="DC173" i="11"/>
  <c r="DD172" i="11" l="1"/>
  <c r="DC174" i="11"/>
  <c r="DC112" i="11"/>
  <c r="DC128" i="11"/>
  <c r="DC129" i="11" s="1"/>
  <c r="DC156" i="11" s="1"/>
  <c r="DF16" i="11"/>
  <c r="CF9" i="17"/>
  <c r="CF13" i="17" s="1"/>
  <c r="DE60" i="11" s="1"/>
  <c r="DE34" i="11"/>
  <c r="DE6" i="11"/>
  <c r="DD65" i="11"/>
  <c r="DD38" i="11"/>
  <c r="DD161" i="11"/>
  <c r="DD92" i="11" l="1"/>
  <c r="DD98" i="11" s="1"/>
  <c r="DD66" i="11"/>
  <c r="DD40" i="11"/>
  <c r="DF15" i="11"/>
  <c r="DF24" i="11"/>
  <c r="DF17" i="11" s="1"/>
  <c r="DG36" i="11"/>
  <c r="DG37" i="11" s="1"/>
  <c r="DD41" i="11"/>
  <c r="DD39" i="11"/>
  <c r="DE7" i="11"/>
  <c r="DE8" i="11"/>
  <c r="DE9" i="11" l="1"/>
  <c r="DE114" i="11" s="1"/>
  <c r="DE115" i="11" s="1"/>
  <c r="DG20" i="11"/>
  <c r="DG18" i="11" s="1"/>
  <c r="DG22" i="11" s="1"/>
  <c r="DG16" i="11" s="1"/>
  <c r="DF30" i="11"/>
  <c r="DF21" i="11"/>
  <c r="DF31" i="11" s="1"/>
  <c r="DD42" i="11"/>
  <c r="DD44" i="11" s="1"/>
  <c r="DD45" i="11"/>
  <c r="DD160" i="11"/>
  <c r="DD163" i="11" s="1"/>
  <c r="DD170" i="11" s="1"/>
  <c r="DD151" i="11"/>
  <c r="DD152" i="11" s="1"/>
  <c r="DD153" i="11" s="1"/>
  <c r="DE13" i="11" l="1"/>
  <c r="DE59" i="11"/>
  <c r="DE58" i="11"/>
  <c r="DE61" i="11" s="1"/>
  <c r="DE93" i="11" s="1"/>
  <c r="DE43" i="11" s="1"/>
  <c r="CG9" i="17"/>
  <c r="CG13" i="17" s="1"/>
  <c r="DF60" i="11" s="1"/>
  <c r="DF34" i="11"/>
  <c r="DF6" i="11"/>
  <c r="DG24" i="11"/>
  <c r="DG17" i="11" s="1"/>
  <c r="DG15" i="11"/>
  <c r="DD105" i="11"/>
  <c r="DD173" i="11"/>
  <c r="DE38" i="11"/>
  <c r="DE161" i="11"/>
  <c r="DE65" i="11" l="1"/>
  <c r="DD111" i="11"/>
  <c r="DD174" i="11" s="1"/>
  <c r="G24" i="2"/>
  <c r="H24" i="2"/>
  <c r="I24" i="2"/>
  <c r="J24" i="2"/>
  <c r="K24" i="2"/>
  <c r="DE41" i="11"/>
  <c r="DE39" i="11"/>
  <c r="DF7" i="11"/>
  <c r="DF8" i="11"/>
  <c r="DG30" i="11"/>
  <c r="G22" i="2"/>
  <c r="H22" i="2"/>
  <c r="I22" i="2"/>
  <c r="J22" i="2"/>
  <c r="K22" i="2"/>
  <c r="DG21" i="11"/>
  <c r="DG31" i="11" s="1"/>
  <c r="DE92" i="11"/>
  <c r="DE98" i="11" s="1"/>
  <c r="DE66" i="11"/>
  <c r="DE40" i="11"/>
  <c r="DE172" i="11"/>
  <c r="DF9" i="11" l="1"/>
  <c r="DF13" i="11" s="1"/>
  <c r="CH9" i="17"/>
  <c r="CH13" i="17" s="1"/>
  <c r="DG60" i="11" s="1"/>
  <c r="DG34" i="11"/>
  <c r="DG6" i="11"/>
  <c r="DE160" i="11"/>
  <c r="DE163" i="11" s="1"/>
  <c r="DE170" i="11" s="1"/>
  <c r="DE105" i="11" s="1"/>
  <c r="DE151" i="11"/>
  <c r="DE152" i="11" s="1"/>
  <c r="DE153" i="11" s="1"/>
  <c r="DE42" i="11"/>
  <c r="DE44" i="11" s="1"/>
  <c r="DE45" i="11"/>
  <c r="DD112" i="11"/>
  <c r="DD128" i="11"/>
  <c r="DD129" i="11" s="1"/>
  <c r="DD156" i="11" s="1"/>
  <c r="DF114" i="11" l="1"/>
  <c r="DF115" i="11" s="1"/>
  <c r="DF161" i="11" s="1"/>
  <c r="DE173" i="11"/>
  <c r="DF172" i="11" s="1"/>
  <c r="DF58" i="11"/>
  <c r="DF59" i="11"/>
  <c r="DG8" i="11"/>
  <c r="DG7" i="11"/>
  <c r="DE111" i="11"/>
  <c r="DF38" i="11"/>
  <c r="G29" i="2"/>
  <c r="H29" i="2"/>
  <c r="I29" i="2"/>
  <c r="J29" i="2"/>
  <c r="K29" i="2"/>
  <c r="DE174" i="11" l="1"/>
  <c r="DF61" i="11"/>
  <c r="DF93" i="11" s="1"/>
  <c r="DF43" i="11" s="1"/>
  <c r="DF65" i="11"/>
  <c r="DG9" i="11"/>
  <c r="DG58" i="11" s="1"/>
  <c r="G19" i="2"/>
  <c r="G21" i="2" s="1"/>
  <c r="DG114" i="11"/>
  <c r="DG115" i="11" s="1"/>
  <c r="DG13" i="11"/>
  <c r="DG59" i="11"/>
  <c r="H19" i="2"/>
  <c r="H21" i="2" s="1"/>
  <c r="I19" i="2"/>
  <c r="I21" i="2" s="1"/>
  <c r="J19" i="2"/>
  <c r="J21" i="2" s="1"/>
  <c r="K19" i="2"/>
  <c r="K21" i="2" s="1"/>
  <c r="DF92" i="11"/>
  <c r="DF98" i="11" s="1"/>
  <c r="DF66" i="11"/>
  <c r="DF40" i="11"/>
  <c r="DF41" i="11"/>
  <c r="DF39" i="11"/>
  <c r="DE112" i="11"/>
  <c r="DE128" i="11"/>
  <c r="DE129" i="11" s="1"/>
  <c r="DE156" i="11" s="1"/>
  <c r="DF45" i="11" l="1"/>
  <c r="J25" i="2"/>
  <c r="H25" i="2"/>
  <c r="I25" i="2"/>
  <c r="DG61" i="11"/>
  <c r="DG93" i="11" s="1"/>
  <c r="DG43" i="11" s="1"/>
  <c r="G27" i="2"/>
  <c r="H27" i="2"/>
  <c r="I27" i="2"/>
  <c r="J27" i="2"/>
  <c r="K27" i="2"/>
  <c r="K25" i="2"/>
  <c r="DF42" i="11"/>
  <c r="DF44" i="11" s="1"/>
  <c r="G28" i="2"/>
  <c r="H28" i="2"/>
  <c r="I28" i="2"/>
  <c r="J28" i="2"/>
  <c r="K28" i="2"/>
  <c r="DG38" i="11"/>
  <c r="DF160" i="11"/>
  <c r="DF163" i="11" s="1"/>
  <c r="DF170" i="11" s="1"/>
  <c r="DF151" i="11"/>
  <c r="DF152" i="11" s="1"/>
  <c r="DF153" i="11" s="1"/>
  <c r="DG161" i="11"/>
  <c r="G25" i="2"/>
  <c r="G30" i="2" l="1"/>
  <c r="G32" i="2" s="1"/>
  <c r="DG39" i="11"/>
  <c r="DG41" i="11"/>
  <c r="DF105" i="11"/>
  <c r="DF173" i="11"/>
  <c r="DG65" i="11"/>
  <c r="K30" i="2"/>
  <c r="K32" i="2" s="1"/>
  <c r="J30" i="2"/>
  <c r="J32" i="2" s="1"/>
  <c r="I30" i="2"/>
  <c r="I32" i="2" s="1"/>
  <c r="H30" i="2"/>
  <c r="H32" i="2" s="1"/>
  <c r="DF111" i="11" l="1"/>
  <c r="H38" i="2"/>
  <c r="H33" i="2"/>
  <c r="DG92" i="11"/>
  <c r="DG98" i="11" s="1"/>
  <c r="DG66" i="11"/>
  <c r="DG40" i="11"/>
  <c r="DF174" i="11"/>
  <c r="DG172" i="11"/>
  <c r="G23" i="2"/>
  <c r="H23" i="2"/>
  <c r="I23" i="2"/>
  <c r="J23" i="2"/>
  <c r="K23" i="2"/>
  <c r="I33" i="2"/>
  <c r="I38" i="2"/>
  <c r="J38" i="2"/>
  <c r="J33" i="2"/>
  <c r="K38" i="2"/>
  <c r="K33" i="2"/>
  <c r="G38" i="2"/>
  <c r="G33" i="2"/>
  <c r="I39" i="2" l="1"/>
  <c r="I42" i="2"/>
  <c r="DG160" i="11"/>
  <c r="DG163" i="11" s="1"/>
  <c r="DG170" i="11" s="1"/>
  <c r="DG105" i="11" s="1"/>
  <c r="DG111" i="11" s="1"/>
  <c r="DG151" i="11"/>
  <c r="DG152" i="11" s="1"/>
  <c r="DG153" i="11" s="1"/>
  <c r="DG42" i="11"/>
  <c r="DG44" i="11" s="1"/>
  <c r="DG45" i="11"/>
  <c r="G42" i="2"/>
  <c r="G39" i="2"/>
  <c r="H42" i="2"/>
  <c r="H39" i="2"/>
  <c r="K42" i="2"/>
  <c r="K39" i="2"/>
  <c r="J39" i="2"/>
  <c r="J42" i="2"/>
  <c r="DF112" i="11"/>
  <c r="DF128" i="11"/>
  <c r="DF129" i="11" s="1"/>
  <c r="DF156" i="11" s="1"/>
  <c r="DG173" i="11" l="1"/>
  <c r="G44" i="2"/>
  <c r="G43" i="2"/>
  <c r="DG174" i="11"/>
  <c r="K45" i="2"/>
  <c r="J44" i="2"/>
  <c r="J43" i="2"/>
  <c r="DG112" i="11"/>
  <c r="DG128" i="11"/>
  <c r="DG129" i="11" s="1"/>
  <c r="DG156" i="11" s="1"/>
  <c r="I44" i="2"/>
  <c r="I43" i="2"/>
  <c r="K44" i="2"/>
  <c r="K43" i="2"/>
  <c r="H44" i="2"/>
  <c r="H43" i="2"/>
</calcChain>
</file>

<file path=xl/sharedStrings.xml><?xml version="1.0" encoding="utf-8"?>
<sst xmlns="http://schemas.openxmlformats.org/spreadsheetml/2006/main" count="1321" uniqueCount="394">
  <si>
    <t>Service Income</t>
  </si>
  <si>
    <t>Misc</t>
  </si>
  <si>
    <t>Total Income</t>
  </si>
  <si>
    <t># of Appointments</t>
  </si>
  <si>
    <t>MRR</t>
  </si>
  <si>
    <t>Recurring Client Base</t>
  </si>
  <si>
    <t>YOY Compounded Growth %</t>
  </si>
  <si>
    <t>-</t>
  </si>
  <si>
    <t xml:space="preserve">   Materials - COGS</t>
  </si>
  <si>
    <t xml:space="preserve">   Software - COS</t>
  </si>
  <si>
    <t xml:space="preserve">   Contractors - COS</t>
  </si>
  <si>
    <t>Total Cost of Goods Sold (COGS)</t>
  </si>
  <si>
    <t>Gross Margin</t>
  </si>
  <si>
    <t>GM %</t>
  </si>
  <si>
    <t>General &amp; Admintrative Expenses</t>
  </si>
  <si>
    <t>Operating Expense</t>
  </si>
  <si>
    <t>Net Operating Income (EBITDA)</t>
  </si>
  <si>
    <t>EBITDA %</t>
  </si>
  <si>
    <t>Other Income / (Expense)</t>
  </si>
  <si>
    <t>Net Income</t>
  </si>
  <si>
    <t>NI %</t>
  </si>
  <si>
    <t>Estimated Tax Burden</t>
  </si>
  <si>
    <t>Cash Balance</t>
  </si>
  <si>
    <t>Total</t>
  </si>
  <si>
    <t>Misc.</t>
  </si>
  <si>
    <t>Operating Expenses</t>
  </si>
  <si>
    <t>Operating Cash</t>
  </si>
  <si>
    <t>Cash Inflow (Outflow)</t>
  </si>
  <si>
    <t>2025 Overview (Annual Operating Plan)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</si>
  <si>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</si>
  <si>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</si>
  <si>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</si>
  <si>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</si>
  <si>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</si>
  <si>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</si>
  <si>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</si>
  <si>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</si>
  <si>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</si>
  <si>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</si>
  <si>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</si>
  <si>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</si>
  <si>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Operating (Business) Cash</t>
  </si>
  <si>
    <t>Savings Cash</t>
  </si>
  <si>
    <t>Total Cash Balance</t>
  </si>
  <si>
    <t>Total Cash Inflow (Outflow)</t>
  </si>
  <si>
    <t>Operating Cash Burn</t>
  </si>
  <si>
    <t>Owner Cash Burn/Allowance</t>
  </si>
  <si>
    <t>Operating Cash Runway</t>
  </si>
  <si>
    <t>Owner Cash Runway</t>
  </si>
  <si>
    <t>Operating Cash Runway - Burn Rate</t>
  </si>
  <si>
    <t>Cash Runway - Owner Burn Rate</t>
  </si>
  <si>
    <t>2025 Overview</t>
  </si>
  <si>
    <t>2024 Overview</t>
  </si>
  <si>
    <t>Owner Cash Burn</t>
  </si>
  <si>
    <t>Owner Guarenteed Payments</t>
  </si>
  <si>
    <t>Q1 2025</t>
  </si>
  <si>
    <t>Q2 2025</t>
  </si>
  <si>
    <t>Variance</t>
  </si>
  <si>
    <t>Q3 2025</t>
  </si>
  <si>
    <t>Q4 2025</t>
  </si>
  <si>
    <t>Nail Tech Services</t>
  </si>
  <si>
    <t xml:space="preserve">   Contractors - COGS</t>
  </si>
  <si>
    <t>Q1</t>
  </si>
  <si>
    <t>Q2</t>
  </si>
  <si>
    <t>Q3</t>
  </si>
  <si>
    <t>Q4</t>
  </si>
  <si>
    <t>2024 AOP Income</t>
  </si>
  <si>
    <t>2024 AOP Net Income</t>
  </si>
  <si>
    <t>2024 AOP Avg. Appointments</t>
  </si>
  <si>
    <t>2024 AOP Avg. MRR</t>
  </si>
  <si>
    <t>2024 AOP Avg. Client Base</t>
  </si>
  <si>
    <t>Peak</t>
  </si>
  <si>
    <t>Shoulder</t>
  </si>
  <si>
    <t>Trough</t>
  </si>
  <si>
    <t>Income</t>
  </si>
  <si>
    <t xml:space="preserve">   40100 Nail Technician Services</t>
  </si>
  <si>
    <t xml:space="preserve">   40800 Tips</t>
  </si>
  <si>
    <t xml:space="preserve">   40900 Refunds/Discounts</t>
  </si>
  <si>
    <t xml:space="preserve">   Total 40000 Service Income</t>
  </si>
  <si>
    <t>Revenue</t>
  </si>
  <si>
    <t>Tips as a % of Revenue</t>
  </si>
  <si>
    <t>Refunds as a % of Revenue</t>
  </si>
  <si>
    <t xml:space="preserve">   70000 Miscellaneous</t>
  </si>
  <si>
    <t># of Successful Appointments</t>
  </si>
  <si>
    <t># of Active Clients</t>
  </si>
  <si>
    <t># of Recurring Client Base</t>
  </si>
  <si>
    <t>Net New Clients</t>
  </si>
  <si>
    <t>Additions</t>
  </si>
  <si>
    <t>Subtrctions</t>
  </si>
  <si>
    <t># of Anticipated Appointments</t>
  </si>
  <si>
    <t># of Anticipated Clients</t>
  </si>
  <si>
    <t>Reschedule/Cancellation Rate</t>
  </si>
  <si>
    <t>Client Base Growth Rate</t>
  </si>
  <si>
    <t>Client Hit Rate</t>
  </si>
  <si>
    <t>Appt Multiplier</t>
  </si>
  <si>
    <t>Coverage</t>
  </si>
  <si>
    <t>Billing Days</t>
  </si>
  <si>
    <t>Hours / Day / Client</t>
  </si>
  <si>
    <t>Total Billable Hours</t>
  </si>
  <si>
    <t>Nonbillable Hours</t>
  </si>
  <si>
    <t>Realized / Effective Bill Rate</t>
  </si>
  <si>
    <t>Nonbillable Hours/Lost Appt</t>
  </si>
  <si>
    <t>Productivity Utilization</t>
  </si>
  <si>
    <t>T6M Avg Monthly Attrition</t>
  </si>
  <si>
    <t>Implied Tenure</t>
  </si>
  <si>
    <t>Average Revenue</t>
  </si>
  <si>
    <t>Lifetime Revenue</t>
  </si>
  <si>
    <t>GM%</t>
  </si>
  <si>
    <t>T6M LTV</t>
  </si>
  <si>
    <t>T6M CAC</t>
  </si>
  <si>
    <t>LTV/CAC</t>
  </si>
  <si>
    <t>Payback</t>
  </si>
  <si>
    <t>Utilization %</t>
  </si>
  <si>
    <t>Average</t>
  </si>
  <si>
    <t>Cost of Goods Sold</t>
  </si>
  <si>
    <t xml:space="preserve">   50100 Software - COS</t>
  </si>
  <si>
    <t xml:space="preserve">   50200 Materials - COGS</t>
  </si>
  <si>
    <t xml:space="preserve">      50300 Sub-Contractors</t>
  </si>
  <si>
    <t>Total Cost of Goods Sold</t>
  </si>
  <si>
    <t>COS as a % of Revenue</t>
  </si>
  <si>
    <t>COGS as a % of Revenue</t>
  </si>
  <si>
    <t>Gross Profit</t>
  </si>
  <si>
    <t>GP%</t>
  </si>
  <si>
    <t>Expenses</t>
  </si>
  <si>
    <t xml:space="preserve">   Owner Salary</t>
  </si>
  <si>
    <t xml:space="preserve">     Owner Payroll Taxes</t>
  </si>
  <si>
    <t xml:space="preserve">     Owner Benefits</t>
  </si>
  <si>
    <t>Total Owner Payroll Burden</t>
  </si>
  <si>
    <t>Payroll Tax as a % of Salary</t>
  </si>
  <si>
    <t>Benefits as a % of Salary</t>
  </si>
  <si>
    <t xml:space="preserve">      60200 Travel</t>
  </si>
  <si>
    <t xml:space="preserve">         60210 Airfare &amp; Hotels</t>
  </si>
  <si>
    <t xml:space="preserve">         60230 Parking &amp; Tolls</t>
  </si>
  <si>
    <t xml:space="preserve">         60240 Personal Mileage Reimbursement</t>
  </si>
  <si>
    <t xml:space="preserve">      Total 60200 Travel</t>
  </si>
  <si>
    <t xml:space="preserve">      60300 Legal &amp; Accounting Services</t>
  </si>
  <si>
    <t xml:space="preserve">         60310 Finance &amp; Accounting</t>
  </si>
  <si>
    <t xml:space="preserve">         60320 Legal Fees</t>
  </si>
  <si>
    <t xml:space="preserve">      Total 60300 Legal &amp; Accounting Services</t>
  </si>
  <si>
    <t xml:space="preserve">      60400 Office Supplies &amp; Software</t>
  </si>
  <si>
    <t xml:space="preserve">      60600 Bank Fees &amp; Service Charges</t>
  </si>
  <si>
    <t xml:space="preserve">      60700 Facility &amp; Storage Rent</t>
  </si>
  <si>
    <t xml:space="preserve">      60800 Business Insurance</t>
  </si>
  <si>
    <t xml:space="preserve">      60900 Donations</t>
  </si>
  <si>
    <t xml:space="preserve">      61000 Business Licences</t>
  </si>
  <si>
    <t>Total G&amp;A Expenses</t>
  </si>
  <si>
    <t>Interest Paid</t>
  </si>
  <si>
    <t>Total Expenses</t>
  </si>
  <si>
    <t>Net Operating Income</t>
  </si>
  <si>
    <t>CAC</t>
  </si>
  <si>
    <t>Other Income</t>
  </si>
  <si>
    <t xml:space="preserve">   Interest Income</t>
  </si>
  <si>
    <t>Total Other Income</t>
  </si>
  <si>
    <t>Net Other Income</t>
  </si>
  <si>
    <t>ASSETS</t>
  </si>
  <si>
    <t xml:space="preserve">   Current Assets</t>
  </si>
  <si>
    <t xml:space="preserve">      Bank Accounts</t>
  </si>
  <si>
    <t xml:space="preserve">         10100 Operating - 2528</t>
  </si>
  <si>
    <t xml:space="preserve">         10200 Savings - 7351</t>
  </si>
  <si>
    <t xml:space="preserve">         10300 Tax - 9887</t>
  </si>
  <si>
    <t xml:space="preserve">         10400 VACU Checking - 2865</t>
  </si>
  <si>
    <t xml:space="preserve">         10500 Cash</t>
  </si>
  <si>
    <t xml:space="preserve">         Money Market (4030)</t>
  </si>
  <si>
    <t xml:space="preserve">      Total Bank Accounts</t>
  </si>
  <si>
    <t>Adjusted Cash Balance (Operating)</t>
  </si>
  <si>
    <t xml:space="preserve">      Accounts Receivable</t>
  </si>
  <si>
    <t xml:space="preserve">         30000 Accounts Receivable (A/R)</t>
  </si>
  <si>
    <t xml:space="preserve">      Total Accounts Receivable</t>
  </si>
  <si>
    <t>AR Days</t>
  </si>
  <si>
    <t xml:space="preserve">   Other Current Assets</t>
  </si>
  <si>
    <t xml:space="preserve"> </t>
  </si>
  <si>
    <t xml:space="preserve">         10500 Cash in Transit</t>
  </si>
  <si>
    <t xml:space="preserve">         50000 Cash-in-Transit - Square</t>
  </si>
  <si>
    <t xml:space="preserve">            10520 Cash in Transit - Cash App</t>
  </si>
  <si>
    <t xml:space="preserve">            10530 Cash in Transit - Venmo</t>
  </si>
  <si>
    <t xml:space="preserve">            10540 Cash in Transit - Apple Cash</t>
  </si>
  <si>
    <t xml:space="preserve">            10550 Cash in Transit - Infinite Loop</t>
  </si>
  <si>
    <t xml:space="preserve">         Total 10500 Cash in Transit</t>
  </si>
  <si>
    <t xml:space="preserve">         Undeposited Funds</t>
  </si>
  <si>
    <t xml:space="preserve">         Prepaid Expenses</t>
  </si>
  <si>
    <t xml:space="preserve">   Total Other Current Assets</t>
  </si>
  <si>
    <t xml:space="preserve">   Total Current Assets</t>
  </si>
  <si>
    <t>TOTAL ASSETS</t>
  </si>
  <si>
    <t>LIABILITIES AND EQUITY</t>
  </si>
  <si>
    <t xml:space="preserve">   Liabilities</t>
  </si>
  <si>
    <t xml:space="preserve">      70100 Accounts Payable</t>
  </si>
  <si>
    <t xml:space="preserve">            71000 Square Sales Tax Payable</t>
  </si>
  <si>
    <t xml:space="preserve">            72000 Refunds Payable</t>
  </si>
  <si>
    <t xml:space="preserve">            80100 Square Loan</t>
  </si>
  <si>
    <t xml:space="preserve">            90000 Payroll Liabilities</t>
  </si>
  <si>
    <t xml:space="preserve">               90100 Payroll Wages Payable</t>
  </si>
  <si>
    <t xml:space="preserve">               90200 Payroll Taxes Payable</t>
  </si>
  <si>
    <t xml:space="preserve">               90300 Reimbursements Payable</t>
  </si>
  <si>
    <t xml:space="preserve">               90400 Retirement Benefits Payable</t>
  </si>
  <si>
    <t xml:space="preserve">            Total 90000 Payroll Liabilities</t>
  </si>
  <si>
    <t xml:space="preserve">   Total Liabilities</t>
  </si>
  <si>
    <t xml:space="preserve">   Equity</t>
  </si>
  <si>
    <t xml:space="preserve">      Owner Contributions</t>
  </si>
  <si>
    <t xml:space="preserve">         Owner IRA Plan</t>
  </si>
  <si>
    <t xml:space="preserve">      Personal healthcare</t>
  </si>
  <si>
    <t xml:space="preserve">      Personal Expenses</t>
  </si>
  <si>
    <t xml:space="preserve">      Retained Earnings</t>
  </si>
  <si>
    <t xml:space="preserve">      Net Income</t>
  </si>
  <si>
    <t xml:space="preserve">   Total Equity</t>
  </si>
  <si>
    <t>TOTAL LIABILITIES AND EQUITY</t>
  </si>
  <si>
    <t>Owners' Personal Burden</t>
  </si>
  <si>
    <t>Owner Reinvestment</t>
  </si>
  <si>
    <t>Check</t>
  </si>
  <si>
    <t>Change in AR</t>
  </si>
  <si>
    <t>Change in Other Assets/Liabilities</t>
  </si>
  <si>
    <t>Cash Flow From Operations</t>
  </si>
  <si>
    <t>Change in Equity</t>
  </si>
  <si>
    <t>Change in Personal Burden</t>
  </si>
  <si>
    <t>Cash Flow From Financing</t>
  </si>
  <si>
    <t>Net change in Cash Flow for the Period</t>
  </si>
  <si>
    <t>Beginning Balance</t>
  </si>
  <si>
    <t>Ending Balance</t>
  </si>
  <si>
    <t>Student</t>
  </si>
  <si>
    <t>Date</t>
  </si>
  <si>
    <t>Hours</t>
  </si>
  <si>
    <t>Rate ($/hr)</t>
  </si>
  <si>
    <t>Coin</t>
  </si>
  <si>
    <t>Billed?</t>
  </si>
  <si>
    <t>Received payment?</t>
  </si>
  <si>
    <t>Topic</t>
  </si>
  <si>
    <t>Tip?</t>
  </si>
  <si>
    <t>Paid via invoice?</t>
  </si>
  <si>
    <t>Totals</t>
  </si>
  <si>
    <t>Abby Owen</t>
  </si>
  <si>
    <t>Yes</t>
  </si>
  <si>
    <t>Math (general homework)</t>
  </si>
  <si>
    <t>No</t>
  </si>
  <si>
    <t>BALANCED</t>
  </si>
  <si>
    <t>Algebra 2</t>
  </si>
  <si>
    <t>YES</t>
  </si>
  <si>
    <t>Emergency Math Lab</t>
  </si>
  <si>
    <t>Logarithmic Functions Review</t>
  </si>
  <si>
    <t>Precalc - Exponentials and Logs</t>
  </si>
  <si>
    <t>Addison O'Connor</t>
  </si>
  <si>
    <t>Choreography Review</t>
  </si>
  <si>
    <t>Caroline Frey</t>
  </si>
  <si>
    <t>TN and CoC Essay Supplement Finalization</t>
  </si>
  <si>
    <t>No - Venmo b/c tip; sent to personal account but transferred accordingly (sent to Eric and Eric venmo'd business acc)</t>
  </si>
  <si>
    <t>Bama Honors Appliation</t>
  </si>
  <si>
    <t>No - venmo b/c tip</t>
  </si>
  <si>
    <t>Claire Cecotti</t>
  </si>
  <si>
    <t>SAT Math, Piecewise Functions Test</t>
  </si>
  <si>
    <t>Elle Mishler</t>
  </si>
  <si>
    <t>Algebra 1</t>
  </si>
  <si>
    <t>Algebra 1 Review</t>
  </si>
  <si>
    <t>Gabby Bagot</t>
  </si>
  <si>
    <t>*Sujay 21 Oct, 23 Oct, 29 Oct, and 30 Oct were all billed together.</t>
  </si>
  <si>
    <t>Julia Cecotti</t>
  </si>
  <si>
    <t>Precalc - piecewise functions</t>
  </si>
  <si>
    <t>Limits and Discontinuity</t>
  </si>
  <si>
    <t>Kathryn Oakford</t>
  </si>
  <si>
    <t>Business Calculus</t>
  </si>
  <si>
    <t>Row Labels</t>
  </si>
  <si>
    <t>Sum of Hours</t>
  </si>
  <si>
    <t>Sum of Coin</t>
  </si>
  <si>
    <t>Kaylie Thompson</t>
  </si>
  <si>
    <t>Common App Finalizaiton</t>
  </si>
  <si>
    <t>Maddie Wilson</t>
  </si>
  <si>
    <t>ACT Math</t>
  </si>
  <si>
    <t>No - received via PayPal and Transferred</t>
  </si>
  <si>
    <t>Maddox Rogers</t>
  </si>
  <si>
    <t>College Essay</t>
  </si>
  <si>
    <t>Naura Peters</t>
  </si>
  <si>
    <t>Private lesson</t>
  </si>
  <si>
    <t>Nicolette Batori</t>
  </si>
  <si>
    <t>AP Test Advice, Volunteering advice, SAT Math</t>
  </si>
  <si>
    <t>SAT Math</t>
  </si>
  <si>
    <t>Rohan Skanda</t>
  </si>
  <si>
    <t>AOS Integrated Math + Science</t>
  </si>
  <si>
    <t>Math and Physics Review</t>
  </si>
  <si>
    <t>Sienna Cormier</t>
  </si>
  <si>
    <t>Geometry</t>
  </si>
  <si>
    <t>Sophia Gonzales</t>
  </si>
  <si>
    <t>Yes (folded into next-day invoice)</t>
  </si>
  <si>
    <t>Physics</t>
  </si>
  <si>
    <t>Sujay Penugonda</t>
  </si>
  <si>
    <t>Grand Total</t>
  </si>
  <si>
    <t>Supplemental Essays</t>
  </si>
  <si>
    <t>No - asked to send via Zelle. Transferred from personal to biz immediately.</t>
  </si>
  <si>
    <t>AOS Math/Science</t>
  </si>
  <si>
    <t>College Supplemental Essays</t>
  </si>
  <si>
    <t>Business Calc</t>
  </si>
  <si>
    <t>Math Practice for Quiz</t>
  </si>
  <si>
    <t>ACT Math, NHS Essay</t>
  </si>
  <si>
    <t>Mckenzie Frey</t>
  </si>
  <si>
    <t>Yes (accounted for in October w Caroline)</t>
  </si>
  <si>
    <t>PR/Project Planning</t>
  </si>
  <si>
    <t>NHS Essay</t>
  </si>
  <si>
    <t>Algebra Review/SAT Math</t>
  </si>
  <si>
    <t>Sam Cormier</t>
  </si>
  <si>
    <t>Adderal form</t>
  </si>
  <si>
    <t>SAT/ACT overview, college talk/prep</t>
  </si>
  <si>
    <t>ACT Science</t>
  </si>
  <si>
    <t>Essay</t>
  </si>
  <si>
    <t>ACT Math, college essay</t>
  </si>
  <si>
    <t>Matthew Aasen</t>
  </si>
  <si>
    <t>2nd read common app</t>
  </si>
  <si>
    <t>10/31/2025</t>
  </si>
  <si>
    <t>Forecast</t>
  </si>
  <si>
    <t>Actual</t>
  </si>
  <si>
    <t>Budget</t>
  </si>
  <si>
    <t>Variance (Forecast)</t>
  </si>
  <si>
    <t>Variance (Budget)</t>
  </si>
  <si>
    <t>KPIs</t>
  </si>
  <si>
    <t>Net New Prospective Clients</t>
  </si>
  <si>
    <t>Software - COS</t>
  </si>
  <si>
    <t>Materials - COGS</t>
  </si>
  <si>
    <t>Contractors - COS</t>
  </si>
  <si>
    <t>Owner Payroll Burden</t>
  </si>
  <si>
    <t>Travel</t>
  </si>
  <si>
    <t>Legal &amp; Accounting Services</t>
  </si>
  <si>
    <t>Office Supplies &amp; Software</t>
  </si>
  <si>
    <t>Bank Fees</t>
  </si>
  <si>
    <t>Facility &amp; Storage Rent</t>
  </si>
  <si>
    <t>Business Insurance</t>
  </si>
  <si>
    <t>Donations</t>
  </si>
  <si>
    <t>Licenses</t>
  </si>
  <si>
    <t>NOI%</t>
  </si>
  <si>
    <t>Owner Personal Burden</t>
  </si>
  <si>
    <t>Name</t>
  </si>
  <si>
    <t>Position</t>
  </si>
  <si>
    <t>Hourly Rate</t>
  </si>
  <si>
    <t>Avg. Hours/Month</t>
  </si>
  <si>
    <t>Diamond Hurt</t>
  </si>
  <si>
    <t>Assistant</t>
  </si>
  <si>
    <t>New</t>
  </si>
  <si>
    <t>Nail Tech Sub</t>
  </si>
  <si>
    <t>Total Sub Contractors</t>
  </si>
  <si>
    <t>Salary</t>
  </si>
  <si>
    <t>Iyalonna West</t>
  </si>
  <si>
    <t>Owner</t>
  </si>
  <si>
    <t>Total G&amp;A Wages</t>
  </si>
  <si>
    <t>Holidays</t>
  </si>
  <si>
    <t>New Years</t>
  </si>
  <si>
    <t>MLK</t>
  </si>
  <si>
    <t>Presidents Day</t>
  </si>
  <si>
    <t>Memorial Day</t>
  </si>
  <si>
    <t>Labor Day</t>
  </si>
  <si>
    <t>4th of July</t>
  </si>
  <si>
    <t>Thanksgiving</t>
  </si>
  <si>
    <t>Black Friday</t>
  </si>
  <si>
    <t>Christmas Eve</t>
  </si>
  <si>
    <t>Christmas</t>
  </si>
  <si>
    <t>5th of July</t>
  </si>
  <si>
    <t>6th of July</t>
  </si>
  <si>
    <t>7th of July</t>
  </si>
  <si>
    <t>Asynchronous</t>
  </si>
  <si>
    <t>Honors College Essays</t>
  </si>
  <si>
    <t>Venmo for Tip</t>
  </si>
  <si>
    <t>QBA</t>
  </si>
  <si>
    <t>John Surles</t>
  </si>
  <si>
    <t>Advanced Functions - Fundamental Therem of Algebra, Conjugate Theorem</t>
  </si>
  <si>
    <t>Leyla Aggarwal</t>
  </si>
  <si>
    <t>Dance Private</t>
  </si>
  <si>
    <t>Yes (billed with 11-Dec invoice)</t>
  </si>
  <si>
    <t>Physics - Centripetal force and circular motion</t>
  </si>
  <si>
    <t>Physics - Energy</t>
  </si>
  <si>
    <t>Properties of logs and exponents; APERT</t>
  </si>
  <si>
    <t>Brayden Wulff</t>
  </si>
  <si>
    <t>Math Analysis</t>
  </si>
  <si>
    <t>Algebra 1 - Absolute Value Functions</t>
  </si>
  <si>
    <t>Algebra 1 - Graphing, Domain, and Range</t>
  </si>
  <si>
    <t>Emma Thacker</t>
  </si>
  <si>
    <t>Algebra 2 Trig</t>
  </si>
  <si>
    <t>Precalc - rational functions, domain/range, holes, asymptotes, graphing, factoring</t>
  </si>
  <si>
    <t>Business Calc (College)</t>
  </si>
  <si>
    <t>Dance</t>
  </si>
  <si>
    <t>SAT Math (Calculator Section)</t>
  </si>
  <si>
    <t>Trig Proofs</t>
  </si>
  <si>
    <t>SAT English</t>
  </si>
  <si>
    <t>SAT Grammar</t>
  </si>
  <si>
    <t>* Billed with 27 Nov invoice</t>
  </si>
  <si>
    <t>SAT Reading Comprehension</t>
  </si>
  <si>
    <t>Difference Quotient, pre-calc</t>
  </si>
  <si>
    <t>AOS Integrated Math and Science</t>
  </si>
  <si>
    <t>Physics - Position and Veloicty</t>
  </si>
  <si>
    <t>Chemistry</t>
  </si>
  <si>
    <t>Physics - Angles, Motion</t>
  </si>
  <si>
    <t>MONTH GROSS</t>
  </si>
  <si>
    <t>DATE</t>
  </si>
  <si>
    <t>TIME</t>
  </si>
  <si>
    <t>MONEY</t>
  </si>
  <si>
    <t>TOTAL EARNINGS FOR THIS PD:</t>
  </si>
  <si>
    <t>Paying through ESTINSTITUTE venmo. Should get tax forms from them.</t>
  </si>
  <si>
    <t>Made xfer of total - venmo tax removal to ensure everything would be viewable on NFCU</t>
  </si>
  <si>
    <t>BILLED</t>
  </si>
  <si>
    <t>TIP</t>
  </si>
  <si>
    <t>BALANCE</t>
  </si>
  <si>
    <t>***REMAINING BALANCE***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</si>
</sst>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m/d/yyyy;@"/>
    <numFmt numFmtId="166" formatCode="_(* #,##0_);_(* \(#,##0\);_(* &quot;-&quot;??_);_(@_)"/>
    <numFmt numFmtId="167" formatCode="&quot;$&quot;* #,##0.00\ _€"/>
    <numFmt numFmtId="168" formatCode="_(* #,##0.0_);_(* \(#,##0.0\);_(* &quot;-&quot;??_);_(@_)"/>
    <numFmt numFmtId="169" formatCode="[$-409]mmmm;@"/>
    <numFmt numFmtId="170" formatCode="[$-409]mmmm\-yy;@"/>
    <numFmt numFmtId="171" formatCode="_(&quot;$&quot;* #,##0_);_(&quot;$&quot;* \(#,##0\);_(&quot;$&quot;* &quot;-&quot;??_);_(@_)"/>
    <numFmt numFmtId="172" formatCode="_([$$]#,##0_)_%;\([$$]#,##0\)_%;_(&quot;–&quot;_)_%;_(@_)_%"/>
    <numFmt numFmtId="173" formatCode="_(#,##0.0%_);\(#,##0.0%\);_(&quot;–&quot;_)_%;_(@_)_%"/>
    <numFmt numFmtId="174" formatCode="0.0%"/>
    <numFmt numFmtId="175" formatCode="0.00000"/>
    <numFmt numFmtId="176" formatCode="0.00\ \x"/>
    <numFmt numFmtId="177" formatCode="_(* #\ ##0.00_)&quot;months&quot;;_(* #\ ##0.00_);_(* &quot;-&quot;??_);_(@_)"/>
    <numFmt numFmtId="178" formatCode="_(* #,##0.00_)\ \x;_(* \(#,##0.00\)\ \x;_(* &quot;-&quot;??_);_(@_)\ \x"/>
    <numFmt numFmtId="179" formatCode="[$-409]mmmm\ yyyy;@"/>
  </numFmts>
  <fonts count="5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sz val="8"/>
      <color indexed="8"/>
      <name val="Arial"/>
      <family val="2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8"/>
      <color indexed="8"/>
      <name val="Arial"/>
      <family val="2"/>
    </font>
    <font>
      <sz val="8"/>
      <color theme="4"/>
      <name val="Arial"/>
      <family val="2"/>
    </font>
    <font>
      <b/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9"/>
      <name val="Arial"/>
      <family val="2"/>
    </font>
    <font>
      <sz val="10"/>
      <color indexed="8"/>
      <name val="Calibri"/>
      <family val="2"/>
      <scheme val="minor"/>
    </font>
    <font>
      <b/>
      <sz val="10"/>
      <color theme="0"/>
      <name val="Arial"/>
      <family val="2"/>
    </font>
    <font>
      <sz val="11"/>
      <color theme="0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1"/>
      <color rgb="FF3333FF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color rgb="FF00B0F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medium">
        <color indexed="64"/>
      </left>
      <right style="dotted">
        <color auto="1"/>
      </right>
      <top style="thin">
        <color auto="1"/>
      </top>
      <bottom/>
      <diagonal/>
    </border>
    <border>
      <left style="medium">
        <color indexed="64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/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6" fillId="0" borderId="0"/>
    <xf numFmtId="44" fontId="6" fillId="0" borderId="0"/>
    <xf numFmtId="9" fontId="6" fillId="0" borderId="0"/>
    <xf numFmtId="0" fontId="15" fillId="0" borderId="0"/>
    <xf numFmtId="0" fontId="3" fillId="0" borderId="0"/>
    <xf numFmtId="0" fontId="3" fillId="0" borderId="0"/>
    <xf numFmtId="0" fontId="3" fillId="0" borderId="0"/>
  </cellStyleXfs>
  <cellXfs count="715">
    <xf numFmtId="0" fontId="0" fillId="0" borderId="0" xfId="0"/>
    <xf numFmtId="0" fontId="4" fillId="0" borderId="0" xfId="0" applyFont="1" applyAlignment="1">
      <alignment horizontal="left" wrapText="1"/>
    </xf>
    <xf numFmtId="164" fontId="5" fillId="0" borderId="0" xfId="0" applyNumberFormat="1" applyFont="1" applyAlignment="1">
      <alignment wrapText="1"/>
    </xf>
    <xf numFmtId="0" fontId="0" fillId="0" borderId="2" xfId="0" applyBorder="1"/>
    <xf numFmtId="0" fontId="4" fillId="0" borderId="2" xfId="0" applyFont="1" applyBorder="1" applyAlignment="1">
      <alignment horizontal="left" wrapText="1"/>
    </xf>
    <xf numFmtId="0" fontId="0" fillId="0" borderId="3" xfId="0" applyBorder="1"/>
    <xf numFmtId="0" fontId="4" fillId="0" borderId="3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44" fontId="0" fillId="0" borderId="0" xfId="0" applyNumberFormat="1"/>
    <xf numFmtId="44" fontId="0" fillId="0" borderId="2" xfId="0" applyNumberFormat="1" applyBorder="1"/>
    <xf numFmtId="0" fontId="12" fillId="0" borderId="0" xfId="0" applyFont="1" applyAlignment="1">
      <alignment horizontal="left" wrapText="1"/>
    </xf>
    <xf numFmtId="165" fontId="8" fillId="2" borderId="0" xfId="0" applyNumberFormat="1" applyFont="1" applyFill="1" applyAlignment="1">
      <alignment horizontal="centerContinuous"/>
    </xf>
    <xf numFmtId="0" fontId="8" fillId="2" borderId="0" xfId="0" applyFont="1" applyFill="1" applyAlignment="1">
      <alignment horizontal="centerContinuous"/>
    </xf>
    <xf numFmtId="165" fontId="0" fillId="0" borderId="0" xfId="0" applyNumberFormat="1" applyAlignment="1">
      <alignment horizontal="left"/>
    </xf>
    <xf numFmtId="166" fontId="17" fillId="2" borderId="0" xfId="1" applyNumberFormat="1" applyFont="1" applyFill="1"/>
    <xf numFmtId="166" fontId="17" fillId="2" borderId="8" xfId="1" applyNumberFormat="1" applyFont="1" applyFill="1" applyBorder="1"/>
    <xf numFmtId="166" fontId="20" fillId="2" borderId="0" xfId="1" applyNumberFormat="1" applyFont="1" applyFill="1"/>
    <xf numFmtId="166" fontId="20" fillId="2" borderId="8" xfId="1" applyNumberFormat="1" applyFont="1" applyFill="1" applyBorder="1"/>
    <xf numFmtId="43" fontId="20" fillId="2" borderId="0" xfId="1" applyFont="1" applyFill="1"/>
    <xf numFmtId="43" fontId="20" fillId="2" borderId="8" xfId="1" applyFont="1" applyFill="1" applyBorder="1"/>
    <xf numFmtId="44" fontId="17" fillId="2" borderId="0" xfId="2" applyFont="1" applyFill="1"/>
    <xf numFmtId="44" fontId="17" fillId="2" borderId="8" xfId="2" applyFont="1" applyFill="1" applyBorder="1"/>
    <xf numFmtId="0" fontId="0" fillId="4" borderId="0" xfId="0" applyFill="1"/>
    <xf numFmtId="0" fontId="7" fillId="4" borderId="0" xfId="0" applyFont="1" applyFill="1" applyAlignment="1">
      <alignment horizontal="center"/>
    </xf>
    <xf numFmtId="0" fontId="8" fillId="4" borderId="0" xfId="0" applyFont="1" applyFill="1"/>
    <xf numFmtId="0" fontId="7" fillId="4" borderId="0" xfId="0" applyFont="1" applyFill="1"/>
    <xf numFmtId="14" fontId="7" fillId="4" borderId="0" xfId="0" applyNumberFormat="1" applyFont="1" applyFill="1" applyAlignment="1">
      <alignment horizontal="center"/>
    </xf>
    <xf numFmtId="43" fontId="16" fillId="2" borderId="0" xfId="0" applyNumberFormat="1" applyFont="1" applyFill="1" applyAlignment="1">
      <alignment vertical="center"/>
    </xf>
    <xf numFmtId="0" fontId="16" fillId="2" borderId="0" xfId="0" applyFont="1" applyFill="1" applyAlignment="1">
      <alignment vertical="center"/>
    </xf>
    <xf numFmtId="43" fontId="21" fillId="2" borderId="0" xfId="0" applyNumberFormat="1" applyFont="1" applyFill="1" applyAlignment="1">
      <alignment horizontal="center" vertical="center" wrapText="1"/>
    </xf>
    <xf numFmtId="0" fontId="3" fillId="0" borderId="0" xfId="5"/>
    <xf numFmtId="0" fontId="8" fillId="0" borderId="0" xfId="5" applyFont="1"/>
    <xf numFmtId="0" fontId="3" fillId="2" borderId="0" xfId="5" applyFill="1"/>
    <xf numFmtId="16" fontId="3" fillId="2" borderId="0" xfId="5" applyNumberFormat="1" applyFill="1"/>
    <xf numFmtId="0" fontId="3" fillId="5" borderId="0" xfId="5" applyFill="1"/>
    <xf numFmtId="16" fontId="3" fillId="0" borderId="0" xfId="5" applyNumberFormat="1"/>
    <xf numFmtId="0" fontId="3" fillId="6" borderId="0" xfId="5" applyFill="1"/>
    <xf numFmtId="16" fontId="3" fillId="6" borderId="0" xfId="5" applyNumberFormat="1" applyFill="1"/>
    <xf numFmtId="0" fontId="3" fillId="7" borderId="0" xfId="5" applyFill="1"/>
    <xf numFmtId="14" fontId="3" fillId="7" borderId="0" xfId="5" applyNumberFormat="1" applyFill="1"/>
    <xf numFmtId="0" fontId="0" fillId="0" borderId="0" xfId="0" pivotButton="1"/>
    <xf numFmtId="0" fontId="0" fillId="0" borderId="0" xfId="0" applyAlignment="1">
      <alignment horizontal="left"/>
    </xf>
    <xf numFmtId="167" fontId="4" fillId="0" borderId="0" xfId="0" applyNumberFormat="1" applyFont="1" applyAlignment="1">
      <alignment horizontal="right" wrapText="1"/>
    </xf>
    <xf numFmtId="0" fontId="7" fillId="4" borderId="8" xfId="0" applyFont="1" applyFill="1" applyBorder="1" applyAlignment="1">
      <alignment horizontal="center"/>
    </xf>
    <xf numFmtId="14" fontId="7" fillId="4" borderId="8" xfId="0" applyNumberFormat="1" applyFont="1" applyFill="1" applyBorder="1" applyAlignment="1">
      <alignment horizontal="center"/>
    </xf>
    <xf numFmtId="44" fontId="10" fillId="0" borderId="3" xfId="0" applyNumberFormat="1" applyFont="1" applyBorder="1"/>
    <xf numFmtId="44" fontId="10" fillId="0" borderId="2" xfId="0" applyNumberFormat="1" applyFont="1" applyBorder="1"/>
    <xf numFmtId="44" fontId="10" fillId="0" borderId="1" xfId="0" applyNumberFormat="1" applyFont="1" applyBorder="1"/>
    <xf numFmtId="44" fontId="10" fillId="0" borderId="0" xfId="0" applyNumberFormat="1" applyFont="1"/>
    <xf numFmtId="0" fontId="26" fillId="0" borderId="0" xfId="0" applyFont="1" applyAlignment="1">
      <alignment horizontal="right" wrapText="1"/>
    </xf>
    <xf numFmtId="2" fontId="0" fillId="0" borderId="2" xfId="3" applyNumberFormat="1" applyFont="1" applyBorder="1"/>
    <xf numFmtId="168" fontId="14" fillId="3" borderId="3" xfId="1" applyNumberFormat="1" applyFont="1" applyFill="1" applyBorder="1"/>
    <xf numFmtId="0" fontId="4" fillId="6" borderId="2" xfId="0" applyFont="1" applyFill="1" applyBorder="1" applyAlignment="1">
      <alignment horizontal="left" wrapText="1"/>
    </xf>
    <xf numFmtId="0" fontId="26" fillId="6" borderId="2" xfId="0" applyFont="1" applyFill="1" applyBorder="1" applyAlignment="1">
      <alignment horizontal="right" wrapText="1"/>
    </xf>
    <xf numFmtId="2" fontId="4" fillId="6" borderId="2" xfId="0" applyNumberFormat="1" applyFont="1" applyFill="1" applyBorder="1" applyAlignment="1">
      <alignment horizontal="right" wrapText="1"/>
    </xf>
    <xf numFmtId="0" fontId="0" fillId="6" borderId="2" xfId="0" applyFill="1" applyBorder="1"/>
    <xf numFmtId="44" fontId="28" fillId="0" borderId="2" xfId="0" applyNumberFormat="1" applyFont="1" applyBorder="1"/>
    <xf numFmtId="0" fontId="4" fillId="4" borderId="0" xfId="0" applyFont="1" applyFill="1" applyAlignment="1">
      <alignment horizontal="left" wrapText="1"/>
    </xf>
    <xf numFmtId="44" fontId="10" fillId="4" borderId="0" xfId="0" applyNumberFormat="1" applyFont="1" applyFill="1"/>
    <xf numFmtId="0" fontId="30" fillId="4" borderId="0" xfId="0" applyFont="1" applyFill="1" applyAlignment="1">
      <alignment horizontal="right" vertical="center"/>
    </xf>
    <xf numFmtId="169" fontId="31" fillId="4" borderId="0" xfId="0" applyNumberFormat="1" applyFont="1" applyFill="1" applyAlignment="1">
      <alignment horizontal="center" vertical="center"/>
    </xf>
    <xf numFmtId="0" fontId="32" fillId="4" borderId="0" xfId="0" applyFont="1" applyFill="1" applyAlignment="1">
      <alignment vertical="center"/>
    </xf>
    <xf numFmtId="170" fontId="31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71" fontId="16" fillId="2" borderId="2" xfId="2" applyNumberFormat="1" applyFont="1" applyFill="1" applyBorder="1" applyAlignment="1">
      <alignment horizontal="right"/>
    </xf>
    <xf numFmtId="171" fontId="0" fillId="0" borderId="0" xfId="2" applyNumberFormat="1" applyFont="1" applyAlignment="1">
      <alignment horizontal="right"/>
    </xf>
    <xf numFmtId="172" fontId="0" fillId="0" borderId="0" xfId="0" applyNumberFormat="1"/>
    <xf numFmtId="171" fontId="32" fillId="0" borderId="0" xfId="2" applyNumberFormat="1" applyFont="1"/>
    <xf numFmtId="0" fontId="10" fillId="2" borderId="2" xfId="0" applyFont="1" applyFill="1" applyBorder="1" applyAlignment="1">
      <alignment horizontal="right"/>
    </xf>
    <xf numFmtId="171" fontId="10" fillId="2" borderId="2" xfId="2" applyNumberFormat="1" applyFont="1" applyFill="1" applyBorder="1"/>
    <xf numFmtId="171" fontId="0" fillId="0" borderId="0" xfId="2" applyNumberFormat="1" applyFont="1"/>
    <xf numFmtId="0" fontId="34" fillId="0" borderId="0" xfId="0" applyFont="1" applyAlignment="1">
      <alignment horizontal="right"/>
    </xf>
    <xf numFmtId="173" fontId="34" fillId="0" borderId="0" xfId="0" applyNumberFormat="1" applyFont="1"/>
    <xf numFmtId="0" fontId="7" fillId="4" borderId="4" xfId="0" applyFont="1" applyFill="1" applyBorder="1" applyAlignment="1">
      <alignment horizontal="right"/>
    </xf>
    <xf numFmtId="44" fontId="7" fillId="4" borderId="4" xfId="2" applyFont="1" applyFill="1" applyBorder="1" applyAlignment="1">
      <alignment horizontal="right"/>
    </xf>
    <xf numFmtId="0" fontId="7" fillId="4" borderId="9" xfId="0" applyFont="1" applyFill="1" applyBorder="1" applyAlignment="1">
      <alignment horizontal="right"/>
    </xf>
    <xf numFmtId="44" fontId="7" fillId="4" borderId="9" xfId="0" applyNumberFormat="1" applyFont="1" applyFill="1" applyBorder="1" applyAlignment="1">
      <alignment horizontal="right"/>
    </xf>
    <xf numFmtId="171" fontId="31" fillId="10" borderId="2" xfId="2" applyNumberFormat="1" applyFont="1" applyFill="1" applyBorder="1" applyAlignment="1">
      <alignment horizontal="right"/>
    </xf>
    <xf numFmtId="171" fontId="31" fillId="10" borderId="2" xfId="2" applyNumberFormat="1" applyFont="1" applyFill="1" applyBorder="1"/>
    <xf numFmtId="0" fontId="33" fillId="10" borderId="0" xfId="0" applyFont="1" applyFill="1" applyAlignment="1">
      <alignment horizontal="right"/>
    </xf>
    <xf numFmtId="173" fontId="33" fillId="10" borderId="0" xfId="0" applyNumberFormat="1" applyFont="1" applyFill="1" applyAlignment="1">
      <alignment horizontal="right"/>
    </xf>
    <xf numFmtId="14" fontId="9" fillId="0" borderId="0" xfId="0" applyNumberFormat="1" applyFont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166" fontId="0" fillId="0" borderId="0" xfId="1" applyNumberFormat="1" applyFont="1"/>
    <xf numFmtId="171" fontId="16" fillId="2" borderId="2" xfId="2" applyNumberFormat="1" applyFont="1" applyFill="1" applyBorder="1"/>
    <xf numFmtId="0" fontId="32" fillId="0" borderId="7" xfId="0" applyFont="1" applyBorder="1"/>
    <xf numFmtId="0" fontId="32" fillId="0" borderId="8" xfId="0" applyFont="1" applyBorder="1"/>
    <xf numFmtId="0" fontId="32" fillId="0" borderId="0" xfId="0" applyFont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1" xfId="0" applyBorder="1"/>
    <xf numFmtId="43" fontId="16" fillId="2" borderId="0" xfId="0" applyNumberFormat="1" applyFont="1" applyFill="1" applyAlignment="1">
      <alignment horizontal="center" vertical="center"/>
    </xf>
    <xf numFmtId="168" fontId="18" fillId="3" borderId="0" xfId="1" applyNumberFormat="1" applyFont="1" applyFill="1" applyAlignment="1">
      <alignment horizontal="center" vertical="center"/>
    </xf>
    <xf numFmtId="43" fontId="0" fillId="0" borderId="0" xfId="1" applyFont="1"/>
    <xf numFmtId="43" fontId="4" fillId="0" borderId="0" xfId="1" applyFont="1" applyAlignment="1">
      <alignment horizontal="left" wrapText="1"/>
    </xf>
    <xf numFmtId="0" fontId="0" fillId="0" borderId="12" xfId="0" applyBorder="1"/>
    <xf numFmtId="0" fontId="2" fillId="0" borderId="0" xfId="6" applyFont="1"/>
    <xf numFmtId="0" fontId="8" fillId="0" borderId="0" xfId="6" applyFont="1"/>
    <xf numFmtId="16" fontId="2" fillId="5" borderId="0" xfId="6" applyNumberFormat="1" applyFont="1" applyFill="1"/>
    <xf numFmtId="0" fontId="2" fillId="5" borderId="0" xfId="6" applyFont="1" applyFill="1"/>
    <xf numFmtId="0" fontId="2" fillId="11" borderId="0" xfId="6" applyFont="1" applyFill="1"/>
    <xf numFmtId="16" fontId="2" fillId="11" borderId="0" xfId="6" applyNumberFormat="1" applyFont="1" applyFill="1"/>
    <xf numFmtId="0" fontId="2" fillId="12" borderId="0" xfId="6" applyFont="1" applyFill="1"/>
    <xf numFmtId="16" fontId="2" fillId="12" borderId="0" xfId="6" applyNumberFormat="1" applyFont="1" applyFill="1"/>
    <xf numFmtId="16" fontId="2" fillId="0" borderId="0" xfId="6" applyNumberFormat="1" applyFont="1"/>
    <xf numFmtId="0" fontId="25" fillId="0" borderId="0" xfId="6" applyFont="1"/>
    <xf numFmtId="0" fontId="2" fillId="8" borderId="0" xfId="6" applyFont="1" applyFill="1"/>
    <xf numFmtId="0" fontId="2" fillId="9" borderId="0" xfId="6" applyFont="1" applyFill="1"/>
    <xf numFmtId="43" fontId="0" fillId="0" borderId="0" xfId="1" applyFont="1" applyAlignment="1">
      <alignment horizontal="right" vertical="center"/>
    </xf>
    <xf numFmtId="9" fontId="36" fillId="0" borderId="0" xfId="3" applyFont="1"/>
    <xf numFmtId="174" fontId="0" fillId="0" borderId="0" xfId="3" applyNumberFormat="1" applyFont="1"/>
    <xf numFmtId="166" fontId="0" fillId="0" borderId="1" xfId="0" applyNumberFormat="1" applyBorder="1" applyAlignment="1">
      <alignment horizontal="right" vertical="center"/>
    </xf>
    <xf numFmtId="44" fontId="0" fillId="0" borderId="1" xfId="0" applyNumberFormat="1" applyBorder="1"/>
    <xf numFmtId="0" fontId="1" fillId="0" borderId="0" xfId="7" applyFont="1"/>
    <xf numFmtId="0" fontId="8" fillId="0" borderId="0" xfId="7" applyFont="1"/>
    <xf numFmtId="0" fontId="1" fillId="2" borderId="0" xfId="7" applyFont="1" applyFill="1"/>
    <xf numFmtId="0" fontId="8" fillId="2" borderId="0" xfId="7" applyFont="1" applyFill="1"/>
    <xf numFmtId="16" fontId="1" fillId="2" borderId="0" xfId="7" applyNumberFormat="1" applyFont="1" applyFill="1"/>
    <xf numFmtId="168" fontId="14" fillId="3" borderId="14" xfId="1" applyNumberFormat="1" applyFont="1" applyFill="1" applyBorder="1"/>
    <xf numFmtId="0" fontId="22" fillId="2" borderId="15" xfId="0" applyFont="1" applyFill="1" applyBorder="1"/>
    <xf numFmtId="0" fontId="24" fillId="2" borderId="15" xfId="0" applyFont="1" applyFill="1" applyBorder="1"/>
    <xf numFmtId="173" fontId="23" fillId="2" borderId="15" xfId="0" applyNumberFormat="1" applyFont="1" applyFill="1" applyBorder="1"/>
    <xf numFmtId="173" fontId="23" fillId="2" borderId="16" xfId="0" applyNumberFormat="1" applyFont="1" applyFill="1" applyBorder="1"/>
    <xf numFmtId="43" fontId="16" fillId="2" borderId="2" xfId="0" applyNumberFormat="1" applyFont="1" applyFill="1" applyBorder="1" applyAlignment="1">
      <alignment vertical="center"/>
    </xf>
    <xf numFmtId="166" fontId="17" fillId="2" borderId="2" xfId="1" applyNumberFormat="1" applyFont="1" applyFill="1" applyBorder="1"/>
    <xf numFmtId="166" fontId="17" fillId="2" borderId="17" xfId="1" applyNumberFormat="1" applyFont="1" applyFill="1" applyBorder="1"/>
    <xf numFmtId="169" fontId="31" fillId="4" borderId="12" xfId="0" applyNumberFormat="1" applyFont="1" applyFill="1" applyBorder="1" applyAlignment="1">
      <alignment horizontal="center" vertical="center"/>
    </xf>
    <xf numFmtId="14" fontId="9" fillId="0" borderId="12" xfId="0" applyNumberFormat="1" applyFont="1" applyBorder="1"/>
    <xf numFmtId="166" fontId="0" fillId="0" borderId="12" xfId="0" applyNumberFormat="1" applyBorder="1" applyAlignment="1">
      <alignment horizontal="right" vertical="center"/>
    </xf>
    <xf numFmtId="171" fontId="16" fillId="2" borderId="13" xfId="2" applyNumberFormat="1" applyFont="1" applyFill="1" applyBorder="1" applyAlignment="1">
      <alignment horizontal="right"/>
    </xf>
    <xf numFmtId="172" fontId="0" fillId="0" borderId="12" xfId="0" applyNumberFormat="1" applyBorder="1"/>
    <xf numFmtId="171" fontId="31" fillId="10" borderId="13" xfId="2" applyNumberFormat="1" applyFont="1" applyFill="1" applyBorder="1"/>
    <xf numFmtId="173" fontId="33" fillId="10" borderId="12" xfId="0" applyNumberFormat="1" applyFont="1" applyFill="1" applyBorder="1" applyAlignment="1">
      <alignment horizontal="right"/>
    </xf>
    <xf numFmtId="171" fontId="10" fillId="2" borderId="13" xfId="2" applyNumberFormat="1" applyFont="1" applyFill="1" applyBorder="1"/>
    <xf numFmtId="173" fontId="34" fillId="0" borderId="12" xfId="0" applyNumberFormat="1" applyFont="1" applyBorder="1"/>
    <xf numFmtId="43" fontId="0" fillId="0" borderId="12" xfId="1" applyFont="1" applyBorder="1" applyAlignment="1">
      <alignment horizontal="right" vertical="center"/>
    </xf>
    <xf numFmtId="44" fontId="7" fillId="4" borderId="18" xfId="2" applyFont="1" applyFill="1" applyBorder="1" applyAlignment="1">
      <alignment horizontal="right"/>
    </xf>
    <xf numFmtId="44" fontId="7" fillId="4" borderId="19" xfId="0" applyNumberFormat="1" applyFont="1" applyFill="1" applyBorder="1" applyAlignment="1">
      <alignment horizontal="right"/>
    </xf>
    <xf numFmtId="44" fontId="7" fillId="4" borderId="5" xfId="2" applyFont="1" applyFill="1" applyBorder="1" applyAlignment="1">
      <alignment horizontal="right"/>
    </xf>
    <xf numFmtId="44" fontId="7" fillId="4" borderId="10" xfId="0" applyNumberFormat="1" applyFont="1" applyFill="1" applyBorder="1" applyAlignment="1">
      <alignment horizontal="right"/>
    </xf>
    <xf numFmtId="14" fontId="7" fillId="4" borderId="10" xfId="0" applyNumberFormat="1" applyFont="1" applyFill="1" applyBorder="1" applyAlignment="1">
      <alignment horizontal="center"/>
    </xf>
    <xf numFmtId="43" fontId="0" fillId="0" borderId="0" xfId="0" applyNumberFormat="1"/>
    <xf numFmtId="0" fontId="9" fillId="4" borderId="0" xfId="0" applyFont="1" applyFill="1" applyAlignment="1">
      <alignment horizontal="center"/>
    </xf>
    <xf numFmtId="43" fontId="10" fillId="0" borderId="0" xfId="1" applyFont="1" applyAlignment="1">
      <alignment horizontal="right" vertical="center"/>
    </xf>
    <xf numFmtId="0" fontId="0" fillId="2" borderId="0" xfId="0" applyFill="1"/>
    <xf numFmtId="14" fontId="0" fillId="0" borderId="0" xfId="0" applyNumberFormat="1"/>
    <xf numFmtId="44" fontId="0" fillId="0" borderId="0" xfId="2" applyFont="1"/>
    <xf numFmtId="44" fontId="0" fillId="0" borderId="22" xfId="0" applyNumberFormat="1" applyBorder="1"/>
    <xf numFmtId="44" fontId="0" fillId="0" borderId="28" xfId="0" applyNumberFormat="1" applyBorder="1"/>
    <xf numFmtId="0" fontId="0" fillId="0" borderId="29" xfId="0" applyBorder="1"/>
    <xf numFmtId="168" fontId="14" fillId="3" borderId="2" xfId="1" applyNumberFormat="1" applyFont="1" applyFill="1" applyBorder="1"/>
    <xf numFmtId="168" fontId="14" fillId="3" borderId="17" xfId="1" applyNumberFormat="1" applyFont="1" applyFill="1" applyBorder="1"/>
    <xf numFmtId="2" fontId="0" fillId="0" borderId="0" xfId="3" applyNumberFormat="1" applyFont="1"/>
    <xf numFmtId="175" fontId="0" fillId="0" borderId="0" xfId="0" applyNumberFormat="1"/>
    <xf numFmtId="1" fontId="17" fillId="2" borderId="0" xfId="2" applyNumberFormat="1" applyFont="1" applyFill="1"/>
    <xf numFmtId="1" fontId="17" fillId="2" borderId="8" xfId="2" applyNumberFormat="1" applyFont="1" applyFill="1" applyBorder="1"/>
    <xf numFmtId="174" fontId="17" fillId="2" borderId="0" xfId="3" applyNumberFormat="1" applyFont="1" applyFill="1"/>
    <xf numFmtId="174" fontId="17" fillId="2" borderId="8" xfId="3" applyNumberFormat="1" applyFont="1" applyFill="1" applyBorder="1"/>
    <xf numFmtId="176" fontId="17" fillId="2" borderId="0" xfId="2" applyNumberFormat="1" applyFont="1" applyFill="1"/>
    <xf numFmtId="176" fontId="17" fillId="2" borderId="8" xfId="2" applyNumberFormat="1" applyFont="1" applyFill="1" applyBorder="1"/>
    <xf numFmtId="177" fontId="17" fillId="2" borderId="0" xfId="2" applyNumberFormat="1" applyFont="1" applyFill="1"/>
    <xf numFmtId="177" fontId="17" fillId="2" borderId="8" xfId="2" applyNumberFormat="1" applyFont="1" applyFill="1" applyBorder="1"/>
    <xf numFmtId="174" fontId="40" fillId="2" borderId="0" xfId="3" applyNumberFormat="1" applyFont="1" applyFill="1"/>
    <xf numFmtId="174" fontId="40" fillId="2" borderId="8" xfId="3" applyNumberFormat="1" applyFont="1" applyFill="1" applyBorder="1"/>
    <xf numFmtId="169" fontId="31" fillId="4" borderId="32" xfId="0" applyNumberFormat="1" applyFont="1" applyFill="1" applyBorder="1" applyAlignment="1">
      <alignment horizontal="center" vertical="center"/>
    </xf>
    <xf numFmtId="14" fontId="9" fillId="0" borderId="32" xfId="0" applyNumberFormat="1" applyFont="1" applyBorder="1"/>
    <xf numFmtId="166" fontId="0" fillId="0" borderId="32" xfId="0" applyNumberFormat="1" applyBorder="1" applyAlignment="1">
      <alignment horizontal="right" vertical="center"/>
    </xf>
    <xf numFmtId="171" fontId="16" fillId="2" borderId="33" xfId="2" applyNumberFormat="1" applyFont="1" applyFill="1" applyBorder="1" applyAlignment="1">
      <alignment horizontal="right"/>
    </xf>
    <xf numFmtId="172" fontId="0" fillId="0" borderId="32" xfId="0" applyNumberFormat="1" applyBorder="1"/>
    <xf numFmtId="171" fontId="31" fillId="10" borderId="33" xfId="2" applyNumberFormat="1" applyFont="1" applyFill="1" applyBorder="1"/>
    <xf numFmtId="173" fontId="33" fillId="10" borderId="32" xfId="0" applyNumberFormat="1" applyFont="1" applyFill="1" applyBorder="1" applyAlignment="1">
      <alignment horizontal="right"/>
    </xf>
    <xf numFmtId="0" fontId="0" fillId="0" borderId="32" xfId="0" applyBorder="1"/>
    <xf numFmtId="171" fontId="10" fillId="2" borderId="33" xfId="2" applyNumberFormat="1" applyFont="1" applyFill="1" applyBorder="1"/>
    <xf numFmtId="173" fontId="34" fillId="0" borderId="32" xfId="0" applyNumberFormat="1" applyFont="1" applyBorder="1"/>
    <xf numFmtId="43" fontId="0" fillId="0" borderId="32" xfId="1" applyFont="1" applyBorder="1" applyAlignment="1">
      <alignment horizontal="right" vertical="center"/>
    </xf>
    <xf numFmtId="44" fontId="7" fillId="4" borderId="35" xfId="2" applyFont="1" applyFill="1" applyBorder="1" applyAlignment="1">
      <alignment horizontal="right"/>
    </xf>
    <xf numFmtId="44" fontId="7" fillId="4" borderId="34" xfId="0" applyNumberFormat="1" applyFont="1" applyFill="1" applyBorder="1" applyAlignment="1">
      <alignment horizontal="right"/>
    </xf>
    <xf numFmtId="0" fontId="29" fillId="3" borderId="0" xfId="0" applyFont="1" applyFill="1"/>
    <xf numFmtId="43" fontId="0" fillId="2" borderId="22" xfId="1" applyFont="1" applyFill="1" applyBorder="1"/>
    <xf numFmtId="0" fontId="20" fillId="0" borderId="32" xfId="0" applyFont="1" applyBorder="1"/>
    <xf numFmtId="0" fontId="30" fillId="4" borderId="7" xfId="0" applyFont="1" applyFill="1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right" vertical="center"/>
    </xf>
    <xf numFmtId="171" fontId="16" fillId="2" borderId="36" xfId="2" applyNumberFormat="1" applyFont="1" applyFill="1" applyBorder="1" applyAlignment="1">
      <alignment horizontal="right"/>
    </xf>
    <xf numFmtId="171" fontId="16" fillId="2" borderId="38" xfId="2" applyNumberFormat="1" applyFont="1" applyFill="1" applyBorder="1" applyAlignment="1">
      <alignment horizontal="right"/>
    </xf>
    <xf numFmtId="166" fontId="16" fillId="2" borderId="3" xfId="1" applyNumberFormat="1" applyFont="1" applyFill="1" applyBorder="1" applyAlignment="1">
      <alignment horizontal="right"/>
    </xf>
    <xf numFmtId="171" fontId="16" fillId="2" borderId="7" xfId="2" applyNumberFormat="1" applyFont="1" applyFill="1" applyBorder="1" applyAlignment="1">
      <alignment horizontal="right"/>
    </xf>
    <xf numFmtId="171" fontId="16" fillId="2" borderId="3" xfId="2" applyNumberFormat="1" applyFont="1" applyFill="1" applyBorder="1" applyAlignment="1">
      <alignment horizontal="right"/>
    </xf>
    <xf numFmtId="171" fontId="16" fillId="2" borderId="0" xfId="2" applyNumberFormat="1" applyFont="1" applyFill="1" applyAlignment="1">
      <alignment horizontal="right"/>
    </xf>
    <xf numFmtId="172" fontId="0" fillId="0" borderId="8" xfId="0" applyNumberFormat="1" applyBorder="1"/>
    <xf numFmtId="171" fontId="31" fillId="10" borderId="36" xfId="2" applyNumberFormat="1" applyFont="1" applyFill="1" applyBorder="1" applyAlignment="1">
      <alignment horizontal="right"/>
    </xf>
    <xf numFmtId="171" fontId="31" fillId="10" borderId="37" xfId="2" applyNumberFormat="1" applyFont="1" applyFill="1" applyBorder="1"/>
    <xf numFmtId="0" fontId="33" fillId="10" borderId="7" xfId="0" applyFont="1" applyFill="1" applyBorder="1" applyAlignment="1">
      <alignment horizontal="right"/>
    </xf>
    <xf numFmtId="173" fontId="33" fillId="10" borderId="8" xfId="0" applyNumberFormat="1" applyFont="1" applyFill="1" applyBorder="1" applyAlignment="1">
      <alignment horizontal="right"/>
    </xf>
    <xf numFmtId="0" fontId="10" fillId="2" borderId="36" xfId="0" applyFont="1" applyFill="1" applyBorder="1" applyAlignment="1">
      <alignment horizontal="right"/>
    </xf>
    <xf numFmtId="0" fontId="34" fillId="0" borderId="7" xfId="0" applyFont="1" applyBorder="1" applyAlignment="1">
      <alignment horizontal="right"/>
    </xf>
    <xf numFmtId="173" fontId="34" fillId="0" borderId="8" xfId="0" applyNumberFormat="1" applyFont="1" applyBorder="1"/>
    <xf numFmtId="0" fontId="16" fillId="13" borderId="41" xfId="0" applyFont="1" applyFill="1" applyBorder="1" applyAlignment="1">
      <alignment horizontal="right"/>
    </xf>
    <xf numFmtId="44" fontId="42" fillId="13" borderId="42" xfId="2" applyFont="1" applyFill="1" applyBorder="1" applyAlignment="1">
      <alignment horizontal="right"/>
    </xf>
    <xf numFmtId="44" fontId="42" fillId="13" borderId="43" xfId="2" applyFont="1" applyFill="1" applyBorder="1" applyAlignment="1">
      <alignment horizontal="right"/>
    </xf>
    <xf numFmtId="44" fontId="42" fillId="13" borderId="41" xfId="2" applyFont="1" applyFill="1" applyBorder="1" applyAlignment="1">
      <alignment horizontal="right"/>
    </xf>
    <xf numFmtId="0" fontId="16" fillId="13" borderId="44" xfId="0" applyFont="1" applyFill="1" applyBorder="1" applyAlignment="1">
      <alignment horizontal="right"/>
    </xf>
    <xf numFmtId="0" fontId="7" fillId="4" borderId="7" xfId="0" applyFont="1" applyFill="1" applyBorder="1" applyAlignment="1">
      <alignment horizontal="right"/>
    </xf>
    <xf numFmtId="44" fontId="43" fillId="4" borderId="9" xfId="0" applyNumberFormat="1" applyFont="1" applyFill="1" applyBorder="1" applyAlignment="1">
      <alignment horizontal="right"/>
    </xf>
    <xf numFmtId="44" fontId="43" fillId="4" borderId="0" xfId="0" applyNumberFormat="1" applyFont="1" applyFill="1" applyAlignment="1">
      <alignment horizontal="right"/>
    </xf>
    <xf numFmtId="44" fontId="7" fillId="4" borderId="0" xfId="0" applyNumberFormat="1" applyFont="1" applyFill="1" applyAlignment="1">
      <alignment horizontal="right"/>
    </xf>
    <xf numFmtId="177" fontId="7" fillId="4" borderId="5" xfId="0" applyNumberFormat="1" applyFont="1" applyFill="1" applyBorder="1" applyAlignment="1">
      <alignment horizontal="right"/>
    </xf>
    <xf numFmtId="177" fontId="7" fillId="4" borderId="0" xfId="0" applyNumberFormat="1" applyFont="1" applyFill="1" applyAlignment="1">
      <alignment horizontal="right"/>
    </xf>
    <xf numFmtId="44" fontId="10" fillId="0" borderId="2" xfId="0" applyNumberFormat="1" applyFont="1" applyBorder="1" applyAlignment="1">
      <alignment horizontal="center"/>
    </xf>
    <xf numFmtId="0" fontId="0" fillId="7" borderId="0" xfId="0" applyFill="1"/>
    <xf numFmtId="0" fontId="4" fillId="7" borderId="0" xfId="0" applyFont="1" applyFill="1" applyAlignment="1">
      <alignment horizontal="left" wrapText="1"/>
    </xf>
    <xf numFmtId="44" fontId="10" fillId="7" borderId="0" xfId="0" applyNumberFormat="1" applyFont="1" applyFill="1"/>
    <xf numFmtId="174" fontId="10" fillId="7" borderId="0" xfId="3" applyNumberFormat="1" applyFont="1" applyFill="1"/>
    <xf numFmtId="0" fontId="7" fillId="4" borderId="45" xfId="0" applyFont="1" applyFill="1" applyBorder="1" applyAlignment="1">
      <alignment horizontal="center"/>
    </xf>
    <xf numFmtId="0" fontId="9" fillId="4" borderId="45" xfId="0" applyFont="1" applyFill="1" applyBorder="1" applyAlignment="1">
      <alignment horizontal="center"/>
    </xf>
    <xf numFmtId="14" fontId="7" fillId="4" borderId="45" xfId="0" applyNumberFormat="1" applyFont="1" applyFill="1" applyBorder="1" applyAlignment="1">
      <alignment horizontal="center"/>
    </xf>
    <xf numFmtId="0" fontId="0" fillId="0" borderId="45" xfId="0" applyBorder="1"/>
    <xf numFmtId="43" fontId="0" fillId="0" borderId="45" xfId="1" applyFont="1" applyBorder="1"/>
    <xf numFmtId="44" fontId="10" fillId="0" borderId="17" xfId="0" applyNumberFormat="1" applyFont="1" applyBorder="1"/>
    <xf numFmtId="44" fontId="10" fillId="0" borderId="45" xfId="0" applyNumberFormat="1" applyFont="1" applyBorder="1"/>
    <xf numFmtId="173" fontId="23" fillId="2" borderId="46" xfId="0" applyNumberFormat="1" applyFont="1" applyFill="1" applyBorder="1"/>
    <xf numFmtId="174" fontId="10" fillId="7" borderId="45" xfId="3" applyNumberFormat="1" applyFont="1" applyFill="1" applyBorder="1"/>
    <xf numFmtId="44" fontId="10" fillId="0" borderId="14" xfId="0" applyNumberFormat="1" applyFont="1" applyBorder="1"/>
    <xf numFmtId="44" fontId="10" fillId="4" borderId="45" xfId="0" applyNumberFormat="1" applyFont="1" applyFill="1" applyBorder="1"/>
    <xf numFmtId="2" fontId="4" fillId="6" borderId="17" xfId="0" applyNumberFormat="1" applyFont="1" applyFill="1" applyBorder="1" applyAlignment="1">
      <alignment horizontal="right" wrapText="1"/>
    </xf>
    <xf numFmtId="0" fontId="0" fillId="4" borderId="45" xfId="0" applyFill="1" applyBorder="1"/>
    <xf numFmtId="44" fontId="0" fillId="0" borderId="17" xfId="0" applyNumberFormat="1" applyBorder="1"/>
    <xf numFmtId="44" fontId="0" fillId="0" borderId="45" xfId="0" applyNumberFormat="1" applyBorder="1"/>
    <xf numFmtId="44" fontId="40" fillId="2" borderId="0" xfId="2" applyFont="1" applyFill="1"/>
    <xf numFmtId="44" fontId="40" fillId="2" borderId="8" xfId="2" applyFont="1" applyFill="1" applyBorder="1"/>
    <xf numFmtId="174" fontId="18" fillId="3" borderId="0" xfId="3" applyNumberFormat="1" applyFont="1" applyFill="1"/>
    <xf numFmtId="174" fontId="44" fillId="2" borderId="0" xfId="3" applyNumberFormat="1" applyFont="1" applyFill="1"/>
    <xf numFmtId="44" fontId="28" fillId="0" borderId="17" xfId="0" applyNumberFormat="1" applyFont="1" applyBorder="1"/>
    <xf numFmtId="174" fontId="44" fillId="2" borderId="45" xfId="3" applyNumberFormat="1" applyFont="1" applyFill="1" applyBorder="1"/>
    <xf numFmtId="166" fontId="17" fillId="2" borderId="45" xfId="1" applyNumberFormat="1" applyFont="1" applyFill="1" applyBorder="1"/>
    <xf numFmtId="166" fontId="20" fillId="2" borderId="45" xfId="1" applyNumberFormat="1" applyFont="1" applyFill="1" applyBorder="1"/>
    <xf numFmtId="43" fontId="20" fillId="2" borderId="45" xfId="1" applyFont="1" applyFill="1" applyBorder="1"/>
    <xf numFmtId="44" fontId="17" fillId="2" borderId="45" xfId="2" applyFont="1" applyFill="1" applyBorder="1"/>
    <xf numFmtId="174" fontId="17" fillId="2" borderId="45" xfId="3" applyNumberFormat="1" applyFont="1" applyFill="1" applyBorder="1"/>
    <xf numFmtId="1" fontId="17" fillId="2" borderId="45" xfId="2" applyNumberFormat="1" applyFont="1" applyFill="1" applyBorder="1"/>
    <xf numFmtId="174" fontId="40" fillId="2" borderId="45" xfId="3" applyNumberFormat="1" applyFont="1" applyFill="1" applyBorder="1"/>
    <xf numFmtId="44" fontId="40" fillId="2" borderId="45" xfId="2" applyFont="1" applyFill="1" applyBorder="1"/>
    <xf numFmtId="176" fontId="17" fillId="2" borderId="45" xfId="2" applyNumberFormat="1" applyFont="1" applyFill="1" applyBorder="1"/>
    <xf numFmtId="177" fontId="17" fillId="2" borderId="45" xfId="2" applyNumberFormat="1" applyFont="1" applyFill="1" applyBorder="1"/>
    <xf numFmtId="43" fontId="40" fillId="0" borderId="0" xfId="1" applyFont="1"/>
    <xf numFmtId="43" fontId="40" fillId="0" borderId="45" xfId="1" applyFont="1" applyBorder="1"/>
    <xf numFmtId="0" fontId="4" fillId="2" borderId="0" xfId="0" applyFont="1" applyFill="1" applyAlignment="1">
      <alignment horizontal="left" wrapText="1"/>
    </xf>
    <xf numFmtId="44" fontId="10" fillId="2" borderId="0" xfId="0" applyNumberFormat="1" applyFont="1" applyFill="1"/>
    <xf numFmtId="44" fontId="10" fillId="2" borderId="45" xfId="0" applyNumberFormat="1" applyFont="1" applyFill="1" applyBorder="1"/>
    <xf numFmtId="44" fontId="0" fillId="2" borderId="0" xfId="0" applyNumberFormat="1" applyFill="1"/>
    <xf numFmtId="44" fontId="0" fillId="2" borderId="45" xfId="0" applyNumberFormat="1" applyFill="1" applyBorder="1"/>
    <xf numFmtId="0" fontId="30" fillId="4" borderId="4" xfId="0" applyFont="1" applyFill="1" applyBorder="1" applyAlignment="1">
      <alignment horizontal="right" vertical="center"/>
    </xf>
    <xf numFmtId="0" fontId="31" fillId="4" borderId="5" xfId="0" applyFont="1" applyFill="1" applyBorder="1" applyAlignment="1">
      <alignment horizontal="center" vertical="center"/>
    </xf>
    <xf numFmtId="0" fontId="31" fillId="4" borderId="6" xfId="0" applyFont="1" applyFill="1" applyBorder="1" applyAlignment="1">
      <alignment horizontal="center" vertical="center"/>
    </xf>
    <xf numFmtId="0" fontId="34" fillId="0" borderId="7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1" fillId="0" borderId="8" xfId="0" applyFont="1" applyBorder="1" applyAlignment="1">
      <alignment horizontal="center"/>
    </xf>
    <xf numFmtId="166" fontId="0" fillId="0" borderId="8" xfId="1" applyNumberFormat="1" applyFont="1" applyBorder="1"/>
    <xf numFmtId="171" fontId="16" fillId="2" borderId="37" xfId="2" applyNumberFormat="1" applyFont="1" applyFill="1" applyBorder="1"/>
    <xf numFmtId="0" fontId="35" fillId="0" borderId="7" xfId="0" applyFont="1" applyBorder="1" applyAlignment="1">
      <alignment horizontal="right" vertical="top"/>
    </xf>
    <xf numFmtId="9" fontId="36" fillId="0" borderId="8" xfId="3" applyFont="1" applyBorder="1"/>
    <xf numFmtId="171" fontId="10" fillId="2" borderId="36" xfId="2" applyNumberFormat="1" applyFont="1" applyFill="1" applyBorder="1" applyAlignment="1">
      <alignment horizontal="right"/>
    </xf>
    <xf numFmtId="171" fontId="10" fillId="2" borderId="37" xfId="2" applyNumberFormat="1" applyFont="1" applyFill="1" applyBorder="1"/>
    <xf numFmtId="0" fontId="33" fillId="10" borderId="9" xfId="0" applyFont="1" applyFill="1" applyBorder="1" applyAlignment="1">
      <alignment horizontal="right"/>
    </xf>
    <xf numFmtId="173" fontId="33" fillId="10" borderId="10" xfId="0" applyNumberFormat="1" applyFont="1" applyFill="1" applyBorder="1" applyAlignment="1">
      <alignment horizontal="right"/>
    </xf>
    <xf numFmtId="173" fontId="33" fillId="10" borderId="11" xfId="0" applyNumberFormat="1" applyFont="1" applyFill="1" applyBorder="1" applyAlignment="1">
      <alignment horizontal="right"/>
    </xf>
    <xf numFmtId="0" fontId="0" fillId="4" borderId="5" xfId="0" applyFill="1" applyBorder="1"/>
    <xf numFmtId="0" fontId="7" fillId="4" borderId="5" xfId="0" applyFont="1" applyFill="1" applyBorder="1" applyAlignment="1">
      <alignment horizontal="center"/>
    </xf>
    <xf numFmtId="0" fontId="7" fillId="4" borderId="47" xfId="0" applyFont="1" applyFill="1" applyBorder="1" applyAlignment="1">
      <alignment horizontal="center"/>
    </xf>
    <xf numFmtId="0" fontId="40" fillId="0" borderId="0" xfId="0" applyFont="1"/>
    <xf numFmtId="44" fontId="43" fillId="2" borderId="0" xfId="0" applyNumberFormat="1" applyFont="1" applyFill="1" applyAlignment="1">
      <alignment horizontal="center"/>
    </xf>
    <xf numFmtId="44" fontId="43" fillId="2" borderId="0" xfId="0" applyNumberFormat="1" applyFont="1" applyFill="1"/>
    <xf numFmtId="44" fontId="43" fillId="2" borderId="45" xfId="0" applyNumberFormat="1" applyFont="1" applyFill="1" applyBorder="1"/>
    <xf numFmtId="169" fontId="31" fillId="4" borderId="2" xfId="0" applyNumberFormat="1" applyFont="1" applyFill="1" applyBorder="1" applyAlignment="1">
      <alignment horizontal="center" vertical="center"/>
    </xf>
    <xf numFmtId="169" fontId="31" fillId="4" borderId="49" xfId="0" applyNumberFormat="1" applyFont="1" applyFill="1" applyBorder="1" applyAlignment="1">
      <alignment horizontal="center" vertical="center"/>
    </xf>
    <xf numFmtId="169" fontId="31" fillId="4" borderId="33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vertical="center"/>
    </xf>
    <xf numFmtId="14" fontId="9" fillId="0" borderId="50" xfId="0" applyNumberFormat="1" applyFont="1" applyBorder="1"/>
    <xf numFmtId="166" fontId="10" fillId="7" borderId="50" xfId="0" applyNumberFormat="1" applyFont="1" applyFill="1" applyBorder="1" applyAlignment="1">
      <alignment horizontal="right" vertical="center"/>
    </xf>
    <xf numFmtId="171" fontId="16" fillId="7" borderId="49" xfId="2" applyNumberFormat="1" applyFont="1" applyFill="1" applyBorder="1" applyAlignment="1">
      <alignment horizontal="right"/>
    </xf>
    <xf numFmtId="171" fontId="16" fillId="2" borderId="17" xfId="2" applyNumberFormat="1" applyFont="1" applyFill="1" applyBorder="1" applyAlignment="1">
      <alignment horizontal="right"/>
    </xf>
    <xf numFmtId="166" fontId="16" fillId="2" borderId="0" xfId="1" applyNumberFormat="1" applyFont="1" applyFill="1" applyAlignment="1">
      <alignment horizontal="right"/>
    </xf>
    <xf numFmtId="166" fontId="16" fillId="7" borderId="50" xfId="1" applyNumberFormat="1" applyFont="1" applyFill="1" applyBorder="1" applyAlignment="1">
      <alignment horizontal="right"/>
    </xf>
    <xf numFmtId="172" fontId="10" fillId="7" borderId="50" xfId="0" applyNumberFormat="1" applyFont="1" applyFill="1" applyBorder="1"/>
    <xf numFmtId="171" fontId="38" fillId="7" borderId="49" xfId="2" applyNumberFormat="1" applyFont="1" applyFill="1" applyBorder="1"/>
    <xf numFmtId="171" fontId="31" fillId="10" borderId="17" xfId="2" applyNumberFormat="1" applyFont="1" applyFill="1" applyBorder="1"/>
    <xf numFmtId="173" fontId="39" fillId="7" borderId="50" xfId="0" applyNumberFormat="1" applyFont="1" applyFill="1" applyBorder="1" applyAlignment="1">
      <alignment horizontal="right"/>
    </xf>
    <xf numFmtId="173" fontId="33" fillId="10" borderId="45" xfId="0" applyNumberFormat="1" applyFont="1" applyFill="1" applyBorder="1" applyAlignment="1">
      <alignment horizontal="right"/>
    </xf>
    <xf numFmtId="0" fontId="16" fillId="7" borderId="50" xfId="0" applyFont="1" applyFill="1" applyBorder="1"/>
    <xf numFmtId="166" fontId="16" fillId="7" borderId="50" xfId="0" applyNumberFormat="1" applyFont="1" applyFill="1" applyBorder="1" applyAlignment="1">
      <alignment horizontal="right" vertical="center"/>
    </xf>
    <xf numFmtId="171" fontId="16" fillId="7" borderId="49" xfId="2" applyNumberFormat="1" applyFont="1" applyFill="1" applyBorder="1"/>
    <xf numFmtId="171" fontId="10" fillId="2" borderId="17" xfId="2" applyNumberFormat="1" applyFont="1" applyFill="1" applyBorder="1"/>
    <xf numFmtId="173" fontId="39" fillId="7" borderId="50" xfId="0" applyNumberFormat="1" applyFont="1" applyFill="1" applyBorder="1"/>
    <xf numFmtId="43" fontId="16" fillId="7" borderId="50" xfId="1" applyFont="1" applyFill="1" applyBorder="1" applyAlignment="1">
      <alignment horizontal="right" vertical="center"/>
    </xf>
    <xf numFmtId="173" fontId="14" fillId="7" borderId="50" xfId="0" applyNumberFormat="1" applyFont="1" applyFill="1" applyBorder="1" applyAlignment="1">
      <alignment horizontal="right"/>
    </xf>
    <xf numFmtId="0" fontId="0" fillId="0" borderId="50" xfId="0" applyBorder="1"/>
    <xf numFmtId="44" fontId="28" fillId="4" borderId="51" xfId="2" applyFont="1" applyFill="1" applyBorder="1" applyAlignment="1">
      <alignment horizontal="right"/>
    </xf>
    <xf numFmtId="44" fontId="7" fillId="4" borderId="52" xfId="0" applyNumberFormat="1" applyFont="1" applyFill="1" applyBorder="1" applyAlignment="1">
      <alignment horizontal="right"/>
    </xf>
    <xf numFmtId="44" fontId="7" fillId="4" borderId="1" xfId="0" applyNumberFormat="1" applyFont="1" applyFill="1" applyBorder="1" applyAlignment="1">
      <alignment horizontal="right"/>
    </xf>
    <xf numFmtId="44" fontId="7" fillId="4" borderId="54" xfId="0" applyNumberFormat="1" applyFont="1" applyFill="1" applyBorder="1" applyAlignment="1">
      <alignment horizontal="right"/>
    </xf>
    <xf numFmtId="0" fontId="0" fillId="0" borderId="1" xfId="0" applyBorder="1"/>
    <xf numFmtId="0" fontId="46" fillId="0" borderId="0" xfId="0" applyFont="1"/>
    <xf numFmtId="0" fontId="47" fillId="4" borderId="21" xfId="0" applyFont="1" applyFill="1" applyBorder="1" applyAlignment="1">
      <alignment vertical="center" wrapText="1"/>
    </xf>
    <xf numFmtId="0" fontId="48" fillId="4" borderId="20" xfId="0" applyFont="1" applyFill="1" applyBorder="1" applyAlignment="1">
      <alignment horizontal="center"/>
    </xf>
    <xf numFmtId="14" fontId="48" fillId="4" borderId="20" xfId="0" applyNumberFormat="1" applyFont="1" applyFill="1" applyBorder="1" applyAlignment="1">
      <alignment horizontal="center"/>
    </xf>
    <xf numFmtId="0" fontId="48" fillId="4" borderId="57" xfId="0" applyFont="1" applyFill="1" applyBorder="1" applyAlignment="1">
      <alignment horizontal="center"/>
    </xf>
    <xf numFmtId="44" fontId="0" fillId="0" borderId="12" xfId="2" applyFont="1" applyBorder="1"/>
    <xf numFmtId="44" fontId="0" fillId="0" borderId="22" xfId="2" applyFont="1" applyBorder="1"/>
    <xf numFmtId="1" fontId="0" fillId="2" borderId="13" xfId="0" applyNumberFormat="1" applyFill="1" applyBorder="1"/>
    <xf numFmtId="1" fontId="0" fillId="2" borderId="24" xfId="0" applyNumberFormat="1" applyFill="1" applyBorder="1"/>
    <xf numFmtId="1" fontId="0" fillId="2" borderId="12" xfId="0" applyNumberFormat="1" applyFill="1" applyBorder="1"/>
    <xf numFmtId="1" fontId="0" fillId="2" borderId="22" xfId="0" applyNumberFormat="1" applyFill="1" applyBorder="1"/>
    <xf numFmtId="43" fontId="50" fillId="2" borderId="21" xfId="0" applyNumberFormat="1" applyFont="1" applyFill="1" applyBorder="1" applyAlignment="1">
      <alignment horizontal="center" vertical="center" wrapText="1"/>
    </xf>
    <xf numFmtId="2" fontId="0" fillId="2" borderId="12" xfId="0" applyNumberFormat="1" applyFill="1" applyBorder="1"/>
    <xf numFmtId="2" fontId="0" fillId="2" borderId="22" xfId="0" applyNumberFormat="1" applyFill="1" applyBorder="1"/>
    <xf numFmtId="0" fontId="0" fillId="2" borderId="12" xfId="0" applyFill="1" applyBorder="1"/>
    <xf numFmtId="0" fontId="0" fillId="2" borderId="22" xfId="0" applyFill="1" applyBorder="1"/>
    <xf numFmtId="0" fontId="50" fillId="2" borderId="21" xfId="0" applyFont="1" applyFill="1" applyBorder="1" applyAlignment="1">
      <alignment vertical="center"/>
    </xf>
    <xf numFmtId="0" fontId="53" fillId="2" borderId="25" xfId="0" applyFont="1" applyFill="1" applyBorder="1"/>
    <xf numFmtId="10" fontId="0" fillId="2" borderId="60" xfId="3" applyNumberFormat="1" applyFont="1" applyFill="1" applyBorder="1"/>
    <xf numFmtId="10" fontId="0" fillId="2" borderId="26" xfId="3" applyNumberFormat="1" applyFont="1" applyFill="1" applyBorder="1"/>
    <xf numFmtId="44" fontId="0" fillId="0" borderId="39" xfId="0" applyNumberFormat="1" applyBorder="1"/>
    <xf numFmtId="44" fontId="0" fillId="0" borderId="12" xfId="0" applyNumberFormat="1" applyBorder="1"/>
    <xf numFmtId="44" fontId="20" fillId="0" borderId="58" xfId="0" applyNumberFormat="1" applyFont="1" applyBorder="1" applyAlignment="1">
      <alignment horizontal="center"/>
    </xf>
    <xf numFmtId="174" fontId="0" fillId="2" borderId="13" xfId="3" applyNumberFormat="1" applyFont="1" applyFill="1" applyBorder="1"/>
    <xf numFmtId="174" fontId="0" fillId="2" borderId="24" xfId="3" applyNumberFormat="1" applyFont="1" applyFill="1" applyBorder="1"/>
    <xf numFmtId="44" fontId="0" fillId="0" borderId="13" xfId="0" applyNumberFormat="1" applyBorder="1"/>
    <xf numFmtId="44" fontId="0" fillId="0" borderId="24" xfId="0" applyNumberFormat="1" applyBorder="1"/>
    <xf numFmtId="44" fontId="0" fillId="2" borderId="39" xfId="0" applyNumberFormat="1" applyFill="1" applyBorder="1"/>
    <xf numFmtId="44" fontId="0" fillId="2" borderId="28" xfId="0" applyNumberFormat="1" applyFill="1" applyBorder="1"/>
    <xf numFmtId="44" fontId="0" fillId="0" borderId="63" xfId="0" applyNumberFormat="1" applyBorder="1"/>
    <xf numFmtId="0" fontId="49" fillId="0" borderId="0" xfId="0" applyFont="1" applyAlignment="1">
      <alignment horizontal="center" wrapText="1"/>
    </xf>
    <xf numFmtId="44" fontId="0" fillId="0" borderId="0" xfId="0" applyNumberFormat="1" applyAlignment="1">
      <alignment horizontal="center"/>
    </xf>
    <xf numFmtId="0" fontId="47" fillId="4" borderId="0" xfId="0" applyFont="1" applyFill="1" applyAlignment="1">
      <alignment vertical="center" wrapText="1"/>
    </xf>
    <xf numFmtId="174" fontId="0" fillId="2" borderId="22" xfId="3" applyNumberFormat="1" applyFont="1" applyFill="1" applyBorder="1"/>
    <xf numFmtId="44" fontId="0" fillId="2" borderId="22" xfId="2" applyFont="1" applyFill="1" applyBorder="1"/>
    <xf numFmtId="44" fontId="0" fillId="0" borderId="30" xfId="2" applyFont="1" applyBorder="1"/>
    <xf numFmtId="176" fontId="0" fillId="2" borderId="22" xfId="0" applyNumberFormat="1" applyFill="1" applyBorder="1"/>
    <xf numFmtId="174" fontId="0" fillId="2" borderId="28" xfId="3" applyNumberFormat="1" applyFont="1" applyFill="1" applyBorder="1"/>
    <xf numFmtId="44" fontId="0" fillId="2" borderId="12" xfId="2" applyFont="1" applyFill="1" applyBorder="1"/>
    <xf numFmtId="174" fontId="0" fillId="2" borderId="39" xfId="3" applyNumberFormat="1" applyFont="1" applyFill="1" applyBorder="1"/>
    <xf numFmtId="43" fontId="51" fillId="2" borderId="13" xfId="0" applyNumberFormat="1" applyFont="1" applyFill="1" applyBorder="1" applyAlignment="1">
      <alignment horizontal="right"/>
    </xf>
    <xf numFmtId="0" fontId="52" fillId="2" borderId="12" xfId="0" applyFont="1" applyFill="1" applyBorder="1" applyAlignment="1">
      <alignment horizontal="right"/>
    </xf>
    <xf numFmtId="43" fontId="51" fillId="2" borderId="12" xfId="0" applyNumberFormat="1" applyFont="1" applyFill="1" applyBorder="1" applyAlignment="1">
      <alignment horizontal="right"/>
    </xf>
    <xf numFmtId="0" fontId="51" fillId="2" borderId="12" xfId="0" applyFont="1" applyFill="1" applyBorder="1" applyAlignment="1">
      <alignment horizontal="right"/>
    </xf>
    <xf numFmtId="0" fontId="54" fillId="2" borderId="60" xfId="0" applyFont="1" applyFill="1" applyBorder="1" applyAlignment="1">
      <alignment horizontal="right"/>
    </xf>
    <xf numFmtId="166" fontId="20" fillId="2" borderId="12" xfId="1" applyNumberFormat="1" applyFont="1" applyFill="1" applyBorder="1" applyAlignment="1">
      <alignment horizontal="center"/>
    </xf>
    <xf numFmtId="174" fontId="0" fillId="2" borderId="12" xfId="3" applyNumberFormat="1" applyFont="1" applyFill="1" applyBorder="1"/>
    <xf numFmtId="176" fontId="0" fillId="2" borderId="12" xfId="0" applyNumberFormat="1" applyFill="1" applyBorder="1"/>
    <xf numFmtId="44" fontId="20" fillId="2" borderId="62" xfId="0" applyNumberFormat="1" applyFont="1" applyFill="1" applyBorder="1" applyAlignment="1">
      <alignment horizontal="center"/>
    </xf>
    <xf numFmtId="172" fontId="10" fillId="0" borderId="50" xfId="0" applyNumberFormat="1" applyFont="1" applyBorder="1"/>
    <xf numFmtId="169" fontId="31" fillId="4" borderId="17" xfId="0" applyNumberFormat="1" applyFont="1" applyFill="1" applyBorder="1" applyAlignment="1">
      <alignment horizontal="center" vertical="center"/>
    </xf>
    <xf numFmtId="14" fontId="9" fillId="0" borderId="45" xfId="0" applyNumberFormat="1" applyFont="1" applyBorder="1"/>
    <xf numFmtId="166" fontId="10" fillId="0" borderId="45" xfId="0" applyNumberFormat="1" applyFont="1" applyBorder="1" applyAlignment="1">
      <alignment horizontal="right" vertical="center"/>
    </xf>
    <xf numFmtId="166" fontId="16" fillId="2" borderId="45" xfId="1" applyNumberFormat="1" applyFont="1" applyFill="1" applyBorder="1" applyAlignment="1">
      <alignment horizontal="right"/>
    </xf>
    <xf numFmtId="172" fontId="10" fillId="0" borderId="45" xfId="0" applyNumberFormat="1" applyFont="1" applyBorder="1"/>
    <xf numFmtId="173" fontId="37" fillId="10" borderId="45" xfId="0" applyNumberFormat="1" applyFont="1" applyFill="1" applyBorder="1" applyAlignment="1">
      <alignment horizontal="right"/>
    </xf>
    <xf numFmtId="0" fontId="10" fillId="0" borderId="45" xfId="0" applyFont="1" applyBorder="1"/>
    <xf numFmtId="173" fontId="11" fillId="0" borderId="45" xfId="0" applyNumberFormat="1" applyFont="1" applyBorder="1"/>
    <xf numFmtId="43" fontId="10" fillId="0" borderId="45" xfId="1" applyFont="1" applyBorder="1" applyAlignment="1">
      <alignment horizontal="right" vertical="center"/>
    </xf>
    <xf numFmtId="170" fontId="31" fillId="4" borderId="68" xfId="0" applyNumberFormat="1" applyFont="1" applyFill="1" applyBorder="1" applyAlignment="1">
      <alignment horizontal="center" vertical="center"/>
    </xf>
    <xf numFmtId="0" fontId="0" fillId="0" borderId="69" xfId="0" applyBorder="1"/>
    <xf numFmtId="166" fontId="0" fillId="0" borderId="69" xfId="0" applyNumberFormat="1" applyBorder="1" applyAlignment="1">
      <alignment horizontal="right" vertical="center"/>
    </xf>
    <xf numFmtId="171" fontId="16" fillId="2" borderId="68" xfId="2" applyNumberFormat="1" applyFont="1" applyFill="1" applyBorder="1" applyAlignment="1">
      <alignment horizontal="right"/>
    </xf>
    <xf numFmtId="172" fontId="0" fillId="0" borderId="69" xfId="0" applyNumberFormat="1" applyBorder="1"/>
    <xf numFmtId="171" fontId="31" fillId="10" borderId="48" xfId="2" applyNumberFormat="1" applyFont="1" applyFill="1" applyBorder="1"/>
    <xf numFmtId="171" fontId="31" fillId="10" borderId="68" xfId="2" applyNumberFormat="1" applyFont="1" applyFill="1" applyBorder="1"/>
    <xf numFmtId="173" fontId="33" fillId="10" borderId="69" xfId="0" applyNumberFormat="1" applyFont="1" applyFill="1" applyBorder="1" applyAlignment="1">
      <alignment horizontal="right"/>
    </xf>
    <xf numFmtId="171" fontId="10" fillId="2" borderId="68" xfId="2" applyNumberFormat="1" applyFont="1" applyFill="1" applyBorder="1"/>
    <xf numFmtId="173" fontId="34" fillId="0" borderId="69" xfId="0" applyNumberFormat="1" applyFont="1" applyBorder="1"/>
    <xf numFmtId="43" fontId="0" fillId="0" borderId="69" xfId="1" applyFont="1" applyBorder="1"/>
    <xf numFmtId="0" fontId="0" fillId="0" borderId="70" xfId="0" applyBorder="1"/>
    <xf numFmtId="171" fontId="16" fillId="2" borderId="69" xfId="2" applyNumberFormat="1" applyFont="1" applyFill="1" applyBorder="1" applyAlignment="1">
      <alignment horizontal="right"/>
    </xf>
    <xf numFmtId="166" fontId="16" fillId="2" borderId="69" xfId="1" applyNumberFormat="1" applyFont="1" applyFill="1" applyBorder="1" applyAlignment="1">
      <alignment horizontal="right"/>
    </xf>
    <xf numFmtId="174" fontId="44" fillId="2" borderId="8" xfId="3" applyNumberFormat="1" applyFont="1" applyFill="1" applyBorder="1"/>
    <xf numFmtId="171" fontId="16" fillId="2" borderId="4" xfId="2" applyNumberFormat="1" applyFont="1" applyFill="1" applyBorder="1" applyAlignment="1">
      <alignment horizontal="right"/>
    </xf>
    <xf numFmtId="171" fontId="16" fillId="2" borderId="3" xfId="2" applyNumberFormat="1" applyFont="1" applyFill="1" applyBorder="1"/>
    <xf numFmtId="171" fontId="16" fillId="2" borderId="40" xfId="2" applyNumberFormat="1" applyFont="1" applyFill="1" applyBorder="1"/>
    <xf numFmtId="166" fontId="16" fillId="2" borderId="5" xfId="1" applyNumberFormat="1" applyFont="1" applyFill="1" applyBorder="1"/>
    <xf numFmtId="166" fontId="16" fillId="2" borderId="6" xfId="1" applyNumberFormat="1" applyFont="1" applyFill="1" applyBorder="1"/>
    <xf numFmtId="166" fontId="16" fillId="2" borderId="3" xfId="1" applyNumberFormat="1" applyFont="1" applyFill="1" applyBorder="1"/>
    <xf numFmtId="166" fontId="16" fillId="2" borderId="40" xfId="1" applyNumberFormat="1" applyFont="1" applyFill="1" applyBorder="1"/>
    <xf numFmtId="44" fontId="0" fillId="0" borderId="45" xfId="2" applyFont="1" applyBorder="1"/>
    <xf numFmtId="166" fontId="16" fillId="2" borderId="14" xfId="1" applyNumberFormat="1" applyFont="1" applyFill="1" applyBorder="1" applyAlignment="1">
      <alignment horizontal="right"/>
    </xf>
    <xf numFmtId="44" fontId="16" fillId="13" borderId="43" xfId="2" applyFont="1" applyFill="1" applyBorder="1" applyAlignment="1">
      <alignment horizontal="right"/>
    </xf>
    <xf numFmtId="44" fontId="16" fillId="13" borderId="42" xfId="2" applyFont="1" applyFill="1" applyBorder="1" applyAlignment="1">
      <alignment horizontal="right"/>
    </xf>
    <xf numFmtId="44" fontId="16" fillId="13" borderId="41" xfId="2" applyFont="1" applyFill="1" applyBorder="1" applyAlignment="1">
      <alignment horizontal="right"/>
    </xf>
    <xf numFmtId="0" fontId="16" fillId="14" borderId="44" xfId="0" applyFont="1" applyFill="1" applyBorder="1" applyAlignment="1">
      <alignment horizontal="right"/>
    </xf>
    <xf numFmtId="44" fontId="28" fillId="14" borderId="43" xfId="2" applyFont="1" applyFill="1" applyBorder="1" applyAlignment="1">
      <alignment horizontal="right"/>
    </xf>
    <xf numFmtId="44" fontId="28" fillId="14" borderId="42" xfId="2" applyFont="1" applyFill="1" applyBorder="1" applyAlignment="1">
      <alignment horizontal="right"/>
    </xf>
    <xf numFmtId="44" fontId="28" fillId="14" borderId="41" xfId="2" applyFont="1" applyFill="1" applyBorder="1" applyAlignment="1">
      <alignment horizontal="right"/>
    </xf>
    <xf numFmtId="43" fontId="20" fillId="0" borderId="0" xfId="1" applyFont="1"/>
    <xf numFmtId="43" fontId="20" fillId="0" borderId="45" xfId="1" applyFont="1" applyBorder="1"/>
    <xf numFmtId="0" fontId="7" fillId="4" borderId="12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14" fontId="7" fillId="4" borderId="12" xfId="0" applyNumberFormat="1" applyFont="1" applyFill="1" applyBorder="1" applyAlignment="1">
      <alignment horizontal="center"/>
    </xf>
    <xf numFmtId="166" fontId="20" fillId="2" borderId="59" xfId="1" applyNumberFormat="1" applyFont="1" applyFill="1" applyBorder="1" applyAlignment="1">
      <alignment horizontal="center" vertical="center"/>
    </xf>
    <xf numFmtId="166" fontId="20" fillId="2" borderId="58" xfId="1" applyNumberFormat="1" applyFont="1" applyFill="1" applyBorder="1" applyAlignment="1">
      <alignment horizontal="center" vertical="center"/>
    </xf>
    <xf numFmtId="174" fontId="20" fillId="2" borderId="58" xfId="1" applyNumberFormat="1" applyFont="1" applyFill="1" applyBorder="1" applyAlignment="1">
      <alignment horizontal="right" vertical="center"/>
    </xf>
    <xf numFmtId="178" fontId="20" fillId="2" borderId="58" xfId="1" applyNumberFormat="1" applyFont="1" applyFill="1" applyBorder="1" applyAlignment="1">
      <alignment horizontal="center" vertical="center"/>
    </xf>
    <xf numFmtId="43" fontId="20" fillId="2" borderId="58" xfId="1" applyFont="1" applyFill="1" applyBorder="1" applyAlignment="1">
      <alignment horizontal="center" vertical="center"/>
    </xf>
    <xf numFmtId="44" fontId="20" fillId="2" borderId="58" xfId="2" applyFont="1" applyFill="1" applyBorder="1" applyAlignment="1">
      <alignment horizontal="center" vertical="center"/>
    </xf>
    <xf numFmtId="44" fontId="20" fillId="2" borderId="58" xfId="0" applyNumberFormat="1" applyFont="1" applyFill="1" applyBorder="1" applyAlignment="1">
      <alignment horizontal="center"/>
    </xf>
    <xf numFmtId="10" fontId="20" fillId="2" borderId="61" xfId="3" applyNumberFormat="1" applyFont="1" applyFill="1" applyBorder="1" applyAlignment="1">
      <alignment horizontal="center"/>
    </xf>
    <xf numFmtId="44" fontId="20" fillId="0" borderId="62" xfId="0" applyNumberFormat="1" applyFont="1" applyBorder="1" applyAlignment="1">
      <alignment horizontal="center"/>
    </xf>
    <xf numFmtId="174" fontId="20" fillId="2" borderId="62" xfId="0" applyNumberFormat="1" applyFont="1" applyFill="1" applyBorder="1" applyAlignment="1">
      <alignment horizontal="center"/>
    </xf>
    <xf numFmtId="174" fontId="20" fillId="2" borderId="59" xfId="0" applyNumberFormat="1" applyFont="1" applyFill="1" applyBorder="1" applyAlignment="1">
      <alignment horizontal="center"/>
    </xf>
    <xf numFmtId="44" fontId="20" fillId="0" borderId="59" xfId="0" applyNumberFormat="1" applyFont="1" applyBorder="1" applyAlignment="1">
      <alignment horizontal="center"/>
    </xf>
    <xf numFmtId="44" fontId="20" fillId="0" borderId="64" xfId="0" applyNumberFormat="1" applyFont="1" applyBorder="1" applyAlignment="1">
      <alignment horizontal="center"/>
    </xf>
    <xf numFmtId="170" fontId="31" fillId="4" borderId="72" xfId="0" applyNumberFormat="1" applyFont="1" applyFill="1" applyBorder="1" applyAlignment="1">
      <alignment horizontal="center" vertical="center"/>
    </xf>
    <xf numFmtId="0" fontId="0" fillId="0" borderId="73" xfId="0" applyBorder="1"/>
    <xf numFmtId="166" fontId="0" fillId="0" borderId="73" xfId="0" applyNumberFormat="1" applyBorder="1" applyAlignment="1">
      <alignment horizontal="right" vertical="center"/>
    </xf>
    <xf numFmtId="171" fontId="16" fillId="2" borderId="72" xfId="2" applyNumberFormat="1" applyFont="1" applyFill="1" applyBorder="1" applyAlignment="1">
      <alignment horizontal="right"/>
    </xf>
    <xf numFmtId="166" fontId="16" fillId="2" borderId="72" xfId="1" applyNumberFormat="1" applyFont="1" applyFill="1" applyBorder="1" applyAlignment="1">
      <alignment horizontal="center"/>
    </xf>
    <xf numFmtId="171" fontId="16" fillId="2" borderId="71" xfId="2" applyNumberFormat="1" applyFont="1" applyFill="1" applyBorder="1" applyAlignment="1">
      <alignment horizontal="center"/>
    </xf>
    <xf numFmtId="172" fontId="0" fillId="0" borderId="73" xfId="0" applyNumberFormat="1" applyBorder="1"/>
    <xf numFmtId="171" fontId="31" fillId="10" borderId="72" xfId="2" applyNumberFormat="1" applyFont="1" applyFill="1" applyBorder="1"/>
    <xf numFmtId="173" fontId="33" fillId="10" borderId="73" xfId="0" applyNumberFormat="1" applyFont="1" applyFill="1" applyBorder="1" applyAlignment="1">
      <alignment horizontal="right"/>
    </xf>
    <xf numFmtId="171" fontId="10" fillId="2" borderId="72" xfId="2" applyNumberFormat="1" applyFont="1" applyFill="1" applyBorder="1"/>
    <xf numFmtId="173" fontId="34" fillId="0" borderId="73" xfId="0" applyNumberFormat="1" applyFont="1" applyBorder="1"/>
    <xf numFmtId="43" fontId="0" fillId="0" borderId="73" xfId="1" applyFont="1" applyBorder="1"/>
    <xf numFmtId="173" fontId="33" fillId="10" borderId="74" xfId="0" applyNumberFormat="1" applyFont="1" applyFill="1" applyBorder="1" applyAlignment="1">
      <alignment horizontal="right"/>
    </xf>
    <xf numFmtId="169" fontId="31" fillId="4" borderId="45" xfId="0" applyNumberFormat="1" applyFont="1" applyFill="1" applyBorder="1" applyAlignment="1">
      <alignment horizontal="center" vertical="center"/>
    </xf>
    <xf numFmtId="166" fontId="0" fillId="0" borderId="45" xfId="0" applyNumberFormat="1" applyBorder="1" applyAlignment="1">
      <alignment horizontal="right" vertical="center"/>
    </xf>
    <xf numFmtId="171" fontId="16" fillId="2" borderId="45" xfId="2" applyNumberFormat="1" applyFont="1" applyFill="1" applyBorder="1" applyAlignment="1">
      <alignment horizontal="right"/>
    </xf>
    <xf numFmtId="172" fontId="0" fillId="0" borderId="45" xfId="0" applyNumberFormat="1" applyBorder="1"/>
    <xf numFmtId="173" fontId="34" fillId="0" borderId="45" xfId="0" applyNumberFormat="1" applyFont="1" applyBorder="1"/>
    <xf numFmtId="43" fontId="0" fillId="0" borderId="45" xfId="1" applyFont="1" applyBorder="1" applyAlignment="1">
      <alignment horizontal="right" vertical="center"/>
    </xf>
    <xf numFmtId="0" fontId="9" fillId="4" borderId="8" xfId="0" applyFont="1" applyFill="1" applyBorder="1" applyAlignment="1">
      <alignment horizontal="center"/>
    </xf>
    <xf numFmtId="14" fontId="7" fillId="4" borderId="0" xfId="0" applyNumberFormat="1" applyFont="1" applyFill="1"/>
    <xf numFmtId="9" fontId="36" fillId="0" borderId="0" xfId="3" applyFont="1" applyAlignment="1">
      <alignment horizontal="center"/>
    </xf>
    <xf numFmtId="0" fontId="0" fillId="7" borderId="3" xfId="0" applyFill="1" applyBorder="1"/>
    <xf numFmtId="0" fontId="4" fillId="7" borderId="3" xfId="0" applyFont="1" applyFill="1" applyBorder="1" applyAlignment="1">
      <alignment horizontal="left" wrapText="1"/>
    </xf>
    <xf numFmtId="44" fontId="10" fillId="7" borderId="3" xfId="0" applyNumberFormat="1" applyFont="1" applyFill="1" applyBorder="1"/>
    <xf numFmtId="174" fontId="10" fillId="7" borderId="3" xfId="3" applyNumberFormat="1" applyFont="1" applyFill="1" applyBorder="1"/>
    <xf numFmtId="174" fontId="10" fillId="7" borderId="14" xfId="3" applyNumberFormat="1" applyFont="1" applyFill="1" applyBorder="1"/>
    <xf numFmtId="44" fontId="28" fillId="0" borderId="45" xfId="2" applyFont="1" applyBorder="1"/>
    <xf numFmtId="44" fontId="28" fillId="0" borderId="0" xfId="2" applyFont="1"/>
    <xf numFmtId="171" fontId="29" fillId="0" borderId="0" xfId="2" applyNumberFormat="1" applyFont="1"/>
    <xf numFmtId="0" fontId="0" fillId="0" borderId="67" xfId="0" applyBorder="1"/>
    <xf numFmtId="171" fontId="0" fillId="0" borderId="3" xfId="2" applyNumberFormat="1" applyFont="1" applyBorder="1"/>
    <xf numFmtId="171" fontId="0" fillId="0" borderId="14" xfId="2" applyNumberFormat="1" applyFont="1" applyBorder="1"/>
    <xf numFmtId="166" fontId="0" fillId="2" borderId="22" xfId="1" applyNumberFormat="1" applyFont="1" applyFill="1" applyBorder="1"/>
    <xf numFmtId="166" fontId="0" fillId="2" borderId="75" xfId="1" applyNumberFormat="1" applyFont="1" applyFill="1" applyBorder="1"/>
    <xf numFmtId="166" fontId="16" fillId="2" borderId="1" xfId="1" applyNumberFormat="1" applyFont="1" applyFill="1" applyBorder="1" applyAlignment="1">
      <alignment horizontal="right"/>
    </xf>
    <xf numFmtId="166" fontId="16" fillId="7" borderId="53" xfId="1" applyNumberFormat="1" applyFont="1" applyFill="1" applyBorder="1" applyAlignment="1">
      <alignment horizontal="right"/>
    </xf>
    <xf numFmtId="166" fontId="16" fillId="2" borderId="76" xfId="1" applyNumberFormat="1" applyFont="1" applyFill="1" applyBorder="1" applyAlignment="1">
      <alignment horizontal="right"/>
    </xf>
    <xf numFmtId="44" fontId="7" fillId="4" borderId="53" xfId="0" applyNumberFormat="1" applyFont="1" applyFill="1" applyBorder="1" applyAlignment="1">
      <alignment horizontal="right"/>
    </xf>
    <xf numFmtId="0" fontId="0" fillId="0" borderId="77" xfId="0" applyBorder="1"/>
    <xf numFmtId="0" fontId="0" fillId="0" borderId="20" xfId="0" applyBorder="1"/>
    <xf numFmtId="0" fontId="0" fillId="0" borderId="78" xfId="0" applyBorder="1"/>
    <xf numFmtId="0" fontId="0" fillId="0" borderId="21" xfId="0" applyBorder="1"/>
    <xf numFmtId="0" fontId="0" fillId="0" borderId="22" xfId="0" applyBorder="1"/>
    <xf numFmtId="0" fontId="9" fillId="0" borderId="0" xfId="0" applyFont="1"/>
    <xf numFmtId="0" fontId="30" fillId="4" borderId="23" xfId="0" applyFont="1" applyFill="1" applyBorder="1" applyAlignment="1">
      <alignment horizontal="right" vertical="center"/>
    </xf>
    <xf numFmtId="0" fontId="0" fillId="0" borderId="21" xfId="0" applyBorder="1" applyAlignment="1">
      <alignment horizontal="right"/>
    </xf>
    <xf numFmtId="0" fontId="0" fillId="0" borderId="21" xfId="0" applyBorder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71" fontId="16" fillId="2" borderId="23" xfId="2" applyNumberFormat="1" applyFont="1" applyFill="1" applyBorder="1" applyAlignment="1">
      <alignment horizontal="right"/>
    </xf>
    <xf numFmtId="171" fontId="16" fillId="2" borderId="21" xfId="2" applyNumberFormat="1" applyFont="1" applyFill="1" applyBorder="1" applyAlignment="1">
      <alignment horizontal="right"/>
    </xf>
    <xf numFmtId="171" fontId="16" fillId="2" borderId="31" xfId="2" applyNumberFormat="1" applyFont="1" applyFill="1" applyBorder="1" applyAlignment="1">
      <alignment horizontal="right"/>
    </xf>
    <xf numFmtId="172" fontId="10" fillId="0" borderId="0" xfId="0" applyNumberFormat="1" applyFont="1"/>
    <xf numFmtId="171" fontId="31" fillId="10" borderId="23" xfId="2" applyNumberFormat="1" applyFont="1" applyFill="1" applyBorder="1" applyAlignment="1">
      <alignment horizontal="right"/>
    </xf>
    <xf numFmtId="171" fontId="31" fillId="0" borderId="27" xfId="2" applyNumberFormat="1" applyFont="1" applyBorder="1" applyAlignment="1">
      <alignment horizontal="right"/>
    </xf>
    <xf numFmtId="0" fontId="33" fillId="10" borderId="21" xfId="0" applyFont="1" applyFill="1" applyBorder="1" applyAlignment="1">
      <alignment horizontal="right"/>
    </xf>
    <xf numFmtId="173" fontId="37" fillId="10" borderId="0" xfId="0" applyNumberFormat="1" applyFont="1" applyFill="1" applyAlignment="1">
      <alignment horizontal="right"/>
    </xf>
    <xf numFmtId="0" fontId="10" fillId="0" borderId="0" xfId="0" applyFont="1"/>
    <xf numFmtId="0" fontId="10" fillId="2" borderId="23" xfId="0" applyFont="1" applyFill="1" applyBorder="1" applyAlignment="1">
      <alignment horizontal="right"/>
    </xf>
    <xf numFmtId="0" fontId="34" fillId="0" borderId="21" xfId="0" applyFont="1" applyBorder="1" applyAlignment="1">
      <alignment horizontal="right"/>
    </xf>
    <xf numFmtId="173" fontId="11" fillId="0" borderId="0" xfId="0" applyNumberFormat="1" applyFont="1"/>
    <xf numFmtId="171" fontId="0" fillId="0" borderId="0" xfId="0" applyNumberFormat="1"/>
    <xf numFmtId="0" fontId="7" fillId="4" borderId="79" xfId="0" applyFont="1" applyFill="1" applyBorder="1" applyAlignment="1">
      <alignment horizontal="right"/>
    </xf>
    <xf numFmtId="0" fontId="7" fillId="4" borderId="31" xfId="0" applyFont="1" applyFill="1" applyBorder="1" applyAlignment="1">
      <alignment horizontal="right"/>
    </xf>
    <xf numFmtId="0" fontId="0" fillId="0" borderId="80" xfId="0" applyBorder="1"/>
    <xf numFmtId="0" fontId="0" fillId="0" borderId="30" xfId="0" applyBorder="1"/>
    <xf numFmtId="166" fontId="0" fillId="0" borderId="0" xfId="0" applyNumberFormat="1"/>
    <xf numFmtId="171" fontId="18" fillId="3" borderId="0" xfId="2" applyNumberFormat="1" applyFont="1" applyFill="1"/>
    <xf numFmtId="44" fontId="33" fillId="10" borderId="0" xfId="2" applyFont="1" applyFill="1" applyAlignment="1">
      <alignment horizontal="right"/>
    </xf>
    <xf numFmtId="171" fontId="33" fillId="10" borderId="0" xfId="2" applyNumberFormat="1" applyFont="1" applyFill="1" applyAlignment="1">
      <alignment horizontal="right"/>
    </xf>
    <xf numFmtId="171" fontId="33" fillId="10" borderId="6" xfId="2" applyNumberFormat="1" applyFont="1" applyFill="1" applyBorder="1" applyAlignment="1">
      <alignment horizontal="right"/>
    </xf>
    <xf numFmtId="171" fontId="33" fillId="10" borderId="4" xfId="2" applyNumberFormat="1" applyFont="1" applyFill="1" applyBorder="1" applyAlignment="1">
      <alignment horizontal="right"/>
    </xf>
    <xf numFmtId="0" fontId="23" fillId="0" borderId="9" xfId="0" applyFont="1" applyBorder="1" applyAlignment="1">
      <alignment horizontal="right"/>
    </xf>
    <xf numFmtId="171" fontId="22" fillId="0" borderId="10" xfId="2" applyNumberFormat="1" applyFont="1" applyBorder="1"/>
    <xf numFmtId="171" fontId="22" fillId="0" borderId="11" xfId="2" applyNumberFormat="1" applyFont="1" applyBorder="1"/>
    <xf numFmtId="171" fontId="22" fillId="0" borderId="9" xfId="2" applyNumberFormat="1" applyFont="1" applyBorder="1"/>
    <xf numFmtId="174" fontId="42" fillId="3" borderId="3" xfId="3" applyNumberFormat="1" applyFont="1" applyFill="1" applyBorder="1"/>
    <xf numFmtId="174" fontId="16" fillId="7" borderId="0" xfId="3" applyNumberFormat="1" applyFont="1" applyFill="1"/>
    <xf numFmtId="44" fontId="28" fillId="0" borderId="3" xfId="0" applyNumberFormat="1" applyFont="1" applyBorder="1"/>
    <xf numFmtId="14" fontId="48" fillId="4" borderId="0" xfId="0" applyNumberFormat="1" applyFont="1" applyFill="1" applyAlignment="1">
      <alignment horizontal="center"/>
    </xf>
    <xf numFmtId="0" fontId="0" fillId="0" borderId="81" xfId="0" applyBorder="1"/>
    <xf numFmtId="43" fontId="9" fillId="0" borderId="8" xfId="0" applyNumberFormat="1" applyFont="1" applyBorder="1"/>
    <xf numFmtId="44" fontId="0" fillId="0" borderId="83" xfId="2" applyFont="1" applyBorder="1"/>
    <xf numFmtId="1" fontId="0" fillId="2" borderId="84" xfId="0" applyNumberFormat="1" applyFill="1" applyBorder="1"/>
    <xf numFmtId="166" fontId="20" fillId="2" borderId="83" xfId="1" applyNumberFormat="1" applyFont="1" applyFill="1" applyBorder="1" applyAlignment="1">
      <alignment horizontal="center"/>
    </xf>
    <xf numFmtId="1" fontId="0" fillId="2" borderId="83" xfId="0" applyNumberFormat="1" applyFill="1" applyBorder="1"/>
    <xf numFmtId="166" fontId="0" fillId="2" borderId="83" xfId="1" applyNumberFormat="1" applyFont="1" applyFill="1" applyBorder="1"/>
    <xf numFmtId="174" fontId="0" fillId="2" borderId="83" xfId="3" applyNumberFormat="1" applyFont="1" applyFill="1" applyBorder="1"/>
    <xf numFmtId="176" fontId="0" fillId="2" borderId="83" xfId="0" applyNumberFormat="1" applyFill="1" applyBorder="1"/>
    <xf numFmtId="2" fontId="0" fillId="2" borderId="83" xfId="0" applyNumberFormat="1" applyFill="1" applyBorder="1"/>
    <xf numFmtId="44" fontId="0" fillId="2" borderId="83" xfId="2" applyFont="1" applyFill="1" applyBorder="1"/>
    <xf numFmtId="0" fontId="0" fillId="2" borderId="83" xfId="0" applyFill="1" applyBorder="1"/>
    <xf numFmtId="10" fontId="0" fillId="2" borderId="85" xfId="3" applyNumberFormat="1" applyFont="1" applyFill="1" applyBorder="1"/>
    <xf numFmtId="44" fontId="0" fillId="0" borderId="86" xfId="0" applyNumberFormat="1" applyBorder="1"/>
    <xf numFmtId="44" fontId="0" fillId="0" borderId="83" xfId="0" applyNumberFormat="1" applyBorder="1"/>
    <xf numFmtId="174" fontId="0" fillId="2" borderId="86" xfId="3" applyNumberFormat="1" applyFont="1" applyFill="1" applyBorder="1"/>
    <xf numFmtId="174" fontId="0" fillId="2" borderId="84" xfId="3" applyNumberFormat="1" applyFont="1" applyFill="1" applyBorder="1"/>
    <xf numFmtId="44" fontId="0" fillId="0" borderId="84" xfId="0" applyNumberFormat="1" applyBorder="1"/>
    <xf numFmtId="44" fontId="0" fillId="2" borderId="86" xfId="0" applyNumberFormat="1" applyFill="1" applyBorder="1"/>
    <xf numFmtId="44" fontId="0" fillId="0" borderId="82" xfId="0" applyNumberFormat="1" applyBorder="1"/>
    <xf numFmtId="166" fontId="20" fillId="2" borderId="22" xfId="1" applyNumberFormat="1" applyFont="1" applyFill="1" applyBorder="1" applyAlignment="1">
      <alignment horizontal="center"/>
    </xf>
    <xf numFmtId="44" fontId="0" fillId="0" borderId="30" xfId="0" applyNumberFormat="1" applyBorder="1"/>
    <xf numFmtId="14" fontId="57" fillId="4" borderId="0" xfId="0" applyNumberFormat="1" applyFont="1" applyFill="1" applyAlignment="1">
      <alignment horizontal="center"/>
    </xf>
    <xf numFmtId="14" fontId="57" fillId="4" borderId="20" xfId="0" applyNumberFormat="1" applyFont="1" applyFill="1" applyBorder="1" applyAlignment="1">
      <alignment horizontal="center"/>
    </xf>
    <xf numFmtId="166" fontId="19" fillId="3" borderId="17" xfId="1" applyNumberFormat="1" applyFont="1" applyFill="1" applyBorder="1"/>
    <xf numFmtId="166" fontId="19" fillId="3" borderId="45" xfId="1" applyNumberFormat="1" applyFont="1" applyFill="1" applyBorder="1"/>
    <xf numFmtId="166" fontId="3" fillId="0" borderId="45" xfId="1" applyNumberFormat="1" applyFont="1" applyBorder="1"/>
    <xf numFmtId="166" fontId="56" fillId="0" borderId="45" xfId="1" applyNumberFormat="1" applyFont="1" applyBorder="1"/>
    <xf numFmtId="174" fontId="43" fillId="0" borderId="45" xfId="3" applyNumberFormat="1" applyFont="1" applyBorder="1"/>
    <xf numFmtId="174" fontId="28" fillId="0" borderId="45" xfId="3" applyNumberFormat="1" applyFont="1" applyBorder="1"/>
    <xf numFmtId="166" fontId="18" fillId="0" borderId="45" xfId="1" applyNumberFormat="1" applyFont="1" applyBorder="1"/>
    <xf numFmtId="166" fontId="20" fillId="0" borderId="45" xfId="1" applyNumberFormat="1" applyFont="1" applyBorder="1"/>
    <xf numFmtId="43" fontId="17" fillId="0" borderId="45" xfId="1" applyFont="1" applyBorder="1"/>
    <xf numFmtId="44" fontId="17" fillId="0" borderId="45" xfId="2" applyFont="1" applyBorder="1"/>
    <xf numFmtId="174" fontId="44" fillId="0" borderId="45" xfId="3" applyNumberFormat="1" applyFont="1" applyBorder="1"/>
    <xf numFmtId="174" fontId="17" fillId="0" borderId="45" xfId="3" applyNumberFormat="1" applyFont="1" applyBorder="1"/>
    <xf numFmtId="174" fontId="40" fillId="0" borderId="45" xfId="3" applyNumberFormat="1" applyFont="1" applyBorder="1"/>
    <xf numFmtId="44" fontId="40" fillId="0" borderId="45" xfId="2" applyFont="1" applyBorder="1"/>
    <xf numFmtId="177" fontId="17" fillId="0" borderId="45" xfId="2" applyNumberFormat="1" applyFont="1" applyBorder="1"/>
    <xf numFmtId="164" fontId="5" fillId="0" borderId="45" xfId="0" applyNumberFormat="1" applyFont="1" applyBorder="1" applyAlignment="1">
      <alignment wrapText="1"/>
    </xf>
    <xf numFmtId="44" fontId="42" fillId="13" borderId="88" xfId="2" applyFont="1" applyFill="1" applyBorder="1" applyAlignment="1">
      <alignment horizontal="right"/>
    </xf>
    <xf numFmtId="44" fontId="28" fillId="14" borderId="88" xfId="2" applyFont="1" applyFill="1" applyBorder="1" applyAlignment="1">
      <alignment horizontal="right"/>
    </xf>
    <xf numFmtId="44" fontId="16" fillId="13" borderId="88" xfId="2" applyFont="1" applyFill="1" applyBorder="1" applyAlignment="1">
      <alignment horizontal="right"/>
    </xf>
    <xf numFmtId="169" fontId="31" fillId="4" borderId="87" xfId="0" applyNumberFormat="1" applyFont="1" applyFill="1" applyBorder="1" applyAlignment="1">
      <alignment horizontal="center" vertical="center"/>
    </xf>
    <xf numFmtId="14" fontId="9" fillId="0" borderId="87" xfId="0" applyNumberFormat="1" applyFont="1" applyBorder="1"/>
    <xf numFmtId="166" fontId="0" fillId="0" borderId="87" xfId="0" applyNumberFormat="1" applyBorder="1" applyAlignment="1">
      <alignment horizontal="right" vertical="center"/>
    </xf>
    <xf numFmtId="171" fontId="16" fillId="2" borderId="89" xfId="2" applyNumberFormat="1" applyFont="1" applyFill="1" applyBorder="1" applyAlignment="1">
      <alignment horizontal="right"/>
    </xf>
    <xf numFmtId="166" fontId="16" fillId="2" borderId="90" xfId="1" applyNumberFormat="1" applyFont="1" applyFill="1" applyBorder="1" applyAlignment="1">
      <alignment horizontal="right"/>
    </xf>
    <xf numFmtId="171" fontId="16" fillId="2" borderId="87" xfId="2" applyNumberFormat="1" applyFont="1" applyFill="1" applyBorder="1" applyAlignment="1">
      <alignment horizontal="right"/>
    </xf>
    <xf numFmtId="172" fontId="0" fillId="0" borderId="87" xfId="0" applyNumberFormat="1" applyBorder="1"/>
    <xf numFmtId="171" fontId="31" fillId="10" borderId="89" xfId="2" applyNumberFormat="1" applyFont="1" applyFill="1" applyBorder="1"/>
    <xf numFmtId="173" fontId="33" fillId="10" borderId="87" xfId="0" applyNumberFormat="1" applyFont="1" applyFill="1" applyBorder="1" applyAlignment="1">
      <alignment horizontal="right"/>
    </xf>
    <xf numFmtId="0" fontId="0" fillId="0" borderId="87" xfId="0" applyBorder="1"/>
    <xf numFmtId="171" fontId="10" fillId="2" borderId="89" xfId="2" applyNumberFormat="1" applyFont="1" applyFill="1" applyBorder="1"/>
    <xf numFmtId="173" fontId="34" fillId="0" borderId="87" xfId="0" applyNumberFormat="1" applyFont="1" applyBorder="1"/>
    <xf numFmtId="43" fontId="0" fillId="0" borderId="87" xfId="1" applyFont="1" applyBorder="1" applyAlignment="1">
      <alignment horizontal="right" vertical="center"/>
    </xf>
    <xf numFmtId="44" fontId="42" fillId="13" borderId="91" xfId="2" applyFont="1" applyFill="1" applyBorder="1" applyAlignment="1">
      <alignment horizontal="right"/>
    </xf>
    <xf numFmtId="44" fontId="28" fillId="14" borderId="91" xfId="2" applyFont="1" applyFill="1" applyBorder="1" applyAlignment="1">
      <alignment horizontal="right"/>
    </xf>
    <xf numFmtId="44" fontId="16" fillId="13" borderId="91" xfId="2" applyFont="1" applyFill="1" applyBorder="1" applyAlignment="1">
      <alignment horizontal="right"/>
    </xf>
    <xf numFmtId="0" fontId="9" fillId="0" borderId="8" xfId="0" applyFont="1" applyBorder="1"/>
    <xf numFmtId="0" fontId="0" fillId="4" borderId="4" xfId="0" applyFill="1" applyBorder="1"/>
    <xf numFmtId="0" fontId="0" fillId="4" borderId="7" xfId="0" applyFill="1" applyBorder="1"/>
    <xf numFmtId="0" fontId="7" fillId="4" borderId="7" xfId="0" applyFont="1" applyFill="1" applyBorder="1"/>
    <xf numFmtId="0" fontId="4" fillId="0" borderId="92" xfId="0" applyFont="1" applyBorder="1" applyAlignment="1">
      <alignment horizontal="left" wrapText="1"/>
    </xf>
    <xf numFmtId="0" fontId="4" fillId="0" borderId="93" xfId="0" applyFont="1" applyBorder="1" applyAlignment="1">
      <alignment horizontal="right" wrapText="1"/>
    </xf>
    <xf numFmtId="0" fontId="4" fillId="7" borderId="38" xfId="0" applyFont="1" applyFill="1" applyBorder="1" applyAlignment="1">
      <alignment horizontal="left" wrapText="1"/>
    </xf>
    <xf numFmtId="43" fontId="4" fillId="0" borderId="92" xfId="1" applyFont="1" applyBorder="1" applyAlignment="1">
      <alignment horizontal="left" wrapText="1"/>
    </xf>
    <xf numFmtId="0" fontId="4" fillId="0" borderId="93" xfId="0" applyFont="1" applyBorder="1" applyAlignment="1">
      <alignment horizontal="left" wrapText="1"/>
    </xf>
    <xf numFmtId="43" fontId="17" fillId="2" borderId="93" xfId="0" applyNumberFormat="1" applyFont="1" applyFill="1" applyBorder="1" applyAlignment="1">
      <alignment horizontal="right"/>
    </xf>
    <xf numFmtId="43" fontId="17" fillId="2" borderId="92" xfId="0" applyNumberFormat="1" applyFont="1" applyFill="1" applyBorder="1" applyAlignment="1">
      <alignment horizontal="right"/>
    </xf>
    <xf numFmtId="0" fontId="13" fillId="2" borderId="92" xfId="0" applyFont="1" applyFill="1" applyBorder="1" applyAlignment="1">
      <alignment horizontal="right"/>
    </xf>
    <xf numFmtId="0" fontId="17" fillId="2" borderId="92" xfId="0" applyFont="1" applyFill="1" applyBorder="1" applyAlignment="1">
      <alignment horizontal="right"/>
    </xf>
    <xf numFmtId="0" fontId="23" fillId="2" borderId="94" xfId="0" applyFont="1" applyFill="1" applyBorder="1" applyAlignment="1">
      <alignment horizontal="left"/>
    </xf>
    <xf numFmtId="164" fontId="27" fillId="3" borderId="0" xfId="0" applyNumberFormat="1" applyFont="1" applyFill="1" applyAlignment="1">
      <alignment horizontal="right" wrapText="1"/>
    </xf>
    <xf numFmtId="44" fontId="29" fillId="3" borderId="0" xfId="0" applyNumberFormat="1" applyFont="1" applyFill="1"/>
    <xf numFmtId="0" fontId="7" fillId="4" borderId="6" xfId="0" applyFont="1" applyFill="1" applyBorder="1" applyAlignment="1">
      <alignment horizontal="center"/>
    </xf>
    <xf numFmtId="44" fontId="28" fillId="0" borderId="8" xfId="2" applyFont="1" applyBorder="1"/>
    <xf numFmtId="43" fontId="0" fillId="0" borderId="8" xfId="1" applyFont="1" applyBorder="1"/>
    <xf numFmtId="44" fontId="28" fillId="0" borderId="37" xfId="0" applyNumberFormat="1" applyFont="1" applyBorder="1"/>
    <xf numFmtId="174" fontId="10" fillId="7" borderId="40" xfId="3" applyNumberFormat="1" applyFont="1" applyFill="1" applyBorder="1"/>
    <xf numFmtId="44" fontId="10" fillId="0" borderId="37" xfId="0" applyNumberFormat="1" applyFont="1" applyBorder="1"/>
    <xf numFmtId="44" fontId="10" fillId="0" borderId="8" xfId="0" applyNumberFormat="1" applyFont="1" applyBorder="1"/>
    <xf numFmtId="166" fontId="17" fillId="2" borderId="37" xfId="1" applyNumberFormat="1" applyFont="1" applyFill="1" applyBorder="1"/>
    <xf numFmtId="168" fontId="14" fillId="3" borderId="40" xfId="1" applyNumberFormat="1" applyFont="1" applyFill="1" applyBorder="1"/>
    <xf numFmtId="168" fontId="14" fillId="3" borderId="37" xfId="1" applyNumberFormat="1" applyFont="1" applyFill="1" applyBorder="1"/>
    <xf numFmtId="0" fontId="6" fillId="0" borderId="0" xfId="0" applyFont="1"/>
    <xf numFmtId="44" fontId="6" fillId="0" borderId="22" xfId="0" applyNumberFormat="1" applyFont="1" applyBorder="1"/>
    <xf numFmtId="1" fontId="6" fillId="2" borderId="24" xfId="0" applyNumberFormat="1" applyFont="1" applyFill="1" applyBorder="1"/>
    <xf numFmtId="1" fontId="6" fillId="2" borderId="22" xfId="0" applyNumberFormat="1" applyFont="1" applyFill="1" applyBorder="1"/>
    <xf numFmtId="166" fontId="6" fillId="2" borderId="22" xfId="0" applyNumberFormat="1" applyFont="1" applyFill="1" applyBorder="1"/>
    <xf numFmtId="174" fontId="6" fillId="2" borderId="22" xfId="0" applyNumberFormat="1" applyFont="1" applyFill="1" applyBorder="1"/>
    <xf numFmtId="176" fontId="6" fillId="2" borderId="22" xfId="0" applyNumberFormat="1" applyFont="1" applyFill="1" applyBorder="1"/>
    <xf numFmtId="43" fontId="6" fillId="2" borderId="22" xfId="0" applyNumberFormat="1" applyFont="1" applyFill="1" applyBorder="1"/>
    <xf numFmtId="44" fontId="6" fillId="2" borderId="22" xfId="0" applyNumberFormat="1" applyFont="1" applyFill="1" applyBorder="1"/>
    <xf numFmtId="2" fontId="6" fillId="2" borderId="22" xfId="0" applyNumberFormat="1" applyFont="1" applyFill="1" applyBorder="1"/>
    <xf numFmtId="0" fontId="6" fillId="2" borderId="22" xfId="0" applyFont="1" applyFill="1" applyBorder="1"/>
    <xf numFmtId="10" fontId="6" fillId="2" borderId="26" xfId="0" applyNumberFormat="1" applyFont="1" applyFill="1" applyBorder="1"/>
    <xf numFmtId="44" fontId="6" fillId="0" borderId="28" xfId="0" applyNumberFormat="1" applyFont="1" applyBorder="1"/>
    <xf numFmtId="174" fontId="6" fillId="2" borderId="28" xfId="0" applyNumberFormat="1" applyFont="1" applyFill="1" applyBorder="1"/>
    <xf numFmtId="174" fontId="6" fillId="2" borderId="24" xfId="0" applyNumberFormat="1" applyFont="1" applyFill="1" applyBorder="1"/>
    <xf numFmtId="44" fontId="6" fillId="0" borderId="24" xfId="0" applyNumberFormat="1" applyFont="1" applyBorder="1"/>
    <xf numFmtId="44" fontId="6" fillId="2" borderId="28" xfId="0" applyNumberFormat="1" applyFont="1" applyFill="1" applyBorder="1"/>
    <xf numFmtId="44" fontId="6" fillId="0" borderId="30" xfId="0" applyNumberFormat="1" applyFont="1" applyBorder="1"/>
    <xf numFmtId="44" fontId="6" fillId="0" borderId="0" xfId="0" applyNumberFormat="1" applyFont="1"/>
    <xf numFmtId="0" fontId="6" fillId="0" borderId="45" xfId="0" applyFont="1" applyBorder="1"/>
    <xf numFmtId="43" fontId="6" fillId="0" borderId="0" xfId="1"/>
    <xf numFmtId="43" fontId="6" fillId="0" borderId="45" xfId="2" applyNumberFormat="1" applyBorder="1"/>
    <xf numFmtId="43" fontId="6" fillId="0" borderId="45" xfId="1" applyBorder="1"/>
    <xf numFmtId="0" fontId="6" fillId="0" borderId="0" xfId="1" applyNumberFormat="1"/>
    <xf numFmtId="176" fontId="17" fillId="0" borderId="45" xfId="1" applyNumberFormat="1" applyFont="1" applyBorder="1"/>
    <xf numFmtId="44" fontId="17" fillId="0" borderId="45" xfId="3" applyNumberFormat="1" applyFont="1" applyBorder="1"/>
    <xf numFmtId="1" fontId="17" fillId="0" borderId="45" xfId="1" applyNumberFormat="1" applyFont="1" applyBorder="1"/>
    <xf numFmtId="175" fontId="6" fillId="0" borderId="0" xfId="0" applyNumberFormat="1" applyFont="1"/>
    <xf numFmtId="175" fontId="6" fillId="0" borderId="45" xfId="0" applyNumberFormat="1" applyFont="1" applyBorder="1"/>
    <xf numFmtId="2" fontId="6" fillId="0" borderId="0" xfId="3" applyNumberFormat="1"/>
    <xf numFmtId="2" fontId="6" fillId="0" borderId="45" xfId="0" applyNumberFormat="1" applyFont="1" applyBorder="1"/>
    <xf numFmtId="43" fontId="6" fillId="0" borderId="45" xfId="0" applyNumberFormat="1" applyFont="1" applyBorder="1"/>
    <xf numFmtId="164" fontId="45" fillId="3" borderId="0" xfId="1" applyNumberFormat="1" applyFont="1" applyFill="1" applyAlignment="1">
      <alignment horizontal="right" wrapText="1"/>
    </xf>
    <xf numFmtId="43" fontId="40" fillId="0" borderId="45" xfId="0" applyNumberFormat="1" applyFont="1" applyBorder="1"/>
    <xf numFmtId="164" fontId="27" fillId="3" borderId="0" xfId="1" applyNumberFormat="1" applyFont="1" applyFill="1" applyAlignment="1">
      <alignment horizontal="right" wrapText="1"/>
    </xf>
    <xf numFmtId="44" fontId="10" fillId="0" borderId="2" xfId="1" applyNumberFormat="1" applyFont="1" applyBorder="1"/>
    <xf numFmtId="44" fontId="6" fillId="0" borderId="0" xfId="2"/>
    <xf numFmtId="44" fontId="6" fillId="0" borderId="2" xfId="0" applyNumberFormat="1" applyFont="1" applyBorder="1"/>
    <xf numFmtId="44" fontId="6" fillId="2" borderId="0" xfId="0" applyNumberFormat="1" applyFont="1" applyFill="1"/>
    <xf numFmtId="2" fontId="12" fillId="6" borderId="2" xfId="0" applyNumberFormat="1" applyFont="1" applyFill="1" applyBorder="1" applyAlignment="1">
      <alignment horizontal="right" wrapText="1"/>
    </xf>
    <xf numFmtId="2" fontId="12" fillId="6" borderId="17" xfId="0" applyNumberFormat="1" applyFont="1" applyFill="1" applyBorder="1" applyAlignment="1">
      <alignment horizontal="right" wrapText="1"/>
    </xf>
    <xf numFmtId="167" fontId="12" fillId="0" borderId="0" xfId="0" applyNumberFormat="1" applyFont="1" applyAlignment="1">
      <alignment horizontal="right" wrapText="1"/>
    </xf>
    <xf numFmtId="167" fontId="12" fillId="0" borderId="45" xfId="0" applyNumberFormat="1" applyFont="1" applyBorder="1" applyAlignment="1">
      <alignment horizontal="right" wrapText="1"/>
    </xf>
    <xf numFmtId="44" fontId="29" fillId="3" borderId="0" xfId="1" applyNumberFormat="1" applyFont="1" applyFill="1"/>
    <xf numFmtId="0" fontId="6" fillId="4" borderId="0" xfId="0" applyFont="1" applyFill="1"/>
    <xf numFmtId="0" fontId="6" fillId="4" borderId="45" xfId="0" applyFont="1" applyFill="1" applyBorder="1"/>
    <xf numFmtId="44" fontId="6" fillId="0" borderId="17" xfId="0" applyNumberFormat="1" applyFont="1" applyBorder="1"/>
    <xf numFmtId="44" fontId="6" fillId="0" borderId="45" xfId="0" applyNumberFormat="1" applyFont="1" applyBorder="1"/>
    <xf numFmtId="44" fontId="6" fillId="0" borderId="1" xfId="0" applyNumberFormat="1" applyFont="1" applyBorder="1"/>
    <xf numFmtId="44" fontId="6" fillId="0" borderId="76" xfId="0" applyNumberFormat="1" applyFont="1" applyBorder="1"/>
    <xf numFmtId="0" fontId="6" fillId="0" borderId="2" xfId="0" applyFont="1" applyBorder="1"/>
    <xf numFmtId="0" fontId="41" fillId="0" borderId="95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8" xfId="0" applyBorder="1"/>
    <xf numFmtId="0" fontId="49" fillId="0" borderId="97" xfId="0" applyFont="1" applyBorder="1" applyAlignment="1">
      <alignment horizontal="center" wrapText="1"/>
    </xf>
    <xf numFmtId="0" fontId="0" fillId="0" borderId="12" xfId="0" applyBorder="1"/>
    <xf numFmtId="0" fontId="49" fillId="0" borderId="98" xfId="0" applyFont="1" applyBorder="1" applyAlignment="1">
      <alignment horizontal="center" vertical="center" wrapText="1"/>
    </xf>
    <xf numFmtId="0" fontId="0" fillId="0" borderId="65" xfId="0" applyBorder="1"/>
    <xf numFmtId="0" fontId="49" fillId="2" borderId="101" xfId="0" applyFont="1" applyFill="1" applyBorder="1" applyAlignment="1">
      <alignment horizontal="right" wrapText="1"/>
    </xf>
    <xf numFmtId="0" fontId="0" fillId="0" borderId="13" xfId="0" applyBorder="1"/>
    <xf numFmtId="0" fontId="49" fillId="0" borderId="100" xfId="0" applyFont="1" applyBorder="1" applyAlignment="1">
      <alignment horizontal="center" wrapText="1"/>
    </xf>
    <xf numFmtId="0" fontId="0" fillId="0" borderId="66" xfId="0" applyBorder="1"/>
    <xf numFmtId="0" fontId="49" fillId="0" borderId="99" xfId="0" applyFont="1" applyBorder="1" applyAlignment="1">
      <alignment horizontal="center" wrapText="1"/>
    </xf>
    <xf numFmtId="0" fontId="0" fillId="0" borderId="39" xfId="0" applyBorder="1"/>
    <xf numFmtId="0" fontId="49" fillId="2" borderId="99" xfId="0" applyFont="1" applyFill="1" applyBorder="1" applyAlignment="1">
      <alignment horizontal="right" wrapText="1"/>
    </xf>
    <xf numFmtId="0" fontId="49" fillId="0" borderId="98" xfId="0" applyFont="1" applyBorder="1" applyAlignment="1">
      <alignment horizontal="center" wrapText="1"/>
    </xf>
    <xf numFmtId="43" fontId="50" fillId="2" borderId="23" xfId="0" applyNumberFormat="1" applyFont="1" applyFill="1" applyBorder="1" applyAlignment="1">
      <alignment horizontal="right" vertical="center" textRotation="90"/>
    </xf>
    <xf numFmtId="0" fontId="0" fillId="0" borderId="21" xfId="0" applyBorder="1"/>
    <xf numFmtId="179" fontId="31" fillId="4" borderId="96" xfId="0" applyNumberFormat="1" applyFont="1" applyFill="1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0" fillId="0" borderId="0" xfId="0" applyBorder="1"/>
    <xf numFmtId="0" fontId="9" fillId="4" borderId="0" xfId="0" applyFont="1" applyFill="1" applyBorder="1" applyAlignment="1">
      <alignment horizontal="center"/>
    </xf>
    <xf numFmtId="14" fontId="7" fillId="4" borderId="0" xfId="0" applyNumberFormat="1" applyFont="1" applyFill="1" applyBorder="1"/>
    <xf numFmtId="14" fontId="7" fillId="4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 wrapText="1"/>
    </xf>
    <xf numFmtId="164" fontId="5" fillId="0" borderId="0" xfId="0" applyNumberFormat="1" applyFont="1" applyBorder="1" applyAlignment="1">
      <alignment wrapText="1"/>
    </xf>
    <xf numFmtId="0" fontId="6" fillId="0" borderId="0" xfId="0" applyFont="1" applyBorder="1"/>
    <xf numFmtId="43" fontId="0" fillId="0" borderId="0" xfId="1" applyFont="1" applyBorder="1"/>
    <xf numFmtId="43" fontId="6" fillId="0" borderId="0" xfId="1" applyBorder="1"/>
    <xf numFmtId="44" fontId="28" fillId="0" borderId="0" xfId="2" applyFont="1" applyBorder="1"/>
    <xf numFmtId="44" fontId="10" fillId="0" borderId="102" xfId="0" applyNumberFormat="1" applyFont="1" applyBorder="1"/>
    <xf numFmtId="0" fontId="6" fillId="0" borderId="0" xfId="1" applyNumberFormat="1" applyBorder="1"/>
    <xf numFmtId="44" fontId="10" fillId="0" borderId="0" xfId="0" applyNumberFormat="1" applyFont="1" applyBorder="1"/>
    <xf numFmtId="166" fontId="18" fillId="0" borderId="102" xfId="1" applyNumberFormat="1" applyFont="1" applyBorder="1"/>
    <xf numFmtId="166" fontId="19" fillId="3" borderId="102" xfId="1" applyNumberFormat="1" applyFont="1" applyFill="1" applyBorder="1"/>
    <xf numFmtId="166" fontId="17" fillId="2" borderId="102" xfId="1" applyNumberFormat="1" applyFont="1" applyFill="1" applyBorder="1"/>
    <xf numFmtId="166" fontId="18" fillId="0" borderId="0" xfId="1" applyNumberFormat="1" applyFont="1" applyBorder="1"/>
    <xf numFmtId="166" fontId="19" fillId="3" borderId="0" xfId="1" applyNumberFormat="1" applyFont="1" applyFill="1" applyBorder="1"/>
    <xf numFmtId="166" fontId="3" fillId="0" borderId="0" xfId="1" applyNumberFormat="1" applyFont="1" applyBorder="1"/>
    <xf numFmtId="166" fontId="56" fillId="0" borderId="0" xfId="1" applyNumberFormat="1" applyFont="1" applyBorder="1"/>
    <xf numFmtId="168" fontId="14" fillId="3" borderId="102" xfId="1" applyNumberFormat="1" applyFont="1" applyFill="1" applyBorder="1"/>
    <xf numFmtId="166" fontId="17" fillId="2" borderId="0" xfId="1" applyNumberFormat="1" applyFont="1" applyFill="1" applyBorder="1"/>
    <xf numFmtId="174" fontId="43" fillId="0" borderId="0" xfId="3" applyNumberFormat="1" applyFont="1" applyBorder="1"/>
    <xf numFmtId="174" fontId="43" fillId="3" borderId="0" xfId="3" applyNumberFormat="1" applyFont="1" applyFill="1" applyBorder="1"/>
    <xf numFmtId="174" fontId="18" fillId="3" borderId="8" xfId="3" applyNumberFormat="1" applyFont="1" applyFill="1" applyBorder="1"/>
    <xf numFmtId="174" fontId="28" fillId="0" borderId="0" xfId="3" applyNumberFormat="1" applyFont="1" applyBorder="1"/>
    <xf numFmtId="174" fontId="40" fillId="2" borderId="0" xfId="3" applyNumberFormat="1" applyFont="1" applyFill="1" applyBorder="1"/>
    <xf numFmtId="174" fontId="55" fillId="3" borderId="0" xfId="3" applyNumberFormat="1" applyFont="1" applyFill="1" applyBorder="1"/>
    <xf numFmtId="44" fontId="17" fillId="0" borderId="0" xfId="2" applyFont="1" applyBorder="1"/>
    <xf numFmtId="176" fontId="17" fillId="0" borderId="0" xfId="3" applyNumberFormat="1" applyFont="1" applyBorder="1"/>
    <xf numFmtId="176" fontId="17" fillId="0" borderId="0" xfId="2" applyNumberFormat="1" applyFont="1" applyBorder="1"/>
    <xf numFmtId="177" fontId="17" fillId="0" borderId="0" xfId="2" applyNumberFormat="1" applyFont="1" applyBorder="1"/>
    <xf numFmtId="176" fontId="55" fillId="3" borderId="0" xfId="2" applyNumberFormat="1" applyFont="1" applyFill="1" applyBorder="1"/>
    <xf numFmtId="166" fontId="20" fillId="0" borderId="0" xfId="1" applyNumberFormat="1" applyFont="1" applyBorder="1"/>
    <xf numFmtId="166" fontId="20" fillId="2" borderId="0" xfId="1" applyNumberFormat="1" applyFont="1" applyFill="1" applyBorder="1"/>
    <xf numFmtId="43" fontId="17" fillId="0" borderId="0" xfId="1" applyFont="1" applyBorder="1"/>
    <xf numFmtId="43" fontId="19" fillId="3" borderId="0" xfId="1" applyFont="1" applyFill="1" applyBorder="1"/>
    <xf numFmtId="44" fontId="19" fillId="3" borderId="0" xfId="2" applyFont="1" applyFill="1" applyBorder="1"/>
    <xf numFmtId="43" fontId="18" fillId="3" borderId="8" xfId="1" applyFont="1" applyFill="1" applyBorder="1"/>
    <xf numFmtId="43" fontId="44" fillId="0" borderId="0" xfId="1" applyFont="1" applyBorder="1"/>
    <xf numFmtId="174" fontId="44" fillId="0" borderId="0" xfId="3" applyNumberFormat="1" applyFont="1" applyBorder="1"/>
    <xf numFmtId="174" fontId="44" fillId="3" borderId="0" xfId="3" applyNumberFormat="1" applyFont="1" applyFill="1" applyBorder="1"/>
    <xf numFmtId="174" fontId="44" fillId="3" borderId="8" xfId="3" applyNumberFormat="1" applyFont="1" applyFill="1" applyBorder="1"/>
    <xf numFmtId="174" fontId="17" fillId="0" borderId="0" xfId="3" applyNumberFormat="1" applyFont="1" applyBorder="1"/>
    <xf numFmtId="174" fontId="20" fillId="2" borderId="0" xfId="3" applyNumberFormat="1" applyFont="1" applyFill="1" applyBorder="1"/>
    <xf numFmtId="174" fontId="17" fillId="2" borderId="0" xfId="2" applyNumberFormat="1" applyFont="1" applyFill="1" applyBorder="1"/>
    <xf numFmtId="10" fontId="17" fillId="0" borderId="0" xfId="3" applyNumberFormat="1" applyFont="1" applyBorder="1"/>
    <xf numFmtId="174" fontId="17" fillId="2" borderId="0" xfId="3" applyNumberFormat="1" applyFont="1" applyFill="1" applyBorder="1"/>
    <xf numFmtId="1" fontId="17" fillId="0" borderId="0" xfId="2" applyNumberFormat="1" applyFont="1" applyBorder="1"/>
    <xf numFmtId="1" fontId="17" fillId="2" borderId="0" xfId="2" applyNumberFormat="1" applyFont="1" applyFill="1" applyBorder="1"/>
    <xf numFmtId="44" fontId="17" fillId="2" borderId="0" xfId="2" applyFont="1" applyFill="1" applyBorder="1"/>
    <xf numFmtId="174" fontId="40" fillId="0" borderId="0" xfId="3" applyNumberFormat="1" applyFont="1" applyBorder="1"/>
    <xf numFmtId="44" fontId="40" fillId="0" borderId="0" xfId="2" applyFont="1" applyBorder="1"/>
    <xf numFmtId="44" fontId="40" fillId="2" borderId="0" xfId="2" applyFont="1" applyFill="1" applyBorder="1"/>
    <xf numFmtId="176" fontId="17" fillId="2" borderId="0" xfId="2" applyNumberFormat="1" applyFont="1" applyFill="1" applyBorder="1"/>
    <xf numFmtId="177" fontId="17" fillId="2" borderId="0" xfId="2" applyNumberFormat="1" applyFont="1" applyFill="1" applyBorder="1"/>
  </cellXfs>
  <cellStyles count="8">
    <cellStyle name="Comma" xfId="1" builtinId="3"/>
    <cellStyle name="Currency" xfId="2" builtinId="4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5" xfId="7" xr:uid="{00000000-0005-0000-0000-000007000000}"/>
    <cellStyle name="Percent" xfId="3" builtinId="5"/>
  </cellStyles>
  <dxfs count="5">
    <dxf>
      <fill>
        <patternFill>
          <bgColor rgb="FFFF0000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Cash</a:t>
            </a:r>
            <a:r>
              <a:rPr lang="en-US" b="0" baseline="0"/>
              <a:t> Position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586593560621682E-2"/>
          <c:y val="7.8882915510537846E-2"/>
          <c:w val="0.89119345895470237"/>
          <c:h val="0.68670443737093045"/>
        </c:manualLayout>
      </c:layout>
      <c:areaChart>
        <c:grouping val="standard"/>
        <c:varyColors val="0"/>
        <c:ser>
          <c:idx val="0"/>
          <c:order val="0"/>
          <c:tx>
            <c:v>Cash Balance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</a:ln>
          </c:spPr>
          <c:cat>
            <c:numRef>
              <c:f>'[1]Monthly Detail'!$AH$4:$BE$4</c:f>
              <c:numCache>
                <c:formatCode>General</c:formatCode>
                <c:ptCount val="24"/>
                <c:pt idx="0">
                  <c:v>45504</c:v>
                </c:pt>
                <c:pt idx="1">
                  <c:v>45535</c:v>
                </c:pt>
                <c:pt idx="2">
                  <c:v>45565</c:v>
                </c:pt>
                <c:pt idx="3">
                  <c:v>45596</c:v>
                </c:pt>
                <c:pt idx="4">
                  <c:v>45626</c:v>
                </c:pt>
                <c:pt idx="5">
                  <c:v>45657</c:v>
                </c:pt>
                <c:pt idx="6">
                  <c:v>45688</c:v>
                </c:pt>
                <c:pt idx="7">
                  <c:v>45716</c:v>
                </c:pt>
                <c:pt idx="8">
                  <c:v>45747</c:v>
                </c:pt>
                <c:pt idx="9">
                  <c:v>45777</c:v>
                </c:pt>
                <c:pt idx="10">
                  <c:v>45808</c:v>
                </c:pt>
                <c:pt idx="11">
                  <c:v>45838</c:v>
                </c:pt>
                <c:pt idx="12">
                  <c:v>45869</c:v>
                </c:pt>
                <c:pt idx="13">
                  <c:v>45900</c:v>
                </c:pt>
                <c:pt idx="14">
                  <c:v>45930</c:v>
                </c:pt>
                <c:pt idx="15">
                  <c:v>45961</c:v>
                </c:pt>
                <c:pt idx="16">
                  <c:v>45991</c:v>
                </c:pt>
                <c:pt idx="17">
                  <c:v>46022</c:v>
                </c:pt>
                <c:pt idx="18">
                  <c:v>46053</c:v>
                </c:pt>
                <c:pt idx="19">
                  <c:v>46081</c:v>
                </c:pt>
                <c:pt idx="20">
                  <c:v>46112</c:v>
                </c:pt>
                <c:pt idx="21">
                  <c:v>46142</c:v>
                </c:pt>
                <c:pt idx="22">
                  <c:v>46173</c:v>
                </c:pt>
                <c:pt idx="23">
                  <c:v>46203</c:v>
                </c:pt>
              </c:numCache>
            </c:numRef>
          </c:cat>
          <c:val>
            <c:numRef>
              <c:f>'Monthly Detail'!$AG$173:$BE$173</c:f>
              <c:numCache>
                <c:formatCode>_("$"* #,##0.00_);_("$"* \(#,##0.00\);_("$"* "-"??_);_(@_)</c:formatCode>
                <c:ptCount val="12"/>
                <c:pt idx="0">
                  <c:v>6634.2400000000007</c:v>
                </c:pt>
                <c:pt idx="1">
                  <c:v>7155.09</c:v>
                </c:pt>
                <c:pt idx="2">
                  <c:v>6407.6500000000042</c:v>
                </c:pt>
                <c:pt idx="3">
                  <c:v>5875.6200000000063</c:v>
                </c:pt>
                <c:pt idx="4">
                  <c:v>5351.82</c:v>
                </c:pt>
                <c:pt idx="5">
                  <c:v>6291.9628127765254</c:v>
                </c:pt>
                <c:pt idx="6">
                  <c:v>5586.0639998056895</c:v>
                </c:pt>
                <c:pt idx="7">
                  <c:v>5836.7190969203948</c:v>
                </c:pt>
                <c:pt idx="8">
                  <c:v>6789.0461064053952</c:v>
                </c:pt>
                <c:pt idx="9">
                  <c:v>8892.1391663341219</c:v>
                </c:pt>
                <c:pt idx="10">
                  <c:v>10732.328966822937</c:v>
                </c:pt>
                <c:pt idx="11">
                  <c:v>12826.212262994237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F-4BAE-9AA7-C1C47285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245648"/>
        <c:axId val="2026246064"/>
      </c:areaChar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6245648"/>
        <c:axId val="2026246064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v>COGS</c:v>
                </c:tx>
                <c:spPr>
                  <a:solidFill>
                    <a:schemeClr val="accent6">
                      <a:tint val="86000"/>
                    </a:schemeClr>
                  </a:solidFill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'[1]Monthly Detail'!$AB$4:$AY$4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45322</c:v>
                      </c:pt>
                      <c:pt idx="1">
                        <c:v>45351</c:v>
                      </c:pt>
                      <c:pt idx="2">
                        <c:v>45382</c:v>
                      </c:pt>
                      <c:pt idx="3">
                        <c:v>45412</c:v>
                      </c:pt>
                      <c:pt idx="4">
                        <c:v>45443</c:v>
                      </c:pt>
                      <c:pt idx="5">
                        <c:v>45473</c:v>
                      </c:pt>
                      <c:pt idx="6">
                        <c:v>45504</c:v>
                      </c:pt>
                      <c:pt idx="7">
                        <c:v>45535</c:v>
                      </c:pt>
                      <c:pt idx="8">
                        <c:v>45565</c:v>
                      </c:pt>
                      <c:pt idx="9">
                        <c:v>45596</c:v>
                      </c:pt>
                      <c:pt idx="10">
                        <c:v>45626</c:v>
                      </c:pt>
                      <c:pt idx="11">
                        <c:v>45657</c:v>
                      </c:pt>
                      <c:pt idx="12">
                        <c:v>45688</c:v>
                      </c:pt>
                      <c:pt idx="13">
                        <c:v>45716</c:v>
                      </c:pt>
                      <c:pt idx="14">
                        <c:v>45747</c:v>
                      </c:pt>
                      <c:pt idx="15">
                        <c:v>45777</c:v>
                      </c:pt>
                      <c:pt idx="16">
                        <c:v>45808</c:v>
                      </c:pt>
                      <c:pt idx="17">
                        <c:v>45838</c:v>
                      </c:pt>
                      <c:pt idx="18">
                        <c:v>45869</c:v>
                      </c:pt>
                      <c:pt idx="19">
                        <c:v>45900</c:v>
                      </c:pt>
                      <c:pt idx="20">
                        <c:v>45930</c:v>
                      </c:pt>
                      <c:pt idx="21">
                        <c:v>45961</c:v>
                      </c:pt>
                      <c:pt idx="22">
                        <c:v>45991</c:v>
                      </c:pt>
                      <c:pt idx="23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'[1]Monthly Detail'!$AB$61:$BE$61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503.79999999999995</c:v>
                      </c:pt>
                      <c:pt idx="1">
                        <c:v>653.89</c:v>
                      </c:pt>
                      <c:pt idx="2">
                        <c:v>531.84</c:v>
                      </c:pt>
                      <c:pt idx="3">
                        <c:v>336.78999999999996</c:v>
                      </c:pt>
                      <c:pt idx="4">
                        <c:v>1421.1200000000001</c:v>
                      </c:pt>
                      <c:pt idx="5">
                        <c:v>1284.6100000000001</c:v>
                      </c:pt>
                      <c:pt idx="6">
                        <c:v>734.65</c:v>
                      </c:pt>
                      <c:pt idx="7">
                        <c:v>839.84</c:v>
                      </c:pt>
                      <c:pt idx="8">
                        <c:v>366.67</c:v>
                      </c:pt>
                      <c:pt idx="9">
                        <c:v>1358.49</c:v>
                      </c:pt>
                      <c:pt idx="10">
                        <c:v>948.44</c:v>
                      </c:pt>
                      <c:pt idx="11">
                        <c:v>1230.5900000000001</c:v>
                      </c:pt>
                      <c:pt idx="12">
                        <c:v>497.28</c:v>
                      </c:pt>
                      <c:pt idx="13">
                        <c:v>744.61</c:v>
                      </c:pt>
                      <c:pt idx="14">
                        <c:v>1024.69</c:v>
                      </c:pt>
                      <c:pt idx="15">
                        <c:v>600.56999999999994</c:v>
                      </c:pt>
                      <c:pt idx="16">
                        <c:v>1623.48</c:v>
                      </c:pt>
                      <c:pt idx="17">
                        <c:v>685.83</c:v>
                      </c:pt>
                      <c:pt idx="18">
                        <c:v>804.71</c:v>
                      </c:pt>
                      <c:pt idx="19">
                        <c:v>973.71</c:v>
                      </c:pt>
                      <c:pt idx="20">
                        <c:v>1145.55</c:v>
                      </c:pt>
                      <c:pt idx="21">
                        <c:v>860.51</c:v>
                      </c:pt>
                      <c:pt idx="22">
                        <c:v>949.43806480266301</c:v>
                      </c:pt>
                      <c:pt idx="23">
                        <c:v>1931.8545773333349</c:v>
                      </c:pt>
                      <c:pt idx="24">
                        <c:v>1659.0107852656674</c:v>
                      </c:pt>
                      <c:pt idx="25">
                        <c:v>2155.0375654454901</c:v>
                      </c:pt>
                      <c:pt idx="26">
                        <c:v>2521.7613948034968</c:v>
                      </c:pt>
                      <c:pt idx="27">
                        <c:v>3310.7110598909453</c:v>
                      </c:pt>
                      <c:pt idx="28">
                        <c:v>3035.7058357528072</c:v>
                      </c:pt>
                      <c:pt idx="29">
                        <c:v>3070.395950798139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3D-B06F-4BAE-9AA7-C1C47285EB1B}"/>
                  </c:ext>
                </c:extLst>
              </c15:ser>
            </c15:filteredBarSeries>
          </c:ext>
        </c:extLst>
      </c:barChart>
      <c:barChart>
        <c:barDir val="col"/>
        <c:grouping val="stacked"/>
        <c:varyColors val="0"/>
        <c:ser>
          <c:idx val="3"/>
          <c:order val="2"/>
          <c:tx>
            <c:v>Total Income</c:v>
          </c:tx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B06F-4BAE-9AA7-C1C47285EB1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B06F-4BAE-9AA7-C1C47285EB1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B06F-4BAE-9AA7-C1C47285EB1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B06F-4BAE-9AA7-C1C47285EB1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B06F-4BAE-9AA7-C1C47285EB1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B06F-4BAE-9AA7-C1C47285EB1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B06F-4BAE-9AA7-C1C47285EB1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B06F-4BAE-9AA7-C1C47285EB1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B06F-4BAE-9AA7-C1C47285EB1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B06F-4BAE-9AA7-C1C47285EB1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B06F-4BAE-9AA7-C1C47285EB1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B06F-4BAE-9AA7-C1C47285EB1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B06F-4BAE-9AA7-C1C47285EB1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B06F-4BAE-9AA7-C1C47285EB1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F-B06F-4BAE-9AA7-C1C47285EB1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B06F-4BAE-9AA7-C1C47285EB1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1-B06F-4BAE-9AA7-C1C47285EB1B}"/>
              </c:ext>
            </c:extLst>
          </c:dPt>
          <c:cat>
            <c:numRef>
              <c:f>'Monthly Detail'!$AH$4:$BE$4</c:f>
              <c:numCache>
                <c:formatCode>m/d/yyyy</c:formatCode>
                <c:ptCount val="12"/>
                <c:pt idx="0">
                  <c:v>45869</c:v>
                </c:pt>
                <c:pt idx="1">
                  <c:v>45900</c:v>
                </c:pt>
                <c:pt idx="2">
                  <c:v>45930</c:v>
                </c:pt>
                <c:pt idx="3">
                  <c:v>45961</c:v>
                </c:pt>
                <c:pt idx="4">
                  <c:v>45991</c:v>
                </c:pt>
                <c:pt idx="5">
                  <c:v>46022</c:v>
                </c:pt>
                <c:pt idx="6">
                  <c:v>46053</c:v>
                </c:pt>
                <c:pt idx="7">
                  <c:v>46081</c:v>
                </c:pt>
                <c:pt idx="8">
                  <c:v>46112</c:v>
                </c:pt>
                <c:pt idx="9">
                  <c:v>46142</c:v>
                </c:pt>
                <c:pt idx="10">
                  <c:v>46173</c:v>
                </c:pt>
                <c:pt idx="11">
                  <c:v>46203</c:v>
                </c:pt>
              </c:numCache>
            </c:numRef>
          </c:cat>
          <c:val>
            <c:numRef>
              <c:f>'Monthly Detail'!$AH$9:$BE$9</c:f>
              <c:numCache>
                <c:formatCode>_("$"* #,##0.00_);_("$"* \(#,##0.00\);_("$"* "-"??_);_(@_)</c:formatCode>
                <c:ptCount val="12"/>
                <c:pt idx="0">
                  <c:v>7418.55</c:v>
                </c:pt>
                <c:pt idx="1">
                  <c:v>7653.35</c:v>
                </c:pt>
                <c:pt idx="2">
                  <c:v>6170.45</c:v>
                </c:pt>
                <c:pt idx="3">
                  <c:v>6998.25</c:v>
                </c:pt>
                <c:pt idx="4">
                  <c:v>5263</c:v>
                </c:pt>
                <c:pt idx="5">
                  <c:v>5570.0825118078774</c:v>
                </c:pt>
                <c:pt idx="6">
                  <c:v>6259.6166185197062</c:v>
                </c:pt>
                <c:pt idx="7">
                  <c:v>7924.2425399226267</c:v>
                </c:pt>
                <c:pt idx="8">
                  <c:v>9077.4425959404962</c:v>
                </c:pt>
                <c:pt idx="9">
                  <c:v>11114.559183012692</c:v>
                </c:pt>
                <c:pt idx="10">
                  <c:v>10661.226281288424</c:v>
                </c:pt>
                <c:pt idx="11">
                  <c:v>10951.907879488454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6F-4BAE-9AA7-C1C47285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barChart>
        <c:barDir val="col"/>
        <c:grouping val="stacked"/>
        <c:varyColors val="0"/>
        <c:ser>
          <c:idx val="4"/>
          <c:order val="3"/>
          <c:tx>
            <c:v>EBITDA</c:v>
          </c:tx>
          <c:spPr>
            <a:ln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B06F-4BAE-9AA7-C1C47285EB1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B06F-4BAE-9AA7-C1C47285EB1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B06F-4BAE-9AA7-C1C47285EB1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B06F-4BAE-9AA7-C1C47285EB1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B06F-4BAE-9AA7-C1C47285EB1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B06F-4BAE-9AA7-C1C47285EB1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B06F-4BAE-9AA7-C1C47285EB1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B06F-4BAE-9AA7-C1C47285EB1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B06F-4BAE-9AA7-C1C47285EB1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B06F-4BAE-9AA7-C1C47285EB1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B06F-4BAE-9AA7-C1C47285EB1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3-B06F-4BAE-9AA7-C1C47285EB1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B06F-4BAE-9AA7-C1C47285EB1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7-B06F-4BAE-9AA7-C1C47285EB1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9-B06F-4BAE-9AA7-C1C47285EB1B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B-B06F-4BAE-9AA7-C1C47285EB1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B06F-4BAE-9AA7-C1C47285EB1B}"/>
              </c:ext>
            </c:extLst>
          </c:dPt>
          <c:cat>
            <c:numRef>
              <c:f>'[1]Monthly Detail'!$AH$4:$AY$4</c:f>
              <c:numCache>
                <c:formatCode>General</c:formatCode>
                <c:ptCount val="18"/>
                <c:pt idx="0">
                  <c:v>45504</c:v>
                </c:pt>
                <c:pt idx="1">
                  <c:v>45535</c:v>
                </c:pt>
                <c:pt idx="2">
                  <c:v>45565</c:v>
                </c:pt>
                <c:pt idx="3">
                  <c:v>45596</c:v>
                </c:pt>
                <c:pt idx="4">
                  <c:v>45626</c:v>
                </c:pt>
                <c:pt idx="5">
                  <c:v>45657</c:v>
                </c:pt>
                <c:pt idx="6">
                  <c:v>45688</c:v>
                </c:pt>
                <c:pt idx="7">
                  <c:v>45716</c:v>
                </c:pt>
                <c:pt idx="8">
                  <c:v>45747</c:v>
                </c:pt>
                <c:pt idx="9">
                  <c:v>45777</c:v>
                </c:pt>
                <c:pt idx="10">
                  <c:v>45808</c:v>
                </c:pt>
                <c:pt idx="11">
                  <c:v>45838</c:v>
                </c:pt>
                <c:pt idx="12">
                  <c:v>45869</c:v>
                </c:pt>
                <c:pt idx="13">
                  <c:v>45900</c:v>
                </c:pt>
                <c:pt idx="14">
                  <c:v>45930</c:v>
                </c:pt>
                <c:pt idx="15">
                  <c:v>45961</c:v>
                </c:pt>
                <c:pt idx="16">
                  <c:v>45991</c:v>
                </c:pt>
                <c:pt idx="17">
                  <c:v>46022</c:v>
                </c:pt>
              </c:numCache>
            </c:numRef>
          </c:cat>
          <c:val>
            <c:numRef>
              <c:f>'Monthly Detail'!$AH$92:$BE$92</c:f>
              <c:numCache>
                <c:formatCode>_("$"* #,##0.00_);_("$"* \(#,##0.00\);_("$"* "-"??_);_(@_)</c:formatCode>
                <c:ptCount val="12"/>
                <c:pt idx="0">
                  <c:v>2933.4300000000003</c:v>
                </c:pt>
                <c:pt idx="1">
                  <c:v>3070.3800000000006</c:v>
                </c:pt>
                <c:pt idx="2">
                  <c:v>1881.12</c:v>
                </c:pt>
                <c:pt idx="3">
                  <c:v>2290.0099999999998</c:v>
                </c:pt>
                <c:pt idx="4">
                  <c:v>982.32000000000062</c:v>
                </c:pt>
                <c:pt idx="5">
                  <c:v>-609.34447021207598</c:v>
                </c:pt>
                <c:pt idx="6">
                  <c:v>-534.86136524265203</c:v>
                </c:pt>
                <c:pt idx="7">
                  <c:v>453.73315256119167</c:v>
                </c:pt>
                <c:pt idx="8">
                  <c:v>1138.600087920182</c:v>
                </c:pt>
                <c:pt idx="9">
                  <c:v>2318.4108112865351</c:v>
                </c:pt>
                <c:pt idx="10">
                  <c:v>1973.6737040893713</c:v>
                </c:pt>
                <c:pt idx="11">
                  <c:v>2251.8148224158376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B06F-4BAE-9AA7-C1C47285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245648"/>
        <c:axId val="2026246064"/>
      </c:barChart>
      <c:catAx>
        <c:axId val="2026245648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6064"/>
        <c:crosses val="autoZero"/>
        <c:auto val="1"/>
        <c:lblAlgn val="ctr"/>
        <c:lblOffset val="100"/>
        <c:tickLblSkip val="3"/>
        <c:noMultiLvlLbl val="0"/>
      </c:catAx>
      <c:valAx>
        <c:axId val="2026246064"/>
        <c:scaling>
          <c:orientation val="minMax"/>
        </c:scaling>
        <c:delete val="0"/>
        <c:axPos val="l"/>
        <c:numFmt formatCode="&quot;$&quot;* #,##0_€;[Red]\(&quot;$&quot;* #,##0_€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2456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'2023 Overview'!$B$29</c:f>
              <c:strCache>
                <c:ptCount val="1"/>
                <c:pt idx="0">
                  <c:v>Operating Cash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  <a:prstDash val="solid"/>
            </a:ln>
          </c:spPr>
          <c:invertIfNegative val="0"/>
          <c:dLbls>
            <c:dLbl>
              <c:idx val="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00-49DD-B734-05D7ABF57C45}"/>
                </c:ext>
              </c:extLst>
            </c:dLbl>
            <c:dLbl>
              <c:idx val="1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00-49DD-B734-05D7ABF57C45}"/>
                </c:ext>
              </c:extLst>
            </c:dLbl>
            <c:dLbl>
              <c:idx val="2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00-49DD-B734-05D7ABF57C45}"/>
                </c:ext>
              </c:extLst>
            </c:dLbl>
            <c:dLbl>
              <c:idx val="3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00-49DD-B734-05D7ABF57C45}"/>
                </c:ext>
              </c:extLst>
            </c:dLbl>
            <c:dLbl>
              <c:idx val="4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00-49DD-B734-05D7ABF57C45}"/>
                </c:ext>
              </c:extLst>
            </c:dLbl>
            <c:dLbl>
              <c:idx val="5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00-49DD-B734-05D7ABF57C45}"/>
                </c:ext>
              </c:extLst>
            </c:dLbl>
            <c:dLbl>
              <c:idx val="6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00-49DD-B734-05D7ABF57C45}"/>
                </c:ext>
              </c:extLst>
            </c:dLbl>
            <c:dLbl>
              <c:idx val="7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00-49DD-B734-05D7ABF57C45}"/>
                </c:ext>
              </c:extLst>
            </c:dLbl>
            <c:dLbl>
              <c:idx val="8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00-49DD-B734-05D7ABF57C45}"/>
                </c:ext>
              </c:extLst>
            </c:dLbl>
            <c:dLbl>
              <c:idx val="10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00-49DD-B734-05D7ABF57C45}"/>
                </c:ext>
              </c:extLst>
            </c:dLbl>
            <c:dLbl>
              <c:idx val="11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600-49DD-B734-05D7ABF57C4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'2023 Overview'!$C$10:$N$10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</c:strCache>
            </c:strRef>
          </c:cat>
          <c:val>
            <c:numRef>
              <c:f>'2023 Overview'!$C$29:$N$29</c:f>
              <c:numCache>
                <c:formatCode>_("$"* #,##0.00_);_("$"* \(#,##0.00\);_("$"*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00-49DD-B734-05D7ABF57C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418911"/>
        <c:axId val="1908237535"/>
      </c:barChart>
      <c:lineChart>
        <c:grouping val="standard"/>
        <c:varyColors val="0"/>
        <c:ser>
          <c:idx val="1"/>
          <c:order val="1"/>
          <c:tx>
            <c:strRef>
              <c:f>'2023 Overview'!$B$30</c:f>
              <c:strCache>
                <c:ptCount val="1"/>
                <c:pt idx="0">
                  <c:v>Cash Inflow (Outflow)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'2023 Overview'!$C$30:$N$30</c:f>
              <c:numCache>
                <c:formatCode>_("$"* #,##0.00_);_("$"* \(#,##0.00\);_("$"*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00-49DD-B734-05D7ABF57C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18911"/>
        <c:axId val="1908237535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Recurring Client Base</a:t>
            </a:r>
          </a:p>
        </c:rich>
      </c:tx>
      <c:layout>
        <c:manualLayout>
          <c:xMode val="edge"/>
          <c:yMode val="edge"/>
          <c:x val="0.46199195537212084"/>
          <c:y val="4.529506435376515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'2025 Overview (Budget)'!$B$46</c:f>
              <c:strCache>
                <c:ptCount val="1"/>
                <c:pt idx="0">
                  <c:v>Operating (Business) Cash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1"/>
              </a:solidFill>
            </a:ln>
          </c:spPr>
          <c:cat>
            <c:strRef>
              <c:f>'[1]2025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(Budget)'!$C$46:$N$46</c:f>
              <c:numCache>
                <c:formatCode>_("$"* #,##0.00_);_("$"* \(#,##0.00\);_("$"* "-"??_);_(@_)</c:formatCode>
                <c:ptCount val="12"/>
                <c:pt idx="0">
                  <c:v>1326.2080000000001</c:v>
                </c:pt>
                <c:pt idx="1">
                  <c:v>1606.7285000000002</c:v>
                </c:pt>
                <c:pt idx="2">
                  <c:v>2203.0059999999999</c:v>
                </c:pt>
                <c:pt idx="3">
                  <c:v>2800.3690000000001</c:v>
                </c:pt>
                <c:pt idx="4">
                  <c:v>4253.5610000000006</c:v>
                </c:pt>
                <c:pt idx="5">
                  <c:v>4362.1695000000009</c:v>
                </c:pt>
                <c:pt idx="6">
                  <c:v>4312.2560000000003</c:v>
                </c:pt>
                <c:pt idx="7">
                  <c:v>4650.8085000000001</c:v>
                </c:pt>
                <c:pt idx="8">
                  <c:v>4164.9724999999999</c:v>
                </c:pt>
                <c:pt idx="9">
                  <c:v>3819.1530000000002</c:v>
                </c:pt>
                <c:pt idx="10">
                  <c:v>3478.683</c:v>
                </c:pt>
                <c:pt idx="11">
                  <c:v>1694.350690855048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6-438F-A84B-9DD80518E638}"/>
            </c:ext>
          </c:extLst>
        </c:ser>
        <c:ser>
          <c:idx val="2"/>
          <c:order val="1"/>
          <c:tx>
            <c:strRef>
              <c:f>'2025 Overview (Budget)'!$B$47</c:f>
              <c:strCache>
                <c:ptCount val="1"/>
                <c:pt idx="0">
                  <c:v>Savings Cash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</c:spPr>
          <c:cat>
            <c:strRef>
              <c:f>'[1]2025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(Budget)'!$C$47:$N$47</c:f>
              <c:numCache>
                <c:formatCode>_("$"* #,##0.00_);_("$"* \(#,##0.00\);_("$"* "-"??_);_(@_)</c:formatCode>
                <c:ptCount val="12"/>
                <c:pt idx="0">
                  <c:v>45.02</c:v>
                </c:pt>
                <c:pt idx="1">
                  <c:v>68.56</c:v>
                </c:pt>
                <c:pt idx="2">
                  <c:v>0.03</c:v>
                </c:pt>
                <c:pt idx="3">
                  <c:v>9.57</c:v>
                </c:pt>
                <c:pt idx="4">
                  <c:v>150.5</c:v>
                </c:pt>
                <c:pt idx="5">
                  <c:v>17.12</c:v>
                </c:pt>
                <c:pt idx="6">
                  <c:v>50.77</c:v>
                </c:pt>
                <c:pt idx="7">
                  <c:v>0.77</c:v>
                </c:pt>
                <c:pt idx="8">
                  <c:v>37.46</c:v>
                </c:pt>
                <c:pt idx="9">
                  <c:v>15.87</c:v>
                </c:pt>
                <c:pt idx="10">
                  <c:v>0.77</c:v>
                </c:pt>
                <c:pt idx="11">
                  <c:v>28.95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6-438F-A84B-9DD80518E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clustered"/>
        <c:varyColors val="0"/>
        <c:ser>
          <c:idx val="6"/>
          <c:order val="2"/>
          <c:tx>
            <c:strRef>
              <c:f>'2025 Overview (Budget)'!$B$49</c:f>
              <c:strCache>
                <c:ptCount val="1"/>
                <c:pt idx="0">
                  <c:v>Total Cash Inflow (Outflow)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FF0000"/>
              </a:solidFill>
            </a:ln>
          </c:spPr>
          <c:invertIfNegative val="0"/>
          <c:cat>
            <c:strRef>
              <c:f>'[1]2025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(Budget)'!$C$49:$N$49</c:f>
              <c:numCache>
                <c:formatCode>_("$"* #,##0.00_);_("$"* \(#,##0.00\);_("$"* "-"??_);_(@_)</c:formatCode>
                <c:ptCount val="12"/>
                <c:pt idx="0">
                  <c:v>614.3199999999988</c:v>
                </c:pt>
                <c:pt idx="1">
                  <c:v>431.57000000000471</c:v>
                </c:pt>
                <c:pt idx="2">
                  <c:v>917.34999999999854</c:v>
                </c:pt>
                <c:pt idx="3">
                  <c:v>919.02000000000089</c:v>
                </c:pt>
                <c:pt idx="4">
                  <c:v>2235.6799999999985</c:v>
                </c:pt>
                <c:pt idx="5">
                  <c:v>167.09000000000196</c:v>
                </c:pt>
                <c:pt idx="6">
                  <c:v>-76.790000000001783</c:v>
                </c:pt>
                <c:pt idx="7">
                  <c:v>520.84999999999945</c:v>
                </c:pt>
                <c:pt idx="8">
                  <c:v>-747.43999999999596</c:v>
                </c:pt>
                <c:pt idx="9">
                  <c:v>-532.02999999999793</c:v>
                </c:pt>
                <c:pt idx="10">
                  <c:v>-523.80000000000609</c:v>
                </c:pt>
                <c:pt idx="11">
                  <c:v>-500.5538862677231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6-438F-A84B-9DD80518E638}"/>
            </c:ext>
          </c:extLst>
        </c:ser>
        <c:ser>
          <c:idx val="7"/>
          <c:order val="3"/>
          <c:tx>
            <c:strRef>
              <c:f>'2025 Overview (Budget)'!$B$22</c:f>
              <c:strCache>
                <c:ptCount val="1"/>
                <c:pt idx="0">
                  <c:v> Total Income 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7B66-438F-A84B-9DD80518E63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7B66-438F-A84B-9DD80518E6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7B66-438F-A84B-9DD80518E63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7B66-438F-A84B-9DD80518E6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7B66-438F-A84B-9DD80518E63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7B66-438F-A84B-9DD80518E6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7B66-438F-A84B-9DD80518E63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7B66-438F-A84B-9DD80518E6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7B66-438F-A84B-9DD80518E63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7B66-438F-A84B-9DD80518E63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7B66-438F-A84B-9DD80518E638}"/>
              </c:ext>
            </c:extLst>
          </c:dPt>
          <c:cat>
            <c:strRef>
              <c:f>'[1]2025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(Budget)'!$C$22:$N$22</c:f>
              <c:numCache>
                <c:formatCode>_("$"* #,##0_);_("$"* \(#,##0\);_("$"* "-"??_);_(@_)</c:formatCode>
                <c:ptCount val="12"/>
                <c:pt idx="0">
                  <c:v>6721.05</c:v>
                </c:pt>
                <c:pt idx="1">
                  <c:v>6501.14</c:v>
                </c:pt>
                <c:pt idx="2">
                  <c:v>7108.5</c:v>
                </c:pt>
                <c:pt idx="3">
                  <c:v>7861.75</c:v>
                </c:pt>
                <c:pt idx="4">
                  <c:v>7877.62</c:v>
                </c:pt>
                <c:pt idx="5">
                  <c:v>6887.45</c:v>
                </c:pt>
                <c:pt idx="6">
                  <c:v>7418.55</c:v>
                </c:pt>
                <c:pt idx="7">
                  <c:v>7653.35</c:v>
                </c:pt>
                <c:pt idx="8">
                  <c:v>6170.45</c:v>
                </c:pt>
                <c:pt idx="9">
                  <c:v>6998.25</c:v>
                </c:pt>
                <c:pt idx="10">
                  <c:v>5263</c:v>
                </c:pt>
                <c:pt idx="11">
                  <c:v>8571.1672628560773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66-438F-A84B-9DD80518E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18911"/>
        <c:axId val="1908237535"/>
        <c:extLst>
          <c:ext xmlns:c15="http://schemas.microsoft.com/office/drawing/2012/chart" uri="{02D57815-91ED-43cb-92C2-25804820EDAC}">
            <c15:filteredBarSeries>
              <c15:ser>
                <c:idx val="8"/>
                <c:order val="4"/>
                <c:tx>
                  <c:strRef>
                    <c:extLst>
                      <c:ext uri="{02D57815-91ED-43cb-92C2-25804820EDAC}">
                        <c15:formulaRef>
                          <c15:sqref>'[1]2025 Overview (Budget)'!$B$24</c15:sqref>
                        </c15:formulaRef>
                      </c:ext>
                    </c:extLst>
                    <c:strCache>
                      <c:ptCount val="1"/>
                      <c:pt idx="0">
                        <c:v>MRR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'[1]2025 Overview (Budget)'!$C$18:$N$18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'[1]2025 Overview (Budget)'!$C$24:$N$24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4460.1049985636309</c:v>
                      </c:pt>
                      <c:pt idx="1">
                        <c:v>4123.6762769319166</c:v>
                      </c:pt>
                      <c:pt idx="2">
                        <c:v>3775.439153439153</c:v>
                      </c:pt>
                      <c:pt idx="3">
                        <c:v>4062.1518588531817</c:v>
                      </c:pt>
                      <c:pt idx="4">
                        <c:v>4083.8286456278765</c:v>
                      </c:pt>
                      <c:pt idx="5">
                        <c:v>4773.196357960458</c:v>
                      </c:pt>
                      <c:pt idx="6">
                        <c:v>4270.3348629984403</c:v>
                      </c:pt>
                      <c:pt idx="7">
                        <c:v>4966.173777777778</c:v>
                      </c:pt>
                      <c:pt idx="8">
                        <c:v>4723.0604938271608</c:v>
                      </c:pt>
                      <c:pt idx="9">
                        <c:v>4942.8781212841859</c:v>
                      </c:pt>
                      <c:pt idx="10">
                        <c:v>4643.0955504882249</c:v>
                      </c:pt>
                      <c:pt idx="11">
                        <c:v>6105.5717917078182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F-7B66-438F-A84B-9DD80518E63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5"/>
          <c:tx>
            <c:strRef>
              <c:f>'2025 Overview (Budget)'!$B$25</c:f>
              <c:strCache>
                <c:ptCount val="1"/>
                <c:pt idx="0">
                  <c:v> Recurring Client Base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7B66-438F-A84B-9DD80518E638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7B66-438F-A84B-9DD80518E638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7B66-438F-A84B-9DD80518E638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7B66-438F-A84B-9DD80518E638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7B66-438F-A84B-9DD80518E638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7B66-438F-A84B-9DD80518E638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7B66-438F-A84B-9DD80518E638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7B66-438F-A84B-9DD80518E638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7B66-438F-A84B-9DD80518E638}"/>
              </c:ext>
            </c:extLst>
          </c:dPt>
          <c:dPt>
            <c:idx val="10"/>
            <c:marker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7B66-438F-A84B-9DD80518E638}"/>
              </c:ext>
            </c:extLst>
          </c:dPt>
          <c:dLbls>
            <c:dLbl>
              <c:idx val="0"/>
              <c:layout>
                <c:manualLayout>
                  <c:x val="-1.7706234108261183E-2"/>
                  <c:y val="-1.37087269626366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7B66-438F-A84B-9DD80518E638}"/>
                </c:ext>
              </c:extLst>
            </c:dLbl>
            <c:dLbl>
              <c:idx val="1"/>
              <c:layout>
                <c:manualLayout>
                  <c:x val="-1.7251257479128722E-2"/>
                  <c:y val="-5.3212622151062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B66-438F-A84B-9DD80518E638}"/>
                </c:ext>
              </c:extLst>
            </c:dLbl>
            <c:dLbl>
              <c:idx val="2"/>
              <c:layout>
                <c:manualLayout>
                  <c:x val="-2.1441846340455512E-2"/>
                  <c:y val="-5.0909296675031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B66-438F-A84B-9DD80518E638}"/>
                </c:ext>
              </c:extLst>
            </c:dLbl>
            <c:dLbl>
              <c:idx val="3"/>
              <c:layout>
                <c:manualLayout>
                  <c:x val="-1.7251257479128722E-2"/>
                  <c:y val="-4.39993202469382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B66-438F-A84B-9DD80518E638}"/>
                </c:ext>
              </c:extLst>
            </c:dLbl>
            <c:dLbl>
              <c:idx val="4"/>
              <c:layout>
                <c:manualLayout>
                  <c:x val="-1.7251257479128722E-2"/>
                  <c:y val="-4.1695994770907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B66-438F-A84B-9DD80518E638}"/>
                </c:ext>
              </c:extLst>
            </c:dLbl>
            <c:dLbl>
              <c:idx val="5"/>
              <c:layout>
                <c:manualLayout>
                  <c:x val="-1.725125747912867E-2"/>
                  <c:y val="-5.0909296675031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B66-438F-A84B-9DD80518E638}"/>
                </c:ext>
              </c:extLst>
            </c:dLbl>
            <c:dLbl>
              <c:idx val="6"/>
              <c:layout>
                <c:manualLayout>
                  <c:x val="-2.9820216945924526E-2"/>
                  <c:y val="-3.2259146031481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B66-438F-A84B-9DD80518E638}"/>
                </c:ext>
              </c:extLst>
            </c:dLbl>
            <c:dLbl>
              <c:idx val="7"/>
              <c:layout>
                <c:manualLayout>
                  <c:x val="-2.6634525909234985E-2"/>
                  <c:y val="-3.9183992218781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B66-438F-A84B-9DD80518E638}"/>
                </c:ext>
              </c:extLst>
            </c:dLbl>
            <c:dLbl>
              <c:idx val="8"/>
              <c:layout>
                <c:manualLayout>
                  <c:x val="-2.3910829108556263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B66-438F-A84B-9DD80518E638}"/>
                </c:ext>
              </c:extLst>
            </c:dLbl>
            <c:dLbl>
              <c:idx val="9"/>
              <c:layout>
                <c:manualLayout>
                  <c:x val="-2.6704572318935537E-2"/>
                  <c:y val="-5.2516891698773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7B66-438F-A84B-9DD80518E638}"/>
                </c:ext>
              </c:extLst>
            </c:dLbl>
            <c:dLbl>
              <c:idx val="10"/>
              <c:layout>
                <c:manualLayout>
                  <c:x val="-2.6704555016107471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7B66-438F-A84B-9DD80518E638}"/>
                </c:ext>
              </c:extLst>
            </c:dLbl>
            <c:dLbl>
              <c:idx val="11"/>
              <c:layout>
                <c:manualLayout>
                  <c:x val="-1.9720240247229345E-2"/>
                  <c:y val="-4.6302645722969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7B66-438F-A84B-9DD80518E638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 Overview (Budget)'!$C$18:$N$18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 (Budget)'!$C$25:$N$25</c:f>
              <c:numCache>
                <c:formatCode>_(* #,##0_);_(* \(#,##0\);_(* "-"??_);_(@_)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38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36</c:v>
                </c:pt>
                <c:pt idx="9">
                  <c:v>33</c:v>
                </c:pt>
                <c:pt idx="10">
                  <c:v>31</c:v>
                </c:pt>
                <c:pt idx="11">
                  <c:v>49.208852912261683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B66-438F-A84B-9DD80518E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02144"/>
        <c:axId val="1727206464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727206464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727202144"/>
        <c:crosses val="max"/>
        <c:crossBetween val="between"/>
      </c:valAx>
      <c:catAx>
        <c:axId val="17272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7206464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Recurring Client Base</a:t>
            </a:r>
          </a:p>
        </c:rich>
      </c:tx>
      <c:layout>
        <c:manualLayout>
          <c:xMode val="edge"/>
          <c:yMode val="edge"/>
          <c:x val="0.46199195537212084"/>
          <c:y val="4.529506435376515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5"/>
          <c:order val="0"/>
          <c:tx>
            <c:strRef>
              <c:f>'2025 Overview'!$B$46</c:f>
              <c:strCache>
                <c:ptCount val="1"/>
                <c:pt idx="0">
                  <c:v>Operating (Business) Cash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tx1"/>
              </a:solidFill>
            </a:ln>
          </c:spPr>
          <c:cat>
            <c:strRef>
              <c:f>'[1]2025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Overview'!$C$46:$N$46</c:f>
              <c:numCache>
                <c:formatCode>_("$"* #,##0.00_);_("$"* \(#,##0.00\);_("$"* "-"??_);_(@_)</c:formatCode>
                <c:ptCount val="12"/>
                <c:pt idx="0">
                  <c:v>1326.2080000000001</c:v>
                </c:pt>
                <c:pt idx="1">
                  <c:v>1606.7285000000002</c:v>
                </c:pt>
                <c:pt idx="2">
                  <c:v>2203.0059999999999</c:v>
                </c:pt>
                <c:pt idx="3">
                  <c:v>2800.3690000000001</c:v>
                </c:pt>
                <c:pt idx="4">
                  <c:v>4253.5610000000006</c:v>
                </c:pt>
                <c:pt idx="5">
                  <c:v>4362.1695000000009</c:v>
                </c:pt>
                <c:pt idx="6">
                  <c:v>4312.2560000000003</c:v>
                </c:pt>
                <c:pt idx="7">
                  <c:v>4650.8085000000001</c:v>
                </c:pt>
                <c:pt idx="8">
                  <c:v>4164.9724999999999</c:v>
                </c:pt>
                <c:pt idx="9">
                  <c:v>3819.1530000000002</c:v>
                </c:pt>
                <c:pt idx="10">
                  <c:v>3478.683</c:v>
                </c:pt>
                <c:pt idx="11">
                  <c:v>4089.7758283047415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6-4AFC-80FA-5878FDEE0AE1}"/>
            </c:ext>
          </c:extLst>
        </c:ser>
        <c:ser>
          <c:idx val="2"/>
          <c:order val="1"/>
          <c:tx>
            <c:strRef>
              <c:f>'2025 Overview'!$B$47</c:f>
              <c:strCache>
                <c:ptCount val="1"/>
                <c:pt idx="0">
                  <c:v>Savings Cash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tx1"/>
              </a:solidFill>
            </a:ln>
          </c:spPr>
          <c:cat>
            <c:strRef>
              <c:f>'[1]2025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Overview'!$C$47:$N$47</c:f>
              <c:numCache>
                <c:formatCode>_("$"* #,##0.00_);_("$"* \(#,##0.00\);_("$"* "-"??_);_(@_)</c:formatCode>
                <c:ptCount val="12"/>
                <c:pt idx="0">
                  <c:v>45.02</c:v>
                </c:pt>
                <c:pt idx="1">
                  <c:v>68.56</c:v>
                </c:pt>
                <c:pt idx="2">
                  <c:v>0.03</c:v>
                </c:pt>
                <c:pt idx="3">
                  <c:v>9.57</c:v>
                </c:pt>
                <c:pt idx="4">
                  <c:v>150.5</c:v>
                </c:pt>
                <c:pt idx="5">
                  <c:v>17.12</c:v>
                </c:pt>
                <c:pt idx="6">
                  <c:v>50.77</c:v>
                </c:pt>
                <c:pt idx="7">
                  <c:v>0.77</c:v>
                </c:pt>
                <c:pt idx="8">
                  <c:v>37.46</c:v>
                </c:pt>
                <c:pt idx="9">
                  <c:v>15.87</c:v>
                </c:pt>
                <c:pt idx="10">
                  <c:v>0.77</c:v>
                </c:pt>
                <c:pt idx="11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6-4AFC-80FA-5878FDEE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18911"/>
        <c:axId val="1908237535"/>
      </c:areaChart>
      <c:barChart>
        <c:barDir val="col"/>
        <c:grouping val="clustered"/>
        <c:varyColors val="0"/>
        <c:ser>
          <c:idx val="6"/>
          <c:order val="2"/>
          <c:tx>
            <c:strRef>
              <c:f>'2025 Overview'!$B$49</c:f>
              <c:strCache>
                <c:ptCount val="1"/>
                <c:pt idx="0">
                  <c:v>Total Cash Inflow (Outflow)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FF0000"/>
              </a:solidFill>
            </a:ln>
          </c:spPr>
          <c:invertIfNegative val="0"/>
          <c:cat>
            <c:strRef>
              <c:f>'[1]2025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Overview'!$C$49:$N$49</c:f>
              <c:numCache>
                <c:formatCode>_("$"* #,##0.00_);_("$"* \(#,##0.00\);_("$"* "-"??_);_(@_)</c:formatCode>
                <c:ptCount val="12"/>
                <c:pt idx="0">
                  <c:v>614.3199999999988</c:v>
                </c:pt>
                <c:pt idx="1">
                  <c:v>431.57000000000471</c:v>
                </c:pt>
                <c:pt idx="2">
                  <c:v>917.34999999999854</c:v>
                </c:pt>
                <c:pt idx="3">
                  <c:v>919.02000000000089</c:v>
                </c:pt>
                <c:pt idx="4">
                  <c:v>2235.6799999999985</c:v>
                </c:pt>
                <c:pt idx="5">
                  <c:v>167.09000000000196</c:v>
                </c:pt>
                <c:pt idx="6">
                  <c:v>-76.790000000001783</c:v>
                </c:pt>
                <c:pt idx="7">
                  <c:v>520.84999999999945</c:v>
                </c:pt>
                <c:pt idx="8">
                  <c:v>-747.43999999999596</c:v>
                </c:pt>
                <c:pt idx="9">
                  <c:v>-532.02999999999793</c:v>
                </c:pt>
                <c:pt idx="10">
                  <c:v>-523.80000000000609</c:v>
                </c:pt>
                <c:pt idx="11">
                  <c:v>940.14281277652594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16-4AFC-80FA-5878FDEE0AE1}"/>
            </c:ext>
          </c:extLst>
        </c:ser>
        <c:ser>
          <c:idx val="7"/>
          <c:order val="3"/>
          <c:tx>
            <c:strRef>
              <c:f>'2025 Overview'!$B$22</c:f>
              <c:strCache>
                <c:ptCount val="1"/>
                <c:pt idx="0">
                  <c:v> Total Income 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416-4AFC-80FA-5878FDEE0AE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416-4AFC-80FA-5878FDEE0AE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C416-4AFC-80FA-5878FDEE0AE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C416-4AFC-80FA-5878FDEE0AE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C416-4AFC-80FA-5878FDEE0AE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C416-4AFC-80FA-5878FDEE0AE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C416-4AFC-80FA-5878FDEE0AE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C416-4AFC-80FA-5878FDEE0AE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C416-4AFC-80FA-5878FDEE0AE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C416-4AFC-80FA-5878FDEE0AE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C416-4AFC-80FA-5878FDEE0AE1}"/>
              </c:ext>
            </c:extLst>
          </c:dPt>
          <c:cat>
            <c:strRef>
              <c:f>'[1]2025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Overview'!$C$22:$N$22</c:f>
              <c:numCache>
                <c:formatCode>_("$"* #,##0_);_("$"* \(#,##0\);_("$"* "-"??_);_(@_)</c:formatCode>
                <c:ptCount val="12"/>
                <c:pt idx="0">
                  <c:v>6721.05</c:v>
                </c:pt>
                <c:pt idx="1">
                  <c:v>6501.14</c:v>
                </c:pt>
                <c:pt idx="2">
                  <c:v>7108.5</c:v>
                </c:pt>
                <c:pt idx="3">
                  <c:v>7861.75</c:v>
                </c:pt>
                <c:pt idx="4">
                  <c:v>7877.62</c:v>
                </c:pt>
                <c:pt idx="5">
                  <c:v>6887.45</c:v>
                </c:pt>
                <c:pt idx="6">
                  <c:v>7418.55</c:v>
                </c:pt>
                <c:pt idx="7">
                  <c:v>7653.35</c:v>
                </c:pt>
                <c:pt idx="8">
                  <c:v>6170.45</c:v>
                </c:pt>
                <c:pt idx="9">
                  <c:v>6998.25</c:v>
                </c:pt>
                <c:pt idx="10">
                  <c:v>5263</c:v>
                </c:pt>
                <c:pt idx="11">
                  <c:v>5570.0825118078774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16-4AFC-80FA-5878FDEE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418911"/>
        <c:axId val="1908237535"/>
        <c:extLst>
          <c:ext xmlns:c15="http://schemas.microsoft.com/office/drawing/2012/chart" uri="{02D57815-91ED-43cb-92C2-25804820EDAC}">
            <c15:filteredBarSeries>
              <c15:ser>
                <c:idx val="8"/>
                <c:order val="4"/>
                <c:tx>
                  <c:strRef>
                    <c:extLst>
                      <c:ext uri="{02D57815-91ED-43cb-92C2-25804820EDAC}">
                        <c15:formulaRef>
                          <c15:sqref>'[1]2025 Overview'!$B$24</c15:sqref>
                        </c15:formulaRef>
                      </c:ext>
                    </c:extLst>
                    <c:strCache>
                      <c:ptCount val="1"/>
                      <c:pt idx="0">
                        <c:v>MRR</c:v>
                      </c:pt>
                    </c:strCache>
                  </c:strRef>
                </c:tx>
                <c:spPr>
                  <a:ln>
                    <a:solidFill>
                      <a:schemeClr val="tx1"/>
                    </a:solidFill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'[1]2025 Overview'!$C$18:$N$18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'[1]2025 Overview'!$C$24:$N$24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4460.1049985636309</c:v>
                      </c:pt>
                      <c:pt idx="1">
                        <c:v>4123.6762769319166</c:v>
                      </c:pt>
                      <c:pt idx="2">
                        <c:v>3775.439153439153</c:v>
                      </c:pt>
                      <c:pt idx="3">
                        <c:v>4062.1518588531817</c:v>
                      </c:pt>
                      <c:pt idx="4">
                        <c:v>4083.8286456278765</c:v>
                      </c:pt>
                      <c:pt idx="5">
                        <c:v>4773.196357960458</c:v>
                      </c:pt>
                      <c:pt idx="6">
                        <c:v>4270.3348629984403</c:v>
                      </c:pt>
                      <c:pt idx="7">
                        <c:v>4966.173777777778</c:v>
                      </c:pt>
                      <c:pt idx="8">
                        <c:v>4723.0604938271608</c:v>
                      </c:pt>
                      <c:pt idx="9">
                        <c:v>4942.8781212841859</c:v>
                      </c:pt>
                      <c:pt idx="10">
                        <c:v>3263.5584914245451</c:v>
                      </c:pt>
                      <c:pt idx="11">
                        <c:v>4798.1261151713097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F-C416-4AFC-80FA-5878FDEE0AE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5"/>
          <c:tx>
            <c:strRef>
              <c:f>'2025 Overview'!$B$25</c:f>
              <c:strCache>
                <c:ptCount val="1"/>
                <c:pt idx="0">
                  <c:v> Recurring Client Base 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C416-4AFC-80FA-5878FDEE0AE1}"/>
              </c:ext>
            </c:extLst>
          </c:dPt>
          <c:dPt>
            <c:idx val="2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C416-4AFC-80FA-5878FDEE0AE1}"/>
              </c:ext>
            </c:extLst>
          </c:dPt>
          <c:dPt>
            <c:idx val="3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C416-4AFC-80FA-5878FDEE0AE1}"/>
              </c:ext>
            </c:extLst>
          </c:dPt>
          <c:dPt>
            <c:idx val="4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C416-4AFC-80FA-5878FDEE0AE1}"/>
              </c:ext>
            </c:extLst>
          </c:dPt>
          <c:dPt>
            <c:idx val="5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C416-4AFC-80FA-5878FDEE0AE1}"/>
              </c:ext>
            </c:extLst>
          </c:dPt>
          <c:dPt>
            <c:idx val="6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C416-4AFC-80FA-5878FDEE0AE1}"/>
              </c:ext>
            </c:extLst>
          </c:dPt>
          <c:dPt>
            <c:idx val="7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C416-4AFC-80FA-5878FDEE0AE1}"/>
              </c:ext>
            </c:extLst>
          </c:dPt>
          <c:dPt>
            <c:idx val="8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C416-4AFC-80FA-5878FDEE0AE1}"/>
              </c:ext>
            </c:extLst>
          </c:dPt>
          <c:dPt>
            <c:idx val="9"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C416-4AFC-80FA-5878FDEE0AE1}"/>
              </c:ext>
            </c:extLst>
          </c:dPt>
          <c:dPt>
            <c:idx val="10"/>
            <c:marker/>
            <c:bubble3D val="0"/>
            <c:spPr>
              <a:ln>
                <a:solidFill>
                  <a:schemeClr val="accent6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C416-4AFC-80FA-5878FDEE0AE1}"/>
              </c:ext>
            </c:extLst>
          </c:dPt>
          <c:dLbls>
            <c:dLbl>
              <c:idx val="0"/>
              <c:layout>
                <c:manualLayout>
                  <c:x val="-1.7706234108261183E-2"/>
                  <c:y val="-1.37087269626366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C416-4AFC-80FA-5878FDEE0AE1}"/>
                </c:ext>
              </c:extLst>
            </c:dLbl>
            <c:dLbl>
              <c:idx val="1"/>
              <c:layout>
                <c:manualLayout>
                  <c:x val="-1.7251257479128722E-2"/>
                  <c:y val="-5.32126221510629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416-4AFC-80FA-5878FDEE0AE1}"/>
                </c:ext>
              </c:extLst>
            </c:dLbl>
            <c:dLbl>
              <c:idx val="2"/>
              <c:layout>
                <c:manualLayout>
                  <c:x val="-2.1441846340455512E-2"/>
                  <c:y val="-5.0909296675031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416-4AFC-80FA-5878FDEE0AE1}"/>
                </c:ext>
              </c:extLst>
            </c:dLbl>
            <c:dLbl>
              <c:idx val="3"/>
              <c:layout>
                <c:manualLayout>
                  <c:x val="-1.7251257479128722E-2"/>
                  <c:y val="-4.39993202469382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416-4AFC-80FA-5878FDEE0AE1}"/>
                </c:ext>
              </c:extLst>
            </c:dLbl>
            <c:dLbl>
              <c:idx val="4"/>
              <c:layout>
                <c:manualLayout>
                  <c:x val="-1.7251257479128722E-2"/>
                  <c:y val="-4.16959947709070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416-4AFC-80FA-5878FDEE0AE1}"/>
                </c:ext>
              </c:extLst>
            </c:dLbl>
            <c:dLbl>
              <c:idx val="5"/>
              <c:layout>
                <c:manualLayout>
                  <c:x val="-1.725125747912867E-2"/>
                  <c:y val="-5.0909296675031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416-4AFC-80FA-5878FDEE0AE1}"/>
                </c:ext>
              </c:extLst>
            </c:dLbl>
            <c:dLbl>
              <c:idx val="6"/>
              <c:layout>
                <c:manualLayout>
                  <c:x val="-2.2986043577012637E-2"/>
                  <c:y val="2.32789402773053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416-4AFC-80FA-5878FDEE0AE1}"/>
                </c:ext>
              </c:extLst>
            </c:dLbl>
            <c:dLbl>
              <c:idx val="7"/>
              <c:layout>
                <c:manualLayout>
                  <c:x val="-2.6634525909234985E-2"/>
                  <c:y val="-3.91839922187817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416-4AFC-80FA-5878FDEE0AE1}"/>
                </c:ext>
              </c:extLst>
            </c:dLbl>
            <c:dLbl>
              <c:idx val="8"/>
              <c:layout>
                <c:manualLayout>
                  <c:x val="-2.3910829108556263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416-4AFC-80FA-5878FDEE0AE1}"/>
                </c:ext>
              </c:extLst>
            </c:dLbl>
            <c:dLbl>
              <c:idx val="9"/>
              <c:layout>
                <c:manualLayout>
                  <c:x val="-2.6704572318935537E-2"/>
                  <c:y val="-5.25168916987732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416-4AFC-80FA-5878FDEE0AE1}"/>
                </c:ext>
              </c:extLst>
            </c:dLbl>
            <c:dLbl>
              <c:idx val="10"/>
              <c:layout>
                <c:manualLayout>
                  <c:x val="-2.6704555016107471E-2"/>
                  <c:y val="-3.0179367390751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416-4AFC-80FA-5878FDEE0AE1}"/>
                </c:ext>
              </c:extLst>
            </c:dLbl>
            <c:dLbl>
              <c:idx val="11"/>
              <c:layout>
                <c:manualLayout>
                  <c:x val="-1.9720240247229345E-2"/>
                  <c:y val="-4.6302645722969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416-4AFC-80FA-5878FDEE0AE1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 Overview'!$C$18:$N$18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'2025 Overview'!$C$25:$N$25</c:f>
              <c:numCache>
                <c:formatCode>_(* #,##0_);_(* \(#,##0\);_(* "-"??_);_(@_)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38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36</c:v>
                </c:pt>
                <c:pt idx="9">
                  <c:v>33</c:v>
                </c:pt>
                <c:pt idx="10">
                  <c:v>31</c:v>
                </c:pt>
                <c:pt idx="11">
                  <c:v>23.588767007086076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416-4AFC-80FA-5878FDEE0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02144"/>
        <c:axId val="1727206464"/>
      </c:lineChart>
      <c:catAx>
        <c:axId val="1834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37535"/>
        <c:crosses val="autoZero"/>
        <c:auto val="1"/>
        <c:lblAlgn val="ctr"/>
        <c:lblOffset val="100"/>
        <c:noMultiLvlLbl val="0"/>
      </c:catAx>
      <c:valAx>
        <c:axId val="1908237535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18911"/>
        <c:crosses val="autoZero"/>
        <c:crossBetween val="between"/>
      </c:valAx>
      <c:valAx>
        <c:axId val="1727206464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crossAx val="1727202144"/>
        <c:crosses val="max"/>
        <c:crossBetween val="between"/>
      </c:valAx>
      <c:catAx>
        <c:axId val="1727202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7206464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Condensed</a:t>
            </a:r>
            <a:r>
              <a:rPr lang="en-US" baseline="0"/>
              <a:t> </a:t>
            </a:r>
            <a:r>
              <a:rPr lang="en-US"/>
              <a:t>Rolling Forecast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Rolling Forecast Net Operating Income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tx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D2-4459-8436-341141A9E3E9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D2-4459-8436-341141A9E3E9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D2-4459-8436-341141A9E3E9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8D2-4459-8436-341141A9E3E9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8D2-4459-8436-341141A9E3E9}"/>
              </c:ext>
            </c:extLst>
          </c:dPt>
          <c:dPt>
            <c:idx val="5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8D2-4459-8436-341141A9E3E9}"/>
              </c:ext>
            </c:extLst>
          </c:dPt>
          <c:cat>
            <c:strRef>
              <c:f>('Quarterly Overview'!$C$41,'Quarterly Overview'!$D$41,'Quarterly Overview'!$F$41,'Quarterly Overview'!$H$41)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Overview'!$C$29,'Quarterly Overview'!$D$29,'Quarterly Overview'!$F$29,'Quarterly Overview'!$H$29)</c:f>
              <c:numCache>
                <c:formatCode>_("$"* #,##0_);_("$"* \(#,##0\);_("$"* "-"??_);_(@_)</c:formatCode>
                <c:ptCount val="4"/>
                <c:pt idx="0">
                  <c:v>8639.27</c:v>
                </c:pt>
                <c:pt idx="1">
                  <c:v>7207.1900000000005</c:v>
                </c:pt>
                <c:pt idx="2">
                  <c:v>7884.93</c:v>
                </c:pt>
                <c:pt idx="3">
                  <c:v>2679.1155297879268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8D2-4459-8436-341141A9E3E9}"/>
            </c:ext>
          </c:extLst>
        </c:ser>
        <c:ser>
          <c:idx val="3"/>
          <c:order val="1"/>
          <c:tx>
            <c:v>Rolling Forecast MRR</c:v>
          </c:tx>
          <c:spPr>
            <a:solidFill>
              <a:schemeClr val="accent2">
                <a:lumMod val="50000"/>
              </a:schemeClr>
            </a:solidFill>
            <a:ln>
              <a:solidFill>
                <a:sysClr val="windowText" lastClr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48D2-4459-8436-341141A9E3E9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48D2-4459-8436-341141A9E3E9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48D2-4459-8436-341141A9E3E9}"/>
              </c:ext>
            </c:extLst>
          </c:dPt>
          <c:val>
            <c:numRef>
              <c:f>('Quarterly Overview'!$C$15,'Quarterly Overview'!$D$15,'Quarterly Overview'!$F$15,'Quarterly Overview'!$H$15)</c:f>
              <c:numCache>
                <c:formatCode>_(* #,##0_);_(* \(#,##0\);_(* "-"??_);_(@_)</c:formatCode>
                <c:ptCount val="4"/>
                <c:pt idx="0">
                  <c:v>4119.740142978234</c:v>
                </c:pt>
                <c:pt idx="1">
                  <c:v>4306.3922874805057</c:v>
                </c:pt>
                <c:pt idx="2">
                  <c:v>4653.1897115344591</c:v>
                </c:pt>
                <c:pt idx="3">
                  <c:v>4114.3156363604512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8D2-4459-8436-341141A9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4"/>
          <c:order val="2"/>
          <c:tx>
            <c:v>Rolling Forecast Recurring Client Base</c:v>
          </c:tx>
          <c:spPr>
            <a:ln w="28575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8D2-4459-8436-341141A9E3E9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48D2-4459-8436-341141A9E3E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('Quarterly Overview'!$C$16,'Quarterly Overview'!$D$16,'Quarterly Overview'!$F$16,'Quarterly Overview'!$H$16)</c:f>
              <c:numCache>
                <c:formatCode>_(* #,##0_);_(* \(#,##0\);_(* "-"??_);_(@_)</c:formatCode>
                <c:ptCount val="4"/>
                <c:pt idx="0">
                  <c:v>32.666666666666664</c:v>
                </c:pt>
                <c:pt idx="1">
                  <c:v>35</c:v>
                </c:pt>
                <c:pt idx="2">
                  <c:v>34</c:v>
                </c:pt>
                <c:pt idx="3">
                  <c:v>29.196255669028691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8D2-4459-8436-341141A9E3E9}"/>
            </c:ext>
          </c:extLst>
        </c:ser>
        <c:ser>
          <c:idx val="5"/>
          <c:order val="3"/>
          <c:tx>
            <c:v>Rolling Forecast # of Appointments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48D2-4459-8436-341141A9E3E9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48D2-4459-8436-341141A9E3E9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48D2-4459-8436-341141A9E3E9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48D2-4459-8436-341141A9E3E9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48D2-4459-8436-341141A9E3E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('Quarterly Overview'!$C$41,'Quarterly Overview'!$D$41,'Quarterly Overview'!$F$41,'Quarterly Overview'!$H$41)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('Quarterly Overview'!$C$14,'Quarterly Overview'!$D$14,'Quarterly Overview'!$F$14,'Quarterly Overview'!$H$14)</c:f>
              <c:numCache>
                <c:formatCode>_(* #,##0_);_(* \(#,##0\);_(* "-"??_);_(@_)</c:formatCode>
                <c:ptCount val="4"/>
                <c:pt idx="0">
                  <c:v>203</c:v>
                </c:pt>
                <c:pt idx="1">
                  <c:v>237</c:v>
                </c:pt>
                <c:pt idx="2">
                  <c:v>211</c:v>
                </c:pt>
                <c:pt idx="3">
                  <c:v>172.83790571030153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8D2-4459-8436-341141A9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en-US" baseline="0"/>
              <a:t> </a:t>
            </a:r>
            <a:r>
              <a:rPr lang="en-US"/>
              <a:t>Rolling</a:t>
            </a:r>
            <a:r>
              <a:rPr lang="en-US" baseline="0"/>
              <a:t> </a:t>
            </a:r>
            <a:r>
              <a:rPr lang="en-US"/>
              <a:t>Forecast </a:t>
            </a:r>
            <a:r>
              <a:rPr lang="en-US" baseline="0"/>
              <a:t> - Recurring Client Base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Rolling Forecast - Net Operating Income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ysClr val="windowText" lastClr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A6-4241-BAA7-56E6B6F262CC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A6-4241-BAA7-56E6B6F262CC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6A6-4241-BAA7-56E6B6F262CC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6A6-4241-BAA7-56E6B6F262CC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6A6-4241-BAA7-56E6B6F262CC}"/>
              </c:ext>
            </c:extLst>
          </c:dPt>
          <c:dPt>
            <c:idx val="5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6A6-4241-BAA7-56E6B6F262CC}"/>
              </c:ext>
            </c:extLst>
          </c:dPt>
          <c:dPt>
            <c:idx val="6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6A6-4241-BAA7-56E6B6F262CC}"/>
              </c:ext>
            </c:extLst>
          </c:dPt>
          <c:dPt>
            <c:idx val="7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6A6-4241-BAA7-56E6B6F262CC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6A6-4241-BAA7-56E6B6F262CC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6A6-4241-BAA7-56E6B6F262CC}"/>
              </c:ext>
            </c:extLst>
          </c:dPt>
          <c:dPt>
            <c:idx val="1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6A6-4241-BAA7-56E6B6F262CC}"/>
              </c:ext>
            </c:extLst>
          </c:dPt>
          <c:val>
            <c:numRef>
              <c:f>'2025 Overview'!$C$39:$N$39</c:f>
              <c:numCache>
                <c:formatCode>_("$"* #,##0_);_("$"* \(#,##0\);_("$"* "-"??_);_(@_)</c:formatCode>
                <c:ptCount val="12"/>
                <c:pt idx="0">
                  <c:v>4061.8700000000003</c:v>
                </c:pt>
                <c:pt idx="1">
                  <c:v>2138.420000000001</c:v>
                </c:pt>
                <c:pt idx="2">
                  <c:v>2438.9799999999996</c:v>
                </c:pt>
                <c:pt idx="3">
                  <c:v>2096.9800000000014</c:v>
                </c:pt>
                <c:pt idx="4">
                  <c:v>2264.0999999999995</c:v>
                </c:pt>
                <c:pt idx="5">
                  <c:v>2846.1099999999997</c:v>
                </c:pt>
                <c:pt idx="6">
                  <c:v>2933.4300000000003</c:v>
                </c:pt>
                <c:pt idx="7">
                  <c:v>3070.3800000000006</c:v>
                </c:pt>
                <c:pt idx="8">
                  <c:v>1881.12</c:v>
                </c:pt>
                <c:pt idx="9">
                  <c:v>2290.0099999999998</c:v>
                </c:pt>
                <c:pt idx="10">
                  <c:v>982.32000000000062</c:v>
                </c:pt>
                <c:pt idx="11">
                  <c:v>-609.34447021207598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6A6-4241-BAA7-56E6B6F262CC}"/>
            </c:ext>
          </c:extLst>
        </c:ser>
        <c:ser>
          <c:idx val="1"/>
          <c:order val="1"/>
          <c:tx>
            <c:v>Rolling Forecast MRR</c:v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tx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96A6-4241-BAA7-56E6B6F262CC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96A6-4241-BAA7-56E6B6F262CC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96A6-4241-BAA7-56E6B6F262CC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96A6-4241-BAA7-56E6B6F262CC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96A6-4241-BAA7-56E6B6F262CC}"/>
              </c:ext>
            </c:extLst>
          </c:dPt>
          <c:dPt>
            <c:idx val="5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96A6-4241-BAA7-56E6B6F262CC}"/>
              </c:ext>
            </c:extLst>
          </c:dPt>
          <c:dPt>
            <c:idx val="6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96A6-4241-BAA7-56E6B6F262CC}"/>
              </c:ext>
            </c:extLst>
          </c:dPt>
          <c:dPt>
            <c:idx val="7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96A6-4241-BAA7-56E6B6F262CC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96A6-4241-BAA7-56E6B6F262C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96A6-4241-BAA7-56E6B6F262CC}"/>
              </c:ext>
            </c:extLst>
          </c:dPt>
          <c:dPt>
            <c:idx val="1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C-96A6-4241-BAA7-56E6B6F262CC}"/>
              </c:ext>
            </c:extLst>
          </c:dPt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Overview'!$C$24:$N$24</c:f>
              <c:numCache>
                <c:formatCode>_("$"* #,##0_);_("$"* \(#,##0\);_("$"* "-"??_);_(@_)</c:formatCode>
                <c:ptCount val="12"/>
                <c:pt idx="0">
                  <c:v>4460.1049985636309</c:v>
                </c:pt>
                <c:pt idx="1">
                  <c:v>4123.6762769319166</c:v>
                </c:pt>
                <c:pt idx="2">
                  <c:v>3775.439153439153</c:v>
                </c:pt>
                <c:pt idx="3">
                  <c:v>4062.1518588531817</c:v>
                </c:pt>
                <c:pt idx="4">
                  <c:v>4083.8286456278765</c:v>
                </c:pt>
                <c:pt idx="5">
                  <c:v>4773.196357960458</c:v>
                </c:pt>
                <c:pt idx="6">
                  <c:v>4270.3348629984403</c:v>
                </c:pt>
                <c:pt idx="7">
                  <c:v>4966.173777777778</c:v>
                </c:pt>
                <c:pt idx="8">
                  <c:v>4723.0604938271608</c:v>
                </c:pt>
                <c:pt idx="9">
                  <c:v>4942.8781212841859</c:v>
                </c:pt>
                <c:pt idx="10">
                  <c:v>3575.4405997693198</c:v>
                </c:pt>
                <c:pt idx="11">
                  <c:v>3824.6281880278484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6A6-4241-BAA7-56E6B6F2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2"/>
          <c:order val="2"/>
          <c:tx>
            <c:v>Rolling Forecast # of Recurring Client Base</c:v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96A6-4241-BAA7-56E6B6F262CC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96A6-4241-BAA7-56E6B6F262CC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96A6-4241-BAA7-56E6B6F262CC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96A6-4241-BAA7-56E6B6F262CC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96A6-4241-BAA7-56E6B6F262CC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96A6-4241-BAA7-56E6B6F262CC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96A6-4241-BAA7-56E6B6F262CC}"/>
              </c:ext>
            </c:extLst>
          </c:dPt>
          <c:dPt>
            <c:idx val="8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96A6-4241-BAA7-56E6B6F262CC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96A6-4241-BAA7-56E6B6F262CC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96A6-4241-BAA7-56E6B6F262C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Overview'!$C$25:$N$25</c:f>
              <c:numCache>
                <c:formatCode>_(* #,##0_);_(* \(#,##0\);_(* "-"??_);_(@_)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38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36</c:v>
                </c:pt>
                <c:pt idx="9">
                  <c:v>33</c:v>
                </c:pt>
                <c:pt idx="10">
                  <c:v>31</c:v>
                </c:pt>
                <c:pt idx="11">
                  <c:v>23.588767007086076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6A6-4241-BAA7-56E6B6F2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</a:t>
            </a:r>
            <a:r>
              <a:rPr lang="en-US" baseline="0"/>
              <a:t> </a:t>
            </a:r>
            <a:r>
              <a:rPr lang="en-US"/>
              <a:t>Forecast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AOP Total Income</c:v>
          </c:tx>
          <c:spPr>
            <a:solidFill>
              <a:schemeClr val="tx1"/>
            </a:solidFill>
            <a:ln>
              <a:noFill/>
              <a:prstDash val="solid"/>
            </a:ln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Overview'!$C$22:$N$22</c:f>
              <c:numCache>
                <c:formatCode>_("$"* #,##0_);_("$"* \(#,##0\);_("$"* "-"??_);_(@_)</c:formatCode>
                <c:ptCount val="12"/>
                <c:pt idx="0">
                  <c:v>6721.05</c:v>
                </c:pt>
                <c:pt idx="1">
                  <c:v>6501.14</c:v>
                </c:pt>
                <c:pt idx="2">
                  <c:v>7108.5</c:v>
                </c:pt>
                <c:pt idx="3">
                  <c:v>7861.75</c:v>
                </c:pt>
                <c:pt idx="4">
                  <c:v>7877.62</c:v>
                </c:pt>
                <c:pt idx="5">
                  <c:v>6887.45</c:v>
                </c:pt>
                <c:pt idx="6">
                  <c:v>7418.55</c:v>
                </c:pt>
                <c:pt idx="7">
                  <c:v>7653.35</c:v>
                </c:pt>
                <c:pt idx="8">
                  <c:v>6170.45</c:v>
                </c:pt>
                <c:pt idx="9">
                  <c:v>6998.25</c:v>
                </c:pt>
                <c:pt idx="10">
                  <c:v>5263</c:v>
                </c:pt>
                <c:pt idx="11">
                  <c:v>5570.0825118078774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8-4151-9E5D-55F4528BE8B9}"/>
            </c:ext>
          </c:extLst>
        </c:ser>
        <c:ser>
          <c:idx val="1"/>
          <c:order val="1"/>
          <c:tx>
            <c:v>Rolling Forecast Total Income</c:v>
          </c:tx>
          <c:spPr>
            <a:solidFill>
              <a:schemeClr val="bg2">
                <a:lumMod val="90000"/>
              </a:schemeClr>
            </a:solidFill>
            <a:ln>
              <a:solidFill>
                <a:sysClr val="windowText" lastClr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548-4151-9E5D-55F4528BE8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6548-4151-9E5D-55F4528BE8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548-4151-9E5D-55F4528BE8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6548-4151-9E5D-55F4528BE8B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6548-4151-9E5D-55F4528BE8B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6548-4151-9E5D-55F4528BE8B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6548-4151-9E5D-55F4528BE8B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6548-4151-9E5D-55F4528BE8B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6548-4151-9E5D-55F4528BE8B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6548-4151-9E5D-55F4528BE8B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solidFill>
                  <a:sysClr val="windowText" lastClr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6548-4151-9E5D-55F4528BE8B9}"/>
              </c:ext>
            </c:extLst>
          </c:dPt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Overview'!$C$22:$N$22</c:f>
              <c:numCache>
                <c:formatCode>_("$"* #,##0_);_("$"* \(#,##0\);_("$"* "-"??_);_(@_)</c:formatCode>
                <c:ptCount val="12"/>
                <c:pt idx="0">
                  <c:v>6721.05</c:v>
                </c:pt>
                <c:pt idx="1">
                  <c:v>6501.14</c:v>
                </c:pt>
                <c:pt idx="2">
                  <c:v>7108.5</c:v>
                </c:pt>
                <c:pt idx="3">
                  <c:v>7861.75</c:v>
                </c:pt>
                <c:pt idx="4">
                  <c:v>7877.62</c:v>
                </c:pt>
                <c:pt idx="5">
                  <c:v>6887.45</c:v>
                </c:pt>
                <c:pt idx="6">
                  <c:v>7418.55</c:v>
                </c:pt>
                <c:pt idx="7">
                  <c:v>7653.35</c:v>
                </c:pt>
                <c:pt idx="8">
                  <c:v>6170.45</c:v>
                </c:pt>
                <c:pt idx="9">
                  <c:v>6998.25</c:v>
                </c:pt>
                <c:pt idx="10">
                  <c:v>5263</c:v>
                </c:pt>
                <c:pt idx="11">
                  <c:v>5570.0825118078774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548-4151-9E5D-55F4528BE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793967"/>
        <c:axId val="493786287"/>
      </c:barChart>
      <c:lineChart>
        <c:grouping val="standard"/>
        <c:varyColors val="0"/>
        <c:ser>
          <c:idx val="2"/>
          <c:order val="2"/>
          <c:tx>
            <c:v>2025 AOP # of Clients</c:v>
          </c:tx>
          <c:spPr>
            <a:ln w="28575" cap="rnd">
              <a:solidFill>
                <a:schemeClr val="tx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AOP'!$C$25:$N$25</c:f>
              <c:numCache>
                <c:formatCode>_(* #,##0_);_(* \(#,##0\);_(* "-"??_);_(@_)</c:formatCode>
                <c:ptCount val="12"/>
                <c:pt idx="0">
                  <c:v>40.158948928397457</c:v>
                </c:pt>
                <c:pt idx="1">
                  <c:v>33.937139939490812</c:v>
                </c:pt>
                <c:pt idx="2">
                  <c:v>40.724567927388982</c:v>
                </c:pt>
                <c:pt idx="3">
                  <c:v>55.996280900159853</c:v>
                </c:pt>
                <c:pt idx="4">
                  <c:v>66.743041880998604</c:v>
                </c:pt>
                <c:pt idx="5">
                  <c:v>59.955613893100427</c:v>
                </c:pt>
                <c:pt idx="6">
                  <c:v>47.51199591528713</c:v>
                </c:pt>
                <c:pt idx="7">
                  <c:v>49.208852912261683</c:v>
                </c:pt>
                <c:pt idx="8">
                  <c:v>40.724567927388968</c:v>
                </c:pt>
                <c:pt idx="9">
                  <c:v>45.249519919321088</c:v>
                </c:pt>
                <c:pt idx="10">
                  <c:v>48.077614914278662</c:v>
                </c:pt>
                <c:pt idx="11">
                  <c:v>49.208852912261683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548-4151-9E5D-55F4528BE8B9}"/>
            </c:ext>
          </c:extLst>
        </c:ser>
        <c:ser>
          <c:idx val="3"/>
          <c:order val="3"/>
          <c:tx>
            <c:v>Rolling Forecast # of Clients</c:v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1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A-6548-4151-9E5D-55F4528BE8B9}"/>
              </c:ext>
            </c:extLst>
          </c:dPt>
          <c:dPt>
            <c:idx val="2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C-6548-4151-9E5D-55F4528BE8B9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E-6548-4151-9E5D-55F4528BE8B9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0-6548-4151-9E5D-55F4528BE8B9}"/>
              </c:ext>
            </c:extLst>
          </c:dPt>
          <c:dPt>
            <c:idx val="5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2-6548-4151-9E5D-55F4528BE8B9}"/>
              </c:ext>
            </c:extLst>
          </c:dPt>
          <c:dPt>
            <c:idx val="6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4-6548-4151-9E5D-55F4528BE8B9}"/>
              </c:ext>
            </c:extLst>
          </c:dPt>
          <c:dPt>
            <c:idx val="7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6-6548-4151-9E5D-55F4528BE8B9}"/>
              </c:ext>
            </c:extLst>
          </c:dPt>
          <c:dPt>
            <c:idx val="8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8-6548-4151-9E5D-55F4528BE8B9}"/>
              </c:ext>
            </c:extLst>
          </c:dPt>
          <c:dPt>
            <c:idx val="9"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A-6548-4151-9E5D-55F4528BE8B9}"/>
              </c:ext>
            </c:extLst>
          </c:dPt>
          <c:dPt>
            <c:idx val="10"/>
            <c:marker/>
            <c:bubble3D val="0"/>
            <c:spPr>
              <a:ln w="28575" cap="rnd">
                <a:solidFill>
                  <a:schemeClr val="accent6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C-6548-4151-9E5D-55F4528BE8B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Ref>
              <c:f>'2025 Overview'!$C$25:$N$25</c:f>
              <c:numCache>
                <c:formatCode>_(* #,##0_);_(* \(#,##0\);_(* "-"??_);_(@_)</c:formatCode>
                <c:ptCount val="12"/>
                <c:pt idx="0">
                  <c:v>35</c:v>
                </c:pt>
                <c:pt idx="1">
                  <c:v>32</c:v>
                </c:pt>
                <c:pt idx="2">
                  <c:v>31</c:v>
                </c:pt>
                <c:pt idx="3">
                  <c:v>30</c:v>
                </c:pt>
                <c:pt idx="4">
                  <c:v>38</c:v>
                </c:pt>
                <c:pt idx="5">
                  <c:v>37</c:v>
                </c:pt>
                <c:pt idx="6">
                  <c:v>34</c:v>
                </c:pt>
                <c:pt idx="7">
                  <c:v>32</c:v>
                </c:pt>
                <c:pt idx="8">
                  <c:v>36</c:v>
                </c:pt>
                <c:pt idx="9">
                  <c:v>33</c:v>
                </c:pt>
                <c:pt idx="10">
                  <c:v>31</c:v>
                </c:pt>
                <c:pt idx="11">
                  <c:v>23.588767007086076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548-4151-9E5D-55F4528BE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798287"/>
        <c:axId val="493784847"/>
      </c:lineChart>
      <c:catAx>
        <c:axId val="4937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86287"/>
        <c:crosses val="autoZero"/>
        <c:auto val="1"/>
        <c:lblAlgn val="ctr"/>
        <c:lblOffset val="100"/>
        <c:noMultiLvlLbl val="0"/>
      </c:catAx>
      <c:valAx>
        <c:axId val="493786287"/>
        <c:scaling>
          <c:orientation val="minMax"/>
        </c:scaling>
        <c:delete val="0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3967"/>
        <c:crosses val="autoZero"/>
        <c:crossBetween val="between"/>
      </c:valAx>
      <c:catAx>
        <c:axId val="49379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3784847"/>
        <c:crosses val="autoZero"/>
        <c:auto val="1"/>
        <c:lblAlgn val="ctr"/>
        <c:lblOffset val="100"/>
        <c:noMultiLvlLbl val="0"/>
      </c:catAx>
      <c:valAx>
        <c:axId val="493784847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798287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117232</xdr:colOff>
      <xdr:row>8</xdr:row>
      <xdr:rowOff>89389</xdr:rowOff>
    </xdr:from>
    <xdr:to>
      <xdr:col>2</xdr:col>
      <xdr:colOff>2133600</xdr:colOff>
      <xdr:row>15</xdr:row>
      <xdr:rowOff>57447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l="1886" t="25500" r="4356" b="28449"/>
        <a:stretch>
          <a:fillRect/>
        </a:stretch>
      </xdr:blipFill>
      <xdr:spPr bwMode="auto">
        <a:xfrm>
          <a:off x="726832" y="1601666"/>
          <a:ext cx="2625968" cy="1277233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12</xdr:col>
      <xdr:colOff>91440</xdr:colOff>
      <xdr:row>15</xdr:row>
      <xdr:rowOff>125730</xdr:rowOff>
    </xdr:from>
    <xdr:to>
      <xdr:col>23</xdr:col>
      <xdr:colOff>460489</xdr:colOff>
      <xdr:row>44</xdr:row>
      <xdr:rowOff>178262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753E97-B0C2-4C2B-938C-DC94A516A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30</xdr:row>
      <xdr:rowOff>64770</xdr:rowOff>
    </xdr:from>
    <xdr:to>
      <xdr:col>14</xdr:col>
      <xdr:colOff>15240</xdr:colOff>
      <xdr:row>47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73084</xdr:colOff>
      <xdr:row>55</xdr:row>
      <xdr:rowOff>1</xdr:rowOff>
    </xdr:from>
    <xdr:to>
      <xdr:col>15</xdr:col>
      <xdr:colOff>1121930</xdr:colOff>
      <xdr:row>72</xdr:row>
      <xdr:rowOff>2474975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652B0-752F-4D88-8647-63052A35B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55</xdr:row>
      <xdr:rowOff>63500</xdr:rowOff>
    </xdr:from>
    <xdr:to>
      <xdr:col>15</xdr:col>
      <xdr:colOff>987193</xdr:colOff>
      <xdr:row>72</xdr:row>
      <xdr:rowOff>2468047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8268E-8523-4C3B-8D38-F5EEBAC12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180976</xdr:colOff>
      <xdr:row>0</xdr:row>
      <xdr:rowOff>76201</xdr:rowOff>
    </xdr:from>
    <xdr:to>
      <xdr:col>11</xdr:col>
      <xdr:colOff>173354</xdr:colOff>
      <xdr:row>8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2576" y="76201"/>
          <a:ext cx="1552574" cy="1552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243839</xdr:colOff>
      <xdr:row>8</xdr:row>
      <xdr:rowOff>173874</xdr:rowOff>
    </xdr:from>
    <xdr:to>
      <xdr:col>21</xdr:col>
      <xdr:colOff>540152</xdr:colOff>
      <xdr:row>37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28816</xdr:colOff>
      <xdr:row>37</xdr:row>
      <xdr:rowOff>158406</xdr:rowOff>
    </xdr:from>
    <xdr:to>
      <xdr:col>21</xdr:col>
      <xdr:colOff>559443</xdr:colOff>
      <xdr:row>58</xdr:row>
      <xdr:rowOff>171570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160165</xdr:colOff>
      <xdr:row>3</xdr:row>
      <xdr:rowOff>52525</xdr:rowOff>
    </xdr:from>
    <xdr:to>
      <xdr:col>11</xdr:col>
      <xdr:colOff>519361</xdr:colOff>
      <xdr:row>8</xdr:row>
      <xdr:rowOff>54531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1886" t="25500" r="4356" b="28449"/>
        <a:stretch>
          <a:fillRect/>
        </a:stretch>
      </xdr:blipFill>
      <xdr:spPr bwMode="auto">
        <a:xfrm>
          <a:off x="5744950" y="631259"/>
          <a:ext cx="4280607" cy="208354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224452</xdr:colOff>
      <xdr:row>12</xdr:row>
      <xdr:rowOff>136457</xdr:rowOff>
    </xdr:from>
    <xdr:to>
      <xdr:col>62</xdr:col>
      <xdr:colOff>98006</xdr:colOff>
      <xdr:row>58</xdr:row>
      <xdr:rowOff>199866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39</xdr:col>
      <xdr:colOff>503687</xdr:colOff>
      <xdr:row>0</xdr:row>
      <xdr:rowOff>63500</xdr:rowOff>
    </xdr:from>
    <xdr:to>
      <xdr:col>49</xdr:col>
      <xdr:colOff>425874</xdr:colOff>
      <xdr:row>12</xdr:row>
      <xdr:rowOff>128535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1886" t="25500" r="4356" b="28449"/>
        <a:stretch>
          <a:fillRect/>
        </a:stretch>
      </xdr:blipFill>
      <xdr:spPr bwMode="auto">
        <a:xfrm>
          <a:off x="12619487" y="63500"/>
          <a:ext cx="5370793" cy="235103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3a4090e471ff419/Documents/GitHub/finevalgroup/IA_FFM_2025.xlsx" TargetMode="External"/><Relationship Id="rId1" Type="http://schemas.openxmlformats.org/officeDocument/2006/relationships/externalLinkPath" Target="IA_FFM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Annual Summary"/>
      <sheetName val="2023 Overview"/>
      <sheetName val="2025 Overview (Budget)"/>
      <sheetName val="2025 Overview"/>
      <sheetName val="2025 AOP"/>
      <sheetName val="2024 Overview"/>
      <sheetName val="2022 Overview"/>
      <sheetName val="Quarterly Overview"/>
      <sheetName val="2"/>
      <sheetName val="Monthly Detail"/>
      <sheetName val="3"/>
      <sheetName val="October"/>
      <sheetName val="September"/>
      <sheetName val="August"/>
      <sheetName val="Actual vs. Forecast"/>
      <sheetName val="People Plan"/>
      <sheetName val="Holidays"/>
      <sheetName val="December"/>
      <sheetName val="November"/>
      <sheetName val="River"/>
    </sheetNames>
    <sheetDataSet>
      <sheetData sheetId="0" refreshError="1"/>
      <sheetData sheetId="1" refreshError="1"/>
      <sheetData sheetId="2" refreshError="1"/>
      <sheetData sheetId="3">
        <row r="18">
          <cell r="C18" t="str">
            <v>January</v>
          </cell>
          <cell r="D18" t="str">
            <v>February</v>
          </cell>
          <cell r="E18" t="str">
            <v>March</v>
          </cell>
          <cell r="F18" t="str">
            <v>April</v>
          </cell>
          <cell r="G18" t="str">
            <v>May</v>
          </cell>
          <cell r="H18" t="str">
            <v>June</v>
          </cell>
          <cell r="I18" t="str">
            <v>July</v>
          </cell>
          <cell r="J18" t="str">
            <v>August</v>
          </cell>
          <cell r="K18" t="str">
            <v>September</v>
          </cell>
          <cell r="L18" t="str">
            <v>October</v>
          </cell>
          <cell r="M18" t="str">
            <v>November</v>
          </cell>
          <cell r="N18" t="str">
            <v>December</v>
          </cell>
        </row>
        <row r="22">
          <cell r="B22" t="str">
            <v>Total Income</v>
          </cell>
          <cell r="C22">
            <v>6721.05</v>
          </cell>
          <cell r="D22">
            <v>6501.14</v>
          </cell>
          <cell r="E22">
            <v>7108.5</v>
          </cell>
          <cell r="F22">
            <v>7861.75</v>
          </cell>
          <cell r="G22">
            <v>7877.62</v>
          </cell>
          <cell r="H22">
            <v>6887.45</v>
          </cell>
          <cell r="I22">
            <v>7418.55</v>
          </cell>
          <cell r="J22">
            <v>7653.35</v>
          </cell>
          <cell r="K22">
            <v>6170.45</v>
          </cell>
          <cell r="L22">
            <v>6998.25</v>
          </cell>
          <cell r="M22">
            <v>7017.707274880775</v>
          </cell>
          <cell r="N22">
            <v>8571.1672628560773</v>
          </cell>
        </row>
        <row r="24">
          <cell r="B24" t="str">
            <v>MRR</v>
          </cell>
          <cell r="C24">
            <v>4460.1049985636309</v>
          </cell>
          <cell r="D24">
            <v>4123.6762769319166</v>
          </cell>
          <cell r="E24">
            <v>3775.439153439153</v>
          </cell>
          <cell r="F24">
            <v>4062.1518588531817</v>
          </cell>
          <cell r="G24">
            <v>4083.8286456278765</v>
          </cell>
          <cell r="H24">
            <v>4773.196357960458</v>
          </cell>
          <cell r="I24">
            <v>4270.3348629984403</v>
          </cell>
          <cell r="J24">
            <v>4966.173777777778</v>
          </cell>
          <cell r="K24">
            <v>4723.0604938271608</v>
          </cell>
          <cell r="L24">
            <v>4942.8781212841859</v>
          </cell>
          <cell r="M24">
            <v>4643.0955504882249</v>
          </cell>
          <cell r="N24">
            <v>6105.5717917078182</v>
          </cell>
        </row>
        <row r="25">
          <cell r="B25" t="str">
            <v>Recurring Client Base</v>
          </cell>
          <cell r="C25">
            <v>35</v>
          </cell>
          <cell r="D25">
            <v>32</v>
          </cell>
          <cell r="E25">
            <v>31</v>
          </cell>
          <cell r="F25">
            <v>30</v>
          </cell>
          <cell r="G25">
            <v>38</v>
          </cell>
          <cell r="H25">
            <v>37</v>
          </cell>
          <cell r="I25">
            <v>34</v>
          </cell>
          <cell r="J25">
            <v>32</v>
          </cell>
          <cell r="K25">
            <v>36</v>
          </cell>
          <cell r="L25">
            <v>33</v>
          </cell>
          <cell r="M25">
            <v>48.077614914278655</v>
          </cell>
          <cell r="N25">
            <v>49.208852912261676</v>
          </cell>
        </row>
        <row r="46">
          <cell r="B46" t="str">
            <v>Operating (Business) Cash</v>
          </cell>
          <cell r="C46">
            <v>1326.2080000000001</v>
          </cell>
          <cell r="D46">
            <v>1606.7285000000002</v>
          </cell>
          <cell r="E46">
            <v>2203.0059999999999</v>
          </cell>
          <cell r="F46">
            <v>2800.3690000000001</v>
          </cell>
          <cell r="G46">
            <v>4253.5610000000006</v>
          </cell>
          <cell r="H46">
            <v>4362.1695000000009</v>
          </cell>
          <cell r="I46">
            <v>4312.2560000000003</v>
          </cell>
          <cell r="J46">
            <v>4650.8085000000001</v>
          </cell>
          <cell r="K46">
            <v>4164.9724999999999</v>
          </cell>
          <cell r="L46">
            <v>3819.1530000000002</v>
          </cell>
          <cell r="M46">
            <v>2019.7107169290684</v>
          </cell>
          <cell r="N46">
            <v>1694.3506908550485</v>
          </cell>
        </row>
        <row r="47">
          <cell r="B47" t="str">
            <v>Savings Cash</v>
          </cell>
          <cell r="C47">
            <v>45.02</v>
          </cell>
          <cell r="D47">
            <v>68.56</v>
          </cell>
          <cell r="E47">
            <v>0.03</v>
          </cell>
          <cell r="F47">
            <v>9.57</v>
          </cell>
          <cell r="G47">
            <v>150.5</v>
          </cell>
          <cell r="H47">
            <v>17.12</v>
          </cell>
          <cell r="I47">
            <v>50.77</v>
          </cell>
          <cell r="J47">
            <v>0.77</v>
          </cell>
          <cell r="K47">
            <v>37.46</v>
          </cell>
          <cell r="L47">
            <v>15.87</v>
          </cell>
          <cell r="M47">
            <v>28.95</v>
          </cell>
          <cell r="N47">
            <v>28.95</v>
          </cell>
        </row>
        <row r="49">
          <cell r="B49" t="str">
            <v>Total Cash Inflow (Outflow)</v>
          </cell>
          <cell r="C49">
            <v>614.3199999999988</v>
          </cell>
          <cell r="D49">
            <v>431.57000000000471</v>
          </cell>
          <cell r="E49">
            <v>917.34999999999854</v>
          </cell>
          <cell r="F49">
            <v>919.02000000000089</v>
          </cell>
          <cell r="G49">
            <v>2235.6799999999985</v>
          </cell>
          <cell r="H49">
            <v>167.09000000000196</v>
          </cell>
          <cell r="I49">
            <v>-76.790000000001783</v>
          </cell>
          <cell r="J49">
            <v>520.84999999999945</v>
          </cell>
          <cell r="K49">
            <v>-747.43999999999596</v>
          </cell>
          <cell r="L49">
            <v>-532.02999999999747</v>
          </cell>
          <cell r="M49">
            <v>-1736.4419478597249</v>
          </cell>
          <cell r="N49">
            <v>-500.5538862677231</v>
          </cell>
        </row>
      </sheetData>
      <sheetData sheetId="4">
        <row r="18">
          <cell r="C18" t="str">
            <v>January</v>
          </cell>
          <cell r="D18" t="str">
            <v>February</v>
          </cell>
          <cell r="E18" t="str">
            <v>March</v>
          </cell>
          <cell r="F18" t="str">
            <v>April</v>
          </cell>
          <cell r="G18" t="str">
            <v>May</v>
          </cell>
          <cell r="H18" t="str">
            <v>June</v>
          </cell>
          <cell r="I18" t="str">
            <v>July</v>
          </cell>
          <cell r="J18" t="str">
            <v>August</v>
          </cell>
          <cell r="K18" t="str">
            <v>September</v>
          </cell>
          <cell r="L18" t="str">
            <v>October</v>
          </cell>
          <cell r="M18" t="str">
            <v>November</v>
          </cell>
          <cell r="N18" t="str">
            <v>December</v>
          </cell>
        </row>
        <row r="22">
          <cell r="B22" t="str">
            <v>Total Income</v>
          </cell>
          <cell r="C22">
            <v>6721.05</v>
          </cell>
          <cell r="D22">
            <v>6501.14</v>
          </cell>
          <cell r="E22">
            <v>7108.5</v>
          </cell>
          <cell r="F22">
            <v>7861.75</v>
          </cell>
          <cell r="G22">
            <v>7877.62</v>
          </cell>
          <cell r="H22">
            <v>6887.45</v>
          </cell>
          <cell r="I22">
            <v>7418.55</v>
          </cell>
          <cell r="J22">
            <v>7653.35</v>
          </cell>
          <cell r="K22">
            <v>6170.45</v>
          </cell>
          <cell r="L22">
            <v>6998.25</v>
          </cell>
          <cell r="M22">
            <v>5277.0751849216276</v>
          </cell>
          <cell r="N22">
            <v>7465.3407812799524</v>
          </cell>
        </row>
        <row r="24">
          <cell r="B24" t="str">
            <v>MRR</v>
          </cell>
          <cell r="C24">
            <v>4460.1049985636309</v>
          </cell>
          <cell r="D24">
            <v>4123.6762769319166</v>
          </cell>
          <cell r="E24">
            <v>3775.439153439153</v>
          </cell>
          <cell r="F24">
            <v>4062.1518588531817</v>
          </cell>
          <cell r="G24">
            <v>4083.8286456278765</v>
          </cell>
          <cell r="H24">
            <v>4773.196357960458</v>
          </cell>
          <cell r="I24">
            <v>4270.3348629984403</v>
          </cell>
          <cell r="J24">
            <v>4966.173777777778</v>
          </cell>
          <cell r="K24">
            <v>4723.0604938271608</v>
          </cell>
          <cell r="L24">
            <v>4942.8781212841859</v>
          </cell>
          <cell r="M24">
            <v>3263.5584914245451</v>
          </cell>
          <cell r="N24">
            <v>4798.1261151713097</v>
          </cell>
        </row>
        <row r="25">
          <cell r="B25" t="str">
            <v>Recurring Client Base</v>
          </cell>
          <cell r="C25">
            <v>35</v>
          </cell>
          <cell r="D25">
            <v>32</v>
          </cell>
          <cell r="E25">
            <v>31</v>
          </cell>
          <cell r="F25">
            <v>30</v>
          </cell>
          <cell r="G25">
            <v>38</v>
          </cell>
          <cell r="H25">
            <v>37</v>
          </cell>
          <cell r="I25">
            <v>34</v>
          </cell>
          <cell r="J25">
            <v>32</v>
          </cell>
          <cell r="K25">
            <v>36</v>
          </cell>
          <cell r="L25">
            <v>33</v>
          </cell>
          <cell r="M25">
            <v>25.285541632518211</v>
          </cell>
          <cell r="N25">
            <v>30.127453860021696</v>
          </cell>
        </row>
        <row r="46">
          <cell r="B46" t="str">
            <v>Operating (Business) Cash</v>
          </cell>
          <cell r="C46">
            <v>1326.2080000000001</v>
          </cell>
          <cell r="D46">
            <v>1606.7285000000002</v>
          </cell>
          <cell r="E46">
            <v>2203.0059999999999</v>
          </cell>
          <cell r="F46">
            <v>2800.3690000000001</v>
          </cell>
          <cell r="G46">
            <v>4253.5610000000006</v>
          </cell>
          <cell r="H46">
            <v>4362.1695000000009</v>
          </cell>
          <cell r="I46">
            <v>4312.2560000000003</v>
          </cell>
          <cell r="J46">
            <v>4650.8085000000001</v>
          </cell>
          <cell r="K46">
            <v>4164.9724999999999</v>
          </cell>
          <cell r="L46">
            <v>3819.1530000000002</v>
          </cell>
          <cell r="M46">
            <v>4361.1002021505583</v>
          </cell>
          <cell r="N46">
            <v>4540.1488205055202</v>
          </cell>
        </row>
        <row r="47">
          <cell r="B47" t="str">
            <v>Savings Cash</v>
          </cell>
          <cell r="C47">
            <v>45.02</v>
          </cell>
          <cell r="D47">
            <v>68.56</v>
          </cell>
          <cell r="E47">
            <v>0.03</v>
          </cell>
          <cell r="F47">
            <v>9.57</v>
          </cell>
          <cell r="G47">
            <v>150.5</v>
          </cell>
          <cell r="H47">
            <v>17.12</v>
          </cell>
          <cell r="I47">
            <v>50.77</v>
          </cell>
          <cell r="J47">
            <v>0.77</v>
          </cell>
          <cell r="K47">
            <v>37.46</v>
          </cell>
          <cell r="L47">
            <v>15.87</v>
          </cell>
          <cell r="M47">
            <v>15.87</v>
          </cell>
          <cell r="N47">
            <v>15.87</v>
          </cell>
        </row>
        <row r="49">
          <cell r="B49" t="str">
            <v>Total Cash Inflow (Outflow)</v>
          </cell>
          <cell r="C49">
            <v>614.3199999999988</v>
          </cell>
          <cell r="D49">
            <v>431.57000000000471</v>
          </cell>
          <cell r="E49">
            <v>917.34999999999854</v>
          </cell>
          <cell r="F49">
            <v>919.02000000000089</v>
          </cell>
          <cell r="G49">
            <v>2235.6799999999985</v>
          </cell>
          <cell r="H49">
            <v>167.09000000000196</v>
          </cell>
          <cell r="I49">
            <v>-76.790000000001783</v>
          </cell>
          <cell r="J49">
            <v>520.84999999999945</v>
          </cell>
          <cell r="K49">
            <v>-747.43999999999596</v>
          </cell>
          <cell r="L49">
            <v>-532.02999999999747</v>
          </cell>
          <cell r="M49">
            <v>833.76492638547325</v>
          </cell>
          <cell r="N49">
            <v>275.45941285378888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AB4">
            <v>45322</v>
          </cell>
          <cell r="AC4">
            <v>45351</v>
          </cell>
          <cell r="AD4">
            <v>45382</v>
          </cell>
          <cell r="AE4">
            <v>45412</v>
          </cell>
          <cell r="AF4">
            <v>45443</v>
          </cell>
          <cell r="AG4">
            <v>45473</v>
          </cell>
          <cell r="AH4">
            <v>45504</v>
          </cell>
          <cell r="AI4">
            <v>45535</v>
          </cell>
          <cell r="AJ4">
            <v>45565</v>
          </cell>
          <cell r="AK4">
            <v>45596</v>
          </cell>
          <cell r="AL4">
            <v>45626</v>
          </cell>
          <cell r="AM4">
            <v>45657</v>
          </cell>
          <cell r="AN4">
            <v>45688</v>
          </cell>
          <cell r="AO4">
            <v>45716</v>
          </cell>
          <cell r="AP4">
            <v>45747</v>
          </cell>
          <cell r="AQ4">
            <v>45777</v>
          </cell>
          <cell r="AR4">
            <v>45808</v>
          </cell>
          <cell r="AS4">
            <v>45838</v>
          </cell>
          <cell r="AT4">
            <v>45869</v>
          </cell>
          <cell r="AU4">
            <v>45900</v>
          </cell>
          <cell r="AV4">
            <v>45930</v>
          </cell>
          <cell r="AW4">
            <v>45961</v>
          </cell>
          <cell r="AX4">
            <v>45991</v>
          </cell>
          <cell r="AY4">
            <v>46022</v>
          </cell>
          <cell r="AZ4">
            <v>46053</v>
          </cell>
          <cell r="BA4">
            <v>46081</v>
          </cell>
          <cell r="BB4">
            <v>46112</v>
          </cell>
          <cell r="BC4">
            <v>46142</v>
          </cell>
          <cell r="BD4">
            <v>46173</v>
          </cell>
          <cell r="BE4">
            <v>46203</v>
          </cell>
        </row>
        <row r="13">
          <cell r="AB13">
            <v>5728.5</v>
          </cell>
          <cell r="AC13">
            <v>6746.25</v>
          </cell>
          <cell r="AD13">
            <v>7639.25</v>
          </cell>
          <cell r="AE13">
            <v>7817</v>
          </cell>
          <cell r="AF13">
            <v>8048</v>
          </cell>
          <cell r="AG13">
            <v>7154</v>
          </cell>
          <cell r="AH13">
            <v>6015.5</v>
          </cell>
          <cell r="AI13">
            <v>7295</v>
          </cell>
          <cell r="AJ13">
            <v>4538</v>
          </cell>
          <cell r="AK13">
            <v>7697</v>
          </cell>
          <cell r="AL13">
            <v>4938.75</v>
          </cell>
          <cell r="AM13">
            <v>6152</v>
          </cell>
          <cell r="AN13">
            <v>6721.05</v>
          </cell>
          <cell r="AO13">
            <v>6501.14</v>
          </cell>
          <cell r="AP13">
            <v>7108.5</v>
          </cell>
          <cell r="AQ13">
            <v>7861.75</v>
          </cell>
          <cell r="AR13">
            <v>7877.62</v>
          </cell>
          <cell r="AS13">
            <v>6887.45</v>
          </cell>
          <cell r="AT13">
            <v>7418.55</v>
          </cell>
          <cell r="AU13">
            <v>7653.35</v>
          </cell>
          <cell r="AV13">
            <v>6170.45</v>
          </cell>
          <cell r="AW13">
            <v>6998.25</v>
          </cell>
          <cell r="AX13">
            <v>5277.0751849216276</v>
          </cell>
          <cell r="AY13">
            <v>7465.3407812799524</v>
          </cell>
          <cell r="AZ13">
            <v>7052.2792869617042</v>
          </cell>
          <cell r="BA13">
            <v>8269.435257835039</v>
          </cell>
          <cell r="BB13">
            <v>9169.3062252913023</v>
          </cell>
          <cell r="BC13">
            <v>11031.625264030739</v>
          </cell>
          <cell r="BD13">
            <v>10356.814419221619</v>
          </cell>
          <cell r="BE13">
            <v>10515.551735290248</v>
          </cell>
        </row>
        <row r="61">
          <cell r="AB61">
            <v>503.79999999999995</v>
          </cell>
          <cell r="AC61">
            <v>653.89</v>
          </cell>
          <cell r="AD61">
            <v>531.84</v>
          </cell>
          <cell r="AE61">
            <v>336.78999999999996</v>
          </cell>
          <cell r="AF61">
            <v>1421.1200000000001</v>
          </cell>
          <cell r="AG61">
            <v>1284.6100000000001</v>
          </cell>
          <cell r="AH61">
            <v>734.65</v>
          </cell>
          <cell r="AI61">
            <v>839.84</v>
          </cell>
          <cell r="AJ61">
            <v>366.67</v>
          </cell>
          <cell r="AK61">
            <v>1358.49</v>
          </cell>
          <cell r="AL61">
            <v>948.44</v>
          </cell>
          <cell r="AM61">
            <v>1230.5900000000001</v>
          </cell>
          <cell r="AN61">
            <v>497.28</v>
          </cell>
          <cell r="AO61">
            <v>744.61</v>
          </cell>
          <cell r="AP61">
            <v>1024.69</v>
          </cell>
          <cell r="AQ61">
            <v>600.56999999999994</v>
          </cell>
          <cell r="AR61">
            <v>1623.48</v>
          </cell>
          <cell r="AS61">
            <v>685.83</v>
          </cell>
          <cell r="AT61">
            <v>804.71</v>
          </cell>
          <cell r="AU61">
            <v>973.71</v>
          </cell>
          <cell r="AV61">
            <v>1145.55</v>
          </cell>
          <cell r="AW61">
            <v>860.51</v>
          </cell>
          <cell r="AX61">
            <v>949.43806480266301</v>
          </cell>
          <cell r="AY61">
            <v>1931.8545773333349</v>
          </cell>
          <cell r="AZ61">
            <v>1659.0107852656674</v>
          </cell>
          <cell r="BA61">
            <v>2155.0375654454901</v>
          </cell>
          <cell r="BB61">
            <v>2521.7613948034968</v>
          </cell>
          <cell r="BC61">
            <v>3310.7110598909453</v>
          </cell>
          <cell r="BD61">
            <v>3035.7058357528072</v>
          </cell>
          <cell r="BE61">
            <v>3070.395950798139</v>
          </cell>
        </row>
        <row r="92">
          <cell r="AH92">
            <v>3448.51</v>
          </cell>
          <cell r="AI92">
            <v>3756.45</v>
          </cell>
          <cell r="AJ92">
            <v>1938.8599999999997</v>
          </cell>
          <cell r="AK92">
            <v>4223.68</v>
          </cell>
          <cell r="AL92">
            <v>1277.96</v>
          </cell>
          <cell r="AM92">
            <v>2627.94</v>
          </cell>
          <cell r="AN92">
            <v>4061.8700000000003</v>
          </cell>
          <cell r="AO92">
            <v>2138.420000000001</v>
          </cell>
          <cell r="AP92">
            <v>2438.9799999999996</v>
          </cell>
          <cell r="AQ92">
            <v>2096.9800000000014</v>
          </cell>
          <cell r="AR92">
            <v>2264.0999999999995</v>
          </cell>
          <cell r="AS92">
            <v>2846.1099999999997</v>
          </cell>
          <cell r="AT92">
            <v>2933.4300000000003</v>
          </cell>
          <cell r="AU92">
            <v>3070.3800000000006</v>
          </cell>
          <cell r="AV92">
            <v>1881.12</v>
          </cell>
          <cell r="AW92">
            <v>2290</v>
          </cell>
          <cell r="AX92">
            <v>-710.26530412345983</v>
          </cell>
          <cell r="AY92">
            <v>495.58377970419224</v>
          </cell>
          <cell r="AZ92">
            <v>11.849956241489963</v>
          </cell>
          <cell r="BA92">
            <v>732.97914693500206</v>
          </cell>
          <cell r="BB92">
            <v>1266.1262850332587</v>
          </cell>
          <cell r="BC92">
            <v>2339.4956586852468</v>
          </cell>
          <cell r="BD92">
            <v>1864.180038014264</v>
          </cell>
          <cell r="BE92">
            <v>2063.7372390375622</v>
          </cell>
        </row>
        <row r="173">
          <cell r="AH173">
            <v>2912.74</v>
          </cell>
          <cell r="AI173">
            <v>1061.5200000000009</v>
          </cell>
          <cell r="AJ173">
            <v>123.46999999999639</v>
          </cell>
          <cell r="AK173">
            <v>2271.8199999999979</v>
          </cell>
          <cell r="AL173">
            <v>1836.6700000000003</v>
          </cell>
          <cell r="AM173">
            <v>1425.9999999999984</v>
          </cell>
          <cell r="AN173">
            <v>2040.3199999999972</v>
          </cell>
          <cell r="AO173">
            <v>2471.8900000000021</v>
          </cell>
          <cell r="AP173">
            <v>3389.2400000000007</v>
          </cell>
          <cell r="AQ173">
            <v>4308.260000000002</v>
          </cell>
          <cell r="AR173">
            <v>6543.9400000000005</v>
          </cell>
          <cell r="AS173">
            <v>6711.0300000000025</v>
          </cell>
          <cell r="AT173">
            <v>6634.2400000000007</v>
          </cell>
          <cell r="AU173">
            <v>7155.09</v>
          </cell>
          <cell r="AV173">
            <v>6407.6500000000042</v>
          </cell>
          <cell r="AW173">
            <v>5875.6200000000063</v>
          </cell>
          <cell r="AX173">
            <v>6709.384926385479</v>
          </cell>
          <cell r="AY173">
            <v>6984.8443392392683</v>
          </cell>
          <cell r="AZ173">
            <v>6862.0471109875516</v>
          </cell>
          <cell r="BA173">
            <v>7406.8116477666917</v>
          </cell>
          <cell r="BB173">
            <v>8495.1490119753107</v>
          </cell>
          <cell r="BC173">
            <v>10625.230603735199</v>
          </cell>
          <cell r="BD173">
            <v>12363.364296821561</v>
          </cell>
          <cell r="BE173">
            <v>14273.665575682058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30193171298" createdVersion="8" refreshedVersion="8" minRefreshableVersion="3" recordCount="40" xr:uid="{00000000-000A-0000-FFFF-FFFF28000000}">
  <cacheSource type="worksheet">
    <worksheetSource ref="A1:K41" sheet="October"/>
  </cacheSource>
  <cacheFields count="11">
    <cacheField name="Student" numFmtId="0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numFmtId="16">
      <sharedItems containsSemiMixedTypes="0" containsNonDate="0" containsDate="1" containsString="0" minDate="2022-10-02T00:00:00" maxDate="2022-11-01T00:00:00"/>
    </cacheField>
    <cacheField name="Hours" numFmtId="0">
      <sharedItems containsSemiMixedTypes="0" containsString="0" containsNumber="1" minValue="0.5" maxValue="5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25" maxValue="175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/>
    </cacheField>
    <cacheField name="Paid via invoice?" numFmtId="0">
      <sharedItems/>
    </cacheField>
    <cacheField name="Totals" numFmtId="0">
      <sharedItems containsSemiMixedTypes="0" containsString="0" containsNumber="1" minValue="2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9830555557" createdVersion="8" refreshedVersion="8" minRefreshableVersion="3" recordCount="15" xr:uid="{00000000-000A-0000-FFFF-FFFF29000000}">
  <cacheSource type="worksheet">
    <worksheetSource ref="A1:J16" sheet="September"/>
  </cacheSource>
  <cacheFields count="10">
    <cacheField name="Student" numFmtId="0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numFmtId="16">
      <sharedItems containsSemiMixedTypes="0" containsNonDate="0" containsDate="1" containsString="0" minDate="2022-09-18T00:00:00" maxDate="2022-09-29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10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 containsMixedTypes="1" containsNumber="1" containsInteger="1" minValue="25" maxValue="25"/>
    </cacheField>
    <cacheField name="Totals" numFmtId="0">
      <sharedItems containsString="0" containsBlank="1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895.928566087961" createdVersion="8" refreshedVersion="8" minRefreshableVersion="3" recordCount="6" xr:uid="{00000000-000A-0000-FFFF-FFFF2A000000}">
  <cacheSource type="worksheet">
    <worksheetSource ref="A1:J7" sheet="August"/>
  </cacheSource>
  <cacheFields count="10">
    <cacheField name="Student" numFmtId="0">
      <sharedItems count="5">
        <s v="Caroline Frey"/>
        <s v="Nicolette Batori"/>
        <s v="Maddie Wilson"/>
        <s v="Sujay Penugonda"/>
        <s v="Matthew Aasen"/>
      </sharedItems>
    </cacheField>
    <cacheField name="Date" numFmtId="14">
      <sharedItems containsSemiMixedTypes="0" containsNonDate="0" containsDate="1" containsString="0" minDate="2022-08-20T00:00:00" maxDate="2022-08-24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50"/>
    </cacheField>
    <cacheField name="Coin" numFmtId="0">
      <sharedItems containsSemiMixedTypes="0" containsString="0" containsNumber="1" containsInteger="1" minValue="25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String="0" containsBlank="1" containsNumber="1" containsInteger="1" minValue="0" maxValue="10"/>
    </cacheField>
    <cacheField name="Totals" numFmtId="0">
      <sharedItems containsSemiMixedTypes="0" containsString="0" containsNumber="1" containsInteger="1" minValue="2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dan lee" refreshedDate="44910.784345601853" createdVersion="8" refreshedVersion="8" minRefreshableVersion="3" recordCount="24" xr:uid="{00000000-000A-0000-FFFF-FFFF2B000000}">
  <cacheSource type="worksheet">
    <worksheetSource ref="A1:K25" sheet="November"/>
  </cacheSource>
  <cacheFields count="11">
    <cacheField name="Student" numFmtId="0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numFmtId="16">
      <sharedItems containsSemiMixedTypes="0" containsNonDate="0" containsDate="1" containsString="0" minDate="2022-11-03T00:00:00" maxDate="2022-12-01T00:00:00"/>
    </cacheField>
    <cacheField name="Hours" numFmtId="0">
      <sharedItems containsSemiMixedTypes="0" containsString="0" containsNumber="1" minValue="0.5" maxValue="2"/>
    </cacheField>
    <cacheField name="Rate ($/hr)" numFmtId="0">
      <sharedItems containsSemiMixedTypes="0" containsString="0" containsNumber="1" containsInteger="1" minValue="50" maxValue="60"/>
    </cacheField>
    <cacheField name="Coin" numFmtId="0">
      <sharedItems containsSemiMixedTypes="0" containsString="0" containsNumber="1" minValue="30" maxValue="100"/>
    </cacheField>
    <cacheField name="Billed?" numFmtId="0">
      <sharedItems/>
    </cacheField>
    <cacheField name="Received payment?" numFmtId="0">
      <sharedItems/>
    </cacheField>
    <cacheField name="Topic" numFmtId="0">
      <sharedItems/>
    </cacheField>
    <cacheField name="Tip?" numFmtId="0">
      <sharedItems containsBlank="1"/>
    </cacheField>
    <cacheField name="Paid via invoice?" numFmtId="0">
      <sharedItems/>
    </cacheField>
    <cacheField name="Totals" numFmtId="0">
      <sharedItems containsSemiMixedTypes="0" containsString="0" containsNumber="1" minValue="3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2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3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Q36" firstHeaderRow="0" firstDataRow="1" firstDataCol="1"/>
  <pivotFields count="11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1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Q20" firstHeaderRow="0" firstDataRow="1" firstDataCol="1"/>
  <pivotFields count="10">
    <pivotField axis="axisRow" showAll="0">
      <items count="10">
        <item x="5"/>
        <item x="2"/>
        <item x="7"/>
        <item x="3"/>
        <item x="4"/>
        <item x="1"/>
        <item x="6"/>
        <item x="0"/>
        <item x="8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20000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11" firstHeaderRow="0" firstDataRow="1" firstDataCol="1"/>
  <pivotFields count="10">
    <pivotField axis="axisRow" showAll="0">
      <items count="6">
        <item x="0"/>
        <item x="2"/>
        <item x="4"/>
        <item x="1"/>
        <item x="3"/>
        <item t="default"/>
      </items>
    </pivotField>
    <pivotField numFmtId="14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300000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T14" firstHeaderRow="0" firstDataRow="1" firstDataCol="1"/>
  <pivotFields count="11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umFmtId="16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Coin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2" workbookViewId="0">
      <selection activeCell="B2" sqref="B2"/>
    </sheetView>
  </sheetViews>
  <sheetFormatPr defaultColWidth="8.71093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B8:X48"/>
  <sheetViews>
    <sheetView showGridLines="0" topLeftCell="A6" zoomScale="50" zoomScaleNormal="70" workbookViewId="0">
      <selection activeCell="A9" sqref="A9:Y49"/>
    </sheetView>
  </sheetViews>
  <sheetFormatPr defaultColWidth="8.7109375" defaultRowHeight="15" outlineLevelCol="1" x14ac:dyDescent="0.25"/>
  <cols>
    <col min="3" max="3" width="48.42578125" customWidth="1"/>
    <col min="4" max="4" width="10" hidden="1" customWidth="1" outlineLevel="1"/>
    <col min="5" max="5" width="14.28515625" bestFit="1" customWidth="1" collapsed="1"/>
    <col min="6" max="6" width="13.7109375" bestFit="1" customWidth="1"/>
    <col min="7" max="7" width="14.7109375" bestFit="1" customWidth="1"/>
    <col min="8" max="9" width="14.7109375" customWidth="1"/>
    <col min="10" max="11" width="14.7109375" hidden="1" customWidth="1" outlineLevel="1"/>
    <col min="12" max="12" width="8.7109375" customWidth="1" collapsed="1"/>
  </cols>
  <sheetData>
    <row r="8" spans="2:24" ht="15.75" customHeight="1" thickBot="1" x14ac:dyDescent="0.3"/>
    <row r="9" spans="2:24" x14ac:dyDescent="0.25">
      <c r="B9" s="84"/>
      <c r="C9" s="85"/>
      <c r="D9" s="86"/>
      <c r="E9" s="86"/>
      <c r="F9" s="86"/>
      <c r="G9" s="86"/>
      <c r="H9" s="86"/>
      <c r="I9" s="86"/>
      <c r="J9" s="86"/>
      <c r="K9" s="86"/>
      <c r="L9" s="87"/>
      <c r="M9" s="84"/>
      <c r="N9" s="86"/>
      <c r="O9" s="86"/>
      <c r="P9" s="86"/>
      <c r="Q9" s="86"/>
      <c r="R9" s="86"/>
      <c r="S9" s="86"/>
      <c r="T9" s="86"/>
      <c r="U9" s="86"/>
      <c r="V9" s="86"/>
      <c r="W9" s="86"/>
      <c r="X9" s="87"/>
    </row>
    <row r="10" spans="2:24" x14ac:dyDescent="0.25">
      <c r="B10" s="88"/>
      <c r="C10" s="7"/>
      <c r="L10" s="89"/>
      <c r="M10" s="88"/>
      <c r="X10" s="89"/>
    </row>
    <row r="11" spans="2:24" x14ac:dyDescent="0.25">
      <c r="B11" s="88"/>
      <c r="C11" s="7"/>
      <c r="L11" s="89"/>
      <c r="M11" s="88"/>
      <c r="X11" s="89"/>
    </row>
    <row r="12" spans="2:24" x14ac:dyDescent="0.25">
      <c r="B12" s="88"/>
      <c r="C12" s="7"/>
      <c r="L12" s="89"/>
      <c r="M12" s="88"/>
      <c r="X12" s="89"/>
    </row>
    <row r="13" spans="2:24" x14ac:dyDescent="0.25">
      <c r="B13" s="88"/>
      <c r="C13" s="7"/>
      <c r="L13" s="89"/>
      <c r="M13" s="88"/>
      <c r="X13" s="89"/>
    </row>
    <row r="14" spans="2:24" x14ac:dyDescent="0.25">
      <c r="B14" s="88"/>
      <c r="C14" s="7"/>
      <c r="L14" s="89"/>
      <c r="M14" s="88"/>
      <c r="X14" s="89"/>
    </row>
    <row r="15" spans="2:24" x14ac:dyDescent="0.25">
      <c r="B15" s="88"/>
      <c r="C15" s="7"/>
      <c r="L15" s="89"/>
      <c r="M15" s="88"/>
      <c r="X15" s="89"/>
    </row>
    <row r="16" spans="2:24" ht="15.75" customHeight="1" thickBot="1" x14ac:dyDescent="0.3">
      <c r="B16" s="88"/>
      <c r="C16" s="7"/>
      <c r="L16" s="89"/>
      <c r="M16" s="88"/>
      <c r="X16" s="89"/>
    </row>
    <row r="17" spans="2:24" ht="15.75" customHeight="1" x14ac:dyDescent="0.25">
      <c r="B17" s="90"/>
      <c r="C17" s="262"/>
      <c r="D17" s="263">
        <v>2023</v>
      </c>
      <c r="E17" s="263">
        <f t="shared" ref="E17:K17" si="0">+D17+1</f>
        <v>2024</v>
      </c>
      <c r="F17" s="263">
        <f t="shared" si="0"/>
        <v>2025</v>
      </c>
      <c r="G17" s="263">
        <f t="shared" si="0"/>
        <v>2026</v>
      </c>
      <c r="H17" s="263">
        <f t="shared" si="0"/>
        <v>2027</v>
      </c>
      <c r="I17" s="263">
        <f t="shared" si="0"/>
        <v>2028</v>
      </c>
      <c r="J17" s="263">
        <f t="shared" si="0"/>
        <v>2029</v>
      </c>
      <c r="K17" s="264">
        <f t="shared" si="0"/>
        <v>2030</v>
      </c>
      <c r="L17" s="91"/>
      <c r="M17" s="90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1"/>
    </row>
    <row r="18" spans="2:24" ht="6.4" customHeight="1" x14ac:dyDescent="0.25">
      <c r="B18" s="88"/>
      <c r="C18" s="265"/>
      <c r="D18" s="266"/>
      <c r="E18" s="266"/>
      <c r="F18" s="266"/>
      <c r="G18" s="266"/>
      <c r="H18" s="266"/>
      <c r="I18" s="267"/>
      <c r="J18" s="266"/>
      <c r="K18" s="267"/>
      <c r="L18" s="89"/>
      <c r="M18" s="88"/>
      <c r="X18" s="89"/>
    </row>
    <row r="19" spans="2:24" x14ac:dyDescent="0.25">
      <c r="B19" s="88"/>
      <c r="C19" s="193" t="s">
        <v>0</v>
      </c>
      <c r="D19" s="93">
        <f>SUMIF('Monthly Detail'!$1:$1,'Annual Summary'!D$17, 'Monthly Detail'!9:9)</f>
        <v>0</v>
      </c>
      <c r="E19" s="93">
        <f>SUMIF('Monthly Detail'!$1:$1,'Annual Summary'!E$17, 'Monthly Detail'!9:9)</f>
        <v>79769.25</v>
      </c>
      <c r="F19" s="93">
        <f>SUMIF('Monthly Detail'!$1:$1,'Annual Summary'!F$17, 'Monthly Detail'!9:9)</f>
        <v>82031.19251180788</v>
      </c>
      <c r="G19" s="93">
        <f>SUMIF('Monthly Detail'!$1:$1,'Annual Summary'!G$17, 'Monthly Detail'!9:9)</f>
        <v>113510.87201261029</v>
      </c>
      <c r="H19" s="93">
        <f>SUMIF('Monthly Detail'!$1:$1,'Annual Summary'!H$17, 'Monthly Detail'!9:9)</f>
        <v>128937.7211072027</v>
      </c>
      <c r="I19" s="268">
        <f>SUMIF('Monthly Detail'!$1:$1,'Annual Summary'!I$17, 'Monthly Detail'!9:9)</f>
        <v>138359.43667333879</v>
      </c>
      <c r="J19" s="93">
        <f>SUMIF('Monthly Detail'!$1:$1,'Annual Summary'!J$17, 'Monthly Detail'!9:9)</f>
        <v>150416.48652768039</v>
      </c>
      <c r="K19" s="268">
        <f>SUMIF('Monthly Detail'!$1:$1,'Annual Summary'!K$17, 'Monthly Detail'!9:9)</f>
        <v>164244.70035960377</v>
      </c>
      <c r="L19" s="89"/>
      <c r="M19" s="88"/>
      <c r="X19" s="89"/>
    </row>
    <row r="20" spans="2:24" x14ac:dyDescent="0.25">
      <c r="B20" s="88"/>
      <c r="C20" s="193" t="s">
        <v>1</v>
      </c>
      <c r="D20" s="93">
        <f>SUMIF('Monthly Detail'!$1:$1,'Annual Summary'!D$17, 'Monthly Detail'!12:12)</f>
        <v>0</v>
      </c>
      <c r="E20" s="93">
        <f>SUMIF('Monthly Detail'!$1:$1,'Annual Summary'!E$17, 'Monthly Detail'!12:12)</f>
        <v>0</v>
      </c>
      <c r="F20" s="93">
        <f>SUMIF('Monthly Detail'!$1:$1,'Annual Summary'!F$17, 'Monthly Detail'!12:12)</f>
        <v>0</v>
      </c>
      <c r="G20" s="93">
        <f>SUMIF('Monthly Detail'!$1:$1,'Annual Summary'!G$17, 'Monthly Detail'!12:12)</f>
        <v>0</v>
      </c>
      <c r="H20" s="93">
        <f>SUMIF('Monthly Detail'!$1:$1,'Annual Summary'!H$17, 'Monthly Detail'!12:12)</f>
        <v>0</v>
      </c>
      <c r="I20" s="268">
        <f>SUMIF('Monthly Detail'!$1:$1,'Annual Summary'!I$17, 'Monthly Detail'!12:12)</f>
        <v>0</v>
      </c>
      <c r="J20" s="93">
        <f>SUMIF('Monthly Detail'!$1:$1,'Annual Summary'!J$17, 'Monthly Detail'!12:12)</f>
        <v>0</v>
      </c>
      <c r="K20" s="268">
        <f>SUMIF('Monthly Detail'!$1:$1,'Annual Summary'!K$17, 'Monthly Detail'!12:12)</f>
        <v>0</v>
      </c>
      <c r="L20" s="89"/>
      <c r="M20" s="88"/>
      <c r="X20" s="89"/>
    </row>
    <row r="21" spans="2:24" ht="15.75" customHeight="1" thickBot="1" x14ac:dyDescent="0.3">
      <c r="B21" s="88"/>
      <c r="C21" s="194" t="s">
        <v>2</v>
      </c>
      <c r="D21" s="94">
        <f t="shared" ref="D21:K21" si="1">SUM(D19:D20)</f>
        <v>0</v>
      </c>
      <c r="E21" s="94">
        <f t="shared" si="1"/>
        <v>79769.25</v>
      </c>
      <c r="F21" s="94">
        <f t="shared" si="1"/>
        <v>82031.19251180788</v>
      </c>
      <c r="G21" s="94">
        <f t="shared" si="1"/>
        <v>113510.87201261029</v>
      </c>
      <c r="H21" s="94">
        <f t="shared" si="1"/>
        <v>128937.7211072027</v>
      </c>
      <c r="I21" s="269">
        <f t="shared" si="1"/>
        <v>138359.43667333879</v>
      </c>
      <c r="J21" s="94">
        <f t="shared" si="1"/>
        <v>150416.48652768039</v>
      </c>
      <c r="K21" s="269">
        <f t="shared" si="1"/>
        <v>164244.70035960377</v>
      </c>
      <c r="L21" s="89"/>
      <c r="M21" s="88"/>
      <c r="X21" s="89"/>
    </row>
    <row r="22" spans="2:24" x14ac:dyDescent="0.25">
      <c r="B22" s="88"/>
      <c r="C22" s="386" t="s">
        <v>3</v>
      </c>
      <c r="D22" s="389">
        <f>SUMIF('Monthly Detail'!$1:$1,'Annual Summary'!D$17, 'Monthly Detail'!15:15)</f>
        <v>1088</v>
      </c>
      <c r="E22" s="389">
        <f>SUMIF('Monthly Detail'!$1:$1,'Annual Summary'!E$17, 'Monthly Detail'!15:15)</f>
        <v>833</v>
      </c>
      <c r="F22" s="389">
        <f>SUMIF('Monthly Detail'!$1:$1,'Annual Summary'!F$17, 'Monthly Detail'!15:15)</f>
        <v>823.83790571030158</v>
      </c>
      <c r="G22" s="389">
        <f>SUMIF('Monthly Detail'!$1:$1,'Annual Summary'!G$17, 'Monthly Detail'!15:15)</f>
        <v>997.16094645852274</v>
      </c>
      <c r="H22" s="389">
        <f>SUMIF('Monthly Detail'!$1:$1,'Annual Summary'!H$17, 'Monthly Detail'!15:15)</f>
        <v>1076.9747188132335</v>
      </c>
      <c r="I22" s="390">
        <f>SUMIF('Monthly Detail'!$1:$1,'Annual Summary'!I$17, 'Monthly Detail'!15:15)</f>
        <v>1102.8888288814044</v>
      </c>
      <c r="J22" s="389">
        <f>SUMIF('Monthly Detail'!$1:$1,'Annual Summary'!J$17, 'Monthly Detail'!15:15)</f>
        <v>1138.7200586135461</v>
      </c>
      <c r="K22" s="390">
        <f>SUMIF('Monthly Detail'!$1:$1,'Annual Summary'!K$17, 'Monthly Detail'!15:15)</f>
        <v>1186.4583927311028</v>
      </c>
      <c r="L22" s="89"/>
      <c r="M22" s="88"/>
      <c r="X22" s="89"/>
    </row>
    <row r="23" spans="2:24" x14ac:dyDescent="0.25">
      <c r="B23" s="88"/>
      <c r="C23" s="195" t="s">
        <v>4</v>
      </c>
      <c r="D23" s="387">
        <f>AVERAGEIF('Monthly Detail'!$1:$1,'Annual Summary'!D$17, 'Monthly Detail'!41:41)</f>
        <v>0</v>
      </c>
      <c r="E23" s="387">
        <f>AVERAGEIF('Monthly Detail'!$1:$1,'Annual Summary'!E$17, 'Monthly Detail'!41:41)</f>
        <v>3744.2519898459559</v>
      </c>
      <c r="F23" s="387">
        <f>AVERAGEIF('Monthly Detail'!$1:$1,'Annual Summary'!F$17, 'Monthly Detail'!41:41)</f>
        <v>4298.409444588412</v>
      </c>
      <c r="G23" s="387">
        <f>AVERAGEIF('Monthly Detail'!$1:$1,'Annual Summary'!G$17, 'Monthly Detail'!41:41)</f>
        <v>6602.9900723899964</v>
      </c>
      <c r="H23" s="387">
        <f>AVERAGEIF('Monthly Detail'!$1:$1,'Annual Summary'!H$17, 'Monthly Detail'!41:41)</f>
        <v>7494.9596291051275</v>
      </c>
      <c r="I23" s="388">
        <f>AVERAGEIF('Monthly Detail'!$1:$1,'Annual Summary'!I$17, 'Monthly Detail'!41:41)</f>
        <v>8040.0702015309107</v>
      </c>
      <c r="J23" s="387">
        <f>AVERAGEIF('Monthly Detail'!$1:$1,'Annual Summary'!J$17, 'Monthly Detail'!41:41)</f>
        <v>8743.7632438947367</v>
      </c>
      <c r="K23" s="388">
        <f>AVERAGEIF('Monthly Detail'!$1:$1,'Annual Summary'!K$17, 'Monthly Detail'!41:41)</f>
        <v>9548.0280282316489</v>
      </c>
      <c r="L23" s="89"/>
      <c r="M23" s="88"/>
      <c r="X23" s="89"/>
    </row>
    <row r="24" spans="2:24" x14ac:dyDescent="0.25">
      <c r="B24" s="88"/>
      <c r="C24" s="195" t="s">
        <v>5</v>
      </c>
      <c r="D24" s="391">
        <f>AVERAGEIF('Monthly Detail'!$1:$1,'Annual Summary'!D$17, 'Monthly Detail'!17:17)</f>
        <v>72.75</v>
      </c>
      <c r="E24" s="391">
        <f>AVERAGEIF('Monthly Detail'!$1:$1,'Annual Summary'!E$17, 'Monthly Detail'!17:17)</f>
        <v>29.333333333333332</v>
      </c>
      <c r="F24" s="391">
        <f>AVERAGEIF('Monthly Detail'!$1:$1,'Annual Summary'!F$17, 'Monthly Detail'!17:17)</f>
        <v>32.715730583923836</v>
      </c>
      <c r="G24" s="391">
        <f>AVERAGEIF('Monthly Detail'!$1:$1,'Annual Summary'!G$17, 'Monthly Detail'!17:17)</f>
        <v>44.013187220538661</v>
      </c>
      <c r="H24" s="391">
        <f>AVERAGEIF('Monthly Detail'!$1:$1,'Annual Summary'!H$17, 'Monthly Detail'!17:17)</f>
        <v>47.561091201279247</v>
      </c>
      <c r="I24" s="392">
        <f>AVERAGEIF('Monthly Detail'!$1:$1,'Annual Summary'!I$17, 'Monthly Detail'!17:17)</f>
        <v>48.711762762600536</v>
      </c>
      <c r="J24" s="391">
        <f>AVERAGEIF('Monthly Detail'!$1:$1,'Annual Summary'!J$17, 'Monthly Detail'!17:17)</f>
        <v>50.293936159417292</v>
      </c>
      <c r="K24" s="392">
        <f>AVERAGEIF('Monthly Detail'!$1:$1,'Annual Summary'!K$17, 'Monthly Detail'!17:17)</f>
        <v>52.403500688506305</v>
      </c>
      <c r="L24" s="89"/>
      <c r="M24" s="88"/>
      <c r="X24" s="89"/>
    </row>
    <row r="25" spans="2:24" ht="10.9" customHeight="1" x14ac:dyDescent="0.25">
      <c r="B25" s="88"/>
      <c r="C25" s="270" t="s">
        <v>6</v>
      </c>
      <c r="D25" s="120"/>
      <c r="E25" s="441" t="s">
        <v>7</v>
      </c>
      <c r="F25" s="120">
        <f t="shared" ref="F25:K25" si="2">(F21/E21)-1</f>
        <v>2.8356070939715261E-2</v>
      </c>
      <c r="G25" s="120">
        <f t="shared" si="2"/>
        <v>0.38375255237537975</v>
      </c>
      <c r="H25" s="120">
        <f t="shared" si="2"/>
        <v>0.13590635699528941</v>
      </c>
      <c r="I25" s="271">
        <f t="shared" si="2"/>
        <v>7.3071832550092752E-2</v>
      </c>
      <c r="J25" s="120">
        <f t="shared" si="2"/>
        <v>8.7142952763011206E-2</v>
      </c>
      <c r="K25" s="271">
        <f t="shared" si="2"/>
        <v>9.1932833635085975E-2</v>
      </c>
      <c r="L25" s="89"/>
      <c r="M25" s="88"/>
      <c r="X25" s="89"/>
    </row>
    <row r="26" spans="2:24" ht="4.9000000000000004" customHeight="1" x14ac:dyDescent="0.25">
      <c r="B26" s="88"/>
      <c r="C26" s="192"/>
      <c r="I26" s="89"/>
      <c r="K26" s="89"/>
      <c r="L26" s="89"/>
      <c r="M26" s="88"/>
      <c r="X26" s="89"/>
    </row>
    <row r="27" spans="2:24" x14ac:dyDescent="0.25">
      <c r="B27" s="88"/>
      <c r="C27" s="192" t="s">
        <v>8</v>
      </c>
      <c r="D27" s="93">
        <f>SUMIF('Monthly Detail'!$1:$1,'Annual Summary'!D$17, 'Monthly Detail'!58:58)</f>
        <v>0</v>
      </c>
      <c r="E27" s="93">
        <f>SUMIF('Monthly Detail'!$1:$1,'Annual Summary'!E$17, 'Monthly Detail'!58:58)</f>
        <v>2199.1200000000003</v>
      </c>
      <c r="F27" s="93">
        <f>SUMIF('Monthly Detail'!$1:$1,'Annual Summary'!F$17, 'Monthly Detail'!58:58)</f>
        <v>2649.5769682310065</v>
      </c>
      <c r="G27" s="93">
        <f>SUMIF('Monthly Detail'!$1:$1,'Annual Summary'!G$17, 'Monthly Detail'!58:58)</f>
        <v>3895.7285135199022</v>
      </c>
      <c r="H27" s="93">
        <f>SUMIF('Monthly Detail'!$1:$1,'Annual Summary'!H$17, 'Monthly Detail'!58:58)</f>
        <v>4425.1827836350658</v>
      </c>
      <c r="I27" s="268">
        <f>SUMIF('Monthly Detail'!$1:$1,'Annual Summary'!I$17, 'Monthly Detail'!58:58)</f>
        <v>4748.5389990044023</v>
      </c>
      <c r="J27" s="93">
        <f>SUMIF('Monthly Detail'!$1:$1,'Annual Summary'!J$17, 'Monthly Detail'!58:58)</f>
        <v>5162.3407086879588</v>
      </c>
      <c r="K27" s="268">
        <f>SUMIF('Monthly Detail'!$1:$1,'Annual Summary'!K$17, 'Monthly Detail'!58:58)</f>
        <v>5636.9293182274014</v>
      </c>
      <c r="L27" s="89"/>
      <c r="M27" s="88"/>
      <c r="X27" s="89"/>
    </row>
    <row r="28" spans="2:24" x14ac:dyDescent="0.25">
      <c r="B28" s="88"/>
      <c r="C28" s="192" t="s">
        <v>9</v>
      </c>
      <c r="D28" s="93">
        <f>SUMIF('Monthly Detail'!$1:$1,'Annual Summary'!D$17, 'Monthly Detail'!59:59)</f>
        <v>0</v>
      </c>
      <c r="E28" s="93">
        <f>SUMIF('Monthly Detail'!$1:$1,'Annual Summary'!E$17, 'Monthly Detail'!59:59)</f>
        <v>3885.61</v>
      </c>
      <c r="F28" s="93">
        <f>SUMIF('Monthly Detail'!$1:$1,'Annual Summary'!F$17, 'Monthly Detail'!59:59)</f>
        <v>7064.2451271074051</v>
      </c>
      <c r="G28" s="93">
        <f>SUMIF('Monthly Detail'!$1:$1,'Annual Summary'!G$17, 'Monthly Detail'!59:59)</f>
        <v>10985.430201408239</v>
      </c>
      <c r="H28" s="93">
        <f>SUMIF('Monthly Detail'!$1:$1,'Annual Summary'!H$17, 'Monthly Detail'!59:59)</f>
        <v>12478.420000107664</v>
      </c>
      <c r="I28" s="268">
        <f>SUMIF('Monthly Detail'!$1:$1,'Annual Summary'!I$17, 'Monthly Detail'!59:59)</f>
        <v>13390.241016845262</v>
      </c>
      <c r="J28" s="93">
        <f>SUMIF('Monthly Detail'!$1:$1,'Annual Summary'!J$17, 'Monthly Detail'!59:59)</f>
        <v>14557.10615726154</v>
      </c>
      <c r="K28" s="268">
        <f>SUMIF('Monthly Detail'!$1:$1,'Annual Summary'!K$17, 'Monthly Detail'!59:59)</f>
        <v>15895.382175825351</v>
      </c>
      <c r="L28" s="89"/>
      <c r="M28" s="88"/>
      <c r="X28" s="89"/>
    </row>
    <row r="29" spans="2:24" x14ac:dyDescent="0.25">
      <c r="B29" s="88"/>
      <c r="C29" s="192" t="s">
        <v>10</v>
      </c>
      <c r="D29" s="93">
        <f>SUMIF('Monthly Detail'!$1:$1,'Annual Summary'!D$17, 'Monthly Detail'!60:60)</f>
        <v>0</v>
      </c>
      <c r="E29" s="93">
        <f>SUMIF('Monthly Detail'!$1:$1,'Annual Summary'!E$17, 'Monthly Detail'!60:60)</f>
        <v>4126</v>
      </c>
      <c r="F29" s="93">
        <f>SUMIF('Monthly Detail'!$1:$1,'Annual Summary'!F$17, 'Monthly Detail'!60:60)</f>
        <v>1087.4615533482079</v>
      </c>
      <c r="G29" s="93">
        <f>SUMIF('Monthly Detail'!$1:$1,'Annual Summary'!G$17, 'Monthly Detail'!60:60)</f>
        <v>16577.435055477272</v>
      </c>
      <c r="H29" s="93">
        <f>SUMIF('Monthly Detail'!$1:$1,'Annual Summary'!H$17, 'Monthly Detail'!60:60)</f>
        <v>19131.507551051644</v>
      </c>
      <c r="I29" s="268">
        <f>SUMIF('Monthly Detail'!$1:$1,'Annual Summary'!I$17, 'Monthly Detail'!60:60)</f>
        <v>19873.5747578917</v>
      </c>
      <c r="J29" s="93">
        <f>SUMIF('Monthly Detail'!$1:$1,'Annual Summary'!J$17, 'Monthly Detail'!60:60)</f>
        <v>21094.466259715533</v>
      </c>
      <c r="K29" s="268">
        <f>SUMIF('Monthly Detail'!$1:$1,'Annual Summary'!K$17, 'Monthly Detail'!60:60)</f>
        <v>22521.559048960527</v>
      </c>
      <c r="L29" s="89"/>
      <c r="M29" s="88"/>
      <c r="X29" s="89"/>
    </row>
    <row r="30" spans="2:24" ht="15.75" customHeight="1" x14ac:dyDescent="0.25">
      <c r="B30" s="95"/>
      <c r="C30" s="201" t="s">
        <v>11</v>
      </c>
      <c r="D30" s="80">
        <f t="shared" ref="D30:K30" si="3">SUM(D27:D29)</f>
        <v>0</v>
      </c>
      <c r="E30" s="80">
        <f t="shared" si="3"/>
        <v>10210.73</v>
      </c>
      <c r="F30" s="80">
        <f t="shared" si="3"/>
        <v>10801.28364868662</v>
      </c>
      <c r="G30" s="80">
        <f t="shared" si="3"/>
        <v>31458.593770405412</v>
      </c>
      <c r="H30" s="80">
        <f t="shared" si="3"/>
        <v>36035.110334794372</v>
      </c>
      <c r="I30" s="202">
        <f t="shared" si="3"/>
        <v>38012.354773741361</v>
      </c>
      <c r="J30" s="80">
        <f t="shared" si="3"/>
        <v>40813.913125665029</v>
      </c>
      <c r="K30" s="202">
        <f t="shared" si="3"/>
        <v>44053.870543013283</v>
      </c>
      <c r="L30" s="96"/>
      <c r="M30" s="95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6"/>
    </row>
    <row r="31" spans="2:24" ht="3" customHeight="1" x14ac:dyDescent="0.25">
      <c r="B31" s="88"/>
      <c r="C31" s="192"/>
      <c r="I31" s="89"/>
      <c r="K31" s="89"/>
      <c r="L31" s="89"/>
      <c r="M31" s="88"/>
      <c r="X31" s="89"/>
    </row>
    <row r="32" spans="2:24" ht="15.75" customHeight="1" x14ac:dyDescent="0.25">
      <c r="B32" s="95"/>
      <c r="C32" s="201" t="s">
        <v>12</v>
      </c>
      <c r="D32" s="80">
        <f t="shared" ref="D32:K32" si="4">D21-D30</f>
        <v>0</v>
      </c>
      <c r="E32" s="80">
        <f t="shared" si="4"/>
        <v>69558.52</v>
      </c>
      <c r="F32" s="80">
        <f t="shared" si="4"/>
        <v>71229.908863121265</v>
      </c>
      <c r="G32" s="80">
        <f t="shared" si="4"/>
        <v>82052.278242204877</v>
      </c>
      <c r="H32" s="80">
        <f t="shared" si="4"/>
        <v>92902.610772408327</v>
      </c>
      <c r="I32" s="202">
        <f t="shared" si="4"/>
        <v>100347.08189959743</v>
      </c>
      <c r="J32" s="80">
        <f t="shared" si="4"/>
        <v>109602.57340201536</v>
      </c>
      <c r="K32" s="202">
        <f t="shared" si="4"/>
        <v>120190.82981659049</v>
      </c>
      <c r="L32" s="96"/>
      <c r="M32" s="95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6"/>
    </row>
    <row r="33" spans="2:24" x14ac:dyDescent="0.25">
      <c r="B33" s="88"/>
      <c r="C33" s="203" t="s">
        <v>13</v>
      </c>
      <c r="D33" s="82" t="e">
        <f t="shared" ref="D33:K33" si="5">+D32/D21</f>
        <v>#DIV/0!</v>
      </c>
      <c r="E33" s="82">
        <f t="shared" si="5"/>
        <v>0.87199666538171039</v>
      </c>
      <c r="F33" s="82">
        <f t="shared" si="5"/>
        <v>0.86832711657663841</v>
      </c>
      <c r="G33" s="82">
        <f t="shared" si="5"/>
        <v>0.72285831997739769</v>
      </c>
      <c r="H33" s="82">
        <f t="shared" si="5"/>
        <v>0.72052313298733039</v>
      </c>
      <c r="I33" s="204">
        <f t="shared" si="5"/>
        <v>0.72526373561720225</v>
      </c>
      <c r="J33" s="82">
        <f t="shared" si="5"/>
        <v>0.72866064041354772</v>
      </c>
      <c r="K33" s="204">
        <f t="shared" si="5"/>
        <v>0.73177904403271454</v>
      </c>
      <c r="L33" s="89"/>
      <c r="M33" s="88"/>
      <c r="X33" s="89"/>
    </row>
    <row r="34" spans="2:24" ht="3.4" customHeight="1" x14ac:dyDescent="0.25">
      <c r="B34" s="88"/>
      <c r="C34" s="192"/>
      <c r="I34" s="89"/>
      <c r="K34" s="89"/>
      <c r="L34" s="89"/>
      <c r="M34" s="88"/>
      <c r="X34" s="89"/>
    </row>
    <row r="35" spans="2:24" x14ac:dyDescent="0.25">
      <c r="B35" s="88"/>
      <c r="C35" s="192" t="s">
        <v>14</v>
      </c>
      <c r="D35" s="68">
        <f>SUMIF('Monthly Detail'!$1:$1,'Annual Summary'!D$17, 'Monthly Detail'!$89:$89)</f>
        <v>0</v>
      </c>
      <c r="E35" s="68">
        <f>SUMIF('Monthly Detail'!$1:$1,'Annual Summary'!E$17, 'Monthly Detail'!$89:$89)+SUMIF('Monthly Detail'!$1:$1,'Annual Summary'!E$17, 'Monthly Detail'!$90:$90)</f>
        <v>22587.090000000004</v>
      </c>
      <c r="F35" s="68">
        <f>SUMIF('Monthly Detail'!$1:$1,'Annual Summary'!F$17, 'Monthly Detail'!$89:$89)+SUMIF('Monthly Detail'!$1:$1,'Annual Summary'!F$17, 'Monthly Detail'!$90:$90)</f>
        <v>44835.533333333318</v>
      </c>
      <c r="G35" s="68">
        <f>SUMIF('Monthly Detail'!$1:$1,'Annual Summary'!G$17, 'Monthly Detail'!$89:$89)+SUMIF('Monthly Detail'!$1:$1,'Annual Summary'!G$17, 'Monthly Detail'!$90:$90)</f>
        <v>65746.481999999989</v>
      </c>
      <c r="H35" s="68">
        <f>SUMIF('Monthly Detail'!$1:$1,'Annual Summary'!H$17, 'Monthly Detail'!$89:$89)+SUMIF('Monthly Detail'!$1:$1,'Annual Summary'!H$17, 'Monthly Detail'!$90:$90)</f>
        <v>70324.804300000003</v>
      </c>
      <c r="I35" s="200">
        <f>SUMIF('Monthly Detail'!$1:$1,'Annual Summary'!I$17, 'Monthly Detail'!$89:$89)+SUMIF('Monthly Detail'!$1:$1,'Annual Summary'!I$17, 'Monthly Detail'!$90:$90)</f>
        <v>75294.834135000012</v>
      </c>
      <c r="J35" s="68">
        <f>SUMIF('Monthly Detail'!$1:$1,'Annual Summary'!J$17, 'Monthly Detail'!$89:$89)</f>
        <v>80692.436023750022</v>
      </c>
      <c r="K35" s="200">
        <f>SUMIF('Monthly Detail'!$1:$1,'Annual Summary'!K$17, 'Monthly Detail'!$89:$89)</f>
        <v>86556.895625137535</v>
      </c>
      <c r="L35" s="89"/>
      <c r="M35" s="88"/>
      <c r="X35" s="89"/>
    </row>
    <row r="36" spans="2:24" x14ac:dyDescent="0.25">
      <c r="B36" s="88"/>
      <c r="C36" s="272" t="s">
        <v>15</v>
      </c>
      <c r="D36" s="71">
        <f t="shared" ref="D36:K36" si="6">SUM(D35:D35)</f>
        <v>0</v>
      </c>
      <c r="E36" s="71">
        <f t="shared" si="6"/>
        <v>22587.090000000004</v>
      </c>
      <c r="F36" s="71">
        <f t="shared" si="6"/>
        <v>44835.533333333318</v>
      </c>
      <c r="G36" s="71">
        <f t="shared" si="6"/>
        <v>65746.481999999989</v>
      </c>
      <c r="H36" s="71">
        <f t="shared" si="6"/>
        <v>70324.804300000003</v>
      </c>
      <c r="I36" s="273">
        <f t="shared" si="6"/>
        <v>75294.834135000012</v>
      </c>
      <c r="J36" s="71">
        <f t="shared" si="6"/>
        <v>80692.436023750022</v>
      </c>
      <c r="K36" s="273">
        <f t="shared" si="6"/>
        <v>86556.895625137535</v>
      </c>
      <c r="L36" s="89"/>
      <c r="M36" s="88"/>
      <c r="X36" s="89"/>
    </row>
    <row r="37" spans="2:24" ht="3" customHeight="1" x14ac:dyDescent="0.25">
      <c r="B37" s="88"/>
      <c r="C37" s="192"/>
      <c r="I37" s="89"/>
      <c r="K37" s="89"/>
      <c r="L37" s="89"/>
      <c r="M37" s="88"/>
      <c r="X37" s="89"/>
    </row>
    <row r="38" spans="2:24" ht="15.75" customHeight="1" x14ac:dyDescent="0.25">
      <c r="B38" s="95"/>
      <c r="C38" s="201" t="s">
        <v>16</v>
      </c>
      <c r="D38" s="80">
        <f t="shared" ref="D38:K38" si="7">D32-D36</f>
        <v>0</v>
      </c>
      <c r="E38" s="80">
        <f t="shared" si="7"/>
        <v>46971.43</v>
      </c>
      <c r="F38" s="80">
        <f t="shared" si="7"/>
        <v>26394.375529787947</v>
      </c>
      <c r="G38" s="80">
        <f t="shared" si="7"/>
        <v>16305.796242204888</v>
      </c>
      <c r="H38" s="80">
        <f t="shared" si="7"/>
        <v>22577.806472408323</v>
      </c>
      <c r="I38" s="202">
        <f t="shared" si="7"/>
        <v>25052.247764597414</v>
      </c>
      <c r="J38" s="80">
        <f t="shared" si="7"/>
        <v>28910.137378265339</v>
      </c>
      <c r="K38" s="202">
        <f t="shared" si="7"/>
        <v>33633.93419145295</v>
      </c>
      <c r="L38" s="96"/>
      <c r="M38" s="95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6"/>
    </row>
    <row r="39" spans="2:24" x14ac:dyDescent="0.25">
      <c r="B39" s="88"/>
      <c r="C39" s="203" t="s">
        <v>17</v>
      </c>
      <c r="D39" s="82" t="e">
        <f t="shared" ref="D39:K39" si="8">D38/D21</f>
        <v>#DIV/0!</v>
      </c>
      <c r="E39" s="82">
        <f t="shared" si="8"/>
        <v>0.5888413141655463</v>
      </c>
      <c r="F39" s="82">
        <f t="shared" si="8"/>
        <v>0.32176023195065268</v>
      </c>
      <c r="G39" s="82">
        <f t="shared" si="8"/>
        <v>0.1436496430085871</v>
      </c>
      <c r="H39" s="82">
        <f t="shared" si="8"/>
        <v>0.17510629378687759</v>
      </c>
      <c r="I39" s="204">
        <f t="shared" si="8"/>
        <v>0.18106641922621289</v>
      </c>
      <c r="J39" s="82">
        <f t="shared" si="8"/>
        <v>0.19220058948089544</v>
      </c>
      <c r="K39" s="204">
        <f t="shared" si="8"/>
        <v>0.20477941825710966</v>
      </c>
      <c r="L39" s="89"/>
      <c r="M39" s="88"/>
      <c r="X39" s="89"/>
    </row>
    <row r="40" spans="2:24" ht="3" customHeight="1" x14ac:dyDescent="0.25">
      <c r="B40" s="88"/>
      <c r="C40" s="206"/>
      <c r="D40" s="74"/>
      <c r="E40" s="74"/>
      <c r="F40" s="74"/>
      <c r="G40" s="74"/>
      <c r="H40" s="74"/>
      <c r="I40" s="207"/>
      <c r="J40" s="74"/>
      <c r="K40" s="207"/>
      <c r="L40" s="89"/>
      <c r="M40" s="88"/>
      <c r="X40" s="89"/>
    </row>
    <row r="41" spans="2:24" x14ac:dyDescent="0.25">
      <c r="B41" s="88"/>
      <c r="C41" s="192" t="s">
        <v>18</v>
      </c>
      <c r="D41" s="68">
        <f>SUMIF('Monthly Detail'!$1:$1,'Annual Summary'!D$17, 'Monthly Detail'!95:95)</f>
        <v>0</v>
      </c>
      <c r="E41" s="68">
        <f>SUMIF('Monthly Detail'!$1:$1,'Annual Summary'!E$17, 'Monthly Detail'!95:95)</f>
        <v>0</v>
      </c>
      <c r="F41" s="68">
        <f>SUMIF('Monthly Detail'!$1:$1,'Annual Summary'!F$17, 'Monthly Detail'!95:95)</f>
        <v>29.080000000000002</v>
      </c>
      <c r="G41" s="68">
        <f>SUMIF('Monthly Detail'!$1:$1,'Annual Summary'!G$17, 'Monthly Detail'!95:95)</f>
        <v>19.440000000000008</v>
      </c>
      <c r="H41" s="68">
        <f>SUMIF('Monthly Detail'!$1:$1,'Annual Summary'!H$17, 'Monthly Detail'!95:95)</f>
        <v>19.440000000000008</v>
      </c>
      <c r="I41" s="200">
        <f>SUMIF('Monthly Detail'!$1:$1,'Annual Summary'!I$17, 'Monthly Detail'!95:95)</f>
        <v>19.440000000000008</v>
      </c>
      <c r="J41" s="68">
        <f>SUMIF('Monthly Detail'!$1:$1,'Annual Summary'!J$17, 'Monthly Detail'!95:95)</f>
        <v>19.440000000000008</v>
      </c>
      <c r="K41" s="200">
        <f>SUMIF('Monthly Detail'!$1:$1,'Annual Summary'!K$17, 'Monthly Detail'!95:95)</f>
        <v>19.440000000000008</v>
      </c>
      <c r="L41" s="89"/>
      <c r="M41" s="88"/>
      <c r="X41" s="89"/>
    </row>
    <row r="42" spans="2:24" ht="15.75" customHeight="1" x14ac:dyDescent="0.25">
      <c r="B42" s="95"/>
      <c r="C42" s="201" t="s">
        <v>19</v>
      </c>
      <c r="D42" s="80">
        <f t="shared" ref="D42:K42" si="9">D38+D41</f>
        <v>0</v>
      </c>
      <c r="E42" s="80">
        <f t="shared" si="9"/>
        <v>46971.43</v>
      </c>
      <c r="F42" s="80">
        <f t="shared" si="9"/>
        <v>26423.455529787949</v>
      </c>
      <c r="G42" s="80">
        <f t="shared" si="9"/>
        <v>16325.236242204888</v>
      </c>
      <c r="H42" s="80">
        <f t="shared" si="9"/>
        <v>22597.246472408322</v>
      </c>
      <c r="I42" s="202">
        <f t="shared" si="9"/>
        <v>25071.687764597413</v>
      </c>
      <c r="J42" s="80">
        <f t="shared" si="9"/>
        <v>28929.577378265338</v>
      </c>
      <c r="K42" s="202">
        <f t="shared" si="9"/>
        <v>33653.374191452953</v>
      </c>
      <c r="L42" s="96"/>
      <c r="M42" s="95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6"/>
    </row>
    <row r="43" spans="2:24" ht="15.75" customHeight="1" thickBot="1" x14ac:dyDescent="0.3">
      <c r="B43" s="88"/>
      <c r="C43" s="274" t="s">
        <v>20</v>
      </c>
      <c r="D43" s="275" t="e">
        <f t="shared" ref="D43:K43" si="10">D42/D21</f>
        <v>#DIV/0!</v>
      </c>
      <c r="E43" s="275">
        <f t="shared" si="10"/>
        <v>0.5888413141655463</v>
      </c>
      <c r="F43" s="275">
        <f t="shared" si="10"/>
        <v>0.32211473124670786</v>
      </c>
      <c r="G43" s="275">
        <f t="shared" si="10"/>
        <v>0.14382090413675322</v>
      </c>
      <c r="H43" s="275">
        <f t="shared" si="10"/>
        <v>0.17525706425057949</v>
      </c>
      <c r="I43" s="276">
        <f t="shared" si="10"/>
        <v>0.18120692283382656</v>
      </c>
      <c r="J43" s="275">
        <f t="shared" si="10"/>
        <v>0.19232983063290454</v>
      </c>
      <c r="K43" s="276">
        <f t="shared" si="10"/>
        <v>0.20489777824046035</v>
      </c>
      <c r="L43" s="89"/>
      <c r="M43" s="88"/>
      <c r="X43" s="89"/>
    </row>
    <row r="44" spans="2:24" x14ac:dyDescent="0.25">
      <c r="B44" s="88"/>
      <c r="C44" s="203" t="s">
        <v>21</v>
      </c>
      <c r="D44" s="488">
        <f t="shared" ref="D44:K44" si="11">+IF(D42&gt;0, D42*0.25, 0)</f>
        <v>0</v>
      </c>
      <c r="E44" s="489">
        <f t="shared" si="11"/>
        <v>11742.8575</v>
      </c>
      <c r="F44" s="489">
        <f t="shared" si="11"/>
        <v>6605.8638824469872</v>
      </c>
      <c r="G44" s="489">
        <f t="shared" si="11"/>
        <v>4081.309060551222</v>
      </c>
      <c r="H44" s="489">
        <f t="shared" si="11"/>
        <v>5649.3116181020805</v>
      </c>
      <c r="I44" s="490">
        <f t="shared" si="11"/>
        <v>6267.9219411493532</v>
      </c>
      <c r="J44" s="491">
        <f t="shared" si="11"/>
        <v>7232.3943445663344</v>
      </c>
      <c r="K44" s="490">
        <f t="shared" si="11"/>
        <v>8413.3435478632382</v>
      </c>
      <c r="L44" s="89"/>
      <c r="M44" s="659"/>
      <c r="N44" s="659"/>
      <c r="X44" s="89"/>
    </row>
    <row r="45" spans="2:24" ht="15.75" customHeight="1" thickBot="1" x14ac:dyDescent="0.3">
      <c r="B45" s="88"/>
      <c r="C45" s="492" t="s">
        <v>22</v>
      </c>
      <c r="D45" s="493" t="e">
        <v>#VALUE!</v>
      </c>
      <c r="E45" s="493">
        <f>+SUMIF('Monthly Detail'!$4:$4, DATE(E17, 12, 31),'Monthly Detail'!$173:$173)</f>
        <v>1425.9999999999984</v>
      </c>
      <c r="F45" s="493">
        <f>+SUMIF('Monthly Detail'!$4:$4, DATE(F17, 12, 31),'Monthly Detail'!$173:$173)</f>
        <v>6291.9628127765254</v>
      </c>
      <c r="G45" s="493">
        <f>+SUMIF('Monthly Detail'!$4:$4, DATE(G17, 12, 31),'Monthly Detail'!$173:$173)</f>
        <v>20692.204516534577</v>
      </c>
      <c r="H45" s="493">
        <f>+SUMIF('Monthly Detail'!$4:$4, DATE(H17, 12, 31),'Monthly Detail'!$173:$173)</f>
        <v>41468.659486699456</v>
      </c>
      <c r="I45" s="494">
        <f>+SUMIF('Monthly Detail'!$4:$4, DATE(I17, 12, 31),'Monthly Detail'!$173:$173)</f>
        <v>64748.760946166076</v>
      </c>
      <c r="J45" s="495">
        <f>+SUMIF('Monthly Detail'!$4:$4, DATE(J17, 12, 31),'Monthly Detail'!$173:$173)</f>
        <v>91846.03993100072</v>
      </c>
      <c r="K45" s="494">
        <f>+SUMIF('Monthly Detail'!$4:$4, DATE(K17, 12, 31),'Monthly Detail'!$173:$173)</f>
        <v>123652.20679061537</v>
      </c>
      <c r="L45" s="89"/>
      <c r="M45" s="659"/>
      <c r="N45" s="659"/>
      <c r="X45" s="89"/>
    </row>
    <row r="46" spans="2:24" x14ac:dyDescent="0.25">
      <c r="B46" s="88"/>
      <c r="C46" s="7"/>
      <c r="L46" s="89"/>
      <c r="M46" s="88"/>
      <c r="X46" s="89"/>
    </row>
    <row r="47" spans="2:24" x14ac:dyDescent="0.25">
      <c r="B47" s="88"/>
      <c r="C47" s="7"/>
      <c r="L47" s="89"/>
      <c r="M47" s="88"/>
      <c r="X47" s="89"/>
    </row>
    <row r="48" spans="2:24" ht="15.75" customHeight="1" thickBot="1" x14ac:dyDescent="0.3">
      <c r="B48" s="98"/>
      <c r="C48" s="99"/>
      <c r="D48" s="100"/>
      <c r="E48" s="100"/>
      <c r="F48" s="100"/>
      <c r="G48" s="100"/>
      <c r="H48" s="100"/>
      <c r="I48" s="100"/>
      <c r="J48" s="100"/>
      <c r="K48" s="100"/>
      <c r="L48" s="101"/>
      <c r="M48" s="98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1"/>
    </row>
  </sheetData>
  <printOptions horizontalCentered="1" verticalCentered="1"/>
  <pageMargins left="0.7" right="0.7" top="0.75" bottom="0.75" header="0.3" footer="0.3"/>
  <pageSetup scale="5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  <pageSetUpPr fitToPage="1"/>
  </sheetPr>
  <dimension ref="B10:T31"/>
  <sheetViews>
    <sheetView showGridLines="0" topLeftCell="A26" workbookViewId="0">
      <selection activeCell="M23" sqref="M23"/>
    </sheetView>
  </sheetViews>
  <sheetFormatPr defaultColWidth="8.7109375" defaultRowHeight="15" x14ac:dyDescent="0.25"/>
  <cols>
    <col min="2" max="2" width="34" bestFit="1" customWidth="1"/>
    <col min="3" max="9" width="11.42578125" hidden="1" customWidth="1"/>
    <col min="10" max="10" width="11.42578125" bestFit="1" customWidth="1"/>
    <col min="11" max="11" width="11.7109375" bestFit="1" customWidth="1"/>
    <col min="12" max="14" width="11.42578125" bestFit="1" customWidth="1"/>
    <col min="15" max="15" width="2.7109375" customWidth="1"/>
    <col min="16" max="16" width="9.7109375" bestFit="1" customWidth="1"/>
  </cols>
  <sheetData>
    <row r="10" spans="2:16" ht="15.75" customHeight="1" x14ac:dyDescent="0.25">
      <c r="B10" s="60"/>
      <c r="C10" s="61" t="str">
        <f>TEXT('Monthly Detail'!D4,"mmmm")</f>
        <v>January</v>
      </c>
      <c r="D10" s="61" t="str">
        <f>TEXT('Monthly Detail'!E4,"mmmm")</f>
        <v>February</v>
      </c>
      <c r="E10" s="61" t="str">
        <f>TEXT('Monthly Detail'!F4,"mmmm")</f>
        <v>March</v>
      </c>
      <c r="F10" s="61" t="str">
        <f>TEXT('Monthly Detail'!G4,"mmmm")</f>
        <v>April</v>
      </c>
      <c r="G10" s="61" t="str">
        <f>TEXT('Monthly Detail'!H4,"mmmm")</f>
        <v>May</v>
      </c>
      <c r="H10" s="61" t="str">
        <f>TEXT('Monthly Detail'!I4,"mmmm")</f>
        <v>June</v>
      </c>
      <c r="I10" s="61" t="str">
        <f>TEXT('Monthly Detail'!J4,"mmmm")</f>
        <v>July</v>
      </c>
      <c r="J10" s="61" t="str">
        <f>TEXT('Monthly Detail'!K4,"mmmm")</f>
        <v>August</v>
      </c>
      <c r="K10" s="61" t="str">
        <f>TEXT('Monthly Detail'!L4,"mmmm")</f>
        <v>September</v>
      </c>
      <c r="L10" s="61" t="str">
        <f>TEXT('Monthly Detail'!M4,"mmmm")</f>
        <v>October</v>
      </c>
      <c r="M10" s="175" t="str">
        <f>TEXT('Monthly Detail'!N4,"mmmm")</f>
        <v>November</v>
      </c>
      <c r="N10" s="61" t="str">
        <f>TEXT('Monthly Detail'!O4,"mmmm")</f>
        <v>December</v>
      </c>
      <c r="O10" s="62"/>
      <c r="P10" s="63" t="s">
        <v>23</v>
      </c>
    </row>
    <row r="11" spans="2:16" ht="6.4" customHeight="1" x14ac:dyDescent="0.25">
      <c r="B11" s="7"/>
      <c r="C11" s="83">
        <v>44957</v>
      </c>
      <c r="D11" s="83">
        <v>44985</v>
      </c>
      <c r="E11" s="83">
        <v>45016</v>
      </c>
      <c r="F11" s="83">
        <v>45046</v>
      </c>
      <c r="G11" s="83">
        <v>45077</v>
      </c>
      <c r="H11" s="83">
        <v>45107</v>
      </c>
      <c r="I11" s="83">
        <v>45138</v>
      </c>
      <c r="J11" s="83">
        <v>45169</v>
      </c>
      <c r="K11" s="83">
        <v>45199</v>
      </c>
      <c r="L11" s="83">
        <v>45230</v>
      </c>
      <c r="M11" s="176">
        <v>45260</v>
      </c>
      <c r="N11" s="83">
        <v>45291</v>
      </c>
      <c r="O11" s="83">
        <v>45322</v>
      </c>
    </row>
    <row r="12" spans="2:16" x14ac:dyDescent="0.25">
      <c r="B12" s="64" t="s">
        <v>0</v>
      </c>
      <c r="C12" s="65">
        <f>SUMIF('Monthly Detail'!$4:$4, '2023 Overview'!C$11, 'Monthly Detail'!9:9)</f>
        <v>0</v>
      </c>
      <c r="D12" s="65">
        <f>SUMIF('Monthly Detail'!$4:$4, '2023 Overview'!D$11, 'Monthly Detail'!9:9)</f>
        <v>0</v>
      </c>
      <c r="E12" s="65">
        <f>SUMIF('Monthly Detail'!$4:$4, '2023 Overview'!E$11, 'Monthly Detail'!9:9)</f>
        <v>0</v>
      </c>
      <c r="F12" s="65">
        <f>SUMIF('Monthly Detail'!$4:$4, '2023 Overview'!F$11, 'Monthly Detail'!9:9)</f>
        <v>0</v>
      </c>
      <c r="G12" s="65">
        <f>SUMIF('Monthly Detail'!$4:$4, '2023 Overview'!G$11, 'Monthly Detail'!9:9)</f>
        <v>0</v>
      </c>
      <c r="H12" s="65">
        <f>SUMIF('Monthly Detail'!$4:$4, '2023 Overview'!H$11, 'Monthly Detail'!9:9)</f>
        <v>0</v>
      </c>
      <c r="I12" s="65">
        <f>SUMIF('Monthly Detail'!$4:$4, '2023 Overview'!I$11, 'Monthly Detail'!9:9)</f>
        <v>0</v>
      </c>
      <c r="J12" s="65">
        <f>SUMIF('Monthly Detail'!$4:$4, '2023 Overview'!J$11, 'Monthly Detail'!9:9)</f>
        <v>0</v>
      </c>
      <c r="K12" s="65">
        <f>SUMIF('Monthly Detail'!$4:$4, '2023 Overview'!K$11, 'Monthly Detail'!9:9)</f>
        <v>0</v>
      </c>
      <c r="L12" s="65">
        <f>SUMIF('Monthly Detail'!$4:$4, '2023 Overview'!L$11, 'Monthly Detail'!9:9)</f>
        <v>0</v>
      </c>
      <c r="M12" s="177">
        <f>SUMIF('Monthly Detail'!$4:$4, '2023 Overview'!M$11, 'Monthly Detail'!9:9)</f>
        <v>0</v>
      </c>
      <c r="N12" s="65">
        <f>SUMIF('Monthly Detail'!$4:$4, '2023 Overview'!N$11, 'Monthly Detail'!9:9)</f>
        <v>0</v>
      </c>
      <c r="O12" s="65"/>
      <c r="P12" s="65">
        <f>SUM(C12:O12)</f>
        <v>0</v>
      </c>
    </row>
    <row r="13" spans="2:16" x14ac:dyDescent="0.25">
      <c r="B13" s="64" t="s">
        <v>24</v>
      </c>
      <c r="C13" s="65">
        <f>SUMIF('Monthly Detail'!$4:$4, '2023 Overview'!C$11, 'Monthly Detail'!12:12)</f>
        <v>0</v>
      </c>
      <c r="D13" s="65">
        <f>SUMIF('Monthly Detail'!$4:$4, '2023 Overview'!D$11, 'Monthly Detail'!12:12)</f>
        <v>0</v>
      </c>
      <c r="E13" s="65">
        <f>SUMIF('Monthly Detail'!$4:$4, '2023 Overview'!E$11, 'Monthly Detail'!12:12)</f>
        <v>0</v>
      </c>
      <c r="F13" s="65">
        <f>SUMIF('Monthly Detail'!$4:$4, '2023 Overview'!F$11, 'Monthly Detail'!12:12)</f>
        <v>0</v>
      </c>
      <c r="G13" s="65">
        <f>SUMIF('Monthly Detail'!$4:$4, '2023 Overview'!G$11, 'Monthly Detail'!12:12)</f>
        <v>0</v>
      </c>
      <c r="H13" s="65">
        <f>SUMIF('Monthly Detail'!$4:$4, '2023 Overview'!H$11, 'Monthly Detail'!12:12)</f>
        <v>0</v>
      </c>
      <c r="I13" s="65">
        <f>SUMIF('Monthly Detail'!$4:$4, '2023 Overview'!I$11, 'Monthly Detail'!12:12)</f>
        <v>0</v>
      </c>
      <c r="J13" s="65">
        <f>SUMIF('Monthly Detail'!$4:$4, '2023 Overview'!J$11, 'Monthly Detail'!12:12)</f>
        <v>0</v>
      </c>
      <c r="K13" s="65">
        <f>SUMIF('Monthly Detail'!$4:$4, '2023 Overview'!K$11, 'Monthly Detail'!12:12)</f>
        <v>0</v>
      </c>
      <c r="L13" s="65">
        <f>SUMIF('Monthly Detail'!$4:$4, '2023 Overview'!L$11, 'Monthly Detail'!12:12)</f>
        <v>0</v>
      </c>
      <c r="M13" s="177">
        <f>SUMIF('Monthly Detail'!$4:$4, '2023 Overview'!M$11, 'Monthly Detail'!12:12)</f>
        <v>0</v>
      </c>
      <c r="N13" s="65">
        <f>SUMIF('Monthly Detail'!$4:$4, '2023 Overview'!N$11, 'Monthly Detail'!12:12)</f>
        <v>0</v>
      </c>
      <c r="O13" s="65"/>
      <c r="P13" s="65"/>
    </row>
    <row r="14" spans="2:16" x14ac:dyDescent="0.25">
      <c r="B14" s="66" t="s">
        <v>2</v>
      </c>
      <c r="C14" s="66">
        <f t="shared" ref="C14:N14" si="0">SUM(C12:C13)</f>
        <v>0</v>
      </c>
      <c r="D14" s="66">
        <f t="shared" si="0"/>
        <v>0</v>
      </c>
      <c r="E14" s="66">
        <f t="shared" si="0"/>
        <v>0</v>
      </c>
      <c r="F14" s="66">
        <f t="shared" si="0"/>
        <v>0</v>
      </c>
      <c r="G14" s="66">
        <f t="shared" si="0"/>
        <v>0</v>
      </c>
      <c r="H14" s="66">
        <f t="shared" si="0"/>
        <v>0</v>
      </c>
      <c r="I14" s="66">
        <f t="shared" si="0"/>
        <v>0</v>
      </c>
      <c r="J14" s="66">
        <f t="shared" si="0"/>
        <v>0</v>
      </c>
      <c r="K14" s="66">
        <f t="shared" si="0"/>
        <v>0</v>
      </c>
      <c r="L14" s="66">
        <f t="shared" si="0"/>
        <v>0</v>
      </c>
      <c r="M14" s="178">
        <f t="shared" si="0"/>
        <v>0</v>
      </c>
      <c r="N14" s="66">
        <f t="shared" si="0"/>
        <v>0</v>
      </c>
      <c r="O14" s="67"/>
      <c r="P14" s="66">
        <f>SUM(P12:P12)</f>
        <v>0</v>
      </c>
    </row>
    <row r="15" spans="2:16" ht="3" customHeight="1" x14ac:dyDescent="0.25">
      <c r="B15" s="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179"/>
      <c r="N15" s="68"/>
      <c r="P15" s="68"/>
    </row>
    <row r="16" spans="2:16" ht="15.75" customHeight="1" x14ac:dyDescent="0.25">
      <c r="B16" s="79" t="s">
        <v>12</v>
      </c>
      <c r="C16" s="80">
        <f t="shared" ref="C16:N16" si="1">C14</f>
        <v>0</v>
      </c>
      <c r="D16" s="80">
        <f t="shared" si="1"/>
        <v>0</v>
      </c>
      <c r="E16" s="80">
        <f t="shared" si="1"/>
        <v>0</v>
      </c>
      <c r="F16" s="80">
        <f t="shared" si="1"/>
        <v>0</v>
      </c>
      <c r="G16" s="80">
        <f t="shared" si="1"/>
        <v>0</v>
      </c>
      <c r="H16" s="80">
        <f t="shared" si="1"/>
        <v>0</v>
      </c>
      <c r="I16" s="80">
        <f t="shared" si="1"/>
        <v>0</v>
      </c>
      <c r="J16" s="80">
        <f t="shared" si="1"/>
        <v>0</v>
      </c>
      <c r="K16" s="80">
        <f t="shared" si="1"/>
        <v>0</v>
      </c>
      <c r="L16" s="80">
        <f t="shared" si="1"/>
        <v>0</v>
      </c>
      <c r="M16" s="180">
        <f t="shared" si="1"/>
        <v>0</v>
      </c>
      <c r="N16" s="80">
        <f t="shared" si="1"/>
        <v>0</v>
      </c>
      <c r="O16" s="69"/>
      <c r="P16" s="80">
        <f>P14</f>
        <v>0</v>
      </c>
    </row>
    <row r="17" spans="2:20" x14ac:dyDescent="0.25">
      <c r="B17" s="81" t="s">
        <v>13</v>
      </c>
      <c r="C17" s="82" t="e">
        <f t="shared" ref="C17:N17" si="2">C16/C14</f>
        <v>#DIV/0!</v>
      </c>
      <c r="D17" s="82" t="e">
        <f t="shared" si="2"/>
        <v>#DIV/0!</v>
      </c>
      <c r="E17" s="82" t="e">
        <f t="shared" si="2"/>
        <v>#DIV/0!</v>
      </c>
      <c r="F17" s="82" t="e">
        <f t="shared" si="2"/>
        <v>#DIV/0!</v>
      </c>
      <c r="G17" s="82" t="e">
        <f t="shared" si="2"/>
        <v>#DIV/0!</v>
      </c>
      <c r="H17" s="82" t="e">
        <f t="shared" si="2"/>
        <v>#DIV/0!</v>
      </c>
      <c r="I17" s="82" t="e">
        <f t="shared" si="2"/>
        <v>#DIV/0!</v>
      </c>
      <c r="J17" s="82" t="e">
        <f t="shared" si="2"/>
        <v>#DIV/0!</v>
      </c>
      <c r="K17" s="82" t="e">
        <f t="shared" si="2"/>
        <v>#DIV/0!</v>
      </c>
      <c r="L17" s="82" t="e">
        <f t="shared" si="2"/>
        <v>#DIV/0!</v>
      </c>
      <c r="M17" s="181" t="e">
        <f t="shared" si="2"/>
        <v>#DIV/0!</v>
      </c>
      <c r="N17" s="82" t="e">
        <f t="shared" si="2"/>
        <v>#DIV/0!</v>
      </c>
      <c r="O17" s="7"/>
      <c r="P17" s="82" t="e">
        <f>P16/P14</f>
        <v>#DIV/0!</v>
      </c>
    </row>
    <row r="18" spans="2:20" ht="3" customHeight="1" x14ac:dyDescent="0.25">
      <c r="B18" s="7"/>
      <c r="M18" s="182"/>
    </row>
    <row r="19" spans="2:20" x14ac:dyDescent="0.25">
      <c r="B19" s="7" t="s">
        <v>14</v>
      </c>
      <c r="C19" s="65">
        <f>SUMIF('Monthly Detail'!$4:$4, '2023 Overview'!C$11, 'Monthly Detail'!$89:$89)</f>
        <v>0</v>
      </c>
      <c r="D19" s="65">
        <f>SUMIF('Monthly Detail'!$4:$4, '2023 Overview'!D$11, 'Monthly Detail'!$89:$89)</f>
        <v>0</v>
      </c>
      <c r="E19" s="65">
        <f>SUMIF('Monthly Detail'!$4:$4, '2023 Overview'!E$11, 'Monthly Detail'!$89:$89)</f>
        <v>0</v>
      </c>
      <c r="F19" s="65">
        <f>SUMIF('Monthly Detail'!$4:$4, '2023 Overview'!F$11, 'Monthly Detail'!$89:$89)</f>
        <v>0</v>
      </c>
      <c r="G19" s="65">
        <f>SUMIF('Monthly Detail'!$4:$4, '2023 Overview'!G$11, 'Monthly Detail'!$89:$89)</f>
        <v>0</v>
      </c>
      <c r="H19" s="65">
        <f>SUMIF('Monthly Detail'!$4:$4, '2023 Overview'!H$11, 'Monthly Detail'!$89:$89)</f>
        <v>0</v>
      </c>
      <c r="I19" s="65">
        <f>SUMIF('Monthly Detail'!$4:$4, '2023 Overview'!I$11, 'Monthly Detail'!$89:$89)</f>
        <v>0</v>
      </c>
      <c r="J19" s="65">
        <f>SUMIF('Monthly Detail'!$4:$4, '2023 Overview'!J$11, 'Monthly Detail'!$89:$89)</f>
        <v>0</v>
      </c>
      <c r="K19" s="65">
        <f>SUMIF('Monthly Detail'!$4:$4, '2023 Overview'!K$11, 'Monthly Detail'!$89:$89)</f>
        <v>0</v>
      </c>
      <c r="L19" s="65">
        <f>SUMIF('Monthly Detail'!$4:$4, '2023 Overview'!L$11, 'Monthly Detail'!$89:$89)</f>
        <v>0</v>
      </c>
      <c r="M19" s="177">
        <f>SUMIF('Monthly Detail'!$4:$4, '2023 Overview'!M$11, 'Monthly Detail'!$89:$89)</f>
        <v>0</v>
      </c>
      <c r="N19" s="65">
        <f>SUMIF('Monthly Detail'!$4:$4, '2023 Overview'!N$11, 'Monthly Detail'!$89:$89)</f>
        <v>0</v>
      </c>
      <c r="P19" s="65">
        <f>SUM(C19:O19)</f>
        <v>0</v>
      </c>
      <c r="T19" s="1"/>
    </row>
    <row r="20" spans="2:20" x14ac:dyDescent="0.25">
      <c r="B20" s="70" t="s">
        <v>25</v>
      </c>
      <c r="C20" s="71">
        <f t="shared" ref="C20:N20" si="3">SUM(C19:C19)</f>
        <v>0</v>
      </c>
      <c r="D20" s="71">
        <f t="shared" si="3"/>
        <v>0</v>
      </c>
      <c r="E20" s="71">
        <f t="shared" si="3"/>
        <v>0</v>
      </c>
      <c r="F20" s="71">
        <f t="shared" si="3"/>
        <v>0</v>
      </c>
      <c r="G20" s="71">
        <f t="shared" si="3"/>
        <v>0</v>
      </c>
      <c r="H20" s="71">
        <f t="shared" si="3"/>
        <v>0</v>
      </c>
      <c r="I20" s="71">
        <f t="shared" si="3"/>
        <v>0</v>
      </c>
      <c r="J20" s="71">
        <f t="shared" si="3"/>
        <v>0</v>
      </c>
      <c r="K20" s="71">
        <f t="shared" si="3"/>
        <v>0</v>
      </c>
      <c r="L20" s="71">
        <f t="shared" si="3"/>
        <v>0</v>
      </c>
      <c r="M20" s="183">
        <f t="shared" si="3"/>
        <v>0</v>
      </c>
      <c r="N20" s="71">
        <f t="shared" si="3"/>
        <v>0</v>
      </c>
      <c r="O20" s="72"/>
      <c r="P20" s="71">
        <f>SUM(P19:P19)</f>
        <v>0</v>
      </c>
    </row>
    <row r="21" spans="2:20" ht="4.1500000000000004" customHeight="1" x14ac:dyDescent="0.25">
      <c r="B21" s="7"/>
      <c r="M21" s="182"/>
    </row>
    <row r="22" spans="2:20" ht="15.75" customHeight="1" x14ac:dyDescent="0.25">
      <c r="B22" s="79" t="s">
        <v>16</v>
      </c>
      <c r="C22" s="80">
        <f t="shared" ref="C22:N22" si="4">C16-C20</f>
        <v>0</v>
      </c>
      <c r="D22" s="80">
        <f t="shared" si="4"/>
        <v>0</v>
      </c>
      <c r="E22" s="80">
        <f t="shared" si="4"/>
        <v>0</v>
      </c>
      <c r="F22" s="80">
        <f t="shared" si="4"/>
        <v>0</v>
      </c>
      <c r="G22" s="80">
        <f t="shared" si="4"/>
        <v>0</v>
      </c>
      <c r="H22" s="80">
        <f t="shared" si="4"/>
        <v>0</v>
      </c>
      <c r="I22" s="80">
        <f t="shared" si="4"/>
        <v>0</v>
      </c>
      <c r="J22" s="80">
        <f t="shared" si="4"/>
        <v>0</v>
      </c>
      <c r="K22" s="80">
        <f t="shared" si="4"/>
        <v>0</v>
      </c>
      <c r="L22" s="80">
        <f t="shared" si="4"/>
        <v>0</v>
      </c>
      <c r="M22" s="180">
        <f t="shared" si="4"/>
        <v>0</v>
      </c>
      <c r="N22" s="80">
        <f t="shared" si="4"/>
        <v>0</v>
      </c>
      <c r="O22" s="69"/>
      <c r="P22" s="80">
        <f>P16-P20</f>
        <v>0</v>
      </c>
    </row>
    <row r="23" spans="2:20" x14ac:dyDescent="0.25">
      <c r="B23" s="81" t="s">
        <v>17</v>
      </c>
      <c r="C23" s="82" t="e">
        <f t="shared" ref="C23:N23" si="5">C22/C14</f>
        <v>#DIV/0!</v>
      </c>
      <c r="D23" s="82" t="e">
        <f t="shared" si="5"/>
        <v>#DIV/0!</v>
      </c>
      <c r="E23" s="82" t="e">
        <f t="shared" si="5"/>
        <v>#DIV/0!</v>
      </c>
      <c r="F23" s="82" t="e">
        <f t="shared" si="5"/>
        <v>#DIV/0!</v>
      </c>
      <c r="G23" s="82" t="e">
        <f t="shared" si="5"/>
        <v>#DIV/0!</v>
      </c>
      <c r="H23" s="82" t="e">
        <f t="shared" si="5"/>
        <v>#DIV/0!</v>
      </c>
      <c r="I23" s="82" t="e">
        <f t="shared" si="5"/>
        <v>#DIV/0!</v>
      </c>
      <c r="J23" s="82" t="e">
        <f t="shared" si="5"/>
        <v>#DIV/0!</v>
      </c>
      <c r="K23" s="82" t="e">
        <f t="shared" si="5"/>
        <v>#DIV/0!</v>
      </c>
      <c r="L23" s="82" t="e">
        <f t="shared" si="5"/>
        <v>#DIV/0!</v>
      </c>
      <c r="M23" s="181" t="e">
        <f t="shared" si="5"/>
        <v>#DIV/0!</v>
      </c>
      <c r="N23" s="82" t="e">
        <f t="shared" si="5"/>
        <v>#DIV/0!</v>
      </c>
      <c r="O23" s="7"/>
      <c r="P23" s="82" t="e">
        <f>P22/P14</f>
        <v>#DIV/0!</v>
      </c>
    </row>
    <row r="24" spans="2:20" ht="4.9000000000000004" customHeight="1" x14ac:dyDescent="0.25"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184"/>
      <c r="N24" s="74"/>
      <c r="P24" s="74"/>
    </row>
    <row r="25" spans="2:20" x14ac:dyDescent="0.25">
      <c r="B25" s="7" t="s">
        <v>18</v>
      </c>
      <c r="C25" s="119">
        <f>SUMIF('Monthly Detail'!$4:$4, '2023 Overview'!C$11, 'Monthly Detail'!95:95)</f>
        <v>0</v>
      </c>
      <c r="D25" s="119">
        <f>SUMIF('Monthly Detail'!$4:$4, '2023 Overview'!D$11, 'Monthly Detail'!95:95)</f>
        <v>0</v>
      </c>
      <c r="E25" s="119">
        <f>SUMIF('Monthly Detail'!$4:$4, '2023 Overview'!E$11, 'Monthly Detail'!95:95)</f>
        <v>0</v>
      </c>
      <c r="F25" s="119">
        <f>SUMIF('Monthly Detail'!$4:$4, '2023 Overview'!F$11, 'Monthly Detail'!95:95)</f>
        <v>0</v>
      </c>
      <c r="G25" s="119">
        <f>SUMIF('Monthly Detail'!$4:$4, '2023 Overview'!G$11, 'Monthly Detail'!95:95)</f>
        <v>0</v>
      </c>
      <c r="H25" s="119">
        <f>SUMIF('Monthly Detail'!$4:$4, '2023 Overview'!H$11, 'Monthly Detail'!95:95)</f>
        <v>0</v>
      </c>
      <c r="I25" s="119">
        <f>SUMIF('Monthly Detail'!$4:$4, '2023 Overview'!I$11, 'Monthly Detail'!95:95)</f>
        <v>0</v>
      </c>
      <c r="J25" s="119">
        <f>SUMIF('Monthly Detail'!$4:$4, '2023 Overview'!J$11, 'Monthly Detail'!95:95)</f>
        <v>0</v>
      </c>
      <c r="K25" s="119">
        <f>SUMIF('Monthly Detail'!$4:$4, '2023 Overview'!K$11, 'Monthly Detail'!95:95)</f>
        <v>0</v>
      </c>
      <c r="L25" s="119">
        <f>SUMIF('Monthly Detail'!$4:$4, '2023 Overview'!L$11, 'Monthly Detail'!95:95)</f>
        <v>0</v>
      </c>
      <c r="M25" s="185">
        <f>SUMIF('Monthly Detail'!$4:$4, '2023 Overview'!M$11, 'Monthly Detail'!95:95)</f>
        <v>0</v>
      </c>
      <c r="N25" s="119">
        <f>SUMIF('Monthly Detail'!$4:$4, '2023 Overview'!N$11, 'Monthly Detail'!95:95)</f>
        <v>0</v>
      </c>
      <c r="O25" s="119"/>
      <c r="P25" s="104">
        <f>SUM(C25:O25)</f>
        <v>0</v>
      </c>
    </row>
    <row r="26" spans="2:20" ht="15.75" customHeight="1" x14ac:dyDescent="0.25">
      <c r="B26" s="79" t="s">
        <v>19</v>
      </c>
      <c r="C26" s="80">
        <f t="shared" ref="C26:N26" si="6">C22+SUM(C25:C25)</f>
        <v>0</v>
      </c>
      <c r="D26" s="80">
        <f t="shared" si="6"/>
        <v>0</v>
      </c>
      <c r="E26" s="80">
        <f t="shared" si="6"/>
        <v>0</v>
      </c>
      <c r="F26" s="80">
        <f t="shared" si="6"/>
        <v>0</v>
      </c>
      <c r="G26" s="80">
        <f t="shared" si="6"/>
        <v>0</v>
      </c>
      <c r="H26" s="80">
        <f t="shared" si="6"/>
        <v>0</v>
      </c>
      <c r="I26" s="80">
        <f t="shared" si="6"/>
        <v>0</v>
      </c>
      <c r="J26" s="80">
        <f t="shared" si="6"/>
        <v>0</v>
      </c>
      <c r="K26" s="80">
        <f t="shared" si="6"/>
        <v>0</v>
      </c>
      <c r="L26" s="80">
        <f t="shared" si="6"/>
        <v>0</v>
      </c>
      <c r="M26" s="180">
        <f t="shared" si="6"/>
        <v>0</v>
      </c>
      <c r="N26" s="80">
        <f t="shared" si="6"/>
        <v>0</v>
      </c>
      <c r="O26" s="69"/>
      <c r="P26" s="80">
        <f>P22+SUM(P25:P25)</f>
        <v>0</v>
      </c>
    </row>
    <row r="27" spans="2:20" x14ac:dyDescent="0.25">
      <c r="B27" s="81" t="s">
        <v>20</v>
      </c>
      <c r="C27" s="82" t="e">
        <f t="shared" ref="C27:N27" si="7">C26/C14</f>
        <v>#DIV/0!</v>
      </c>
      <c r="D27" s="82" t="e">
        <f t="shared" si="7"/>
        <v>#DIV/0!</v>
      </c>
      <c r="E27" s="82" t="e">
        <f t="shared" si="7"/>
        <v>#DIV/0!</v>
      </c>
      <c r="F27" s="82" t="e">
        <f t="shared" si="7"/>
        <v>#DIV/0!</v>
      </c>
      <c r="G27" s="82" t="e">
        <f t="shared" si="7"/>
        <v>#DIV/0!</v>
      </c>
      <c r="H27" s="82" t="e">
        <f t="shared" si="7"/>
        <v>#DIV/0!</v>
      </c>
      <c r="I27" s="82" t="e">
        <f t="shared" si="7"/>
        <v>#DIV/0!</v>
      </c>
      <c r="J27" s="82" t="e">
        <f t="shared" si="7"/>
        <v>#DIV/0!</v>
      </c>
      <c r="K27" s="82" t="e">
        <f t="shared" si="7"/>
        <v>#DIV/0!</v>
      </c>
      <c r="L27" s="82" t="e">
        <f t="shared" si="7"/>
        <v>#DIV/0!</v>
      </c>
      <c r="M27" s="181" t="e">
        <f t="shared" si="7"/>
        <v>#DIV/0!</v>
      </c>
      <c r="N27" s="82" t="e">
        <f t="shared" si="7"/>
        <v>#DIV/0!</v>
      </c>
      <c r="O27" s="7"/>
      <c r="P27" s="82" t="e">
        <f>P26/P14</f>
        <v>#DIV/0!</v>
      </c>
    </row>
    <row r="28" spans="2:20" ht="4.9000000000000004" customHeight="1" thickBot="1" x14ac:dyDescent="0.3">
      <c r="B28" s="7"/>
      <c r="M28" s="182"/>
    </row>
    <row r="29" spans="2:20" x14ac:dyDescent="0.25">
      <c r="B29" s="75" t="s">
        <v>26</v>
      </c>
      <c r="C29" s="76">
        <f>SUMIF('Monthly Detail'!$4:$4, '2023 Overview'!C$11, 'Monthly Detail'!173:173)</f>
        <v>0</v>
      </c>
      <c r="D29" s="149">
        <f>SUMIF('Monthly Detail'!$4:$4, '2023 Overview'!D$11, 'Monthly Detail'!173:173)</f>
        <v>0</v>
      </c>
      <c r="E29" s="76">
        <f>SUMIF('Monthly Detail'!$4:$4, '2023 Overview'!E$11, 'Monthly Detail'!173:173)</f>
        <v>0</v>
      </c>
      <c r="F29" s="149">
        <f>SUMIF('Monthly Detail'!$4:$4, '2023 Overview'!F$11, 'Monthly Detail'!173:173)</f>
        <v>0</v>
      </c>
      <c r="G29" s="76">
        <f>SUMIF('Monthly Detail'!$4:$4, '2023 Overview'!G$11, 'Monthly Detail'!173:173)</f>
        <v>0</v>
      </c>
      <c r="H29" s="76">
        <f>SUMIF('Monthly Detail'!$4:$4, '2023 Overview'!H$11, 'Monthly Detail'!173:173)</f>
        <v>0</v>
      </c>
      <c r="I29" s="149">
        <f>SUMIF('Monthly Detail'!$4:$4, '2023 Overview'!I$11, 'Monthly Detail'!173:173)</f>
        <v>0</v>
      </c>
      <c r="J29" s="149">
        <f>SUMIF('Monthly Detail'!$4:$4, '2023 Overview'!J$11, 'Monthly Detail'!173:173)</f>
        <v>0</v>
      </c>
      <c r="K29" s="149">
        <f>SUMIF('Monthly Detail'!$4:$4, '2023 Overview'!K$11, 'Monthly Detail'!173:173)</f>
        <v>0</v>
      </c>
      <c r="L29" s="149">
        <f>SUMIF('Monthly Detail'!$4:$4, '2023 Overview'!L$11, 'Monthly Detail'!173:173)</f>
        <v>0</v>
      </c>
      <c r="M29" s="186">
        <f>SUMIF('Monthly Detail'!$4:$4, '2023 Overview'!M$11, 'Monthly Detail'!173:173)</f>
        <v>0</v>
      </c>
      <c r="N29" s="149">
        <f>SUMIF('Monthly Detail'!$4:$4, '2023 Overview'!N$11, 'Monthly Detail'!173:173)</f>
        <v>0</v>
      </c>
    </row>
    <row r="30" spans="2:20" ht="15.75" customHeight="1" thickBot="1" x14ac:dyDescent="0.3">
      <c r="B30" s="77" t="s">
        <v>27</v>
      </c>
      <c r="C30" s="78">
        <f>SUMIF('Monthly Detail'!$4:$4, '2023 Overview'!C$11, 'Monthly Detail'!170:170)</f>
        <v>0</v>
      </c>
      <c r="D30" s="150">
        <f>SUMIF('Monthly Detail'!$4:$4, '2023 Overview'!D$11, 'Monthly Detail'!170:170)</f>
        <v>0</v>
      </c>
      <c r="E30" s="78">
        <f>SUMIF('Monthly Detail'!$4:$4, '2023 Overview'!E$11, 'Monthly Detail'!170:170)</f>
        <v>0</v>
      </c>
      <c r="F30" s="150">
        <f>SUMIF('Monthly Detail'!$4:$4, '2023 Overview'!F$11, 'Monthly Detail'!170:170)</f>
        <v>0</v>
      </c>
      <c r="G30" s="78">
        <f>SUMIF('Monthly Detail'!$4:$4, '2023 Overview'!G$11, 'Monthly Detail'!170:170)</f>
        <v>0</v>
      </c>
      <c r="H30" s="78">
        <f>SUMIF('Monthly Detail'!$4:$4, '2023 Overview'!H$11, 'Monthly Detail'!170:170)</f>
        <v>0</v>
      </c>
      <c r="I30" s="150">
        <f>SUMIF('Monthly Detail'!$4:$4, '2023 Overview'!I$11, 'Monthly Detail'!170:170)</f>
        <v>0</v>
      </c>
      <c r="J30" s="150">
        <f>SUMIF('Monthly Detail'!$4:$4, '2023 Overview'!J$11, 'Monthly Detail'!170:170)</f>
        <v>0</v>
      </c>
      <c r="K30" s="150">
        <f>SUMIF('Monthly Detail'!$4:$4, '2023 Overview'!K$11, 'Monthly Detail'!170:170)</f>
        <v>0</v>
      </c>
      <c r="L30" s="150">
        <f>SUMIF('Monthly Detail'!$4:$4, '2023 Overview'!L$11, 'Monthly Detail'!170:170)</f>
        <v>0</v>
      </c>
      <c r="M30" s="187">
        <f>SUMIF('Monthly Detail'!$4:$4, '2023 Overview'!M$11, 'Monthly Detail'!170:170)</f>
        <v>0</v>
      </c>
      <c r="N30" s="150">
        <f>SUMIF('Monthly Detail'!$4:$4, '2023 Overview'!N$11, 'Monthly Detail'!170:170)</f>
        <v>0</v>
      </c>
    </row>
    <row r="31" spans="2:20" x14ac:dyDescent="0.25">
      <c r="E31" s="9"/>
    </row>
  </sheetData>
  <pageMargins left="0.25" right="0.25" top="0.75" bottom="0.75" header="0.3" footer="0.3"/>
  <pageSetup scale="69" orientation="landscape" horizontalDpi="1200" verticalDpi="1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  <pageSetUpPr fitToPage="1"/>
  </sheetPr>
  <dimension ref="B14:T73"/>
  <sheetViews>
    <sheetView showGridLines="0" topLeftCell="A27" zoomScale="44" zoomScaleNormal="32" workbookViewId="0">
      <selection activeCell="B15" sqref="B15:P73"/>
    </sheetView>
  </sheetViews>
  <sheetFormatPr defaultColWidth="8.7109375" defaultRowHeight="15" x14ac:dyDescent="0.25"/>
  <cols>
    <col min="2" max="2" width="48.28515625" bestFit="1" customWidth="1"/>
    <col min="3" max="7" width="16.7109375" bestFit="1" customWidth="1"/>
    <col min="8" max="8" width="17.7109375" bestFit="1" customWidth="1"/>
    <col min="9" max="9" width="17.28515625" bestFit="1" customWidth="1"/>
    <col min="10" max="14" width="17.7109375" bestFit="1" customWidth="1"/>
    <col min="15" max="15" width="0.28515625" customWidth="1"/>
    <col min="16" max="16" width="17.28515625" bestFit="1" customWidth="1"/>
  </cols>
  <sheetData>
    <row r="14" spans="2:16" ht="15.75" customHeight="1" thickBot="1" x14ac:dyDescent="0.3"/>
    <row r="15" spans="2:16" ht="15" customHeight="1" x14ac:dyDescent="0.25">
      <c r="B15" s="636" t="s">
        <v>28</v>
      </c>
      <c r="C15" s="637"/>
      <c r="D15" s="637"/>
      <c r="E15" s="637"/>
      <c r="F15" s="637"/>
      <c r="G15" s="637"/>
      <c r="H15" s="637"/>
      <c r="I15" s="637"/>
      <c r="J15" s="637"/>
      <c r="K15" s="637"/>
      <c r="L15" s="637"/>
      <c r="M15" s="637"/>
      <c r="N15" s="637"/>
      <c r="O15" s="637"/>
      <c r="P15" s="638"/>
    </row>
    <row r="16" spans="2:16" ht="15" customHeight="1" x14ac:dyDescent="0.25">
      <c r="B16" s="639"/>
      <c r="C16" s="640"/>
      <c r="D16" s="640"/>
      <c r="E16" s="640"/>
      <c r="F16" s="640"/>
      <c r="G16" s="640"/>
      <c r="H16" s="640"/>
      <c r="I16" s="640"/>
      <c r="J16" s="640"/>
      <c r="K16" s="640"/>
      <c r="L16" s="640"/>
      <c r="M16" s="640"/>
      <c r="N16" s="640"/>
      <c r="O16" s="640"/>
      <c r="P16" s="641"/>
    </row>
    <row r="17" spans="2:17" x14ac:dyDescent="0.25">
      <c r="B17" s="639"/>
      <c r="C17" s="640"/>
      <c r="D17" s="640"/>
      <c r="E17" s="640"/>
      <c r="F17" s="640"/>
      <c r="G17" s="640"/>
      <c r="H17" s="640"/>
      <c r="I17" s="640"/>
      <c r="J17" s="640"/>
      <c r="K17" s="640"/>
      <c r="L17" s="640"/>
      <c r="M17" s="640"/>
      <c r="N17" s="640"/>
      <c r="O17" s="640"/>
      <c r="P17" s="641"/>
    </row>
    <row r="18" spans="2:17" ht="15.75" customHeight="1" x14ac:dyDescent="0.25">
      <c r="B18" s="191"/>
      <c r="C18" s="61" t="s">
        <v>29</v>
      </c>
      <c r="D18" s="61" t="s">
        <v>30</v>
      </c>
      <c r="E18" s="61" t="s">
        <v>31</v>
      </c>
      <c r="F18" s="61" t="s">
        <v>32</v>
      </c>
      <c r="G18" s="61" t="s">
        <v>33</v>
      </c>
      <c r="H18" s="61" t="s">
        <v>34</v>
      </c>
      <c r="I18" s="61" t="s">
        <v>35</v>
      </c>
      <c r="J18" s="61" t="s">
        <v>36</v>
      </c>
      <c r="K18" s="61" t="s">
        <v>37</v>
      </c>
      <c r="L18" s="61" t="s">
        <v>38</v>
      </c>
      <c r="M18" s="543" t="s">
        <v>39</v>
      </c>
      <c r="N18" s="433" t="s">
        <v>40</v>
      </c>
      <c r="O18" s="62"/>
      <c r="P18" s="420" t="s">
        <v>23</v>
      </c>
    </row>
    <row r="19" spans="2:17" x14ac:dyDescent="0.25">
      <c r="B19" s="192"/>
      <c r="C19" s="83">
        <v>45688</v>
      </c>
      <c r="D19" s="83">
        <v>45716</v>
      </c>
      <c r="E19" s="83">
        <v>45747</v>
      </c>
      <c r="F19" s="83">
        <v>45777</v>
      </c>
      <c r="G19" s="83">
        <v>45808</v>
      </c>
      <c r="H19" s="83">
        <v>45838</v>
      </c>
      <c r="I19" s="83">
        <v>45869</v>
      </c>
      <c r="J19" s="83">
        <v>45900</v>
      </c>
      <c r="K19" s="83">
        <v>45930</v>
      </c>
      <c r="L19" s="83">
        <v>45961</v>
      </c>
      <c r="M19" s="544">
        <v>45991</v>
      </c>
      <c r="N19" s="363">
        <v>46022</v>
      </c>
      <c r="O19" s="83">
        <v>45322</v>
      </c>
      <c r="P19" s="421"/>
    </row>
    <row r="20" spans="2:17" x14ac:dyDescent="0.25">
      <c r="B20" s="193" t="s">
        <v>0</v>
      </c>
      <c r="C20" s="65">
        <f>SUMIF('Monthly Detail'!$4:$4, '2025 Overview (Budget)'!C$19, 'Monthly Detail'!13:13)</f>
        <v>6721.05</v>
      </c>
      <c r="D20" s="65">
        <f>SUMIF('Monthly Detail'!$4:$4, '2025 Overview (Budget)'!D$19, 'Monthly Detail'!13:13)</f>
        <v>6501.14</v>
      </c>
      <c r="E20" s="65">
        <f>SUMIF('Monthly Detail'!$4:$4, '2025 Overview (Budget)'!E$19, 'Monthly Detail'!13:13)</f>
        <v>7108.5</v>
      </c>
      <c r="F20" s="65">
        <f>SUMIF('Monthly Detail'!$4:$4, '2025 Overview (Budget)'!F$19, 'Monthly Detail'!13:13)</f>
        <v>7861.75</v>
      </c>
      <c r="G20" s="65">
        <f>SUMIF('Monthly Detail'!$4:$4, '2025 Overview (Budget)'!G$19, 'Monthly Detail'!13:13)</f>
        <v>7877.62</v>
      </c>
      <c r="H20" s="65">
        <f>SUMIF('Monthly Detail'!$4:$4, '2025 Overview (Budget)'!H$19, 'Monthly Detail'!13:13)</f>
        <v>6887.45</v>
      </c>
      <c r="I20" s="65">
        <f>SUMIF('Monthly Detail'!$4:$4, '2025 Overview (Budget)'!I$19, 'Monthly Detail'!13:13)</f>
        <v>7418.55</v>
      </c>
      <c r="J20" s="65">
        <f>SUMIF('Monthly Detail'!$4:$4, '2025 Overview (Budget)'!J$19, 'Monthly Detail'!13:13)</f>
        <v>7653.35</v>
      </c>
      <c r="K20" s="65">
        <f>SUMIF('Monthly Detail'!$4:$4, '2025 Overview (Budget)'!K$19, 'Monthly Detail'!13:13)</f>
        <v>6170.45</v>
      </c>
      <c r="L20" s="65">
        <f>SUMIF('Monthly Detail'!$4:$4, '2025 Overview (Budget)'!L$19, 'Monthly Detail'!13:13)</f>
        <v>6998.25</v>
      </c>
      <c r="M20" s="545">
        <f>SUMIF('Monthly Detail'!$4:$4, '2025 Overview (Budget)'!M$19, 'Monthly Detail'!13:13)</f>
        <v>5263</v>
      </c>
      <c r="N20" s="434">
        <f>+'2025 AOP'!N20</f>
        <v>8571.1672628560773</v>
      </c>
      <c r="O20" s="65"/>
      <c r="P20" s="422">
        <f>SUM(C20:O20)</f>
        <v>85032.277262856078</v>
      </c>
    </row>
    <row r="21" spans="2:17" x14ac:dyDescent="0.25">
      <c r="B21" s="193" t="s">
        <v>24</v>
      </c>
      <c r="C21" s="65">
        <f>SUMIF('Monthly Detail'!$4:$4, '2025 Overview (Budget)'!C$19, 'Monthly Detail'!12:12)</f>
        <v>0</v>
      </c>
      <c r="D21" s="65">
        <f>SUMIF('Monthly Detail'!$4:$4, '2025 Overview (Budget)'!D$19, 'Monthly Detail'!12:12)</f>
        <v>0</v>
      </c>
      <c r="E21" s="65">
        <f>SUMIF('Monthly Detail'!$4:$4, '2025 Overview (Budget)'!E$19, 'Monthly Detail'!12:12)</f>
        <v>0</v>
      </c>
      <c r="F21" s="65">
        <f>SUMIF('Monthly Detail'!$4:$4, '2025 Overview (Budget)'!F$19, 'Monthly Detail'!12:12)</f>
        <v>0</v>
      </c>
      <c r="G21" s="65">
        <f>SUMIF('Monthly Detail'!$4:$4, '2025 Overview (Budget)'!G$19, 'Monthly Detail'!12:12)</f>
        <v>0</v>
      </c>
      <c r="H21" s="65">
        <f>SUMIF('Monthly Detail'!$4:$4, '2025 Overview (Budget)'!H$19, 'Monthly Detail'!12:12)</f>
        <v>0</v>
      </c>
      <c r="I21" s="65">
        <f>SUMIF('Monthly Detail'!$4:$4, '2025 Overview (Budget)'!I$19, 'Monthly Detail'!12:12)</f>
        <v>0</v>
      </c>
      <c r="J21" s="65">
        <f>SUMIF('Monthly Detail'!$4:$4, '2025 Overview (Budget)'!J$19, 'Monthly Detail'!12:12)</f>
        <v>0</v>
      </c>
      <c r="K21" s="65">
        <f>SUMIF('Monthly Detail'!$4:$4, '2025 Overview (Budget)'!K$19, 'Monthly Detail'!12:12)</f>
        <v>0</v>
      </c>
      <c r="L21" s="65">
        <f>SUMIF('Monthly Detail'!$4:$4, '2025 Overview (Budget)'!L$19, 'Monthly Detail'!12:12)</f>
        <v>0</v>
      </c>
      <c r="M21" s="545">
        <f>SUMIF('Monthly Detail'!$4:$4, '2025 Overview (Budget)'!M$19, 'Monthly Detail'!12:12)</f>
        <v>0</v>
      </c>
      <c r="N21" s="434">
        <f>+'2025 AOP'!N21</f>
        <v>0</v>
      </c>
      <c r="O21" s="65"/>
      <c r="P21" s="422">
        <f>SUM(C21:O21)</f>
        <v>0</v>
      </c>
    </row>
    <row r="22" spans="2:17" x14ac:dyDescent="0.25">
      <c r="B22" s="194" t="s">
        <v>2</v>
      </c>
      <c r="C22" s="66">
        <f t="shared" ref="C22:M22" si="0">SUM(C20:C21)</f>
        <v>6721.05</v>
      </c>
      <c r="D22" s="66">
        <f t="shared" si="0"/>
        <v>6501.14</v>
      </c>
      <c r="E22" s="66">
        <f t="shared" si="0"/>
        <v>7108.5</v>
      </c>
      <c r="F22" s="66">
        <f t="shared" si="0"/>
        <v>7861.75</v>
      </c>
      <c r="G22" s="66">
        <f t="shared" si="0"/>
        <v>7877.62</v>
      </c>
      <c r="H22" s="66">
        <f t="shared" si="0"/>
        <v>6887.45</v>
      </c>
      <c r="I22" s="66">
        <f t="shared" si="0"/>
        <v>7418.55</v>
      </c>
      <c r="J22" s="66">
        <f t="shared" si="0"/>
        <v>7653.35</v>
      </c>
      <c r="K22" s="66">
        <f t="shared" si="0"/>
        <v>6170.45</v>
      </c>
      <c r="L22" s="66">
        <f t="shared" si="0"/>
        <v>6998.25</v>
      </c>
      <c r="M22" s="546">
        <f t="shared" si="0"/>
        <v>5263</v>
      </c>
      <c r="N22" s="291">
        <f>+'2025 AOP'!N22</f>
        <v>8571.1672628560773</v>
      </c>
      <c r="O22" s="67"/>
      <c r="P22" s="423">
        <f>SUM(P20:P20)</f>
        <v>85032.277262856078</v>
      </c>
    </row>
    <row r="23" spans="2:17" x14ac:dyDescent="0.25">
      <c r="B23" s="195" t="s">
        <v>3</v>
      </c>
      <c r="C23" s="196">
        <f>SUMIF('Monthly Detail'!$4:$4, '2025 Overview (Budget)'!C$19, 'Monthly Detail'!15:15)</f>
        <v>66</v>
      </c>
      <c r="D23" s="196">
        <f>SUMIF('Monthly Detail'!$4:$4, '2025 Overview (Budget)'!D$19, 'Monthly Detail'!15:15)</f>
        <v>69</v>
      </c>
      <c r="E23" s="196">
        <f>SUMIF('Monthly Detail'!$4:$4, '2025 Overview (Budget)'!E$19, 'Monthly Detail'!15:15)</f>
        <v>68</v>
      </c>
      <c r="F23" s="196">
        <f>SUMIF('Monthly Detail'!$4:$4, '2025 Overview (Budget)'!F$19, 'Monthly Detail'!15:15)</f>
        <v>82</v>
      </c>
      <c r="G23" s="196">
        <f>SUMIF('Monthly Detail'!$4:$4, '2025 Overview (Budget)'!G$19, 'Monthly Detail'!15:15)</f>
        <v>83</v>
      </c>
      <c r="H23" s="196">
        <f>SUMIF('Monthly Detail'!$4:$4, '2025 Overview (Budget)'!H$19, 'Monthly Detail'!15:15)</f>
        <v>72</v>
      </c>
      <c r="I23" s="196">
        <f>SUMIF('Monthly Detail'!$4:$4, '2025 Overview (Budget)'!I$19, 'Monthly Detail'!15:15)</f>
        <v>76</v>
      </c>
      <c r="J23" s="196">
        <f>SUMIF('Monthly Detail'!$4:$4, '2025 Overview (Budget)'!J$19, 'Monthly Detail'!15:15)</f>
        <v>73</v>
      </c>
      <c r="K23" s="196">
        <f>SUMIF('Monthly Detail'!$4:$4, '2025 Overview (Budget)'!K$19, 'Monthly Detail'!15:15)</f>
        <v>62</v>
      </c>
      <c r="L23" s="196">
        <f>SUMIF('Monthly Detail'!$4:$4, '2025 Overview (Budget)'!L$19, 'Monthly Detail'!15:15)</f>
        <v>72</v>
      </c>
      <c r="M23" s="547">
        <f>SUMIF('Monthly Detail'!$4:$4, '2025 Overview (Budget)'!M$19, 'Monthly Detail'!15:15)</f>
        <v>57</v>
      </c>
      <c r="N23" s="394">
        <f>+'2025 AOP'!N23</f>
        <v>94.608294624172601</v>
      </c>
      <c r="O23" s="67"/>
      <c r="P23" s="424">
        <f>+SUM(C23:N23)</f>
        <v>874.60829462417257</v>
      </c>
      <c r="Q23" s="152"/>
    </row>
    <row r="24" spans="2:17" x14ac:dyDescent="0.25">
      <c r="B24" s="197" t="s">
        <v>4</v>
      </c>
      <c r="C24" s="198">
        <f>SUMIF('Monthly Detail'!$4:$4, '2025 Overview (Budget)'!C$19, 'Monthly Detail'!41:41)</f>
        <v>4460.1049985636309</v>
      </c>
      <c r="D24" s="199">
        <f>SUMIF('Monthly Detail'!$4:$4, '2025 Overview (Budget)'!D$19, 'Monthly Detail'!41:41)</f>
        <v>4123.6762769319166</v>
      </c>
      <c r="E24" s="199">
        <f>SUMIF('Monthly Detail'!$4:$4, '2025 Overview (Budget)'!E$19, 'Monthly Detail'!41:41)</f>
        <v>3775.439153439153</v>
      </c>
      <c r="F24" s="199">
        <f>SUMIF('Monthly Detail'!$4:$4, '2025 Overview (Budget)'!F$19, 'Monthly Detail'!41:41)</f>
        <v>4062.1518588531817</v>
      </c>
      <c r="G24" s="199">
        <f>SUMIF('Monthly Detail'!$4:$4, '2025 Overview (Budget)'!G$19, 'Monthly Detail'!41:41)</f>
        <v>4083.8286456278765</v>
      </c>
      <c r="H24" s="199">
        <f>SUMIF('Monthly Detail'!$4:$4, '2025 Overview (Budget)'!H$19, 'Monthly Detail'!41:41)</f>
        <v>4773.196357960458</v>
      </c>
      <c r="I24" s="199">
        <f>SUMIF('Monthly Detail'!$4:$4, '2025 Overview (Budget)'!I$19, 'Monthly Detail'!41:41)</f>
        <v>4270.3348629984403</v>
      </c>
      <c r="J24" s="199">
        <f>SUMIF('Monthly Detail'!$4:$4, '2025 Overview (Budget)'!J$19, 'Monthly Detail'!41:41)</f>
        <v>4966.173777777778</v>
      </c>
      <c r="K24" s="199">
        <f>SUMIF('Monthly Detail'!$4:$4, '2025 Overview (Budget)'!K$19, 'Monthly Detail'!41:41)</f>
        <v>4723.0604938271608</v>
      </c>
      <c r="L24" s="199">
        <f>SUMIF('Monthly Detail'!$4:$4, '2025 Overview (Budget)'!L$19, 'Monthly Detail'!41:41)</f>
        <v>4942.8781212841859</v>
      </c>
      <c r="M24" s="548">
        <f>SUMIF('Monthly Detail'!$4:$4, '2025 Overview (Budget)'!M$19, 'Monthly Detail'!41:41)</f>
        <v>3575.4405997693198</v>
      </c>
      <c r="N24" s="435">
        <f>+'2025 AOP'!N24</f>
        <v>6105.5717917078182</v>
      </c>
      <c r="O24" s="67"/>
      <c r="P24" s="425">
        <f>+AVERAGE(C24:N24)</f>
        <v>4488.4880782284099</v>
      </c>
    </row>
    <row r="25" spans="2:17" x14ac:dyDescent="0.25">
      <c r="B25" s="195" t="s">
        <v>5</v>
      </c>
      <c r="C25" s="196">
        <f>SUMIF('Monthly Detail'!$4:$4, '2025 Overview (Budget)'!C$19, 'Monthly Detail'!17:17)</f>
        <v>35</v>
      </c>
      <c r="D25" s="196">
        <f>SUMIF('Monthly Detail'!$4:$4, '2025 Overview (Budget)'!D$19, 'Monthly Detail'!17:17)</f>
        <v>32</v>
      </c>
      <c r="E25" s="196">
        <f>SUMIF('Monthly Detail'!$4:$4, '2025 Overview (Budget)'!E$19, 'Monthly Detail'!17:17)</f>
        <v>31</v>
      </c>
      <c r="F25" s="196">
        <f>SUMIF('Monthly Detail'!$4:$4, '2025 Overview (Budget)'!F$19, 'Monthly Detail'!17:17)</f>
        <v>30</v>
      </c>
      <c r="G25" s="196">
        <f>SUMIF('Monthly Detail'!$4:$4, '2025 Overview (Budget)'!G$19, 'Monthly Detail'!17:17)</f>
        <v>38</v>
      </c>
      <c r="H25" s="196">
        <f>SUMIF('Monthly Detail'!$4:$4, '2025 Overview (Budget)'!H$19, 'Monthly Detail'!17:17)</f>
        <v>37</v>
      </c>
      <c r="I25" s="196">
        <f>SUMIF('Monthly Detail'!$4:$4, '2025 Overview (Budget)'!I$19, 'Monthly Detail'!17:17)</f>
        <v>34</v>
      </c>
      <c r="J25" s="196">
        <f>SUMIF('Monthly Detail'!$4:$4, '2025 Overview (Budget)'!J$19, 'Monthly Detail'!17:17)</f>
        <v>32</v>
      </c>
      <c r="K25" s="196">
        <f>SUMIF('Monthly Detail'!$4:$4, '2025 Overview (Budget)'!K$19, 'Monthly Detail'!17:17)</f>
        <v>36</v>
      </c>
      <c r="L25" s="196">
        <f>SUMIF('Monthly Detail'!$4:$4, '2025 Overview (Budget)'!L$19, 'Monthly Detail'!17:17)</f>
        <v>33</v>
      </c>
      <c r="M25" s="547">
        <f>SUMIF('Monthly Detail'!$4:$4, '2025 Overview (Budget)'!M$19, 'Monthly Detail'!17:17)</f>
        <v>31</v>
      </c>
      <c r="N25" s="394">
        <f>+'2025 AOP'!N25</f>
        <v>49.208852912261683</v>
      </c>
      <c r="P25" s="426"/>
    </row>
    <row r="26" spans="2:17" hidden="1" x14ac:dyDescent="0.25">
      <c r="B26" s="192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549"/>
      <c r="N26" s="436"/>
      <c r="O26" s="7"/>
      <c r="P26" s="426"/>
    </row>
    <row r="27" spans="2:17" x14ac:dyDescent="0.25">
      <c r="B27" s="192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549"/>
      <c r="N27" s="436"/>
      <c r="O27" s="7"/>
      <c r="P27" s="426"/>
    </row>
    <row r="28" spans="2:17" x14ac:dyDescent="0.25">
      <c r="B28" s="192" t="s">
        <v>9</v>
      </c>
      <c r="C28" s="65">
        <f>SUMIF('Monthly Detail'!$4:$4, '2025 Overview (Budget)'!C$19, 'Monthly Detail'!58:58)</f>
        <v>197.3</v>
      </c>
      <c r="D28" s="68">
        <f>SUMIF('Monthly Detail'!$4:$4, '2025 Overview (Budget)'!D$19, 'Monthly Detail'!58:58)</f>
        <v>202.11</v>
      </c>
      <c r="E28" s="68">
        <f>SUMIF('Monthly Detail'!$4:$4, '2025 Overview (Budget)'!E$19, 'Monthly Detail'!58:58)</f>
        <v>214.54</v>
      </c>
      <c r="F28" s="68">
        <f>SUMIF('Monthly Detail'!$4:$4, '2025 Overview (Budget)'!F$19, 'Monthly Detail'!58:58)</f>
        <v>247.79</v>
      </c>
      <c r="G28" s="68">
        <f>SUMIF('Monthly Detail'!$4:$4, '2025 Overview (Budget)'!G$19, 'Monthly Detail'!58:58)</f>
        <v>240.23</v>
      </c>
      <c r="H28" s="68">
        <f>SUMIF('Monthly Detail'!$4:$4, '2025 Overview (Budget)'!H$19, 'Monthly Detail'!58:58)</f>
        <v>182.1</v>
      </c>
      <c r="I28" s="68">
        <f>SUMIF('Monthly Detail'!$4:$4, '2025 Overview (Budget)'!I$19, 'Monthly Detail'!58:58)</f>
        <v>216.6</v>
      </c>
      <c r="J28" s="68">
        <f>SUMIF('Monthly Detail'!$4:$4, '2025 Overview (Budget)'!J$19, 'Monthly Detail'!58:58)</f>
        <v>205.55</v>
      </c>
      <c r="K28" s="68">
        <f>SUMIF('Monthly Detail'!$4:$4, '2025 Overview (Budget)'!K$19, 'Monthly Detail'!58:58)</f>
        <v>222.12</v>
      </c>
      <c r="L28" s="68">
        <f>SUMIF('Monthly Detail'!$4:$4, '2025 Overview (Budget)'!L$19, 'Monthly Detail'!58:58)</f>
        <v>282</v>
      </c>
      <c r="M28" s="549">
        <f>SUMIF('Monthly Detail'!$4:$4, '2025 Overview (Budget)'!M$19, 'Monthly Detail'!58:58)</f>
        <v>248.07</v>
      </c>
      <c r="N28" s="436">
        <f>+'2025 AOP'!N28</f>
        <v>253.81677915816229</v>
      </c>
      <c r="O28" s="7"/>
      <c r="P28" s="426">
        <f>+SUM(C28:N28)</f>
        <v>2712.2267791581621</v>
      </c>
    </row>
    <row r="29" spans="2:17" x14ac:dyDescent="0.25">
      <c r="B29" s="192" t="s">
        <v>8</v>
      </c>
      <c r="C29" s="65">
        <f>SUMIF('Monthly Detail'!$4:$4, '2025 Overview (Budget)'!C$19, 'Monthly Detail'!59:59)</f>
        <v>249.98</v>
      </c>
      <c r="D29" s="68">
        <f>SUMIF('Monthly Detail'!$4:$4, '2025 Overview (Budget)'!D$19, 'Monthly Detail'!59:59)</f>
        <v>497.5</v>
      </c>
      <c r="E29" s="68">
        <f>SUMIF('Monthly Detail'!$4:$4, '2025 Overview (Budget)'!E$19, 'Monthly Detail'!59:59)</f>
        <v>810.15</v>
      </c>
      <c r="F29" s="68">
        <f>SUMIF('Monthly Detail'!$4:$4, '2025 Overview (Budget)'!F$19, 'Monthly Detail'!59:59)</f>
        <v>352.78</v>
      </c>
      <c r="G29" s="68">
        <f>SUMIF('Monthly Detail'!$4:$4, '2025 Overview (Budget)'!G$19, 'Monthly Detail'!59:59)</f>
        <v>754.25</v>
      </c>
      <c r="H29" s="68">
        <f>SUMIF('Monthly Detail'!$4:$4, '2025 Overview (Budget)'!H$19, 'Monthly Detail'!59:59)</f>
        <v>503.73</v>
      </c>
      <c r="I29" s="68">
        <f>SUMIF('Monthly Detail'!$4:$4, '2025 Overview (Budget)'!I$19, 'Monthly Detail'!59:59)</f>
        <v>588.11</v>
      </c>
      <c r="J29" s="68">
        <f>SUMIF('Monthly Detail'!$4:$4, '2025 Overview (Budget)'!J$19, 'Monthly Detail'!59:59)</f>
        <v>768.16</v>
      </c>
      <c r="K29" s="68">
        <f>SUMIF('Monthly Detail'!$4:$4, '2025 Overview (Budget)'!K$19, 'Monthly Detail'!59:59)</f>
        <v>893.43</v>
      </c>
      <c r="L29" s="68">
        <f>SUMIF('Monthly Detail'!$4:$4, '2025 Overview (Budget)'!L$19, 'Monthly Detail'!59:59)</f>
        <v>578.51</v>
      </c>
      <c r="M29" s="549">
        <f>SUMIF('Monthly Detail'!$4:$4, '2025 Overview (Budget)'!M$19, 'Monthly Detail'!59:59)</f>
        <v>528.58000000000004</v>
      </c>
      <c r="N29" s="436">
        <f>+'2025 AOP'!N29</f>
        <v>288.99181642748118</v>
      </c>
      <c r="O29" s="7"/>
      <c r="P29" s="426">
        <f>+SUM(C29:N29)</f>
        <v>6814.1718164274816</v>
      </c>
    </row>
    <row r="30" spans="2:17" x14ac:dyDescent="0.25">
      <c r="B30" s="192" t="s">
        <v>10</v>
      </c>
      <c r="C30" s="65">
        <f>SUMIF('Monthly Detail'!$4:$4, '2025 Overview (Budget)'!C$19, 'Monthly Detail'!60:60)</f>
        <v>50</v>
      </c>
      <c r="D30" s="68">
        <f>SUMIF('Monthly Detail'!$4:$4, '2025 Overview (Budget)'!D$19, 'Monthly Detail'!60:60)</f>
        <v>45</v>
      </c>
      <c r="E30" s="68">
        <f>SUMIF('Monthly Detail'!$4:$4, '2025 Overview (Budget)'!E$19, 'Monthly Detail'!60:60)</f>
        <v>0</v>
      </c>
      <c r="F30" s="68">
        <f>SUMIF('Monthly Detail'!$4:$4, '2025 Overview (Budget)'!F$19, 'Monthly Detail'!60:60)</f>
        <v>0</v>
      </c>
      <c r="G30" s="68">
        <f>SUMIF('Monthly Detail'!$4:$4, '2025 Overview (Budget)'!G$19, 'Monthly Detail'!60:60)</f>
        <v>629</v>
      </c>
      <c r="H30" s="68">
        <f>SUMIF('Monthly Detail'!$4:$4, '2025 Overview (Budget)'!H$19, 'Monthly Detail'!60:60)</f>
        <v>0</v>
      </c>
      <c r="I30" s="68">
        <f>SUMIF('Monthly Detail'!$4:$4, '2025 Overview (Budget)'!I$19, 'Monthly Detail'!60:60)</f>
        <v>0</v>
      </c>
      <c r="J30" s="68">
        <f>SUMIF('Monthly Detail'!$4:$4, '2025 Overview (Budget)'!J$19, 'Monthly Detail'!60:60)</f>
        <v>0</v>
      </c>
      <c r="K30" s="68">
        <f>SUMIF('Monthly Detail'!$4:$4, '2025 Overview (Budget)'!K$19, 'Monthly Detail'!60:60)</f>
        <v>30</v>
      </c>
      <c r="L30" s="68">
        <f>SUMIF('Monthly Detail'!$4:$4, '2025 Overview (Budget)'!L$19, 'Monthly Detail'!60:60)</f>
        <v>0</v>
      </c>
      <c r="M30" s="549">
        <f>SUMIF('Monthly Detail'!$4:$4, '2025 Overview (Budget)'!M$19, 'Monthly Detail'!60:60)</f>
        <v>0</v>
      </c>
      <c r="N30" s="436">
        <f>+'2025 AOP'!N30</f>
        <v>680.08064033071855</v>
      </c>
      <c r="O30" s="7"/>
      <c r="P30" s="426">
        <f>+SUM(C30:N30)</f>
        <v>1434.0806403307186</v>
      </c>
    </row>
    <row r="31" spans="2:17" ht="15.75" customHeight="1" x14ac:dyDescent="0.25">
      <c r="B31" s="201" t="s">
        <v>11</v>
      </c>
      <c r="C31" s="80">
        <f t="shared" ref="C31:N31" si="1">SUM(C28:C30)</f>
        <v>497.28</v>
      </c>
      <c r="D31" s="80">
        <f t="shared" si="1"/>
        <v>744.61</v>
      </c>
      <c r="E31" s="80">
        <f t="shared" si="1"/>
        <v>1024.69</v>
      </c>
      <c r="F31" s="80">
        <f t="shared" si="1"/>
        <v>600.56999999999994</v>
      </c>
      <c r="G31" s="80">
        <f t="shared" si="1"/>
        <v>1623.48</v>
      </c>
      <c r="H31" s="80">
        <f t="shared" si="1"/>
        <v>685.83</v>
      </c>
      <c r="I31" s="80">
        <f t="shared" si="1"/>
        <v>804.71</v>
      </c>
      <c r="J31" s="80">
        <f t="shared" si="1"/>
        <v>973.71</v>
      </c>
      <c r="K31" s="80">
        <f t="shared" si="1"/>
        <v>1145.55</v>
      </c>
      <c r="L31" s="80">
        <f t="shared" si="1"/>
        <v>860.51</v>
      </c>
      <c r="M31" s="550">
        <f t="shared" si="1"/>
        <v>776.65000000000009</v>
      </c>
      <c r="N31" s="296">
        <f t="shared" si="1"/>
        <v>1222.8892359163619</v>
      </c>
      <c r="P31" s="427">
        <f>SUM(P28:P30)</f>
        <v>10960.479235916362</v>
      </c>
    </row>
    <row r="32" spans="2:17" ht="5.65" customHeight="1" x14ac:dyDescent="0.25">
      <c r="B32" s="192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549"/>
      <c r="N32" s="436"/>
      <c r="O32" s="7"/>
      <c r="P32" s="426"/>
    </row>
    <row r="33" spans="2:20" ht="15.75" customHeight="1" x14ac:dyDescent="0.25">
      <c r="B33" s="201" t="s">
        <v>12</v>
      </c>
      <c r="C33" s="80">
        <f t="shared" ref="C33:N33" si="2">+C22-C31</f>
        <v>6223.77</v>
      </c>
      <c r="D33" s="80">
        <f t="shared" si="2"/>
        <v>5756.5300000000007</v>
      </c>
      <c r="E33" s="80">
        <f t="shared" si="2"/>
        <v>6083.8099999999995</v>
      </c>
      <c r="F33" s="80">
        <f t="shared" si="2"/>
        <v>7261.18</v>
      </c>
      <c r="G33" s="80">
        <f t="shared" si="2"/>
        <v>6254.1399999999994</v>
      </c>
      <c r="H33" s="80">
        <f t="shared" si="2"/>
        <v>6201.62</v>
      </c>
      <c r="I33" s="80">
        <f t="shared" si="2"/>
        <v>6613.84</v>
      </c>
      <c r="J33" s="80">
        <f t="shared" si="2"/>
        <v>6679.64</v>
      </c>
      <c r="K33" s="80">
        <f t="shared" si="2"/>
        <v>5024.8999999999996</v>
      </c>
      <c r="L33" s="80">
        <f t="shared" si="2"/>
        <v>6137.74</v>
      </c>
      <c r="M33" s="550">
        <f t="shared" ref="M33" si="3">+M22-M31</f>
        <v>4486.3500000000004</v>
      </c>
      <c r="N33" s="296">
        <f t="shared" si="2"/>
        <v>7348.2780269397153</v>
      </c>
      <c r="P33" s="427">
        <f>+SUM(C33:N33)</f>
        <v>74071.798026939723</v>
      </c>
    </row>
    <row r="34" spans="2:20" x14ac:dyDescent="0.25">
      <c r="B34" s="203" t="s">
        <v>13</v>
      </c>
      <c r="C34" s="82">
        <f t="shared" ref="C34:N34" si="4">IFERROR(C33/C22, 0)</f>
        <v>0.92601156069364166</v>
      </c>
      <c r="D34" s="82">
        <f t="shared" si="4"/>
        <v>0.88546470311360781</v>
      </c>
      <c r="E34" s="82">
        <f t="shared" si="4"/>
        <v>0.85585003868608001</v>
      </c>
      <c r="F34" s="82">
        <f t="shared" si="4"/>
        <v>0.92360861131427485</v>
      </c>
      <c r="G34" s="82">
        <f t="shared" si="4"/>
        <v>0.79391237454967356</v>
      </c>
      <c r="H34" s="82">
        <f t="shared" si="4"/>
        <v>0.9004232335624941</v>
      </c>
      <c r="I34" s="82">
        <f t="shared" si="4"/>
        <v>0.8915273200288466</v>
      </c>
      <c r="J34" s="82">
        <f t="shared" si="4"/>
        <v>0.87277336068519018</v>
      </c>
      <c r="K34" s="82">
        <f t="shared" si="4"/>
        <v>0.81434903451125928</v>
      </c>
      <c r="L34" s="82">
        <f t="shared" si="4"/>
        <v>0.87703925981495368</v>
      </c>
      <c r="M34" s="551">
        <f t="shared" si="4"/>
        <v>0.85243207296218892</v>
      </c>
      <c r="N34" s="298">
        <f t="shared" si="4"/>
        <v>0.85732523956032658</v>
      </c>
      <c r="P34" s="428">
        <f>P33/P22</f>
        <v>0.87110213216994337</v>
      </c>
      <c r="T34" s="1"/>
    </row>
    <row r="35" spans="2:20" ht="3" customHeight="1" x14ac:dyDescent="0.25">
      <c r="B35" s="192"/>
      <c r="M35" s="552"/>
      <c r="N35" s="227"/>
      <c r="O35" s="72"/>
      <c r="P35" s="421"/>
    </row>
    <row r="36" spans="2:20" x14ac:dyDescent="0.25">
      <c r="B36" s="192" t="s">
        <v>14</v>
      </c>
      <c r="C36" s="65">
        <f>SUMIF('Monthly Detail'!$4:$4, '2025 Overview (Budget)'!C$19, 'Monthly Detail'!$89:$89)</f>
        <v>2161.9</v>
      </c>
      <c r="D36" s="65">
        <f>SUMIF('Monthly Detail'!$4:$4, '2025 Overview (Budget)'!D$19, 'Monthly Detail'!$89:$89)</f>
        <v>3618.1099999999997</v>
      </c>
      <c r="E36" s="65">
        <f>SUMIF('Monthly Detail'!$4:$4, '2025 Overview (Budget)'!E$19, 'Monthly Detail'!$89:$89)</f>
        <v>3644.83</v>
      </c>
      <c r="F36" s="65">
        <f>SUMIF('Monthly Detail'!$4:$4, '2025 Overview (Budget)'!F$19, 'Monthly Detail'!$89:$89)</f>
        <v>5164.1999999999989</v>
      </c>
      <c r="G36" s="65">
        <f>SUMIF('Monthly Detail'!$4:$4, '2025 Overview (Budget)'!G$19, 'Monthly Detail'!$89:$89)</f>
        <v>3990.04</v>
      </c>
      <c r="H36" s="65">
        <f>SUMIF('Monthly Detail'!$4:$4, '2025 Overview (Budget)'!H$19, 'Monthly Detail'!$89:$89)</f>
        <v>3355.51</v>
      </c>
      <c r="I36" s="65">
        <f>SUMIF('Monthly Detail'!$4:$4, '2025 Overview (Budget)'!I$19, 'Monthly Detail'!$89:$89)</f>
        <v>3680.41</v>
      </c>
      <c r="J36" s="65">
        <f>SUMIF('Monthly Detail'!$4:$4, '2025 Overview (Budget)'!J$19, 'Monthly Detail'!$89:$89)</f>
        <v>3609.2599999999998</v>
      </c>
      <c r="K36" s="65">
        <f>SUMIF('Monthly Detail'!$4:$4, '2025 Overview (Budget)'!K$19, 'Monthly Detail'!$89:$89)</f>
        <v>3143.7799999999997</v>
      </c>
      <c r="L36" s="65">
        <f>SUMIF('Monthly Detail'!$4:$4, '2025 Overview'!L$19, 'Monthly Detail'!$89:$89)+SUMIF('Monthly Detail'!$4:$4, '2025 Overview'!L$19, 'Monthly Detail'!$90:$90)</f>
        <v>3847.73</v>
      </c>
      <c r="M36" s="545">
        <f>SUMIF('Monthly Detail'!$4:$4, '2025 Overview'!M$19, 'Monthly Detail'!$89:$89)+SUMIF('Monthly Detail'!$4:$4, '2025 Overview'!M$19, 'Monthly Detail'!$90:$90)</f>
        <v>3504.0299999999997</v>
      </c>
      <c r="N36" s="434">
        <f>+'2025 AOP'!N36</f>
        <v>6297.7866666666669</v>
      </c>
      <c r="P36" s="422">
        <f>SUM(C36:O36)</f>
        <v>46017.586666666662</v>
      </c>
    </row>
    <row r="37" spans="2:20" ht="15.75" customHeight="1" x14ac:dyDescent="0.25">
      <c r="B37" s="205" t="s">
        <v>25</v>
      </c>
      <c r="C37" s="71">
        <f t="shared" ref="C37:N37" si="5">SUM(C36:C36)</f>
        <v>2161.9</v>
      </c>
      <c r="D37" s="71">
        <f t="shared" si="5"/>
        <v>3618.1099999999997</v>
      </c>
      <c r="E37" s="71">
        <f t="shared" si="5"/>
        <v>3644.83</v>
      </c>
      <c r="F37" s="71">
        <f t="shared" si="5"/>
        <v>5164.1999999999989</v>
      </c>
      <c r="G37" s="71">
        <f t="shared" si="5"/>
        <v>3990.04</v>
      </c>
      <c r="H37" s="71">
        <f t="shared" si="5"/>
        <v>3355.51</v>
      </c>
      <c r="I37" s="71">
        <f t="shared" si="5"/>
        <v>3680.41</v>
      </c>
      <c r="J37" s="71">
        <f t="shared" si="5"/>
        <v>3609.2599999999998</v>
      </c>
      <c r="K37" s="71">
        <f t="shared" si="5"/>
        <v>3143.7799999999997</v>
      </c>
      <c r="L37" s="71">
        <f t="shared" si="5"/>
        <v>3847.73</v>
      </c>
      <c r="M37" s="553">
        <f t="shared" si="5"/>
        <v>3504.0299999999997</v>
      </c>
      <c r="N37" s="302">
        <f t="shared" si="5"/>
        <v>6297.7866666666669</v>
      </c>
      <c r="O37" s="69"/>
      <c r="P37" s="429">
        <f>SUM(P36:P36)</f>
        <v>46017.586666666662</v>
      </c>
    </row>
    <row r="38" spans="2:20" ht="4.9000000000000004" customHeight="1" x14ac:dyDescent="0.25">
      <c r="B38" s="192"/>
      <c r="M38" s="552"/>
      <c r="N38" s="227"/>
      <c r="O38" s="7"/>
      <c r="P38" s="421"/>
    </row>
    <row r="39" spans="2:20" ht="15.75" customHeight="1" x14ac:dyDescent="0.25">
      <c r="B39" s="201" t="s">
        <v>16</v>
      </c>
      <c r="C39" s="80">
        <f t="shared" ref="C39:N39" si="6">C33-C37</f>
        <v>4061.8700000000003</v>
      </c>
      <c r="D39" s="80">
        <f t="shared" si="6"/>
        <v>2138.420000000001</v>
      </c>
      <c r="E39" s="80">
        <f t="shared" si="6"/>
        <v>2438.9799999999996</v>
      </c>
      <c r="F39" s="80">
        <f t="shared" si="6"/>
        <v>2096.9800000000014</v>
      </c>
      <c r="G39" s="80">
        <f t="shared" si="6"/>
        <v>2264.0999999999995</v>
      </c>
      <c r="H39" s="80">
        <f t="shared" si="6"/>
        <v>2846.1099999999997</v>
      </c>
      <c r="I39" s="80">
        <f t="shared" si="6"/>
        <v>2933.4300000000003</v>
      </c>
      <c r="J39" s="80">
        <f t="shared" si="6"/>
        <v>3070.3800000000006</v>
      </c>
      <c r="K39" s="80">
        <f t="shared" si="6"/>
        <v>1881.12</v>
      </c>
      <c r="L39" s="80">
        <f t="shared" si="6"/>
        <v>2290.0099999999998</v>
      </c>
      <c r="M39" s="550">
        <f t="shared" ref="M39" si="7">M33-M37</f>
        <v>982.32000000000062</v>
      </c>
      <c r="N39" s="296">
        <f t="shared" si="6"/>
        <v>1050.4913602730485</v>
      </c>
      <c r="P39" s="427">
        <f>P33-P37</f>
        <v>28054.211360273061</v>
      </c>
    </row>
    <row r="40" spans="2:20" x14ac:dyDescent="0.25">
      <c r="B40" s="203" t="s">
        <v>17</v>
      </c>
      <c r="C40" s="82">
        <f t="shared" ref="C40:N40" si="8">IFERROR(C39/C22, 0)</f>
        <v>0.60435051070889223</v>
      </c>
      <c r="D40" s="82">
        <f t="shared" si="8"/>
        <v>0.32893000304561981</v>
      </c>
      <c r="E40" s="82">
        <f t="shared" si="8"/>
        <v>0.34310754730252507</v>
      </c>
      <c r="F40" s="82">
        <f t="shared" si="8"/>
        <v>0.26673196171335917</v>
      </c>
      <c r="G40" s="82">
        <f t="shared" si="8"/>
        <v>0.28740914133964313</v>
      </c>
      <c r="H40" s="82">
        <f t="shared" si="8"/>
        <v>0.41323131202404367</v>
      </c>
      <c r="I40" s="82">
        <f t="shared" si="8"/>
        <v>0.39541824210930709</v>
      </c>
      <c r="J40" s="82">
        <f t="shared" si="8"/>
        <v>0.40118118209672893</v>
      </c>
      <c r="K40" s="82">
        <f t="shared" si="8"/>
        <v>0.30485945109351831</v>
      </c>
      <c r="L40" s="82">
        <f t="shared" si="8"/>
        <v>0.327226092237345</v>
      </c>
      <c r="M40" s="551">
        <f t="shared" si="8"/>
        <v>0.18664639939198188</v>
      </c>
      <c r="N40" s="298">
        <f t="shared" si="8"/>
        <v>0.12256106176173309</v>
      </c>
      <c r="O40" s="119"/>
      <c r="P40" s="428">
        <f>P39/P22</f>
        <v>0.32992426244860479</v>
      </c>
    </row>
    <row r="41" spans="2:20" ht="5.65" customHeight="1" x14ac:dyDescent="0.25">
      <c r="B41" s="206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554"/>
      <c r="N41" s="437"/>
      <c r="O41" s="69"/>
      <c r="P41" s="430"/>
    </row>
    <row r="42" spans="2:20" x14ac:dyDescent="0.25">
      <c r="B42" s="192" t="s">
        <v>18</v>
      </c>
      <c r="C42" s="119">
        <f>SUMIF('Monthly Detail'!$4:$4, '2025 Overview (Budget)'!C$19, 'Monthly Detail'!95:95)</f>
        <v>0</v>
      </c>
      <c r="D42" s="119">
        <f>SUMIF('Monthly Detail'!$4:$4, '2025 Overview (Budget)'!D$19, 'Monthly Detail'!95:95)</f>
        <v>0</v>
      </c>
      <c r="E42" s="119">
        <f>SUMIF('Monthly Detail'!$4:$4, '2025 Overview (Budget)'!E$19, 'Monthly Detail'!95:95)</f>
        <v>2.35</v>
      </c>
      <c r="F42" s="119">
        <f>SUMIF('Monthly Detail'!$4:$4, '2025 Overview (Budget)'!F$19, 'Monthly Detail'!95:95)</f>
        <v>3.21</v>
      </c>
      <c r="G42" s="119">
        <f>SUMIF('Monthly Detail'!$4:$4, '2025 Overview (Budget)'!G$19, 'Monthly Detail'!95:95)</f>
        <v>4.3</v>
      </c>
      <c r="H42" s="119">
        <f>SUMIF('Monthly Detail'!$4:$4, '2025 Overview (Budget)'!H$19, 'Monthly Detail'!95:95)</f>
        <v>3.94</v>
      </c>
      <c r="I42" s="119">
        <f>SUMIF('Monthly Detail'!$4:$4, '2025 Overview (Budget)'!I$19, 'Monthly Detail'!95:95)</f>
        <v>4.21</v>
      </c>
      <c r="J42" s="119">
        <f>SUMIF('Monthly Detail'!$4:$4, '2025 Overview (Budget)'!J$19, 'Monthly Detail'!95:95)</f>
        <v>3.44</v>
      </c>
      <c r="K42" s="119">
        <f>SUMIF('Monthly Detail'!$4:$4, '2025 Overview (Budget)'!K$19, 'Monthly Detail'!95:95)</f>
        <v>2.61</v>
      </c>
      <c r="L42" s="119">
        <f>SUMIF('Monthly Detail'!$4:$4, '2025 Overview (Budget)'!L$19, 'Monthly Detail'!95:95)</f>
        <v>1.78</v>
      </c>
      <c r="M42" s="555">
        <f>SUMIF('Monthly Detail'!$4:$4, '2025 Overview (Budget)'!M$19, 'Monthly Detail'!95:95)</f>
        <v>1.62</v>
      </c>
      <c r="N42" s="438">
        <f>SUMIF('Monthly Detail'!$4:$4, '2025 Overview (Budget)'!N$19, 'Monthly Detail'!130:130)</f>
        <v>0</v>
      </c>
      <c r="O42" s="7"/>
      <c r="P42" s="431">
        <f>SUM(C42:O42)</f>
        <v>27.46</v>
      </c>
    </row>
    <row r="43" spans="2:20" ht="15.75" customHeight="1" x14ac:dyDescent="0.25">
      <c r="B43" s="201" t="s">
        <v>19</v>
      </c>
      <c r="C43" s="80">
        <f t="shared" ref="C43:N43" si="9">C39+SUM(C42:C42)</f>
        <v>4061.8700000000003</v>
      </c>
      <c r="D43" s="80">
        <f t="shared" si="9"/>
        <v>2138.420000000001</v>
      </c>
      <c r="E43" s="80">
        <f t="shared" si="9"/>
        <v>2441.3299999999995</v>
      </c>
      <c r="F43" s="80">
        <f t="shared" si="9"/>
        <v>2100.1900000000014</v>
      </c>
      <c r="G43" s="80">
        <f t="shared" si="9"/>
        <v>2268.3999999999996</v>
      </c>
      <c r="H43" s="80">
        <f t="shared" si="9"/>
        <v>2850.0499999999997</v>
      </c>
      <c r="I43" s="80">
        <f t="shared" si="9"/>
        <v>2937.6400000000003</v>
      </c>
      <c r="J43" s="80">
        <f t="shared" si="9"/>
        <v>3073.8200000000006</v>
      </c>
      <c r="K43" s="80">
        <f t="shared" si="9"/>
        <v>1883.7299999999998</v>
      </c>
      <c r="L43" s="80">
        <f t="shared" si="9"/>
        <v>2291.79</v>
      </c>
      <c r="M43" s="550">
        <f t="shared" si="9"/>
        <v>983.94000000000062</v>
      </c>
      <c r="N43" s="296">
        <f t="shared" si="9"/>
        <v>1050.4913602730485</v>
      </c>
      <c r="P43" s="427">
        <f>P39+SUM(P42:P42)</f>
        <v>28081.67136027306</v>
      </c>
    </row>
    <row r="44" spans="2:20" x14ac:dyDescent="0.25">
      <c r="B44" s="203" t="s">
        <v>20</v>
      </c>
      <c r="C44" s="82">
        <f t="shared" ref="C44:N44" si="10">IFERROR(C43/C22, 0)</f>
        <v>0.60435051070889223</v>
      </c>
      <c r="D44" s="82">
        <f t="shared" si="10"/>
        <v>0.32893000304561981</v>
      </c>
      <c r="E44" s="82">
        <f t="shared" si="10"/>
        <v>0.34343813744109158</v>
      </c>
      <c r="F44" s="82">
        <f t="shared" si="10"/>
        <v>0.26714026775209099</v>
      </c>
      <c r="G44" s="82">
        <f t="shared" si="10"/>
        <v>0.28795499148219889</v>
      </c>
      <c r="H44" s="82">
        <f t="shared" si="10"/>
        <v>0.41380336699358977</v>
      </c>
      <c r="I44" s="82">
        <f t="shared" si="10"/>
        <v>0.39598573845293222</v>
      </c>
      <c r="J44" s="82">
        <f t="shared" si="10"/>
        <v>0.40163065846982049</v>
      </c>
      <c r="K44" s="82">
        <f t="shared" si="10"/>
        <v>0.30528243483052286</v>
      </c>
      <c r="L44" s="82">
        <f t="shared" si="10"/>
        <v>0.32748044153895617</v>
      </c>
      <c r="M44" s="551">
        <f t="shared" si="10"/>
        <v>0.18695420862625892</v>
      </c>
      <c r="N44" s="298">
        <f t="shared" si="10"/>
        <v>0.12256106176173309</v>
      </c>
      <c r="P44" s="432">
        <f>P43/P22</f>
        <v>0.33024719864276453</v>
      </c>
    </row>
    <row r="45" spans="2:20" ht="6" customHeight="1" thickBot="1" x14ac:dyDescent="0.3">
      <c r="B45" s="192"/>
      <c r="L45" s="552"/>
      <c r="P45" s="89"/>
    </row>
    <row r="46" spans="2:20" ht="15.75" customHeight="1" thickBot="1" x14ac:dyDescent="0.3">
      <c r="B46" s="208" t="s">
        <v>41</v>
      </c>
      <c r="C46" s="540">
        <f>SUMIF('Monthly Detail'!$4:$4, '2025 Overview (Budget)'!C$19, 'Monthly Detail'!112:112)</f>
        <v>1326.2080000000001</v>
      </c>
      <c r="D46" s="540">
        <f>SUMIF('Monthly Detail'!$4:$4, '2025 Overview (Budget)'!D$19, 'Monthly Detail'!112:112)</f>
        <v>1606.7285000000002</v>
      </c>
      <c r="E46" s="540">
        <f>SUMIF('Monthly Detail'!$4:$4, '2025 Overview (Budget)'!E$19, 'Monthly Detail'!112:112)</f>
        <v>2203.0059999999999</v>
      </c>
      <c r="F46" s="540">
        <f>SUMIF('Monthly Detail'!$4:$4, '2025 Overview (Budget)'!F$19, 'Monthly Detail'!112:112)</f>
        <v>2800.3690000000001</v>
      </c>
      <c r="G46" s="540">
        <f>SUMIF('Monthly Detail'!$4:$4, '2025 Overview (Budget)'!G$19, 'Monthly Detail'!112:112)</f>
        <v>4253.5610000000006</v>
      </c>
      <c r="H46" s="540">
        <f>SUMIF('Monthly Detail'!$4:$4, '2025 Overview (Budget)'!H$19, 'Monthly Detail'!112:112)</f>
        <v>4362.1695000000009</v>
      </c>
      <c r="I46" s="540">
        <f>SUMIF('Monthly Detail'!$4:$4, '2025 Overview (Budget)'!I$19, 'Monthly Detail'!112:112)</f>
        <v>4312.2560000000003</v>
      </c>
      <c r="J46" s="540">
        <f>SUMIF('Monthly Detail'!$4:$4, '2025 Overview (Budget)'!J$19, 'Monthly Detail'!112:112)</f>
        <v>4650.8085000000001</v>
      </c>
      <c r="K46" s="540">
        <f>SUMIF('Monthly Detail'!$4:$4, '2025 Overview (Budget)'!K$19, 'Monthly Detail'!112:112)</f>
        <v>4164.9724999999999</v>
      </c>
      <c r="L46" s="556">
        <f>SUMIF('Monthly Detail'!$4:$4, '2025 Overview (Budget)'!L$19, 'Monthly Detail'!112:112)</f>
        <v>3819.1530000000002</v>
      </c>
      <c r="M46" s="209">
        <f>SUMIF('Monthly Detail'!$4:$4, '2025 Overview (Budget)'!M$19, 'Monthly Detail'!112:112)</f>
        <v>3478.683</v>
      </c>
      <c r="N46" s="211">
        <f>+'2025 AOP'!N46</f>
        <v>1694.350690855048</v>
      </c>
      <c r="P46" s="89"/>
    </row>
    <row r="47" spans="2:20" ht="15.75" customHeight="1" thickBot="1" x14ac:dyDescent="0.3">
      <c r="B47" s="398" t="s">
        <v>42</v>
      </c>
      <c r="C47" s="541">
        <f>SUMIF('Monthly Detail'!$4:$4, '2025 Overview (Budget)'!C$19, 'Monthly Detail'!106:106)</f>
        <v>45.02</v>
      </c>
      <c r="D47" s="541">
        <f>SUMIF('Monthly Detail'!$4:$4, '2025 Overview (Budget)'!D$19, 'Monthly Detail'!106:106)</f>
        <v>68.56</v>
      </c>
      <c r="E47" s="541">
        <f>SUMIF('Monthly Detail'!$4:$4, '2025 Overview (Budget)'!E$19, 'Monthly Detail'!106:106)</f>
        <v>0.03</v>
      </c>
      <c r="F47" s="541">
        <f>SUMIF('Monthly Detail'!$4:$4, '2025 Overview (Budget)'!F$19, 'Monthly Detail'!106:106)</f>
        <v>9.57</v>
      </c>
      <c r="G47" s="541">
        <f>SUMIF('Monthly Detail'!$4:$4, '2025 Overview (Budget)'!G$19, 'Monthly Detail'!106:106)</f>
        <v>150.5</v>
      </c>
      <c r="H47" s="541">
        <f>SUMIF('Monthly Detail'!$4:$4, '2025 Overview (Budget)'!H$19, 'Monthly Detail'!106:106)</f>
        <v>17.12</v>
      </c>
      <c r="I47" s="541">
        <f>SUMIF('Monthly Detail'!$4:$4, '2025 Overview (Budget)'!I$19, 'Monthly Detail'!106:106)</f>
        <v>50.77</v>
      </c>
      <c r="J47" s="541">
        <f>SUMIF('Monthly Detail'!$4:$4, '2025 Overview (Budget)'!J$19, 'Monthly Detail'!106:106)</f>
        <v>0.77</v>
      </c>
      <c r="K47" s="541">
        <f>SUMIF('Monthly Detail'!$4:$4, '2025 Overview (Budget)'!K$19, 'Monthly Detail'!106:106)</f>
        <v>37.46</v>
      </c>
      <c r="L47" s="557">
        <f>SUMIF('Monthly Detail'!$4:$4, '2025 Overview (Budget)'!L$19, 'Monthly Detail'!106:106)</f>
        <v>15.87</v>
      </c>
      <c r="M47" s="400">
        <f>SUMIF('Monthly Detail'!$4:$4, '2025 Overview (Budget)'!M$19, 'Monthly Detail'!106:106)</f>
        <v>0.77</v>
      </c>
      <c r="N47" s="401">
        <f>+'2025 AOP'!N47</f>
        <v>28.95</v>
      </c>
      <c r="P47" s="89"/>
    </row>
    <row r="48" spans="2:20" ht="15.75" customHeight="1" thickBot="1" x14ac:dyDescent="0.3">
      <c r="B48" s="212" t="s">
        <v>43</v>
      </c>
      <c r="C48" s="542">
        <f>SUMIF('Monthly Detail'!$4:$4, '2025 Overview (Budget)'!C$19, 'Monthly Detail'!173:173)</f>
        <v>2040.3199999999972</v>
      </c>
      <c r="D48" s="542">
        <f>SUMIF('Monthly Detail'!$4:$4, '2025 Overview (Budget)'!D$19, 'Monthly Detail'!173:173)</f>
        <v>2471.8900000000021</v>
      </c>
      <c r="E48" s="542">
        <f>SUMIF('Monthly Detail'!$4:$4, '2025 Overview (Budget)'!E$19, 'Monthly Detail'!173:173)</f>
        <v>3389.2400000000007</v>
      </c>
      <c r="F48" s="542">
        <f>SUMIF('Monthly Detail'!$4:$4, '2025 Overview (Budget)'!F$19, 'Monthly Detail'!173:173)</f>
        <v>4308.260000000002</v>
      </c>
      <c r="G48" s="542">
        <f>SUMIF('Monthly Detail'!$4:$4, '2025 Overview (Budget)'!G$19, 'Monthly Detail'!173:173)</f>
        <v>6543.9400000000005</v>
      </c>
      <c r="H48" s="542">
        <f>SUMIF('Monthly Detail'!$4:$4, '2025 Overview (Budget)'!H$19, 'Monthly Detail'!173:173)</f>
        <v>6711.0300000000025</v>
      </c>
      <c r="I48" s="542">
        <f>SUMIF('Monthly Detail'!$4:$4, '2025 Overview (Budget)'!I$19, 'Monthly Detail'!173:173)</f>
        <v>6634.2400000000007</v>
      </c>
      <c r="J48" s="542">
        <f>SUMIF('Monthly Detail'!$4:$4, '2025 Overview (Budget)'!J$19, 'Monthly Detail'!173:173)</f>
        <v>7155.09</v>
      </c>
      <c r="K48" s="542">
        <f>SUMIF('Monthly Detail'!$4:$4, '2025 Overview (Budget)'!K$19, 'Monthly Detail'!173:173)</f>
        <v>6407.6500000000042</v>
      </c>
      <c r="L48" s="558">
        <f>SUMIF('Monthly Detail'!$4:$4, '2025 Overview (Budget)'!L$19, 'Monthly Detail'!173:173)</f>
        <v>5875.6200000000063</v>
      </c>
      <c r="M48" s="396">
        <f>SUMIF('Monthly Detail'!$4:$4, '2025 Overview (Budget)'!M$19, 'Monthly Detail'!173:173)</f>
        <v>5351.82</v>
      </c>
      <c r="N48" s="397">
        <f>+'2025 AOP'!N48</f>
        <v>2606.6933705462288</v>
      </c>
      <c r="P48" s="89"/>
    </row>
    <row r="49" spans="2:16" ht="15.75" customHeight="1" thickBot="1" x14ac:dyDescent="0.3">
      <c r="B49" s="77" t="s">
        <v>44</v>
      </c>
      <c r="C49" s="78">
        <f>SUMIF('Monthly Detail'!$4:$4, '2025 Overview (Budget)'!C$19, 'Monthly Detail'!170:170)</f>
        <v>614.3199999999988</v>
      </c>
      <c r="D49" s="150">
        <f>SUMIF('Monthly Detail'!$4:$4, '2025 Overview (Budget)'!D$19, 'Monthly Detail'!170:170)</f>
        <v>431.57000000000471</v>
      </c>
      <c r="E49" s="150">
        <f>SUMIF('Monthly Detail'!$4:$4, '2025 Overview (Budget)'!E$19, 'Monthly Detail'!170:170)</f>
        <v>917.34999999999854</v>
      </c>
      <c r="F49" s="150">
        <f>SUMIF('Monthly Detail'!$4:$4, '2025 Overview (Budget)'!F$19, 'Monthly Detail'!170:170)</f>
        <v>919.02000000000089</v>
      </c>
      <c r="G49" s="150">
        <f>SUMIF('Monthly Detail'!$4:$4, '2025 Overview (Budget)'!G$19, 'Monthly Detail'!170:170)</f>
        <v>2235.6799999999985</v>
      </c>
      <c r="H49" s="150">
        <f>SUMIF('Monthly Detail'!$4:$4, '2025 Overview (Budget)'!H$19, 'Monthly Detail'!170:170)</f>
        <v>167.09000000000196</v>
      </c>
      <c r="I49" s="150">
        <f>SUMIF('Monthly Detail'!$4:$4, '2025 Overview (Budget)'!I$19, 'Monthly Detail'!170:170)</f>
        <v>-76.790000000001783</v>
      </c>
      <c r="J49" s="150">
        <f>SUMIF('Monthly Detail'!$4:$4, '2025 Overview (Budget)'!J$19, 'Monthly Detail'!170:170)</f>
        <v>520.84999999999945</v>
      </c>
      <c r="K49" s="150">
        <f>SUMIF('Monthly Detail'!$4:$4, '2025 Overview (Budget)'!K$19, 'Monthly Detail'!170:170)</f>
        <v>-747.43999999999596</v>
      </c>
      <c r="L49" s="150">
        <f>SUMIF('Monthly Detail'!$4:$4, '2025 Overview (Budget)'!L$19, 'Monthly Detail'!170:170)</f>
        <v>-532.02999999999793</v>
      </c>
      <c r="M49" s="78">
        <f>SUMIF('Monthly Detail'!$4:$4, '2025 Overview (Budget)'!M$19, 'Monthly Detail'!170:170)</f>
        <v>-523.80000000000609</v>
      </c>
      <c r="N49" s="78">
        <f>+'2025 AOP'!N49</f>
        <v>-500.5538862677231</v>
      </c>
      <c r="P49" s="89"/>
    </row>
    <row r="50" spans="2:16" ht="15.75" customHeight="1" thickBot="1" x14ac:dyDescent="0.3">
      <c r="B50" s="213" t="s">
        <v>45</v>
      </c>
      <c r="C50" s="214">
        <f>-SUMIF('Monthly Detail'!$4:$4, '2025 Overview (Budget)'!C$19, 'Monthly Detail'!89:89)</f>
        <v>-2161.9</v>
      </c>
      <c r="D50" s="215">
        <f>-SUMIF('Monthly Detail'!$4:$4, '2025 Overview (Budget)'!D$19, 'Monthly Detail'!89:89)</f>
        <v>-3618.1099999999997</v>
      </c>
      <c r="E50" s="215">
        <f>-SUMIF('Monthly Detail'!$4:$4, '2025 Overview (Budget)'!E$19, 'Monthly Detail'!89:89)</f>
        <v>-3644.83</v>
      </c>
      <c r="F50" s="215">
        <f>-SUMIF('Monthly Detail'!$4:$4, '2025 Overview (Budget)'!F$19, 'Monthly Detail'!89:89)</f>
        <v>-5164.1999999999989</v>
      </c>
      <c r="G50" s="215">
        <f>-SUMIF('Monthly Detail'!$4:$4, '2025 Overview (Budget)'!G$19, 'Monthly Detail'!89:89)</f>
        <v>-3990.04</v>
      </c>
      <c r="H50" s="215">
        <f>-SUMIF('Monthly Detail'!$4:$4, '2025 Overview (Budget)'!H$19, 'Monthly Detail'!89:89)</f>
        <v>-3355.51</v>
      </c>
      <c r="I50" s="215">
        <f>-SUMIF('Monthly Detail'!$4:$4, '2025 Overview (Budget)'!I$19, 'Monthly Detail'!89:89)</f>
        <v>-3680.41</v>
      </c>
      <c r="J50" s="215">
        <f>-SUMIF('Monthly Detail'!$4:$4, '2025 Overview (Budget)'!J$19, 'Monthly Detail'!89:89)</f>
        <v>-3609.2599999999998</v>
      </c>
      <c r="K50" s="215">
        <f>-SUMIF('Monthly Detail'!$4:$4, '2025 Overview (Budget)'!K$19, 'Monthly Detail'!89:89)</f>
        <v>-3143.7799999999997</v>
      </c>
      <c r="L50" s="215">
        <f>-SUMIF('Monthly Detail'!$4:$4, '2025 Overview (Budget)'!L$19, 'Monthly Detail'!89:89)</f>
        <v>-3831.6</v>
      </c>
      <c r="M50" s="215">
        <f>-SUMIF('Monthly Detail'!$4:$4, '2025 Overview (Budget)'!M$19, 'Monthly Detail'!89:89)</f>
        <v>-3504.0299999999997</v>
      </c>
      <c r="N50" s="215">
        <f>+'2025 AOP'!N50</f>
        <v>6297.7866666666669</v>
      </c>
      <c r="P50" s="89"/>
    </row>
    <row r="51" spans="2:16" ht="15.75" customHeight="1" thickBot="1" x14ac:dyDescent="0.3">
      <c r="B51" s="213" t="s">
        <v>46</v>
      </c>
      <c r="C51" s="214">
        <f>SUMIF('Monthly Detail'!$4:$4, '2025 Overview (Budget)'!C$19, 'Monthly Detail'!154:154)</f>
        <v>-3116.5800000000017</v>
      </c>
      <c r="D51" s="215">
        <f>SUMIF('Monthly Detail'!$4:$4, '2025 Overview (Budget)'!D$19, 'Monthly Detail'!154:154)</f>
        <v>-1624.4799999999959</v>
      </c>
      <c r="E51" s="215">
        <f>SUMIF('Monthly Detail'!$4:$4, '2025 Overview (Budget)'!E$19, 'Monthly Detail'!154:154)</f>
        <v>-1433.7200000000012</v>
      </c>
      <c r="F51" s="215">
        <f>SUMIF('Monthly Detail'!$4:$4, '2025 Overview (Budget)'!F$19, 'Monthly Detail'!154:154)</f>
        <v>-1790.1100000000006</v>
      </c>
      <c r="G51" s="215">
        <f>SUMIF('Monthly Detail'!$4:$4, '2025 Overview (Budget)'!G$19, 'Monthly Detail'!154:154)</f>
        <v>-774.65000000000146</v>
      </c>
      <c r="H51" s="215">
        <f>SUMIF('Monthly Detail'!$4:$4, '2025 Overview (Budget)'!H$19, 'Monthly Detail'!154:154)</f>
        <v>-2413.3099999999977</v>
      </c>
      <c r="I51" s="215">
        <f>SUMIF('Monthly Detail'!$4:$4, '2025 Overview (Budget)'!I$19, 'Monthly Detail'!154:154)</f>
        <v>-3588.010000000002</v>
      </c>
      <c r="J51" s="215">
        <f>SUMIF('Monthly Detail'!$4:$4, '2025 Overview (Budget)'!J$19, 'Monthly Detail'!154:154)</f>
        <v>-2335.2200000000012</v>
      </c>
      <c r="K51" s="215">
        <f>SUMIF('Monthly Detail'!$4:$4, '2025 Overview (Budget)'!K$19, 'Monthly Detail'!154:154)</f>
        <v>-4057.9099999999962</v>
      </c>
      <c r="L51" s="215">
        <f>SUMIF('Monthly Detail'!$4:$4, '2025 Overview (Budget)'!L$19, 'Monthly Detail'!154:154)</f>
        <v>-2563.5599999999977</v>
      </c>
      <c r="M51" s="215">
        <f>SUMIF('Monthly Detail'!$4:$4, '2025 Overview (Budget)'!M$19, 'Monthly Detail'!154:154)</f>
        <v>-1648.7100000000064</v>
      </c>
      <c r="N51" s="215">
        <f>+'2025 AOP'!N51</f>
        <v>-1500</v>
      </c>
      <c r="P51" s="89"/>
    </row>
    <row r="52" spans="2:16" ht="15.75" customHeight="1" thickBot="1" x14ac:dyDescent="0.3">
      <c r="B52" s="213" t="s">
        <v>47</v>
      </c>
      <c r="C52" s="78">
        <f>+C46-SUM('Monthly Detail'!AC89:AN89)-SUM('Monthly Detail'!AC61:AN61)</f>
        <v>-32667.032000000007</v>
      </c>
      <c r="D52" s="150">
        <f>+D46-SUM('Monthly Detail'!AD89:AO89)-SUM('Monthly Detail'!AD61:AO61)</f>
        <v>-35245.301500000009</v>
      </c>
      <c r="E52" s="150">
        <f>+E46-SUM('Monthly Detail'!AE89:AP89)-SUM('Monthly Detail'!AE61:AP61)</f>
        <v>-37994.724000000002</v>
      </c>
      <c r="F52" s="150">
        <f>+F46-SUM('Monthly Detail'!AF89:AQ89)-SUM('Monthly Detail'!AF61:AQ61)</f>
        <v>-41616.71100000001</v>
      </c>
      <c r="G52" s="150">
        <f>+G46-SUM('Monthly Detail'!AG89:AR89)-SUM('Monthly Detail'!AG61:AR61)</f>
        <v>-41691.298999999992</v>
      </c>
      <c r="H52" s="150">
        <f>+H46-SUM('Monthly Detail'!AH89:AS89)-SUM('Monthly Detail'!AH61:AS61)</f>
        <v>-42111.730500000005</v>
      </c>
      <c r="I52" s="150">
        <f>+I46-SUM('Monthly Detail'!AI89:AT89)-SUM('Monthly Detail'!AI61:AT61)</f>
        <v>-44079.774000000005</v>
      </c>
      <c r="J52" s="150">
        <f>+J46-SUM('Monthly Detail'!AJ89:AU89)-SUM('Monthly Detail'!AJ61:AU61)</f>
        <v>-44785.641499999998</v>
      </c>
      <c r="K52" s="150">
        <f>+K46-SUM('Monthly Detail'!AK89:AV89)-SUM('Monthly Detail'!AK61:AV61)</f>
        <v>-46961.667499999996</v>
      </c>
      <c r="L52" s="150">
        <f>+L46-SUM('Monthly Detail'!AL89:AW89)-SUM('Monthly Detail'!AL61:AW61)</f>
        <v>-48526.276999999995</v>
      </c>
      <c r="M52" s="78">
        <f>+M46-SUM('Monthly Detail'!AM89:AX89)-SUM('Monthly Detail'!AM61:AX61)</f>
        <v>-49486.636999999995</v>
      </c>
      <c r="N52" s="78">
        <f>+'2025 AOP'!N52</f>
        <v>-83134.824797219306</v>
      </c>
      <c r="P52" s="89"/>
    </row>
    <row r="53" spans="2:16" ht="15.75" customHeight="1" thickBot="1" x14ac:dyDescent="0.3">
      <c r="B53" s="213" t="s">
        <v>48</v>
      </c>
      <c r="C53" s="216">
        <f>+C48-SUM('Monthly Detail'!AC89:AN89)-SUM('Monthly Detail'!AC61:AN61)</f>
        <v>-31952.920000000013</v>
      </c>
      <c r="D53" s="216">
        <f>+D48-SUM('Monthly Detail'!AD89:AO89)-SUM('Monthly Detail'!AD61:AO61)</f>
        <v>-34380.140000000007</v>
      </c>
      <c r="E53" s="216">
        <f>+E48-SUM('Monthly Detail'!AE89:AP89)-SUM('Monthly Detail'!AE61:AP61)</f>
        <v>-36808.490000000005</v>
      </c>
      <c r="F53" s="216">
        <f>+F48-SUM('Monthly Detail'!AF89:AQ89)-SUM('Monthly Detail'!AF61:AQ61)</f>
        <v>-40108.820000000007</v>
      </c>
      <c r="G53" s="216">
        <f>+G48-SUM('Monthly Detail'!AG89:AR89)-SUM('Monthly Detail'!AG61:AR61)</f>
        <v>-39400.919999999991</v>
      </c>
      <c r="H53" s="216">
        <f>+H48-SUM('Monthly Detail'!AH89:AS89)-SUM('Monthly Detail'!AH61:AS61)</f>
        <v>-39762.869999999995</v>
      </c>
      <c r="I53" s="216">
        <f>+I48-SUM('Monthly Detail'!AI89:AT89)-SUM('Monthly Detail'!AI61:AT61)</f>
        <v>-41757.79</v>
      </c>
      <c r="J53" s="216">
        <f>+J48-SUM('Monthly Detail'!AJ89:AU89)-SUM('Monthly Detail'!AJ61:AU61)</f>
        <v>-42281.36</v>
      </c>
      <c r="K53" s="216">
        <f>+K48-SUM('Monthly Detail'!AK89:AV89)-SUM('Monthly Detail'!AK61:AV61)</f>
        <v>-44718.989999999991</v>
      </c>
      <c r="L53" s="216">
        <f>+L48-SUM('Monthly Detail'!AL89:AW89)-SUM('Monthly Detail'!AL61:AW61)</f>
        <v>-46469.809999999983</v>
      </c>
      <c r="M53" s="216">
        <f>+M48-SUM('Monthly Detail'!AM89:AX89)-SUM('Monthly Detail'!AM61:AX61)</f>
        <v>-47613.499999999993</v>
      </c>
      <c r="N53" s="216">
        <f>+'2025 AOP'!N53</f>
        <v>-82222.482117528125</v>
      </c>
      <c r="P53" s="89"/>
    </row>
    <row r="54" spans="2:16" ht="15.75" customHeight="1" thickBot="1" x14ac:dyDescent="0.3">
      <c r="B54" s="213" t="s">
        <v>49</v>
      </c>
      <c r="C54" s="217">
        <f t="shared" ref="C54:L54" si="11">+C46/-C50</f>
        <v>0.61344558027660856</v>
      </c>
      <c r="D54" s="218">
        <f t="shared" si="11"/>
        <v>0.44407950559822679</v>
      </c>
      <c r="E54" s="218">
        <f t="shared" si="11"/>
        <v>0.60441941050748593</v>
      </c>
      <c r="F54" s="218">
        <f t="shared" si="11"/>
        <v>0.54226579141009268</v>
      </c>
      <c r="G54" s="218">
        <f t="shared" si="11"/>
        <v>1.0660447013062528</v>
      </c>
      <c r="H54" s="218">
        <f t="shared" si="11"/>
        <v>1.3000019371123914</v>
      </c>
      <c r="I54" s="218">
        <f t="shared" si="11"/>
        <v>1.1716781554229014</v>
      </c>
      <c r="J54" s="218">
        <f t="shared" si="11"/>
        <v>1.2885767442633671</v>
      </c>
      <c r="K54" s="218">
        <f t="shared" si="11"/>
        <v>1.3248295046091012</v>
      </c>
      <c r="L54" s="218">
        <f t="shared" si="11"/>
        <v>0.99675148762918897</v>
      </c>
      <c r="M54" s="218">
        <f t="shared" ref="M54" si="12">+M46/-M50</f>
        <v>0.99276632905540196</v>
      </c>
      <c r="N54" s="218">
        <f>-'2025 AOP'!N54</f>
        <v>0.2690390736515445</v>
      </c>
      <c r="P54" s="89"/>
    </row>
    <row r="55" spans="2:16" x14ac:dyDescent="0.25">
      <c r="B55" s="213" t="s">
        <v>50</v>
      </c>
      <c r="C55" s="217">
        <f t="shared" ref="C55:L55" si="13">+IFERROR(C48/-C51, 0)</f>
        <v>0.6546663329675465</v>
      </c>
      <c r="D55" s="218">
        <f t="shared" si="13"/>
        <v>1.521650004924658</v>
      </c>
      <c r="E55" s="218">
        <f t="shared" si="13"/>
        <v>2.3639483302178932</v>
      </c>
      <c r="F55" s="218">
        <f t="shared" si="13"/>
        <v>2.4067012641681242</v>
      </c>
      <c r="G55" s="218">
        <f t="shared" si="13"/>
        <v>8.4476085974310831</v>
      </c>
      <c r="H55" s="218">
        <f t="shared" si="13"/>
        <v>2.7808404224902765</v>
      </c>
      <c r="I55" s="218">
        <f t="shared" si="13"/>
        <v>1.8490026504942843</v>
      </c>
      <c r="J55" s="218">
        <f t="shared" si="13"/>
        <v>3.0639896883377142</v>
      </c>
      <c r="K55" s="218">
        <f t="shared" si="13"/>
        <v>1.5790517778856628</v>
      </c>
      <c r="L55" s="218">
        <f t="shared" si="13"/>
        <v>2.2919767822871364</v>
      </c>
      <c r="M55" s="218">
        <f t="shared" ref="M55" si="14">+IFERROR(M48/-M51, 0)</f>
        <v>3.2460651054460632</v>
      </c>
      <c r="N55" s="218">
        <f>+'2025 AOP'!N55</f>
        <v>1.737795580364152</v>
      </c>
      <c r="P55" s="89"/>
    </row>
    <row r="56" spans="2:16" x14ac:dyDescent="0.25">
      <c r="B56" s="88"/>
      <c r="E56" s="9"/>
      <c r="P56" s="89"/>
    </row>
    <row r="57" spans="2:16" x14ac:dyDescent="0.25">
      <c r="B57" s="88"/>
      <c r="P57" s="89"/>
    </row>
    <row r="58" spans="2:16" x14ac:dyDescent="0.25">
      <c r="B58" s="88"/>
      <c r="P58" s="89"/>
    </row>
    <row r="59" spans="2:16" x14ac:dyDescent="0.25">
      <c r="B59" s="88"/>
      <c r="P59" s="89"/>
    </row>
    <row r="60" spans="2:16" x14ac:dyDescent="0.25">
      <c r="B60" s="88"/>
      <c r="P60" s="89"/>
    </row>
    <row r="61" spans="2:16" x14ac:dyDescent="0.25">
      <c r="B61" s="88"/>
      <c r="P61" s="89"/>
    </row>
    <row r="62" spans="2:16" x14ac:dyDescent="0.25">
      <c r="B62" s="88"/>
      <c r="P62" s="89"/>
    </row>
    <row r="63" spans="2:16" x14ac:dyDescent="0.25">
      <c r="B63" s="88"/>
      <c r="P63" s="89"/>
    </row>
    <row r="64" spans="2:16" x14ac:dyDescent="0.25">
      <c r="B64" s="88"/>
      <c r="P64" s="89"/>
    </row>
    <row r="65" spans="2:16" x14ac:dyDescent="0.25">
      <c r="B65" s="88"/>
      <c r="P65" s="89"/>
    </row>
    <row r="66" spans="2:16" x14ac:dyDescent="0.25">
      <c r="B66" s="88"/>
      <c r="P66" s="89"/>
    </row>
    <row r="67" spans="2:16" x14ac:dyDescent="0.25">
      <c r="B67" s="88"/>
      <c r="P67" s="89"/>
    </row>
    <row r="68" spans="2:16" x14ac:dyDescent="0.25">
      <c r="B68" s="88"/>
      <c r="P68" s="89"/>
    </row>
    <row r="69" spans="2:16" x14ac:dyDescent="0.25">
      <c r="B69" s="88"/>
      <c r="P69" s="89"/>
    </row>
    <row r="70" spans="2:16" x14ac:dyDescent="0.25">
      <c r="B70" s="88"/>
      <c r="P70" s="89"/>
    </row>
    <row r="71" spans="2:16" ht="15.75" customHeight="1" thickBot="1" x14ac:dyDescent="0.3">
      <c r="B71" s="88"/>
      <c r="O71" s="100"/>
      <c r="P71" s="89"/>
    </row>
    <row r="72" spans="2:16" x14ac:dyDescent="0.25">
      <c r="B72" s="88"/>
      <c r="P72" s="89"/>
    </row>
    <row r="73" spans="2:16" ht="198.4" customHeight="1" thickBot="1" x14ac:dyDescent="0.3">
      <c r="B73" s="98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1"/>
    </row>
  </sheetData>
  <mergeCells count="1">
    <mergeCell ref="B15:P17"/>
  </mergeCells>
  <conditionalFormatting sqref="C51:N51">
    <cfRule type="cellIs" dxfId="4" priority="1" operator="greaterThan">
      <formula>0</formula>
    </cfRule>
  </conditionalFormatting>
  <pageMargins left="0.25" right="0.25" top="0.75" bottom="0.75" header="0.3" footer="0.3"/>
  <pageSetup scale="42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pageSetUpPr fitToPage="1"/>
  </sheetPr>
  <dimension ref="B14:T73"/>
  <sheetViews>
    <sheetView showGridLines="0" topLeftCell="A15" zoomScale="60" zoomScaleNormal="70" workbookViewId="0">
      <selection activeCell="B15" sqref="B15:P73"/>
    </sheetView>
  </sheetViews>
  <sheetFormatPr defaultColWidth="8.7109375" defaultRowHeight="15" x14ac:dyDescent="0.25"/>
  <cols>
    <col min="2" max="2" width="48.28515625" bestFit="1" customWidth="1"/>
    <col min="3" max="12" width="16.7109375" bestFit="1" customWidth="1"/>
    <col min="13" max="13" width="17.85546875" bestFit="1" customWidth="1"/>
    <col min="14" max="14" width="18.42578125" bestFit="1" customWidth="1"/>
    <col min="15" max="15" width="0.28515625" customWidth="1"/>
    <col min="16" max="16" width="17.28515625" bestFit="1" customWidth="1"/>
  </cols>
  <sheetData>
    <row r="14" spans="2:16" ht="15.75" customHeight="1" thickBot="1" x14ac:dyDescent="0.3"/>
    <row r="15" spans="2:16" ht="15" customHeight="1" x14ac:dyDescent="0.25">
      <c r="B15" s="636" t="s">
        <v>51</v>
      </c>
      <c r="C15" s="637"/>
      <c r="D15" s="637"/>
      <c r="E15" s="637"/>
      <c r="F15" s="637"/>
      <c r="G15" s="637"/>
      <c r="H15" s="637"/>
      <c r="I15" s="637"/>
      <c r="J15" s="637"/>
      <c r="K15" s="637"/>
      <c r="L15" s="637"/>
      <c r="M15" s="637"/>
      <c r="N15" s="637"/>
      <c r="O15" s="637"/>
      <c r="P15" s="638"/>
    </row>
    <row r="16" spans="2:16" ht="15" customHeight="1" x14ac:dyDescent="0.25">
      <c r="B16" s="639"/>
      <c r="C16" s="640"/>
      <c r="D16" s="640"/>
      <c r="E16" s="640"/>
      <c r="F16" s="640"/>
      <c r="G16" s="640"/>
      <c r="H16" s="640"/>
      <c r="I16" s="640"/>
      <c r="J16" s="640"/>
      <c r="K16" s="640"/>
      <c r="L16" s="640"/>
      <c r="M16" s="640"/>
      <c r="N16" s="640"/>
      <c r="O16" s="640"/>
      <c r="P16" s="641"/>
    </row>
    <row r="17" spans="2:17" x14ac:dyDescent="0.25">
      <c r="B17" s="639"/>
      <c r="C17" s="640"/>
      <c r="D17" s="640"/>
      <c r="E17" s="640"/>
      <c r="F17" s="640"/>
      <c r="G17" s="640"/>
      <c r="H17" s="640"/>
      <c r="I17" s="640"/>
      <c r="J17" s="640"/>
      <c r="K17" s="640"/>
      <c r="L17" s="640"/>
      <c r="M17" s="640"/>
      <c r="N17" s="640"/>
      <c r="O17" s="640"/>
      <c r="P17" s="641"/>
    </row>
    <row r="18" spans="2:17" ht="15.75" customHeight="1" x14ac:dyDescent="0.25">
      <c r="B18" s="191"/>
      <c r="C18" s="61" t="s">
        <v>29</v>
      </c>
      <c r="D18" s="61" t="s">
        <v>30</v>
      </c>
      <c r="E18" s="61" t="s">
        <v>31</v>
      </c>
      <c r="F18" s="61" t="s">
        <v>32</v>
      </c>
      <c r="G18" s="61" t="s">
        <v>33</v>
      </c>
      <c r="H18" s="61" t="s">
        <v>34</v>
      </c>
      <c r="I18" s="61" t="s">
        <v>35</v>
      </c>
      <c r="J18" s="61" t="s">
        <v>36</v>
      </c>
      <c r="K18" s="61" t="s">
        <v>37</v>
      </c>
      <c r="L18" s="61" t="s">
        <v>38</v>
      </c>
      <c r="M18" s="543" t="s">
        <v>39</v>
      </c>
      <c r="N18" s="433" t="s">
        <v>40</v>
      </c>
      <c r="O18" s="62"/>
      <c r="P18" s="420" t="s">
        <v>23</v>
      </c>
    </row>
    <row r="19" spans="2:17" x14ac:dyDescent="0.25">
      <c r="B19" s="192"/>
      <c r="C19" s="83">
        <v>45688</v>
      </c>
      <c r="D19" s="83">
        <v>45716</v>
      </c>
      <c r="E19" s="83">
        <v>45747</v>
      </c>
      <c r="F19" s="83">
        <v>45777</v>
      </c>
      <c r="G19" s="83">
        <v>45808</v>
      </c>
      <c r="H19" s="83">
        <v>45838</v>
      </c>
      <c r="I19" s="83">
        <v>45869</v>
      </c>
      <c r="J19" s="83">
        <v>45900</v>
      </c>
      <c r="K19" s="83">
        <v>45930</v>
      </c>
      <c r="L19" s="83">
        <v>45961</v>
      </c>
      <c r="M19" s="544">
        <v>45991</v>
      </c>
      <c r="N19" s="363">
        <v>46022</v>
      </c>
      <c r="O19" s="83">
        <v>45322</v>
      </c>
      <c r="P19" s="421"/>
    </row>
    <row r="20" spans="2:17" x14ac:dyDescent="0.25">
      <c r="B20" s="193" t="s">
        <v>0</v>
      </c>
      <c r="C20" s="65">
        <f>SUMIF('Monthly Detail'!$4:$4, '2025 Overview'!C$19, 'Monthly Detail'!13:13)</f>
        <v>6721.05</v>
      </c>
      <c r="D20" s="65">
        <f>SUMIF('Monthly Detail'!$4:$4, '2025 Overview'!D$19, 'Monthly Detail'!13:13)</f>
        <v>6501.14</v>
      </c>
      <c r="E20" s="65">
        <f>SUMIF('Monthly Detail'!$4:$4, '2025 Overview'!E$19, 'Monthly Detail'!13:13)</f>
        <v>7108.5</v>
      </c>
      <c r="F20" s="65">
        <f>SUMIF('Monthly Detail'!$4:$4, '2025 Overview'!F$19, 'Monthly Detail'!13:13)</f>
        <v>7861.75</v>
      </c>
      <c r="G20" s="65">
        <f>SUMIF('Monthly Detail'!$4:$4, '2025 Overview'!G$19, 'Monthly Detail'!13:13)</f>
        <v>7877.62</v>
      </c>
      <c r="H20" s="65">
        <f>SUMIF('Monthly Detail'!$4:$4, '2025 Overview'!H$19, 'Monthly Detail'!13:13)</f>
        <v>6887.45</v>
      </c>
      <c r="I20" s="65">
        <f>SUMIF('Monthly Detail'!$4:$4, '2025 Overview'!I$19, 'Monthly Detail'!13:13)</f>
        <v>7418.55</v>
      </c>
      <c r="J20" s="65">
        <f>SUMIF('Monthly Detail'!$4:$4, '2025 Overview'!J$19, 'Monthly Detail'!13:13)</f>
        <v>7653.35</v>
      </c>
      <c r="K20" s="65">
        <f>SUMIF('Monthly Detail'!$4:$4, '2025 Overview'!K$19, 'Monthly Detail'!13:13)</f>
        <v>6170.45</v>
      </c>
      <c r="L20" s="65">
        <f>SUMIF('Monthly Detail'!$4:$4, '2025 Overview'!L$19, 'Monthly Detail'!13:13)</f>
        <v>6998.25</v>
      </c>
      <c r="M20" s="545">
        <f>SUMIF('Monthly Detail'!$4:$4, '2025 Overview'!M$19, 'Monthly Detail'!13:13)</f>
        <v>5263</v>
      </c>
      <c r="N20" s="434">
        <f>SUMIF('Monthly Detail'!$4:$4, '2025 Overview'!N$19, 'Monthly Detail'!13:13)</f>
        <v>5570.0825118078774</v>
      </c>
      <c r="O20" s="65"/>
      <c r="P20" s="422">
        <f>SUM(C20:O20)</f>
        <v>82031.19251180788</v>
      </c>
    </row>
    <row r="21" spans="2:17" x14ac:dyDescent="0.25">
      <c r="B21" s="193" t="s">
        <v>24</v>
      </c>
      <c r="C21" s="65">
        <f>SUMIF('Monthly Detail'!$4:$4, '2025 Overview'!C$19, 'Monthly Detail'!12:12)</f>
        <v>0</v>
      </c>
      <c r="D21" s="65">
        <f>SUMIF('Monthly Detail'!$4:$4, '2025 Overview'!D$19, 'Monthly Detail'!12:12)</f>
        <v>0</v>
      </c>
      <c r="E21" s="65">
        <f>SUMIF('Monthly Detail'!$4:$4, '2025 Overview'!E$19, 'Monthly Detail'!12:12)</f>
        <v>0</v>
      </c>
      <c r="F21" s="65">
        <f>SUMIF('Monthly Detail'!$4:$4, '2025 Overview'!F$19, 'Monthly Detail'!12:12)</f>
        <v>0</v>
      </c>
      <c r="G21" s="65">
        <f>SUMIF('Monthly Detail'!$4:$4, '2025 Overview'!G$19, 'Monthly Detail'!12:12)</f>
        <v>0</v>
      </c>
      <c r="H21" s="65">
        <f>SUMIF('Monthly Detail'!$4:$4, '2025 Overview'!H$19, 'Monthly Detail'!12:12)</f>
        <v>0</v>
      </c>
      <c r="I21" s="65">
        <f>SUMIF('Monthly Detail'!$4:$4, '2025 Overview'!I$19, 'Monthly Detail'!12:12)</f>
        <v>0</v>
      </c>
      <c r="J21" s="65">
        <f>SUMIF('Monthly Detail'!$4:$4, '2025 Overview'!J$19, 'Monthly Detail'!12:12)</f>
        <v>0</v>
      </c>
      <c r="K21" s="65">
        <f>SUMIF('Monthly Detail'!$4:$4, '2025 Overview'!K$19, 'Monthly Detail'!12:12)</f>
        <v>0</v>
      </c>
      <c r="L21" s="65">
        <f>SUMIF('Monthly Detail'!$4:$4, '2025 Overview'!L$19, 'Monthly Detail'!12:12)</f>
        <v>0</v>
      </c>
      <c r="M21" s="545">
        <f>SUMIF('Monthly Detail'!$4:$4, '2025 Overview'!M$19, 'Monthly Detail'!12:12)</f>
        <v>0</v>
      </c>
      <c r="N21" s="434">
        <f>SUMIF('Monthly Detail'!$4:$4, '2025 Overview'!N$19, 'Monthly Detail'!12:12)</f>
        <v>0</v>
      </c>
      <c r="O21" s="65"/>
      <c r="P21" s="422">
        <f>SUM(C21:O21)</f>
        <v>0</v>
      </c>
    </row>
    <row r="22" spans="2:17" x14ac:dyDescent="0.25">
      <c r="B22" s="194" t="s">
        <v>2</v>
      </c>
      <c r="C22" s="66">
        <f t="shared" ref="C22:N22" si="0">SUM(C20:C21)</f>
        <v>6721.05</v>
      </c>
      <c r="D22" s="66">
        <f t="shared" si="0"/>
        <v>6501.14</v>
      </c>
      <c r="E22" s="66">
        <f t="shared" si="0"/>
        <v>7108.5</v>
      </c>
      <c r="F22" s="66">
        <f t="shared" si="0"/>
        <v>7861.75</v>
      </c>
      <c r="G22" s="66">
        <f t="shared" si="0"/>
        <v>7877.62</v>
      </c>
      <c r="H22" s="66">
        <f t="shared" si="0"/>
        <v>6887.45</v>
      </c>
      <c r="I22" s="66">
        <f t="shared" si="0"/>
        <v>7418.55</v>
      </c>
      <c r="J22" s="66">
        <f t="shared" si="0"/>
        <v>7653.35</v>
      </c>
      <c r="K22" s="66">
        <f t="shared" si="0"/>
        <v>6170.45</v>
      </c>
      <c r="L22" s="66">
        <f t="shared" si="0"/>
        <v>6998.25</v>
      </c>
      <c r="M22" s="546">
        <f t="shared" si="0"/>
        <v>5263</v>
      </c>
      <c r="N22" s="291">
        <f t="shared" si="0"/>
        <v>5570.0825118078774</v>
      </c>
      <c r="O22" s="67"/>
      <c r="P22" s="423">
        <f>SUM(P20:P20)</f>
        <v>82031.19251180788</v>
      </c>
    </row>
    <row r="23" spans="2:17" x14ac:dyDescent="0.25">
      <c r="B23" s="195" t="s">
        <v>3</v>
      </c>
      <c r="C23" s="196">
        <f>SUMIF('Monthly Detail'!$4:$4, '2025 Overview'!C$19, 'Monthly Detail'!15:15)</f>
        <v>66</v>
      </c>
      <c r="D23" s="196">
        <f>SUMIF('Monthly Detail'!$4:$4, '2025 Overview'!D$19, 'Monthly Detail'!15:15)</f>
        <v>69</v>
      </c>
      <c r="E23" s="196">
        <f>SUMIF('Monthly Detail'!$4:$4, '2025 Overview'!E$19, 'Monthly Detail'!15:15)</f>
        <v>68</v>
      </c>
      <c r="F23" s="196">
        <f>SUMIF('Monthly Detail'!$4:$4, '2025 Overview'!F$19, 'Monthly Detail'!15:15)</f>
        <v>82</v>
      </c>
      <c r="G23" s="196">
        <f>SUMIF('Monthly Detail'!$4:$4, '2025 Overview'!G$19, 'Monthly Detail'!15:15)</f>
        <v>83</v>
      </c>
      <c r="H23" s="196">
        <f>SUMIF('Monthly Detail'!$4:$4, '2025 Overview'!H$19, 'Monthly Detail'!15:15)</f>
        <v>72</v>
      </c>
      <c r="I23" s="196">
        <f>SUMIF('Monthly Detail'!$4:$4, '2025 Overview'!I$19, 'Monthly Detail'!15:15)</f>
        <v>76</v>
      </c>
      <c r="J23" s="196">
        <f>SUMIF('Monthly Detail'!$4:$4, '2025 Overview'!J$19, 'Monthly Detail'!15:15)</f>
        <v>73</v>
      </c>
      <c r="K23" s="196">
        <f>SUMIF('Monthly Detail'!$4:$4, '2025 Overview'!K$19, 'Monthly Detail'!15:15)</f>
        <v>62</v>
      </c>
      <c r="L23" s="196">
        <f>SUMIF('Monthly Detail'!$4:$4, '2025 Overview'!L$19, 'Monthly Detail'!15:15)</f>
        <v>72</v>
      </c>
      <c r="M23" s="547">
        <f>SUMIF('Monthly Detail'!$4:$4, '2025 Overview'!M$19, 'Monthly Detail'!15:15)</f>
        <v>57</v>
      </c>
      <c r="N23" s="394">
        <f>SUMIF('Monthly Detail'!$4:$4, '2025 Overview'!N$19, 'Monthly Detail'!15:15)</f>
        <v>43.837905710301541</v>
      </c>
      <c r="O23" s="67"/>
      <c r="P23" s="424">
        <f>+SUM(C23:N23)</f>
        <v>823.83790571030158</v>
      </c>
      <c r="Q23" s="152"/>
    </row>
    <row r="24" spans="2:17" x14ac:dyDescent="0.25">
      <c r="B24" s="197" t="s">
        <v>4</v>
      </c>
      <c r="C24" s="198">
        <f>SUMIF('Monthly Detail'!$4:$4, '2025 Overview'!C$19, 'Monthly Detail'!41:41)</f>
        <v>4460.1049985636309</v>
      </c>
      <c r="D24" s="199">
        <f>SUMIF('Monthly Detail'!$4:$4, '2025 Overview'!D$19, 'Monthly Detail'!41:41)</f>
        <v>4123.6762769319166</v>
      </c>
      <c r="E24" s="199">
        <f>SUMIF('Monthly Detail'!$4:$4, '2025 Overview'!E$19, 'Monthly Detail'!41:41)</f>
        <v>3775.439153439153</v>
      </c>
      <c r="F24" s="199">
        <f>SUMIF('Monthly Detail'!$4:$4, '2025 Overview'!F$19, 'Monthly Detail'!41:41)</f>
        <v>4062.1518588531817</v>
      </c>
      <c r="G24" s="199">
        <f>SUMIF('Monthly Detail'!$4:$4, '2025 Overview'!G$19, 'Monthly Detail'!41:41)</f>
        <v>4083.8286456278765</v>
      </c>
      <c r="H24" s="199">
        <f>SUMIF('Monthly Detail'!$4:$4, '2025 Overview'!H$19, 'Monthly Detail'!41:41)</f>
        <v>4773.196357960458</v>
      </c>
      <c r="I24" s="199">
        <f>SUMIF('Monthly Detail'!$4:$4, '2025 Overview'!I$19, 'Monthly Detail'!41:41)</f>
        <v>4270.3348629984403</v>
      </c>
      <c r="J24" s="199">
        <f>SUMIF('Monthly Detail'!$4:$4, '2025 Overview'!J$19, 'Monthly Detail'!41:41)</f>
        <v>4966.173777777778</v>
      </c>
      <c r="K24" s="199">
        <f>SUMIF('Monthly Detail'!$4:$4, '2025 Overview'!K$19, 'Monthly Detail'!41:41)</f>
        <v>4723.0604938271608</v>
      </c>
      <c r="L24" s="199">
        <f>SUMIF('Monthly Detail'!$4:$4, '2025 Overview'!L$19, 'Monthly Detail'!41:41)</f>
        <v>4942.8781212841859</v>
      </c>
      <c r="M24" s="548">
        <f>SUMIF('Monthly Detail'!$4:$4, '2025 Overview'!M$19, 'Monthly Detail'!41:41)</f>
        <v>3575.4405997693198</v>
      </c>
      <c r="N24" s="435">
        <f>SUMIF('Monthly Detail'!$4:$4, '2025 Overview'!N$19, 'Monthly Detail'!41:41)</f>
        <v>3824.6281880278484</v>
      </c>
      <c r="O24" s="67"/>
      <c r="P24" s="425">
        <f>+AVERAGE(C24:N24)</f>
        <v>4298.409444588412</v>
      </c>
    </row>
    <row r="25" spans="2:17" x14ac:dyDescent="0.25">
      <c r="B25" s="195" t="s">
        <v>5</v>
      </c>
      <c r="C25" s="196">
        <f>SUMIF('Monthly Detail'!$4:$4, '2025 Overview'!C$19, 'Monthly Detail'!17:17)</f>
        <v>35</v>
      </c>
      <c r="D25" s="196">
        <f>SUMIF('Monthly Detail'!$4:$4, '2025 Overview'!D$19, 'Monthly Detail'!17:17)</f>
        <v>32</v>
      </c>
      <c r="E25" s="196">
        <f>SUMIF('Monthly Detail'!$4:$4, '2025 Overview'!E$19, 'Monthly Detail'!17:17)</f>
        <v>31</v>
      </c>
      <c r="F25" s="196">
        <f>SUMIF('Monthly Detail'!$4:$4, '2025 Overview'!F$19, 'Monthly Detail'!17:17)</f>
        <v>30</v>
      </c>
      <c r="G25" s="196">
        <f>SUMIF('Monthly Detail'!$4:$4, '2025 Overview'!G$19, 'Monthly Detail'!17:17)</f>
        <v>38</v>
      </c>
      <c r="H25" s="196">
        <f>SUMIF('Monthly Detail'!$4:$4, '2025 Overview'!H$19, 'Monthly Detail'!17:17)</f>
        <v>37</v>
      </c>
      <c r="I25" s="196">
        <f>SUMIF('Monthly Detail'!$4:$4, '2025 Overview'!I$19, 'Monthly Detail'!17:17)</f>
        <v>34</v>
      </c>
      <c r="J25" s="196">
        <f>SUMIF('Monthly Detail'!$4:$4, '2025 Overview'!J$19, 'Monthly Detail'!17:17)</f>
        <v>32</v>
      </c>
      <c r="K25" s="196">
        <f>SUMIF('Monthly Detail'!$4:$4, '2025 Overview'!K$19, 'Monthly Detail'!17:17)</f>
        <v>36</v>
      </c>
      <c r="L25" s="196">
        <f>SUMIF('Monthly Detail'!$4:$4, '2025 Overview'!L$19, 'Monthly Detail'!17:17)</f>
        <v>33</v>
      </c>
      <c r="M25" s="547">
        <f>SUMIF('Monthly Detail'!$4:$4, '2025 Overview'!M$19, 'Monthly Detail'!17:17)</f>
        <v>31</v>
      </c>
      <c r="N25" s="394">
        <f>SUMIF('Monthly Detail'!$4:$4, '2025 Overview'!N$19, 'Monthly Detail'!17:17)</f>
        <v>23.588767007086076</v>
      </c>
      <c r="P25" s="426"/>
    </row>
    <row r="26" spans="2:17" hidden="1" x14ac:dyDescent="0.25">
      <c r="B26" s="192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549"/>
      <c r="N26" s="436"/>
      <c r="O26" s="7"/>
      <c r="P26" s="426"/>
    </row>
    <row r="27" spans="2:17" x14ac:dyDescent="0.25">
      <c r="B27" s="192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549"/>
      <c r="N27" s="436"/>
      <c r="O27" s="7"/>
      <c r="P27" s="426"/>
    </row>
    <row r="28" spans="2:17" x14ac:dyDescent="0.25">
      <c r="B28" s="192" t="s">
        <v>9</v>
      </c>
      <c r="C28" s="65">
        <f>SUMIF('Monthly Detail'!$4:$4, '2025 Overview'!C$19, 'Monthly Detail'!58:58)</f>
        <v>197.3</v>
      </c>
      <c r="D28" s="68">
        <f>SUMIF('Monthly Detail'!$4:$4, '2025 Overview'!D$19, 'Monthly Detail'!58:58)</f>
        <v>202.11</v>
      </c>
      <c r="E28" s="68">
        <f>SUMIF('Monthly Detail'!$4:$4, '2025 Overview'!E$19, 'Monthly Detail'!58:58)</f>
        <v>214.54</v>
      </c>
      <c r="F28" s="68">
        <f>SUMIF('Monthly Detail'!$4:$4, '2025 Overview'!F$19, 'Monthly Detail'!58:58)</f>
        <v>247.79</v>
      </c>
      <c r="G28" s="68">
        <f>SUMIF('Monthly Detail'!$4:$4, '2025 Overview'!G$19, 'Monthly Detail'!58:58)</f>
        <v>240.23</v>
      </c>
      <c r="H28" s="68">
        <f>SUMIF('Monthly Detail'!$4:$4, '2025 Overview'!H$19, 'Monthly Detail'!58:58)</f>
        <v>182.1</v>
      </c>
      <c r="I28" s="68">
        <f>SUMIF('Monthly Detail'!$4:$4, '2025 Overview'!I$19, 'Monthly Detail'!58:58)</f>
        <v>216.6</v>
      </c>
      <c r="J28" s="68">
        <f>SUMIF('Monthly Detail'!$4:$4, '2025 Overview'!J$19, 'Monthly Detail'!58:58)</f>
        <v>205.55</v>
      </c>
      <c r="K28" s="68">
        <f>SUMIF('Monthly Detail'!$4:$4, '2025 Overview'!K$19, 'Monthly Detail'!58:58)</f>
        <v>222.12</v>
      </c>
      <c r="L28" s="68">
        <f>SUMIF('Monthly Detail'!$4:$4, '2025 Overview'!L$19, 'Monthly Detail'!58:58)</f>
        <v>282</v>
      </c>
      <c r="M28" s="549">
        <f>SUMIF('Monthly Detail'!$4:$4, '2025 Overview'!M$19, 'Monthly Detail'!58:58)</f>
        <v>248.07</v>
      </c>
      <c r="N28" s="436">
        <f>SUMIF('Monthly Detail'!$4:$4, '2025 Overview'!N$19, 'Monthly Detail'!58:58)</f>
        <v>191.16696823100645</v>
      </c>
      <c r="O28" s="7"/>
      <c r="P28" s="426">
        <f>+SUM(C28:N28)</f>
        <v>2649.5769682310065</v>
      </c>
    </row>
    <row r="29" spans="2:17" x14ac:dyDescent="0.25">
      <c r="B29" s="192" t="s">
        <v>8</v>
      </c>
      <c r="C29" s="65">
        <f>SUMIF('Monthly Detail'!$4:$4, '2025 Overview'!C$19, 'Monthly Detail'!59:59)</f>
        <v>249.98</v>
      </c>
      <c r="D29" s="68">
        <f>SUMIF('Monthly Detail'!$4:$4, '2025 Overview'!D$19, 'Monthly Detail'!59:59)</f>
        <v>497.5</v>
      </c>
      <c r="E29" s="68">
        <f>SUMIF('Monthly Detail'!$4:$4, '2025 Overview'!E$19, 'Monthly Detail'!59:59)</f>
        <v>810.15</v>
      </c>
      <c r="F29" s="68">
        <f>SUMIF('Monthly Detail'!$4:$4, '2025 Overview'!F$19, 'Monthly Detail'!59:59)</f>
        <v>352.78</v>
      </c>
      <c r="G29" s="68">
        <f>SUMIF('Monthly Detail'!$4:$4, '2025 Overview'!G$19, 'Monthly Detail'!59:59)</f>
        <v>754.25</v>
      </c>
      <c r="H29" s="68">
        <f>SUMIF('Monthly Detail'!$4:$4, '2025 Overview'!H$19, 'Monthly Detail'!59:59)</f>
        <v>503.73</v>
      </c>
      <c r="I29" s="68">
        <f>SUMIF('Monthly Detail'!$4:$4, '2025 Overview'!I$19, 'Monthly Detail'!59:59)</f>
        <v>588.11</v>
      </c>
      <c r="J29" s="68">
        <f>SUMIF('Monthly Detail'!$4:$4, '2025 Overview'!J$19, 'Monthly Detail'!59:59)</f>
        <v>768.16</v>
      </c>
      <c r="K29" s="68">
        <f>SUMIF('Monthly Detail'!$4:$4, '2025 Overview'!K$19, 'Monthly Detail'!59:59)</f>
        <v>893.43</v>
      </c>
      <c r="L29" s="68">
        <f>SUMIF('Monthly Detail'!$4:$4, '2025 Overview'!L$19, 'Monthly Detail'!59:59)</f>
        <v>578.51</v>
      </c>
      <c r="M29" s="549">
        <f>SUMIF('Monthly Detail'!$4:$4, '2025 Overview'!M$19, 'Monthly Detail'!59:59)</f>
        <v>528.58000000000004</v>
      </c>
      <c r="N29" s="436">
        <f>SUMIF('Monthly Detail'!$4:$4, '2025 Overview'!N$19, 'Monthly Detail'!59:59)</f>
        <v>539.06512710740492</v>
      </c>
      <c r="O29" s="7"/>
      <c r="P29" s="426">
        <f>+SUM(C29:N29)</f>
        <v>7064.2451271074051</v>
      </c>
    </row>
    <row r="30" spans="2:17" x14ac:dyDescent="0.25">
      <c r="B30" s="192" t="s">
        <v>10</v>
      </c>
      <c r="C30" s="65">
        <f>SUMIF('Monthly Detail'!$4:$4, '2025 Overview'!C$19, 'Monthly Detail'!60:60)</f>
        <v>50</v>
      </c>
      <c r="D30" s="68">
        <f>SUMIF('Monthly Detail'!$4:$4, '2025 Overview'!D$19, 'Monthly Detail'!60:60)</f>
        <v>45</v>
      </c>
      <c r="E30" s="68">
        <f>SUMIF('Monthly Detail'!$4:$4, '2025 Overview'!E$19, 'Monthly Detail'!60:60)</f>
        <v>0</v>
      </c>
      <c r="F30" s="68">
        <f>SUMIF('Monthly Detail'!$4:$4, '2025 Overview'!F$19, 'Monthly Detail'!60:60)</f>
        <v>0</v>
      </c>
      <c r="G30" s="68">
        <f>SUMIF('Monthly Detail'!$4:$4, '2025 Overview'!G$19, 'Monthly Detail'!60:60)</f>
        <v>629</v>
      </c>
      <c r="H30" s="68">
        <f>SUMIF('Monthly Detail'!$4:$4, '2025 Overview'!H$19, 'Monthly Detail'!60:60)</f>
        <v>0</v>
      </c>
      <c r="I30" s="68">
        <f>SUMIF('Monthly Detail'!$4:$4, '2025 Overview'!I$19, 'Monthly Detail'!60:60)</f>
        <v>0</v>
      </c>
      <c r="J30" s="68">
        <f>SUMIF('Monthly Detail'!$4:$4, '2025 Overview'!J$19, 'Monthly Detail'!60:60)</f>
        <v>0</v>
      </c>
      <c r="K30" s="68">
        <f>SUMIF('Monthly Detail'!$4:$4, '2025 Overview'!K$19, 'Monthly Detail'!60:60)</f>
        <v>30</v>
      </c>
      <c r="L30" s="68">
        <f>SUMIF('Monthly Detail'!$4:$4, '2025 Overview'!L$19, 'Monthly Detail'!60:60)</f>
        <v>0</v>
      </c>
      <c r="M30" s="549">
        <f>SUMIF('Monthly Detail'!$4:$4, '2025 Overview'!M$19, 'Monthly Detail'!60:60)</f>
        <v>0</v>
      </c>
      <c r="N30" s="436">
        <f>SUMIF('Monthly Detail'!$4:$4, '2025 Overview'!N$19, 'Monthly Detail'!60:60)</f>
        <v>333.46155334820799</v>
      </c>
      <c r="O30" s="7"/>
      <c r="P30" s="426">
        <f>+SUM(C30:N30)</f>
        <v>1087.4615533482079</v>
      </c>
    </row>
    <row r="31" spans="2:17" ht="15.75" customHeight="1" x14ac:dyDescent="0.25">
      <c r="B31" s="201" t="s">
        <v>11</v>
      </c>
      <c r="C31" s="80">
        <f t="shared" ref="C31:N31" si="1">SUM(C28:C30)</f>
        <v>497.28</v>
      </c>
      <c r="D31" s="80">
        <f t="shared" si="1"/>
        <v>744.61</v>
      </c>
      <c r="E31" s="80">
        <f t="shared" si="1"/>
        <v>1024.69</v>
      </c>
      <c r="F31" s="80">
        <f t="shared" si="1"/>
        <v>600.56999999999994</v>
      </c>
      <c r="G31" s="80">
        <f t="shared" si="1"/>
        <v>1623.48</v>
      </c>
      <c r="H31" s="80">
        <f t="shared" si="1"/>
        <v>685.83</v>
      </c>
      <c r="I31" s="80">
        <f t="shared" si="1"/>
        <v>804.71</v>
      </c>
      <c r="J31" s="80">
        <f t="shared" si="1"/>
        <v>973.71</v>
      </c>
      <c r="K31" s="80">
        <f t="shared" si="1"/>
        <v>1145.55</v>
      </c>
      <c r="L31" s="80">
        <f t="shared" si="1"/>
        <v>860.51</v>
      </c>
      <c r="M31" s="550">
        <f t="shared" si="1"/>
        <v>776.65000000000009</v>
      </c>
      <c r="N31" s="296">
        <f t="shared" si="1"/>
        <v>1063.6936486866193</v>
      </c>
      <c r="P31" s="427">
        <f>SUM(P28:P30)</f>
        <v>10801.28364868662</v>
      </c>
    </row>
    <row r="32" spans="2:17" ht="5.65" customHeight="1" x14ac:dyDescent="0.25">
      <c r="B32" s="192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549"/>
      <c r="N32" s="436"/>
      <c r="O32" s="7"/>
      <c r="P32" s="426"/>
    </row>
    <row r="33" spans="2:20" ht="15.75" customHeight="1" x14ac:dyDescent="0.25">
      <c r="B33" s="201" t="s">
        <v>12</v>
      </c>
      <c r="C33" s="80">
        <f t="shared" ref="C33:N33" si="2">+C22-C31</f>
        <v>6223.77</v>
      </c>
      <c r="D33" s="80">
        <f t="shared" si="2"/>
        <v>5756.5300000000007</v>
      </c>
      <c r="E33" s="80">
        <f t="shared" si="2"/>
        <v>6083.8099999999995</v>
      </c>
      <c r="F33" s="80">
        <f t="shared" si="2"/>
        <v>7261.18</v>
      </c>
      <c r="G33" s="80">
        <f t="shared" si="2"/>
        <v>6254.1399999999994</v>
      </c>
      <c r="H33" s="80">
        <f t="shared" si="2"/>
        <v>6201.62</v>
      </c>
      <c r="I33" s="80">
        <f t="shared" si="2"/>
        <v>6613.84</v>
      </c>
      <c r="J33" s="80">
        <f t="shared" si="2"/>
        <v>6679.64</v>
      </c>
      <c r="K33" s="80">
        <f t="shared" si="2"/>
        <v>5024.8999999999996</v>
      </c>
      <c r="L33" s="80">
        <f t="shared" si="2"/>
        <v>6137.74</v>
      </c>
      <c r="M33" s="550">
        <f t="shared" si="2"/>
        <v>4486.3500000000004</v>
      </c>
      <c r="N33" s="296">
        <f t="shared" si="2"/>
        <v>4506.3888631212576</v>
      </c>
      <c r="P33" s="427">
        <f>+SUM(C33:N33)</f>
        <v>71229.908863121265</v>
      </c>
    </row>
    <row r="34" spans="2:20" x14ac:dyDescent="0.25">
      <c r="B34" s="203" t="s">
        <v>13</v>
      </c>
      <c r="C34" s="82">
        <f t="shared" ref="C34:N34" si="3">IFERROR(C33/C22, 0)</f>
        <v>0.92601156069364166</v>
      </c>
      <c r="D34" s="82">
        <f t="shared" si="3"/>
        <v>0.88546470311360781</v>
      </c>
      <c r="E34" s="82">
        <f t="shared" si="3"/>
        <v>0.85585003868608001</v>
      </c>
      <c r="F34" s="82">
        <f t="shared" si="3"/>
        <v>0.92360861131427485</v>
      </c>
      <c r="G34" s="82">
        <f t="shared" si="3"/>
        <v>0.79391237454967356</v>
      </c>
      <c r="H34" s="82">
        <f t="shared" si="3"/>
        <v>0.9004232335624941</v>
      </c>
      <c r="I34" s="82">
        <f t="shared" si="3"/>
        <v>0.8915273200288466</v>
      </c>
      <c r="J34" s="82">
        <f t="shared" si="3"/>
        <v>0.87277336068519018</v>
      </c>
      <c r="K34" s="82">
        <f t="shared" si="3"/>
        <v>0.81434903451125928</v>
      </c>
      <c r="L34" s="82">
        <f t="shared" si="3"/>
        <v>0.87703925981495368</v>
      </c>
      <c r="M34" s="551">
        <f t="shared" si="3"/>
        <v>0.85243207296218892</v>
      </c>
      <c r="N34" s="298">
        <f t="shared" si="3"/>
        <v>0.80903448980661907</v>
      </c>
      <c r="P34" s="428">
        <f>P33/P22</f>
        <v>0.86832711657663841</v>
      </c>
      <c r="T34" s="1"/>
    </row>
    <row r="35" spans="2:20" ht="3" customHeight="1" x14ac:dyDescent="0.25">
      <c r="B35" s="192"/>
      <c r="M35" s="552"/>
      <c r="N35" s="227"/>
      <c r="O35" s="72"/>
      <c r="P35" s="421"/>
    </row>
    <row r="36" spans="2:20" x14ac:dyDescent="0.25">
      <c r="B36" s="192" t="s">
        <v>14</v>
      </c>
      <c r="C36" s="65">
        <f>SUMIF('Monthly Detail'!$4:$4, '2025 Overview'!C$19, 'Monthly Detail'!$89:$89)+SUMIF('Monthly Detail'!$4:$4, '2025 Overview'!C$19, 'Monthly Detail'!$90:$90)</f>
        <v>2161.9</v>
      </c>
      <c r="D36" s="65">
        <f>SUMIF('Monthly Detail'!$4:$4, '2025 Overview'!D$19, 'Monthly Detail'!$89:$89)+SUMIF('Monthly Detail'!$4:$4, '2025 Overview'!D$19, 'Monthly Detail'!$90:$90)</f>
        <v>3618.1099999999997</v>
      </c>
      <c r="E36" s="65">
        <f>SUMIF('Monthly Detail'!$4:$4, '2025 Overview'!E$19, 'Monthly Detail'!$89:$89)+SUMIF('Monthly Detail'!$4:$4, '2025 Overview'!E$19, 'Monthly Detail'!$90:$90)</f>
        <v>3644.83</v>
      </c>
      <c r="F36" s="65">
        <f>SUMIF('Monthly Detail'!$4:$4, '2025 Overview'!F$19, 'Monthly Detail'!$89:$89)+SUMIF('Monthly Detail'!$4:$4, '2025 Overview'!F$19, 'Monthly Detail'!$90:$90)</f>
        <v>5164.1999999999989</v>
      </c>
      <c r="G36" s="65">
        <f>SUMIF('Monthly Detail'!$4:$4, '2025 Overview'!G$19, 'Monthly Detail'!$89:$89)+SUMIF('Monthly Detail'!$4:$4, '2025 Overview'!G$19, 'Monthly Detail'!$90:$90)</f>
        <v>3990.04</v>
      </c>
      <c r="H36" s="65">
        <f>SUMIF('Monthly Detail'!$4:$4, '2025 Overview'!H$19, 'Monthly Detail'!$89:$89)+SUMIF('Monthly Detail'!$4:$4, '2025 Overview'!H$19, 'Monthly Detail'!$90:$90)</f>
        <v>3355.51</v>
      </c>
      <c r="I36" s="65">
        <f>SUMIF('Monthly Detail'!$4:$4, '2025 Overview'!I$19, 'Monthly Detail'!$89:$89)+SUMIF('Monthly Detail'!$4:$4, '2025 Overview'!I$19, 'Monthly Detail'!$90:$90)</f>
        <v>3680.41</v>
      </c>
      <c r="J36" s="65">
        <f>SUMIF('Monthly Detail'!$4:$4, '2025 Overview'!J$19, 'Monthly Detail'!$89:$89)+SUMIF('Monthly Detail'!$4:$4, '2025 Overview'!J$19, 'Monthly Detail'!$90:$90)</f>
        <v>3609.2599999999998</v>
      </c>
      <c r="K36" s="65">
        <f>SUMIF('Monthly Detail'!$4:$4, '2025 Overview'!K$19, 'Monthly Detail'!$89:$89)+SUMIF('Monthly Detail'!$4:$4, '2025 Overview'!K$19, 'Monthly Detail'!$90:$90)</f>
        <v>3143.7799999999997</v>
      </c>
      <c r="L36" s="65">
        <f>SUMIF('Monthly Detail'!$4:$4, '2025 Overview'!L$19, 'Monthly Detail'!$89:$89)+SUMIF('Monthly Detail'!$4:$4, '2025 Overview'!L$19, 'Monthly Detail'!$90:$90)</f>
        <v>3847.73</v>
      </c>
      <c r="M36" s="545">
        <f>SUMIF('Monthly Detail'!$4:$4, '2025 Overview'!M$19, 'Monthly Detail'!$89:$89)+SUMIF('Monthly Detail'!$4:$4, '2025 Overview'!M$19, 'Monthly Detail'!$90:$90)</f>
        <v>3504.0299999999997</v>
      </c>
      <c r="N36" s="434">
        <f>SUMIF('Monthly Detail'!$4:$4, '2025 Overview'!N$19, 'Monthly Detail'!$89:$89)+SUMIF('Monthly Detail'!$4:$4, '2025 Overview'!N$19, 'Monthly Detail'!$90:$90)</f>
        <v>5115.7333333333336</v>
      </c>
      <c r="P36" s="422">
        <f>SUM(C36:O36)</f>
        <v>44835.533333333326</v>
      </c>
    </row>
    <row r="37" spans="2:20" ht="15.75" customHeight="1" x14ac:dyDescent="0.25">
      <c r="B37" s="205" t="s">
        <v>25</v>
      </c>
      <c r="C37" s="71">
        <f t="shared" ref="C37:N37" si="4">SUM(C36:C36)</f>
        <v>2161.9</v>
      </c>
      <c r="D37" s="71">
        <f t="shared" si="4"/>
        <v>3618.1099999999997</v>
      </c>
      <c r="E37" s="71">
        <f t="shared" si="4"/>
        <v>3644.83</v>
      </c>
      <c r="F37" s="71">
        <f t="shared" si="4"/>
        <v>5164.1999999999989</v>
      </c>
      <c r="G37" s="71">
        <f t="shared" si="4"/>
        <v>3990.04</v>
      </c>
      <c r="H37" s="71">
        <f t="shared" si="4"/>
        <v>3355.51</v>
      </c>
      <c r="I37" s="71">
        <f t="shared" si="4"/>
        <v>3680.41</v>
      </c>
      <c r="J37" s="71">
        <f t="shared" si="4"/>
        <v>3609.2599999999998</v>
      </c>
      <c r="K37" s="71">
        <f t="shared" si="4"/>
        <v>3143.7799999999997</v>
      </c>
      <c r="L37" s="71">
        <f t="shared" si="4"/>
        <v>3847.73</v>
      </c>
      <c r="M37" s="553">
        <f t="shared" si="4"/>
        <v>3504.0299999999997</v>
      </c>
      <c r="N37" s="302">
        <f t="shared" si="4"/>
        <v>5115.7333333333336</v>
      </c>
      <c r="O37" s="69"/>
      <c r="P37" s="429">
        <f>SUM(P36:P36)</f>
        <v>44835.533333333326</v>
      </c>
    </row>
    <row r="38" spans="2:20" ht="4.9000000000000004" customHeight="1" x14ac:dyDescent="0.25">
      <c r="B38" s="192"/>
      <c r="M38" s="552"/>
      <c r="N38" s="227"/>
      <c r="O38" s="7"/>
      <c r="P38" s="421"/>
    </row>
    <row r="39" spans="2:20" ht="15.75" customHeight="1" x14ac:dyDescent="0.25">
      <c r="B39" s="201" t="s">
        <v>16</v>
      </c>
      <c r="C39" s="80">
        <f t="shared" ref="C39:N39" si="5">C33-C37</f>
        <v>4061.8700000000003</v>
      </c>
      <c r="D39" s="80">
        <f t="shared" si="5"/>
        <v>2138.420000000001</v>
      </c>
      <c r="E39" s="80">
        <f t="shared" si="5"/>
        <v>2438.9799999999996</v>
      </c>
      <c r="F39" s="80">
        <f t="shared" si="5"/>
        <v>2096.9800000000014</v>
      </c>
      <c r="G39" s="80">
        <f t="shared" si="5"/>
        <v>2264.0999999999995</v>
      </c>
      <c r="H39" s="80">
        <f t="shared" si="5"/>
        <v>2846.1099999999997</v>
      </c>
      <c r="I39" s="80">
        <f t="shared" si="5"/>
        <v>2933.4300000000003</v>
      </c>
      <c r="J39" s="80">
        <f t="shared" si="5"/>
        <v>3070.3800000000006</v>
      </c>
      <c r="K39" s="80">
        <f t="shared" si="5"/>
        <v>1881.12</v>
      </c>
      <c r="L39" s="80">
        <f t="shared" si="5"/>
        <v>2290.0099999999998</v>
      </c>
      <c r="M39" s="550">
        <f t="shared" si="5"/>
        <v>982.32000000000062</v>
      </c>
      <c r="N39" s="296">
        <f t="shared" si="5"/>
        <v>-609.34447021207598</v>
      </c>
      <c r="P39" s="427">
        <f>P33-P37</f>
        <v>26394.37552978794</v>
      </c>
    </row>
    <row r="40" spans="2:20" x14ac:dyDescent="0.25">
      <c r="B40" s="203" t="s">
        <v>17</v>
      </c>
      <c r="C40" s="82">
        <f t="shared" ref="C40:N40" si="6">IFERROR(C39/C22, 0)</f>
        <v>0.60435051070889223</v>
      </c>
      <c r="D40" s="82">
        <f t="shared" si="6"/>
        <v>0.32893000304561981</v>
      </c>
      <c r="E40" s="82">
        <f t="shared" si="6"/>
        <v>0.34310754730252507</v>
      </c>
      <c r="F40" s="82">
        <f t="shared" si="6"/>
        <v>0.26673196171335917</v>
      </c>
      <c r="G40" s="82">
        <f t="shared" si="6"/>
        <v>0.28740914133964313</v>
      </c>
      <c r="H40" s="82">
        <f t="shared" si="6"/>
        <v>0.41323131202404367</v>
      </c>
      <c r="I40" s="82">
        <f t="shared" si="6"/>
        <v>0.39541824210930709</v>
      </c>
      <c r="J40" s="82">
        <f t="shared" si="6"/>
        <v>0.40118118209672893</v>
      </c>
      <c r="K40" s="82">
        <f t="shared" si="6"/>
        <v>0.30485945109351831</v>
      </c>
      <c r="L40" s="82">
        <f t="shared" si="6"/>
        <v>0.327226092237345</v>
      </c>
      <c r="M40" s="551">
        <f t="shared" si="6"/>
        <v>0.18664639939198188</v>
      </c>
      <c r="N40" s="298">
        <f t="shared" si="6"/>
        <v>-0.10939595040474571</v>
      </c>
      <c r="O40" s="119"/>
      <c r="P40" s="428">
        <f>P39/P22</f>
        <v>0.32176023195065262</v>
      </c>
    </row>
    <row r="41" spans="2:20" ht="5.65" customHeight="1" x14ac:dyDescent="0.25">
      <c r="B41" s="206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554"/>
      <c r="N41" s="437"/>
      <c r="O41" s="69"/>
      <c r="P41" s="430"/>
    </row>
    <row r="42" spans="2:20" x14ac:dyDescent="0.25">
      <c r="B42" s="192" t="s">
        <v>18</v>
      </c>
      <c r="C42" s="119">
        <f>SUMIF('Monthly Detail'!$4:$4, '2025 Overview'!C$19, 'Monthly Detail'!95:95)</f>
        <v>0</v>
      </c>
      <c r="D42" s="119">
        <f>SUMIF('Monthly Detail'!$4:$4, '2025 Overview'!D$19, 'Monthly Detail'!95:95)</f>
        <v>0</v>
      </c>
      <c r="E42" s="119">
        <f>SUMIF('Monthly Detail'!$4:$4, '2025 Overview'!E$19, 'Monthly Detail'!95:95)</f>
        <v>2.35</v>
      </c>
      <c r="F42" s="119">
        <f>SUMIF('Monthly Detail'!$4:$4, '2025 Overview'!F$19, 'Monthly Detail'!95:95)</f>
        <v>3.21</v>
      </c>
      <c r="G42" s="119">
        <f>SUMIF('Monthly Detail'!$4:$4, '2025 Overview'!G$19, 'Monthly Detail'!95:95)</f>
        <v>4.3</v>
      </c>
      <c r="H42" s="119">
        <f>SUMIF('Monthly Detail'!$4:$4, '2025 Overview'!H$19, 'Monthly Detail'!95:95)</f>
        <v>3.94</v>
      </c>
      <c r="I42" s="119">
        <f>SUMIF('Monthly Detail'!$4:$4, '2025 Overview'!I$19, 'Monthly Detail'!95:95)</f>
        <v>4.21</v>
      </c>
      <c r="J42" s="119">
        <f>SUMIF('Monthly Detail'!$4:$4, '2025 Overview'!J$19, 'Monthly Detail'!95:95)</f>
        <v>3.44</v>
      </c>
      <c r="K42" s="119">
        <f>SUMIF('Monthly Detail'!$4:$4, '2025 Overview'!K$19, 'Monthly Detail'!95:95)</f>
        <v>2.61</v>
      </c>
      <c r="L42" s="119">
        <f>SUMIF('Monthly Detail'!$4:$4, '2025 Overview'!L$19, 'Monthly Detail'!95:95)</f>
        <v>1.78</v>
      </c>
      <c r="M42" s="555">
        <f>SUMIF('Monthly Detail'!$4:$4, '2025 Overview'!M$19, 'Monthly Detail'!95:95)</f>
        <v>1.62</v>
      </c>
      <c r="N42" s="438">
        <f>SUMIF('Monthly Detail'!$4:$4, '2025 Overview'!N$19, 'Monthly Detail'!95:95)</f>
        <v>1.62</v>
      </c>
      <c r="O42" s="7"/>
      <c r="P42" s="431">
        <f>SUM(C42:O42)</f>
        <v>29.080000000000002</v>
      </c>
    </row>
    <row r="43" spans="2:20" ht="15.75" customHeight="1" x14ac:dyDescent="0.25">
      <c r="B43" s="201" t="s">
        <v>19</v>
      </c>
      <c r="C43" s="80">
        <f t="shared" ref="C43:N43" si="7">C39+SUM(C42:C42)</f>
        <v>4061.8700000000003</v>
      </c>
      <c r="D43" s="80">
        <f t="shared" si="7"/>
        <v>2138.420000000001</v>
      </c>
      <c r="E43" s="80">
        <f t="shared" si="7"/>
        <v>2441.3299999999995</v>
      </c>
      <c r="F43" s="80">
        <f t="shared" si="7"/>
        <v>2100.1900000000014</v>
      </c>
      <c r="G43" s="80">
        <f t="shared" si="7"/>
        <v>2268.3999999999996</v>
      </c>
      <c r="H43" s="80">
        <f t="shared" si="7"/>
        <v>2850.0499999999997</v>
      </c>
      <c r="I43" s="80">
        <f t="shared" si="7"/>
        <v>2937.6400000000003</v>
      </c>
      <c r="J43" s="80">
        <f t="shared" si="7"/>
        <v>3073.8200000000006</v>
      </c>
      <c r="K43" s="80">
        <f t="shared" si="7"/>
        <v>1883.7299999999998</v>
      </c>
      <c r="L43" s="80">
        <f t="shared" si="7"/>
        <v>2291.79</v>
      </c>
      <c r="M43" s="550">
        <f t="shared" si="7"/>
        <v>983.94000000000062</v>
      </c>
      <c r="N43" s="296">
        <f t="shared" si="7"/>
        <v>-607.72447021207597</v>
      </c>
      <c r="P43" s="427">
        <f>P39+SUM(P42:P42)</f>
        <v>26423.455529787941</v>
      </c>
    </row>
    <row r="44" spans="2:20" x14ac:dyDescent="0.25">
      <c r="B44" s="203" t="s">
        <v>20</v>
      </c>
      <c r="C44" s="82">
        <f t="shared" ref="C44:N44" si="8">IFERROR(C43/C22, 0)</f>
        <v>0.60435051070889223</v>
      </c>
      <c r="D44" s="82">
        <f t="shared" si="8"/>
        <v>0.32893000304561981</v>
      </c>
      <c r="E44" s="82">
        <f t="shared" si="8"/>
        <v>0.34343813744109158</v>
      </c>
      <c r="F44" s="82">
        <f t="shared" si="8"/>
        <v>0.26714026775209099</v>
      </c>
      <c r="G44" s="82">
        <f t="shared" si="8"/>
        <v>0.28795499148219889</v>
      </c>
      <c r="H44" s="82">
        <f t="shared" si="8"/>
        <v>0.41380336699358977</v>
      </c>
      <c r="I44" s="82">
        <f t="shared" si="8"/>
        <v>0.39598573845293222</v>
      </c>
      <c r="J44" s="82">
        <f t="shared" si="8"/>
        <v>0.40163065846982049</v>
      </c>
      <c r="K44" s="82">
        <f t="shared" si="8"/>
        <v>0.30528243483052286</v>
      </c>
      <c r="L44" s="82">
        <f t="shared" si="8"/>
        <v>0.32748044153895617</v>
      </c>
      <c r="M44" s="551">
        <f t="shared" si="8"/>
        <v>0.18695420862625892</v>
      </c>
      <c r="N44" s="298">
        <f t="shared" si="8"/>
        <v>-0.10910511090702449</v>
      </c>
      <c r="P44" s="432">
        <f>P43/P22</f>
        <v>0.32211473124670775</v>
      </c>
    </row>
    <row r="45" spans="2:20" ht="6" customHeight="1" thickBot="1" x14ac:dyDescent="0.3">
      <c r="B45" s="192"/>
      <c r="D45" s="500"/>
      <c r="E45" s="100"/>
      <c r="P45" s="89"/>
    </row>
    <row r="46" spans="2:20" ht="15.75" customHeight="1" thickBot="1" x14ac:dyDescent="0.3">
      <c r="B46" s="208" t="s">
        <v>41</v>
      </c>
      <c r="C46" s="210">
        <f>SUMIF('Monthly Detail'!$4:$4, '2025 Overview'!C$19, 'Monthly Detail'!112:112)</f>
        <v>1326.2080000000001</v>
      </c>
      <c r="D46" s="211">
        <f>SUMIF('Monthly Detail'!$4:$4, '2025 Overview'!D$19, 'Monthly Detail'!112:112)</f>
        <v>1606.7285000000002</v>
      </c>
      <c r="E46" s="209">
        <f>SUMIF('Monthly Detail'!$4:$4, '2025 Overview'!E$19, 'Monthly Detail'!112:112)</f>
        <v>2203.0059999999999</v>
      </c>
      <c r="F46" s="209">
        <f>SUMIF('Monthly Detail'!$4:$4, '2025 Overview'!F$19, 'Monthly Detail'!112:112)</f>
        <v>2800.3690000000001</v>
      </c>
      <c r="G46" s="211">
        <f>SUMIF('Monthly Detail'!$4:$4, '2025 Overview'!G$19, 'Monthly Detail'!112:112)</f>
        <v>4253.5610000000006</v>
      </c>
      <c r="H46" s="211">
        <f>SUMIF('Monthly Detail'!$4:$4, '2025 Overview'!H$19, 'Monthly Detail'!112:112)</f>
        <v>4362.1695000000009</v>
      </c>
      <c r="I46" s="211">
        <f>SUMIF('Monthly Detail'!$4:$4, '2025 Overview'!I$19, 'Monthly Detail'!112:112)</f>
        <v>4312.2560000000003</v>
      </c>
      <c r="J46" s="211">
        <f>SUMIF('Monthly Detail'!$4:$4, '2025 Overview'!J$19, 'Monthly Detail'!112:112)</f>
        <v>4650.8085000000001</v>
      </c>
      <c r="K46" s="211">
        <f>SUMIF('Monthly Detail'!$4:$4, '2025 Overview'!K$19, 'Monthly Detail'!112:112)</f>
        <v>4164.9724999999999</v>
      </c>
      <c r="L46" s="211">
        <f>SUMIF('Monthly Detail'!$4:$4, '2025 Overview'!L$19, 'Monthly Detail'!112:112)</f>
        <v>3819.1530000000002</v>
      </c>
      <c r="M46" s="209">
        <f>SUMIF('Monthly Detail'!$4:$4, '2025 Overview'!M$19, 'Monthly Detail'!112:112)</f>
        <v>3478.683</v>
      </c>
      <c r="N46" s="211">
        <f>SUMIF('Monthly Detail'!$4:$4, '2025 Overview'!N$19, 'Monthly Detail'!112:112)</f>
        <v>4089.7758283047415</v>
      </c>
      <c r="P46" s="89"/>
    </row>
    <row r="47" spans="2:20" ht="15.75" customHeight="1" thickBot="1" x14ac:dyDescent="0.3">
      <c r="B47" s="398" t="s">
        <v>42</v>
      </c>
      <c r="C47" s="399">
        <f>SUMIF('Monthly Detail'!$4:$4, '2025 Overview'!C$19, 'Monthly Detail'!106:106)</f>
        <v>45.02</v>
      </c>
      <c r="D47" s="401">
        <f>SUMIF('Monthly Detail'!$4:$4, '2025 Overview'!D$19, 'Monthly Detail'!106:106)</f>
        <v>68.56</v>
      </c>
      <c r="E47" s="400">
        <f>SUMIF('Monthly Detail'!$4:$4, '2025 Overview'!E$19, 'Monthly Detail'!106:106)</f>
        <v>0.03</v>
      </c>
      <c r="F47" s="400">
        <f>SUMIF('Monthly Detail'!$4:$4, '2025 Overview'!F$19, 'Monthly Detail'!106:106)</f>
        <v>9.57</v>
      </c>
      <c r="G47" s="401">
        <f>SUMIF('Monthly Detail'!$4:$4, '2025 Overview'!G$19, 'Monthly Detail'!106:106)</f>
        <v>150.5</v>
      </c>
      <c r="H47" s="401">
        <f>SUMIF('Monthly Detail'!$4:$4, '2025 Overview'!H$19, 'Monthly Detail'!106:106)</f>
        <v>17.12</v>
      </c>
      <c r="I47" s="401">
        <f>SUMIF('Monthly Detail'!$4:$4, '2025 Overview'!I$19, 'Monthly Detail'!106:106)</f>
        <v>50.77</v>
      </c>
      <c r="J47" s="401">
        <f>SUMIF('Monthly Detail'!$4:$4, '2025 Overview'!J$19, 'Monthly Detail'!106:106)</f>
        <v>0.77</v>
      </c>
      <c r="K47" s="401">
        <f>SUMIF('Monthly Detail'!$4:$4, '2025 Overview'!K$19, 'Monthly Detail'!106:106)</f>
        <v>37.46</v>
      </c>
      <c r="L47" s="401">
        <f>SUMIF('Monthly Detail'!$4:$4, '2025 Overview'!L$19, 'Monthly Detail'!106:106)</f>
        <v>15.87</v>
      </c>
      <c r="M47" s="400">
        <f>SUMIF('Monthly Detail'!$4:$4, '2025 Overview'!M$19, 'Monthly Detail'!106:106)</f>
        <v>0.77</v>
      </c>
      <c r="N47" s="401">
        <f>SUMIF('Monthly Detail'!$4:$4, '2025 Overview'!N$19, 'Monthly Detail'!106:106)</f>
        <v>0.77</v>
      </c>
      <c r="P47" s="89"/>
    </row>
    <row r="48" spans="2:20" ht="15.75" customHeight="1" thickBot="1" x14ac:dyDescent="0.3">
      <c r="B48" s="212" t="s">
        <v>43</v>
      </c>
      <c r="C48" s="395">
        <f>SUMIF('Monthly Detail'!$4:$4, '2025 Overview'!C$19, 'Monthly Detail'!173:173)</f>
        <v>2040.3199999999972</v>
      </c>
      <c r="D48" s="397">
        <f>SUMIF('Monthly Detail'!$4:$4, '2025 Overview'!D$19, 'Monthly Detail'!173:173)</f>
        <v>2471.8900000000021</v>
      </c>
      <c r="E48" s="396">
        <f>SUMIF('Monthly Detail'!$4:$4, '2025 Overview'!E$19, 'Monthly Detail'!173:173)</f>
        <v>3389.2400000000007</v>
      </c>
      <c r="F48" s="396">
        <f>SUMIF('Monthly Detail'!$4:$4, '2025 Overview'!F$19, 'Monthly Detail'!173:173)</f>
        <v>4308.260000000002</v>
      </c>
      <c r="G48" s="397">
        <f>SUMIF('Monthly Detail'!$4:$4, '2025 Overview'!G$19, 'Monthly Detail'!173:173)</f>
        <v>6543.9400000000005</v>
      </c>
      <c r="H48" s="397">
        <f>SUMIF('Monthly Detail'!$4:$4, '2025 Overview'!H$19, 'Monthly Detail'!173:173)</f>
        <v>6711.0300000000025</v>
      </c>
      <c r="I48" s="397">
        <f>SUMIF('Monthly Detail'!$4:$4, '2025 Overview'!I$19, 'Monthly Detail'!173:173)</f>
        <v>6634.2400000000007</v>
      </c>
      <c r="J48" s="397">
        <f>SUMIF('Monthly Detail'!$4:$4, '2025 Overview'!J$19, 'Monthly Detail'!173:173)</f>
        <v>7155.09</v>
      </c>
      <c r="K48" s="397">
        <f>SUMIF('Monthly Detail'!$4:$4, '2025 Overview'!K$19, 'Monthly Detail'!173:173)</f>
        <v>6407.6500000000042</v>
      </c>
      <c r="L48" s="397">
        <f>SUMIF('Monthly Detail'!$4:$4, '2025 Overview'!L$19, 'Monthly Detail'!173:173)</f>
        <v>5875.6200000000063</v>
      </c>
      <c r="M48" s="396">
        <f>SUMIF('Monthly Detail'!$4:$4, '2025 Overview'!M$19, 'Monthly Detail'!173:173)</f>
        <v>5351.82</v>
      </c>
      <c r="N48" s="397">
        <f>SUMIF('Monthly Detail'!$4:$4, '2025 Overview'!N$19, 'Monthly Detail'!173:173)</f>
        <v>6291.9628127765254</v>
      </c>
      <c r="P48" s="501">
        <f>+(SUM(C43:E43)*0.153)-SUM('Monthly Detail'!AO69:AP69)</f>
        <v>1114.2778600000001</v>
      </c>
    </row>
    <row r="49" spans="2:16" ht="15.75" customHeight="1" thickBot="1" x14ac:dyDescent="0.3">
      <c r="B49" s="77" t="s">
        <v>44</v>
      </c>
      <c r="C49" s="78">
        <f>SUMIF('Monthly Detail'!$4:$4, '2025 Overview'!C$19, 'Monthly Detail'!170:170)</f>
        <v>614.3199999999988</v>
      </c>
      <c r="D49" s="150">
        <f>SUMIF('Monthly Detail'!$4:$4, '2025 Overview'!D$19, 'Monthly Detail'!170:170)</f>
        <v>431.57000000000471</v>
      </c>
      <c r="E49" s="150">
        <f>SUMIF('Monthly Detail'!$4:$4, '2025 Overview'!E$19, 'Monthly Detail'!170:170)</f>
        <v>917.34999999999854</v>
      </c>
      <c r="F49" s="150">
        <f>SUMIF('Monthly Detail'!$4:$4, '2025 Overview'!F$19, 'Monthly Detail'!170:170)</f>
        <v>919.02000000000089</v>
      </c>
      <c r="G49" s="150">
        <f>SUMIF('Monthly Detail'!$4:$4, '2025 Overview'!G$19, 'Monthly Detail'!170:170)</f>
        <v>2235.6799999999985</v>
      </c>
      <c r="H49" s="150">
        <f>SUMIF('Monthly Detail'!$4:$4, '2025 Overview'!H$19, 'Monthly Detail'!170:170)</f>
        <v>167.09000000000196</v>
      </c>
      <c r="I49" s="150">
        <f>SUMIF('Monthly Detail'!$4:$4, '2025 Overview'!I$19, 'Monthly Detail'!170:170)</f>
        <v>-76.790000000001783</v>
      </c>
      <c r="J49" s="150">
        <f>SUMIF('Monthly Detail'!$4:$4, '2025 Overview'!J$19, 'Monthly Detail'!170:170)</f>
        <v>520.84999999999945</v>
      </c>
      <c r="K49" s="150">
        <f>SUMIF('Monthly Detail'!$4:$4, '2025 Overview'!K$19, 'Monthly Detail'!170:170)</f>
        <v>-747.43999999999596</v>
      </c>
      <c r="L49" s="150">
        <f>SUMIF('Monthly Detail'!$4:$4, '2025 Overview'!L$19, 'Monthly Detail'!170:170)</f>
        <v>-532.02999999999793</v>
      </c>
      <c r="M49" s="78">
        <f>SUMIF('Monthly Detail'!$4:$4, '2025 Overview'!M$19, 'Monthly Detail'!170:170)</f>
        <v>-523.80000000000609</v>
      </c>
      <c r="N49" s="78">
        <f>SUMIF('Monthly Detail'!$4:$4, '2025 Overview'!N$19, 'Monthly Detail'!170:170)</f>
        <v>940.14281277652594</v>
      </c>
      <c r="P49" s="559">
        <f>+SUM(C43:H43)*0.15</f>
        <v>2379.0389999999998</v>
      </c>
    </row>
    <row r="50" spans="2:16" ht="15.75" customHeight="1" thickBot="1" x14ac:dyDescent="0.3">
      <c r="B50" s="213" t="s">
        <v>45</v>
      </c>
      <c r="C50" s="214">
        <f>-SUMIF('Monthly Detail'!$4:$4, '2025 Overview'!C$19, 'Monthly Detail'!89:89)</f>
        <v>-2161.9</v>
      </c>
      <c r="D50" s="215">
        <f>-SUMIF('Monthly Detail'!$4:$4, '2025 Overview'!D$19, 'Monthly Detail'!89:89)</f>
        <v>-3618.1099999999997</v>
      </c>
      <c r="E50" s="215">
        <f>-SUMIF('Monthly Detail'!$4:$4, '2025 Overview'!E$19, 'Monthly Detail'!89:89)</f>
        <v>-3644.83</v>
      </c>
      <c r="F50" s="215">
        <f>-SUMIF('Monthly Detail'!$4:$4, '2025 Overview'!F$19, 'Monthly Detail'!89:89)</f>
        <v>-5164.1999999999989</v>
      </c>
      <c r="G50" s="215">
        <f>-SUMIF('Monthly Detail'!$4:$4, '2025 Overview'!G$19, 'Monthly Detail'!89:89)</f>
        <v>-3990.04</v>
      </c>
      <c r="H50" s="215">
        <f>-SUMIF('Monthly Detail'!$4:$4, '2025 Overview'!H$19, 'Monthly Detail'!89:89)</f>
        <v>-3355.51</v>
      </c>
      <c r="I50" s="215">
        <f>-SUMIF('Monthly Detail'!$4:$4, '2025 Overview'!I$19, 'Monthly Detail'!89:89)</f>
        <v>-3680.41</v>
      </c>
      <c r="J50" s="215">
        <f>-SUMIF('Monthly Detail'!$4:$4, '2025 Overview'!J$19, 'Monthly Detail'!89:89)</f>
        <v>-3609.2599999999998</v>
      </c>
      <c r="K50" s="215">
        <f>-SUMIF('Monthly Detail'!$4:$4, '2025 Overview'!K$19, 'Monthly Detail'!89:89)</f>
        <v>-3143.7799999999997</v>
      </c>
      <c r="L50" s="215">
        <f>-SUMIF('Monthly Detail'!$4:$4, '2025 Overview'!L$19, 'Monthly Detail'!89:89)</f>
        <v>-3831.6</v>
      </c>
      <c r="M50" s="215">
        <f>-SUMIF('Monthly Detail'!$4:$4, '2025 Overview'!M$19, 'Monthly Detail'!89:89)</f>
        <v>-3504.0299999999997</v>
      </c>
      <c r="N50" s="215">
        <f>-SUMIF('Monthly Detail'!$4:$4, '2025 Overview'!N$19, 'Monthly Detail'!89:89)</f>
        <v>-5115.7333333333336</v>
      </c>
      <c r="P50" s="501">
        <f>+SUM('Monthly Detail'!AO69:AS69)</f>
        <v>455.51</v>
      </c>
    </row>
    <row r="51" spans="2:16" ht="15.75" customHeight="1" thickBot="1" x14ac:dyDescent="0.3">
      <c r="B51" s="213" t="s">
        <v>46</v>
      </c>
      <c r="C51" s="214">
        <f>SUMIF('Monthly Detail'!$4:$4, '2025 Overview'!C$19, 'Monthly Detail'!154:154)</f>
        <v>-3116.5800000000017</v>
      </c>
      <c r="D51" s="215">
        <f>SUMIF('Monthly Detail'!$4:$4, '2025 Overview'!D$19, 'Monthly Detail'!154:154)</f>
        <v>-1624.4799999999959</v>
      </c>
      <c r="E51" s="215">
        <f>SUMIF('Monthly Detail'!$4:$4, '2025 Overview'!E$19, 'Monthly Detail'!154:154)</f>
        <v>-1433.7200000000012</v>
      </c>
      <c r="F51" s="215">
        <f>SUMIF('Monthly Detail'!$4:$4, '2025 Overview'!F$19, 'Monthly Detail'!154:154)</f>
        <v>-1790.1100000000006</v>
      </c>
      <c r="G51" s="215">
        <f>SUMIF('Monthly Detail'!$4:$4, '2025 Overview'!G$19, 'Monthly Detail'!154:154)</f>
        <v>-774.65000000000146</v>
      </c>
      <c r="H51" s="215">
        <f>SUMIF('Monthly Detail'!$4:$4,'2025 Overview'!H$19,'Monthly Detail'!154:154)-SUMIF('Monthly Detail'!$4:$4,H19,'Monthly Detail'!68:68)</f>
        <v>-3063.3099999999977</v>
      </c>
      <c r="I51" s="215">
        <f>SUMIF('Monthly Detail'!$4:$4,'2025 Overview'!I$19,'Monthly Detail'!154:154)-SUMIF('Monthly Detail'!$4:$4,I19,'Monthly Detail'!68:68)</f>
        <v>-4238.010000000002</v>
      </c>
      <c r="J51" s="215">
        <f>SUMIF('Monthly Detail'!$4:$4,'2025 Overview'!J$19,'Monthly Detail'!154:154)-SUMIF('Monthly Detail'!$4:$4,J19,'Monthly Detail'!68:68)</f>
        <v>-3050.2200000000012</v>
      </c>
      <c r="K51" s="215">
        <f>SUMIF('Monthly Detail'!$4:$4,'2025 Overview'!K$19,'Monthly Detail'!154:154)-SUMIF('Monthly Detail'!$4:$4,K19,'Monthly Detail'!68:68)</f>
        <v>-4496.6599999999962</v>
      </c>
      <c r="L51" s="215">
        <f>SUMIF('Monthly Detail'!$4:$4,'2025 Overview'!L$19,'Monthly Detail'!154:154)-SUMIF('Monthly Detail'!$4:$4,L19,'Monthly Detail'!68:68)</f>
        <v>-3213.5599999999977</v>
      </c>
      <c r="M51" s="215">
        <f>SUMIF('Monthly Detail'!$4:$4,'2025 Overview'!M$19,'Monthly Detail'!154:154)-SUMIF('Monthly Detail'!$4:$4,M19,'Monthly Detail'!68:68)</f>
        <v>-2038.7100000000064</v>
      </c>
      <c r="N51" s="215">
        <f>SUMIF('Monthly Detail'!$4:$4,'2025 Overview'!N$19,'Monthly Detail'!154:154)-SUMIF('Monthly Detail'!$4:$4,N19,'Monthly Detail'!68:68)</f>
        <v>-2100</v>
      </c>
      <c r="P51" s="501">
        <f>+P49-P50</f>
        <v>1923.5289999999998</v>
      </c>
    </row>
    <row r="52" spans="2:16" ht="15.75" customHeight="1" thickBot="1" x14ac:dyDescent="0.3">
      <c r="B52" s="213" t="s">
        <v>47</v>
      </c>
      <c r="C52" s="78">
        <f>+C46-SUM('Monthly Detail'!AC89:AN89)-SUM('Monthly Detail'!AC61:AN61)</f>
        <v>-32667.032000000007</v>
      </c>
      <c r="D52" s="150">
        <f>+D46-SUM('Monthly Detail'!AD89:AO89)-SUM('Monthly Detail'!AD61:AO61)</f>
        <v>-35245.301500000009</v>
      </c>
      <c r="E52" s="78">
        <f>+E46-SUM('Monthly Detail'!AE89:AP89)-SUM('Monthly Detail'!AE61:AP61)</f>
        <v>-37994.724000000002</v>
      </c>
      <c r="F52" s="78">
        <f>+F46-SUM('Monthly Detail'!AF89:AQ89)-SUM('Monthly Detail'!AF61:AQ61)</f>
        <v>-41616.71100000001</v>
      </c>
      <c r="G52" s="216">
        <f>+G46-SUM('Monthly Detail'!AG89:AR89)-SUM('Monthly Detail'!AG61:AR61)</f>
        <v>-41691.298999999992</v>
      </c>
      <c r="H52" s="150">
        <f>+H46-SUM('Monthly Detail'!AH89:AS89)-SUM('Monthly Detail'!AH61:AS61)</f>
        <v>-42111.730500000005</v>
      </c>
      <c r="I52" s="150">
        <f>+I46-SUM('Monthly Detail'!AI89:AT89)-SUM('Monthly Detail'!AI61:AT61)</f>
        <v>-44079.774000000005</v>
      </c>
      <c r="J52" s="150">
        <f>+J46-SUM('Monthly Detail'!AJ89:AU89)-SUM('Monthly Detail'!AJ61:AU61)</f>
        <v>-44785.641499999998</v>
      </c>
      <c r="K52" s="150">
        <f>+K46-SUM('Monthly Detail'!AK89:AV89)-SUM('Monthly Detail'!AK61:AV61)</f>
        <v>-46961.667499999996</v>
      </c>
      <c r="L52" s="150">
        <f>+L46-SUM('Monthly Detail'!AL89:AW89)-SUM('Monthly Detail'!AL61:AW61)</f>
        <v>-48526.276999999995</v>
      </c>
      <c r="M52" s="78">
        <f>+M46-SUM('Monthly Detail'!AM89:AX89)-SUM('Monthly Detail'!AM61:AX61)</f>
        <v>-49486.636999999995</v>
      </c>
      <c r="N52" s="78">
        <f>+N46-SUM('Monthly Detail'!AN89:AY89)-SUM('Monthly Detail'!AN61:AY61)</f>
        <v>-51530.911153715191</v>
      </c>
      <c r="P52" s="559"/>
    </row>
    <row r="53" spans="2:16" ht="15.75" customHeight="1" thickBot="1" x14ac:dyDescent="0.3">
      <c r="B53" s="213" t="s">
        <v>48</v>
      </c>
      <c r="C53" s="216">
        <f>+C48-SUM('Monthly Detail'!AC89:AN89)-SUM('Monthly Detail'!AC61:AN61)</f>
        <v>-31952.920000000013</v>
      </c>
      <c r="D53" s="216">
        <f>+D48-SUM('Monthly Detail'!AD89:AO89)-SUM('Monthly Detail'!AD61:AO61)</f>
        <v>-34380.140000000007</v>
      </c>
      <c r="E53" s="216">
        <f>+E48-SUM('Monthly Detail'!AE89:AP89)-SUM('Monthly Detail'!AE61:AP61)</f>
        <v>-36808.490000000005</v>
      </c>
      <c r="F53" s="216">
        <f>+F48-SUM('Monthly Detail'!AF89:AQ89)-SUM('Monthly Detail'!AF61:AQ61)</f>
        <v>-40108.820000000007</v>
      </c>
      <c r="G53" s="216">
        <f>+G48-SUM('Monthly Detail'!AG89:AR89)-SUM('Monthly Detail'!AG61:AR61)</f>
        <v>-39400.919999999991</v>
      </c>
      <c r="H53" s="216">
        <f>+H48-SUM('Monthly Detail'!AH89:AS89)-SUM('Monthly Detail'!AH61:AS61)</f>
        <v>-39762.869999999995</v>
      </c>
      <c r="I53" s="216">
        <f>+I48-SUM('Monthly Detail'!AI89:AT89)-SUM('Monthly Detail'!AI61:AT61)</f>
        <v>-41757.79</v>
      </c>
      <c r="J53" s="216">
        <f>+J48-SUM('Monthly Detail'!AJ89:AU89)-SUM('Monthly Detail'!AJ61:AU61)</f>
        <v>-42281.36</v>
      </c>
      <c r="K53" s="216">
        <f>+K48-SUM('Monthly Detail'!AK89:AV89)-SUM('Monthly Detail'!AK61:AV61)</f>
        <v>-44718.989999999991</v>
      </c>
      <c r="L53" s="216">
        <f>+L48-SUM('Monthly Detail'!AL89:AW89)-SUM('Monthly Detail'!AL61:AW61)</f>
        <v>-46469.809999999983</v>
      </c>
      <c r="M53" s="216">
        <f>+M48-SUM('Monthly Detail'!AM89:AX89)-SUM('Monthly Detail'!AM61:AX61)</f>
        <v>-47613.499999999993</v>
      </c>
      <c r="N53" s="216">
        <f>+N48-SUM('Monthly Detail'!AN89:AY89)-SUM('Monthly Detail'!AN61:AY61)</f>
        <v>-49328.724169243418</v>
      </c>
      <c r="P53" s="559"/>
    </row>
    <row r="54" spans="2:16" ht="15.75" customHeight="1" thickBot="1" x14ac:dyDescent="0.3">
      <c r="B54" s="213" t="s">
        <v>49</v>
      </c>
      <c r="C54" s="217">
        <f t="shared" ref="C54:N54" si="9">+C46/-C50</f>
        <v>0.61344558027660856</v>
      </c>
      <c r="D54" s="218">
        <f t="shared" si="9"/>
        <v>0.44407950559822679</v>
      </c>
      <c r="E54" s="218">
        <f t="shared" si="9"/>
        <v>0.60441941050748593</v>
      </c>
      <c r="F54" s="218">
        <f t="shared" si="9"/>
        <v>0.54226579141009268</v>
      </c>
      <c r="G54" s="218">
        <f t="shared" si="9"/>
        <v>1.0660447013062528</v>
      </c>
      <c r="H54" s="218">
        <f t="shared" si="9"/>
        <v>1.3000019371123914</v>
      </c>
      <c r="I54" s="218">
        <f t="shared" si="9"/>
        <v>1.1716781554229014</v>
      </c>
      <c r="J54" s="218">
        <f t="shared" si="9"/>
        <v>1.2885767442633671</v>
      </c>
      <c r="K54" s="218">
        <f t="shared" si="9"/>
        <v>1.3248295046091012</v>
      </c>
      <c r="L54" s="218">
        <f t="shared" si="9"/>
        <v>0.99675148762918897</v>
      </c>
      <c r="M54" s="218">
        <f t="shared" si="9"/>
        <v>0.99276632905540196</v>
      </c>
      <c r="N54" s="218">
        <f t="shared" si="9"/>
        <v>0.7994505502576511</v>
      </c>
      <c r="P54" s="89"/>
    </row>
    <row r="55" spans="2:16" x14ac:dyDescent="0.25">
      <c r="B55" s="213" t="s">
        <v>50</v>
      </c>
      <c r="C55" s="217">
        <f t="shared" ref="C55:N55" si="10">+IFERROR(C48/-C51, 0)</f>
        <v>0.6546663329675465</v>
      </c>
      <c r="D55" s="218">
        <f t="shared" si="10"/>
        <v>1.521650004924658</v>
      </c>
      <c r="E55" s="218">
        <f t="shared" si="10"/>
        <v>2.3639483302178932</v>
      </c>
      <c r="F55" s="218">
        <f t="shared" si="10"/>
        <v>2.4067012641681242</v>
      </c>
      <c r="G55" s="218">
        <f t="shared" si="10"/>
        <v>8.4476085974310831</v>
      </c>
      <c r="H55" s="218">
        <f t="shared" si="10"/>
        <v>2.1907772964538386</v>
      </c>
      <c r="I55" s="218">
        <f t="shared" si="10"/>
        <v>1.5654139560784419</v>
      </c>
      <c r="J55" s="218">
        <f t="shared" si="10"/>
        <v>2.3457619450400289</v>
      </c>
      <c r="K55" s="218">
        <f t="shared" si="10"/>
        <v>1.4249798739508901</v>
      </c>
      <c r="L55" s="218">
        <f t="shared" si="10"/>
        <v>1.8283834750245866</v>
      </c>
      <c r="M55" s="218">
        <f t="shared" si="10"/>
        <v>2.625101166914364</v>
      </c>
      <c r="N55" s="218">
        <f t="shared" si="10"/>
        <v>2.9961727679888215</v>
      </c>
      <c r="P55" s="89"/>
    </row>
    <row r="56" spans="2:16" x14ac:dyDescent="0.25">
      <c r="B56" s="88"/>
      <c r="E56" s="9"/>
      <c r="P56" s="89"/>
    </row>
    <row r="57" spans="2:16" x14ac:dyDescent="0.25">
      <c r="B57" s="88"/>
      <c r="P57" s="89"/>
    </row>
    <row r="58" spans="2:16" x14ac:dyDescent="0.25">
      <c r="B58" s="88"/>
      <c r="P58" s="89"/>
    </row>
    <row r="59" spans="2:16" x14ac:dyDescent="0.25">
      <c r="B59" s="88"/>
      <c r="P59" s="89"/>
    </row>
    <row r="60" spans="2:16" x14ac:dyDescent="0.25">
      <c r="B60" s="88"/>
      <c r="P60" s="89"/>
    </row>
    <row r="61" spans="2:16" x14ac:dyDescent="0.25">
      <c r="B61" s="88"/>
      <c r="P61" s="89"/>
    </row>
    <row r="62" spans="2:16" x14ac:dyDescent="0.25">
      <c r="B62" s="88"/>
      <c r="P62" s="89"/>
    </row>
    <row r="63" spans="2:16" x14ac:dyDescent="0.25">
      <c r="B63" s="88"/>
      <c r="P63" s="89"/>
    </row>
    <row r="64" spans="2:16" x14ac:dyDescent="0.25">
      <c r="B64" s="88"/>
      <c r="P64" s="89"/>
    </row>
    <row r="65" spans="2:16" x14ac:dyDescent="0.25">
      <c r="B65" s="88"/>
      <c r="P65" s="89"/>
    </row>
    <row r="66" spans="2:16" x14ac:dyDescent="0.25">
      <c r="B66" s="88"/>
      <c r="P66" s="89"/>
    </row>
    <row r="67" spans="2:16" x14ac:dyDescent="0.25">
      <c r="B67" s="88"/>
      <c r="P67" s="89"/>
    </row>
    <row r="68" spans="2:16" x14ac:dyDescent="0.25">
      <c r="B68" s="88"/>
      <c r="P68" s="89"/>
    </row>
    <row r="69" spans="2:16" x14ac:dyDescent="0.25">
      <c r="B69" s="88"/>
      <c r="P69" s="89"/>
    </row>
    <row r="70" spans="2:16" x14ac:dyDescent="0.25">
      <c r="B70" s="88"/>
      <c r="P70" s="89"/>
    </row>
    <row r="71" spans="2:16" ht="15.75" customHeight="1" thickBot="1" x14ac:dyDescent="0.3">
      <c r="B71" s="88"/>
      <c r="O71" s="100"/>
      <c r="P71" s="89"/>
    </row>
    <row r="72" spans="2:16" x14ac:dyDescent="0.25">
      <c r="B72" s="88"/>
      <c r="P72" s="89"/>
    </row>
    <row r="73" spans="2:16" ht="198.4" customHeight="1" thickBot="1" x14ac:dyDescent="0.3">
      <c r="B73" s="98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1"/>
    </row>
  </sheetData>
  <mergeCells count="1">
    <mergeCell ref="B15:P17"/>
  </mergeCells>
  <conditionalFormatting sqref="C51:N51">
    <cfRule type="cellIs" dxfId="3" priority="1" operator="greaterThan">
      <formula>0</formula>
    </cfRule>
  </conditionalFormatting>
  <pageMargins left="0.25" right="0.25" top="0.75" bottom="0.75" header="0.3" footer="0.3"/>
  <pageSetup scale="42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pageSetUpPr fitToPage="1"/>
  </sheetPr>
  <dimension ref="B14:T73"/>
  <sheetViews>
    <sheetView showGridLines="0" topLeftCell="C7" zoomScaleNormal="70" workbookViewId="0">
      <selection activeCell="K24" sqref="K24"/>
    </sheetView>
  </sheetViews>
  <sheetFormatPr defaultColWidth="8.7109375" defaultRowHeight="15" x14ac:dyDescent="0.25"/>
  <cols>
    <col min="2" max="2" width="48.28515625" bestFit="1" customWidth="1"/>
    <col min="3" max="14" width="16.7109375" bestFit="1" customWidth="1"/>
    <col min="15" max="15" width="0.28515625" customWidth="1"/>
    <col min="16" max="16" width="17.28515625" bestFit="1" customWidth="1"/>
  </cols>
  <sheetData>
    <row r="14" spans="2:16" ht="15.75" customHeight="1" thickBot="1" x14ac:dyDescent="0.3"/>
    <row r="15" spans="2:16" ht="15" customHeight="1" x14ac:dyDescent="0.25">
      <c r="B15" s="636" t="s">
        <v>51</v>
      </c>
      <c r="C15" s="637"/>
      <c r="D15" s="637"/>
      <c r="E15" s="637"/>
      <c r="F15" s="637"/>
      <c r="G15" s="637"/>
      <c r="H15" s="637"/>
      <c r="I15" s="637"/>
      <c r="J15" s="637"/>
      <c r="K15" s="637"/>
      <c r="L15" s="637"/>
      <c r="M15" s="637"/>
      <c r="N15" s="637"/>
      <c r="O15" s="637"/>
      <c r="P15" s="638"/>
    </row>
    <row r="16" spans="2:16" ht="15" customHeight="1" x14ac:dyDescent="0.25">
      <c r="B16" s="639"/>
      <c r="C16" s="640"/>
      <c r="D16" s="640"/>
      <c r="E16" s="640"/>
      <c r="F16" s="640"/>
      <c r="G16" s="640"/>
      <c r="H16" s="640"/>
      <c r="I16" s="640"/>
      <c r="J16" s="640"/>
      <c r="K16" s="640"/>
      <c r="L16" s="640"/>
      <c r="M16" s="640"/>
      <c r="N16" s="640"/>
      <c r="O16" s="640"/>
      <c r="P16" s="641"/>
    </row>
    <row r="17" spans="2:17" x14ac:dyDescent="0.25">
      <c r="B17" s="639"/>
      <c r="C17" s="640"/>
      <c r="D17" s="640"/>
      <c r="E17" s="640"/>
      <c r="F17" s="640"/>
      <c r="G17" s="640"/>
      <c r="H17" s="640"/>
      <c r="I17" s="640"/>
      <c r="J17" s="640"/>
      <c r="K17" s="640"/>
      <c r="L17" s="640"/>
      <c r="M17" s="640"/>
      <c r="N17" s="640"/>
      <c r="O17" s="640"/>
      <c r="P17" s="641"/>
    </row>
    <row r="18" spans="2:17" ht="15.75" customHeight="1" x14ac:dyDescent="0.25">
      <c r="B18" s="191"/>
      <c r="C18" s="61" t="s">
        <v>29</v>
      </c>
      <c r="D18" s="61" t="s">
        <v>30</v>
      </c>
      <c r="E18" s="61" t="s">
        <v>31</v>
      </c>
      <c r="F18" s="61" t="s">
        <v>32</v>
      </c>
      <c r="G18" s="61" t="s">
        <v>33</v>
      </c>
      <c r="H18" s="61" t="s">
        <v>34</v>
      </c>
      <c r="I18" s="61" t="s">
        <v>35</v>
      </c>
      <c r="J18" s="61" t="s">
        <v>36</v>
      </c>
      <c r="K18" s="61" t="s">
        <v>37</v>
      </c>
      <c r="L18" s="61" t="s">
        <v>38</v>
      </c>
      <c r="M18" s="61" t="s">
        <v>39</v>
      </c>
      <c r="N18" s="433" t="s">
        <v>40</v>
      </c>
      <c r="O18" s="62"/>
      <c r="P18" s="420" t="s">
        <v>23</v>
      </c>
    </row>
    <row r="19" spans="2:17" x14ac:dyDescent="0.25">
      <c r="B19" s="192"/>
      <c r="C19" s="83">
        <v>45688</v>
      </c>
      <c r="D19" s="83">
        <v>45716</v>
      </c>
      <c r="E19" s="83">
        <v>45747</v>
      </c>
      <c r="F19" s="83">
        <v>45777</v>
      </c>
      <c r="G19" s="83">
        <v>45808</v>
      </c>
      <c r="H19" s="83">
        <v>45838</v>
      </c>
      <c r="I19" s="83">
        <v>45869</v>
      </c>
      <c r="J19" s="83">
        <v>45900</v>
      </c>
      <c r="K19" s="83">
        <v>45930</v>
      </c>
      <c r="L19" s="83">
        <v>45961</v>
      </c>
      <c r="M19" s="83">
        <v>45991</v>
      </c>
      <c r="N19" s="363">
        <v>46022</v>
      </c>
      <c r="O19" s="83">
        <v>45322</v>
      </c>
      <c r="P19" s="421"/>
    </row>
    <row r="20" spans="2:17" x14ac:dyDescent="0.25">
      <c r="B20" s="193" t="s">
        <v>0</v>
      </c>
      <c r="C20" s="65">
        <v>7249.7138221771829</v>
      </c>
      <c r="D20" s="65">
        <v>4913.4871726024867</v>
      </c>
      <c r="E20" s="65">
        <v>6536.715075223894</v>
      </c>
      <c r="F20" s="65">
        <v>9380.6105949641606</v>
      </c>
      <c r="G20" s="65">
        <v>10754.416700710421</v>
      </c>
      <c r="H20" s="65">
        <v>10296.469025833439</v>
      </c>
      <c r="I20" s="65">
        <v>8231.4189836152764</v>
      </c>
      <c r="J20" s="65">
        <v>7580.1792553820114</v>
      </c>
      <c r="K20" s="65">
        <v>6911.5121495078683</v>
      </c>
      <c r="L20" s="65">
        <v>7871.841058711183</v>
      </c>
      <c r="M20" s="65">
        <v>7017.707274880775</v>
      </c>
      <c r="N20" s="434">
        <v>8571.1672628560773</v>
      </c>
      <c r="O20" s="65"/>
      <c r="P20" s="422">
        <v>95315.238376464782</v>
      </c>
    </row>
    <row r="21" spans="2:17" x14ac:dyDescent="0.25">
      <c r="B21" s="193" t="s">
        <v>24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434">
        <v>0</v>
      </c>
      <c r="O21" s="65"/>
      <c r="P21" s="422">
        <v>0</v>
      </c>
    </row>
    <row r="22" spans="2:17" x14ac:dyDescent="0.25">
      <c r="B22" s="194" t="s">
        <v>2</v>
      </c>
      <c r="C22" s="66">
        <v>7249.7138221771829</v>
      </c>
      <c r="D22" s="66">
        <v>4913.4871726024867</v>
      </c>
      <c r="E22" s="66">
        <v>6536.715075223894</v>
      </c>
      <c r="F22" s="66">
        <v>9380.6105949641606</v>
      </c>
      <c r="G22" s="66">
        <v>10754.416700710421</v>
      </c>
      <c r="H22" s="66">
        <v>10296.469025833439</v>
      </c>
      <c r="I22" s="66">
        <v>8231.4189836152764</v>
      </c>
      <c r="J22" s="66">
        <v>7580.1792553820114</v>
      </c>
      <c r="K22" s="66">
        <v>6911.5121495078683</v>
      </c>
      <c r="L22" s="66">
        <v>7871.841058711183</v>
      </c>
      <c r="M22" s="66">
        <v>7017.707274880775</v>
      </c>
      <c r="N22" s="291">
        <v>8571.1672628560773</v>
      </c>
      <c r="O22" s="67"/>
      <c r="P22" s="423">
        <v>95315.238376464782</v>
      </c>
    </row>
    <row r="23" spans="2:17" x14ac:dyDescent="0.25">
      <c r="B23" s="195" t="s">
        <v>3</v>
      </c>
      <c r="C23" s="196">
        <v>80.370052335922722</v>
      </c>
      <c r="D23" s="196">
        <v>59.794008464817153</v>
      </c>
      <c r="E23" s="196">
        <v>75.75967415903979</v>
      </c>
      <c r="F23" s="196">
        <v>108.7200518775831</v>
      </c>
      <c r="G23" s="196">
        <v>130.3078436724258</v>
      </c>
      <c r="H23" s="196">
        <v>113.65212523692119</v>
      </c>
      <c r="I23" s="196">
        <v>95.401071163235301</v>
      </c>
      <c r="J23" s="196">
        <v>92.036777644691625</v>
      </c>
      <c r="K23" s="196">
        <v>76.462454067750741</v>
      </c>
      <c r="L23" s="196">
        <v>91.233609967202582</v>
      </c>
      <c r="M23" s="196">
        <v>85.852883775497602</v>
      </c>
      <c r="N23" s="394">
        <v>94.608294624172601</v>
      </c>
      <c r="O23" s="67"/>
      <c r="P23" s="424">
        <v>1104.1988469892599</v>
      </c>
      <c r="Q23" s="152"/>
    </row>
    <row r="24" spans="2:17" x14ac:dyDescent="0.25">
      <c r="B24" s="197" t="s">
        <v>4</v>
      </c>
      <c r="C24" s="198">
        <v>5375.6771266420528</v>
      </c>
      <c r="D24" s="199">
        <v>3207.5442412200232</v>
      </c>
      <c r="E24" s="199">
        <v>4505.4851989075178</v>
      </c>
      <c r="F24" s="199">
        <v>6748.107226416907</v>
      </c>
      <c r="G24" s="199">
        <v>7779.5024400854227</v>
      </c>
      <c r="H24" s="199">
        <v>7231.6337639632848</v>
      </c>
      <c r="I24" s="199">
        <v>6123.8576013369666</v>
      </c>
      <c r="J24" s="199">
        <v>5252.8867615891386</v>
      </c>
      <c r="K24" s="199">
        <v>4808.0084518315589</v>
      </c>
      <c r="L24" s="199">
        <v>5880.5452968237687</v>
      </c>
      <c r="M24" s="199">
        <v>4643.0955504882249</v>
      </c>
      <c r="N24" s="435">
        <v>6105.5717917078182</v>
      </c>
      <c r="O24" s="67"/>
      <c r="P24" s="425">
        <v>5638.4929542510572</v>
      </c>
    </row>
    <row r="25" spans="2:17" x14ac:dyDescent="0.25">
      <c r="B25" s="195" t="s">
        <v>5</v>
      </c>
      <c r="C25" s="196">
        <v>40.158948928397457</v>
      </c>
      <c r="D25" s="196">
        <v>33.937139939490812</v>
      </c>
      <c r="E25" s="196">
        <v>40.724567927388982</v>
      </c>
      <c r="F25" s="196">
        <v>55.996280900159853</v>
      </c>
      <c r="G25" s="196">
        <v>66.743041880998604</v>
      </c>
      <c r="H25" s="196">
        <v>59.955613893100427</v>
      </c>
      <c r="I25" s="196">
        <v>47.51199591528713</v>
      </c>
      <c r="J25" s="196">
        <v>49.208852912261683</v>
      </c>
      <c r="K25" s="196">
        <v>40.724567927388968</v>
      </c>
      <c r="L25" s="196">
        <v>45.249519919321088</v>
      </c>
      <c r="M25" s="196">
        <v>48.077614914278662</v>
      </c>
      <c r="N25" s="394">
        <v>49.208852912261683</v>
      </c>
      <c r="P25" s="426"/>
    </row>
    <row r="26" spans="2:17" hidden="1" x14ac:dyDescent="0.25">
      <c r="B26" s="192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436"/>
      <c r="O26" s="7"/>
      <c r="P26" s="426"/>
    </row>
    <row r="27" spans="2:17" x14ac:dyDescent="0.25">
      <c r="B27" s="192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436"/>
      <c r="O27" s="7"/>
      <c r="P27" s="426"/>
    </row>
    <row r="28" spans="2:17" x14ac:dyDescent="0.25">
      <c r="B28" s="192" t="s">
        <v>9</v>
      </c>
      <c r="C28" s="65">
        <v>214.6847629654431</v>
      </c>
      <c r="D28" s="68">
        <v>145.50240945471211</v>
      </c>
      <c r="E28" s="68">
        <v>193.5708306449593</v>
      </c>
      <c r="F28" s="68">
        <v>277.78671150997411</v>
      </c>
      <c r="G28" s="68">
        <v>318.46903986208031</v>
      </c>
      <c r="H28" s="68">
        <v>304.9078993201195</v>
      </c>
      <c r="I28" s="68">
        <v>243.75586081217111</v>
      </c>
      <c r="J28" s="68">
        <v>224.4707896881566</v>
      </c>
      <c r="K28" s="68">
        <v>204.6696440638637</v>
      </c>
      <c r="L28" s="68">
        <v>233.1077299384398</v>
      </c>
      <c r="M28" s="68">
        <v>207.81438548096989</v>
      </c>
      <c r="N28" s="436">
        <v>253.81677915816229</v>
      </c>
      <c r="O28" s="7"/>
      <c r="P28" s="426">
        <v>2822.5568428990518</v>
      </c>
    </row>
    <row r="29" spans="2:17" x14ac:dyDescent="0.25">
      <c r="B29" s="192" t="s">
        <v>8</v>
      </c>
      <c r="C29" s="65">
        <v>244.43671460359201</v>
      </c>
      <c r="D29" s="68">
        <v>165.66676853420361</v>
      </c>
      <c r="E29" s="68">
        <v>220.3967213712246</v>
      </c>
      <c r="F29" s="68">
        <v>316.28360664312112</v>
      </c>
      <c r="G29" s="68">
        <v>362.60386965318901</v>
      </c>
      <c r="H29" s="68">
        <v>347.16336705502329</v>
      </c>
      <c r="I29" s="68">
        <v>277.5366120970977</v>
      </c>
      <c r="J29" s="68">
        <v>255.57893162952999</v>
      </c>
      <c r="K29" s="68">
        <v>233.03365680456011</v>
      </c>
      <c r="L29" s="68">
        <v>265.41281676345818</v>
      </c>
      <c r="M29" s="68">
        <v>236.61421021532561</v>
      </c>
      <c r="N29" s="436">
        <v>288.99181642748118</v>
      </c>
      <c r="O29" s="7"/>
      <c r="P29" s="426">
        <v>3213.7190917978069</v>
      </c>
    </row>
    <row r="30" spans="2:17" x14ac:dyDescent="0.25">
      <c r="B30" s="192" t="s">
        <v>10</v>
      </c>
      <c r="C30" s="65">
        <v>0</v>
      </c>
      <c r="D30" s="68">
        <v>300</v>
      </c>
      <c r="E30" s="68">
        <v>540</v>
      </c>
      <c r="F30" s="68">
        <v>940.80077816374637</v>
      </c>
      <c r="G30" s="68">
        <v>1179.6342787782839</v>
      </c>
      <c r="H30" s="68">
        <v>980.02097248150812</v>
      </c>
      <c r="I30" s="68">
        <v>381.0160674485295</v>
      </c>
      <c r="J30" s="68">
        <v>540</v>
      </c>
      <c r="K30" s="68">
        <v>300</v>
      </c>
      <c r="L30" s="68">
        <v>558.50414950803872</v>
      </c>
      <c r="M30" s="68">
        <v>540</v>
      </c>
      <c r="N30" s="436">
        <v>680.08064033071855</v>
      </c>
      <c r="O30" s="7"/>
      <c r="P30" s="426">
        <v>6940.056886710825</v>
      </c>
    </row>
    <row r="31" spans="2:17" ht="15.75" customHeight="1" x14ac:dyDescent="0.25">
      <c r="B31" s="201" t="s">
        <v>11</v>
      </c>
      <c r="C31" s="80">
        <v>459.12147756903511</v>
      </c>
      <c r="D31" s="80">
        <v>611.16917798891564</v>
      </c>
      <c r="E31" s="80">
        <v>953.96755201618396</v>
      </c>
      <c r="F31" s="80">
        <v>1534.871096316841</v>
      </c>
      <c r="G31" s="80">
        <v>1860.7071882935529</v>
      </c>
      <c r="H31" s="80">
        <v>1632.092238856651</v>
      </c>
      <c r="I31" s="80">
        <v>902.30854035779828</v>
      </c>
      <c r="J31" s="80">
        <v>1020.049721317687</v>
      </c>
      <c r="K31" s="80">
        <v>737.70330086842387</v>
      </c>
      <c r="L31" s="80">
        <v>1057.024696209937</v>
      </c>
      <c r="M31" s="80">
        <v>984.42859569629547</v>
      </c>
      <c r="N31" s="296">
        <v>1222.8892359163619</v>
      </c>
      <c r="P31" s="427">
        <v>12976.332821407679</v>
      </c>
    </row>
    <row r="32" spans="2:17" ht="5.65" customHeight="1" x14ac:dyDescent="0.25">
      <c r="B32" s="192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436"/>
      <c r="O32" s="7"/>
      <c r="P32" s="426"/>
    </row>
    <row r="33" spans="2:20" ht="15.75" customHeight="1" x14ac:dyDescent="0.25">
      <c r="B33" s="201" t="s">
        <v>12</v>
      </c>
      <c r="C33" s="80">
        <v>6790.5923446081479</v>
      </c>
      <c r="D33" s="80">
        <v>4302.3179946135706</v>
      </c>
      <c r="E33" s="80">
        <v>5582.7475232077104</v>
      </c>
      <c r="F33" s="80">
        <v>7845.7394986473191</v>
      </c>
      <c r="G33" s="80">
        <v>8893.7095124168718</v>
      </c>
      <c r="H33" s="80">
        <v>8664.3767869767908</v>
      </c>
      <c r="I33" s="80">
        <v>7329.1104432574784</v>
      </c>
      <c r="J33" s="80">
        <v>6560.1295340643246</v>
      </c>
      <c r="K33" s="80">
        <v>6173.8088486394436</v>
      </c>
      <c r="L33" s="80">
        <v>6814.8163625012457</v>
      </c>
      <c r="M33" s="80">
        <v>6033.2786791844792</v>
      </c>
      <c r="N33" s="296">
        <v>7348.2780269397153</v>
      </c>
      <c r="P33" s="427">
        <v>82338.905555057121</v>
      </c>
    </row>
    <row r="34" spans="2:20" x14ac:dyDescent="0.25">
      <c r="B34" s="203" t="s">
        <v>13</v>
      </c>
      <c r="C34" s="82">
        <v>0.93667039984881018</v>
      </c>
      <c r="D34" s="82">
        <v>0.87561396692011673</v>
      </c>
      <c r="E34" s="82">
        <v>0.85406009883588074</v>
      </c>
      <c r="F34" s="82">
        <v>0.83637833797931938</v>
      </c>
      <c r="G34" s="82">
        <v>0.82698204467280534</v>
      </c>
      <c r="H34" s="82">
        <v>0.8414901035722252</v>
      </c>
      <c r="I34" s="82">
        <v>0.89038238216839016</v>
      </c>
      <c r="J34" s="82">
        <v>0.86543197898737811</v>
      </c>
      <c r="K34" s="82">
        <v>0.89326455847712694</v>
      </c>
      <c r="L34" s="82">
        <v>0.86572077760129484</v>
      </c>
      <c r="M34" s="82">
        <v>0.85972219171637931</v>
      </c>
      <c r="N34" s="298">
        <v>0.85732523956032658</v>
      </c>
      <c r="P34" s="428">
        <v>0.86385878016529438</v>
      </c>
      <c r="T34" s="1"/>
    </row>
    <row r="35" spans="2:20" ht="3" customHeight="1" x14ac:dyDescent="0.25">
      <c r="B35" s="192"/>
      <c r="N35" s="227"/>
      <c r="O35" s="72"/>
      <c r="P35" s="421"/>
    </row>
    <row r="36" spans="2:20" x14ac:dyDescent="0.25">
      <c r="B36" s="192" t="s">
        <v>14</v>
      </c>
      <c r="C36" s="65">
        <v>2422.1893333333342</v>
      </c>
      <c r="D36" s="65">
        <v>6297.7866666666669</v>
      </c>
      <c r="E36" s="65">
        <v>6297.7866666666669</v>
      </c>
      <c r="F36" s="65">
        <v>6297.7866666666669</v>
      </c>
      <c r="G36" s="65">
        <v>6297.7866666666669</v>
      </c>
      <c r="H36" s="65">
        <v>6347.7866666666669</v>
      </c>
      <c r="I36" s="65">
        <v>6297.7866666666669</v>
      </c>
      <c r="J36" s="65">
        <v>6297.7866666666669</v>
      </c>
      <c r="K36" s="65">
        <v>6297.7866666666669</v>
      </c>
      <c r="L36" s="65">
        <v>6402.7866666666669</v>
      </c>
      <c r="M36" s="65">
        <v>6297.7866666666669</v>
      </c>
      <c r="N36" s="434">
        <v>6297.7866666666669</v>
      </c>
      <c r="P36" s="422">
        <v>71852.842666666678</v>
      </c>
    </row>
    <row r="37" spans="2:20" ht="15.75" customHeight="1" x14ac:dyDescent="0.25">
      <c r="B37" s="205" t="s">
        <v>25</v>
      </c>
      <c r="C37" s="71">
        <v>2422.1893333333342</v>
      </c>
      <c r="D37" s="71">
        <v>6297.7866666666669</v>
      </c>
      <c r="E37" s="71">
        <v>6297.7866666666669</v>
      </c>
      <c r="F37" s="71">
        <v>6297.7866666666669</v>
      </c>
      <c r="G37" s="71">
        <v>6297.7866666666669</v>
      </c>
      <c r="H37" s="71">
        <v>6347.7866666666669</v>
      </c>
      <c r="I37" s="71">
        <v>6297.7866666666669</v>
      </c>
      <c r="J37" s="71">
        <v>6297.7866666666669</v>
      </c>
      <c r="K37" s="71">
        <v>6297.7866666666669</v>
      </c>
      <c r="L37" s="71">
        <v>6402.7866666666669</v>
      </c>
      <c r="M37" s="71">
        <v>6297.7866666666669</v>
      </c>
      <c r="N37" s="302">
        <v>6297.7866666666669</v>
      </c>
      <c r="O37" s="69"/>
      <c r="P37" s="429">
        <v>71852.842666666678</v>
      </c>
    </row>
    <row r="38" spans="2:20" ht="4.9000000000000004" customHeight="1" x14ac:dyDescent="0.25">
      <c r="B38" s="192"/>
      <c r="N38" s="227"/>
      <c r="O38" s="7"/>
      <c r="P38" s="421"/>
    </row>
    <row r="39" spans="2:20" ht="15.75" customHeight="1" x14ac:dyDescent="0.25">
      <c r="B39" s="201" t="s">
        <v>16</v>
      </c>
      <c r="C39" s="80">
        <v>4368.4030112748142</v>
      </c>
      <c r="D39" s="80">
        <v>-1995.4686720530949</v>
      </c>
      <c r="E39" s="80">
        <v>-715.03914345895646</v>
      </c>
      <c r="F39" s="80">
        <v>1547.952831980652</v>
      </c>
      <c r="G39" s="80">
        <v>2595.9228457502049</v>
      </c>
      <c r="H39" s="80">
        <v>2316.5901203101239</v>
      </c>
      <c r="I39" s="80">
        <v>1031.323776590812</v>
      </c>
      <c r="J39" s="80">
        <v>262.34286739765781</v>
      </c>
      <c r="K39" s="80">
        <v>-123.9778180272224</v>
      </c>
      <c r="L39" s="80">
        <v>412.02969583457889</v>
      </c>
      <c r="M39" s="80">
        <v>-264.50798748218767</v>
      </c>
      <c r="N39" s="296">
        <v>1050.491360273048</v>
      </c>
      <c r="P39" s="427">
        <v>10486.062888390439</v>
      </c>
    </row>
    <row r="40" spans="2:20" x14ac:dyDescent="0.25">
      <c r="B40" s="203" t="s">
        <v>17</v>
      </c>
      <c r="C40" s="82">
        <v>0.60256213119912172</v>
      </c>
      <c r="D40" s="82">
        <v>-0.4061206637883969</v>
      </c>
      <c r="E40" s="82">
        <v>-0.1093881460688364</v>
      </c>
      <c r="F40" s="82">
        <v>0.16501621257060251</v>
      </c>
      <c r="G40" s="82">
        <v>0.2413820217305436</v>
      </c>
      <c r="H40" s="82">
        <v>0.22498879125435031</v>
      </c>
      <c r="I40" s="82">
        <v>0.12529112886170321</v>
      </c>
      <c r="J40" s="82">
        <v>3.4609058514202207E-2</v>
      </c>
      <c r="K40" s="82">
        <v>-1.7937871676323418E-2</v>
      </c>
      <c r="L40" s="82">
        <v>5.2342227537561389E-2</v>
      </c>
      <c r="M40" s="82">
        <v>-3.7691510506425538E-2</v>
      </c>
      <c r="N40" s="298">
        <v>0.12256106176173311</v>
      </c>
      <c r="O40" s="119"/>
      <c r="P40" s="428">
        <v>0.1100145482191823</v>
      </c>
    </row>
    <row r="41" spans="2:20" ht="5.65" customHeight="1" x14ac:dyDescent="0.25">
      <c r="B41" s="206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437"/>
      <c r="O41" s="69"/>
      <c r="P41" s="430"/>
    </row>
    <row r="42" spans="2:20" x14ac:dyDescent="0.25">
      <c r="B42" s="192" t="s">
        <v>18</v>
      </c>
      <c r="C42" s="119">
        <v>0</v>
      </c>
      <c r="D42" s="119">
        <v>0</v>
      </c>
      <c r="E42" s="119">
        <v>0</v>
      </c>
      <c r="F42" s="119">
        <v>0</v>
      </c>
      <c r="G42" s="119">
        <v>0</v>
      </c>
      <c r="H42" s="119">
        <v>0</v>
      </c>
      <c r="I42" s="119">
        <v>0</v>
      </c>
      <c r="J42" s="119">
        <v>0</v>
      </c>
      <c r="K42" s="119">
        <v>0</v>
      </c>
      <c r="L42" s="119">
        <v>0</v>
      </c>
      <c r="M42" s="119">
        <v>0</v>
      </c>
      <c r="N42" s="438">
        <v>0</v>
      </c>
      <c r="O42" s="7"/>
      <c r="P42" s="431">
        <v>0</v>
      </c>
    </row>
    <row r="43" spans="2:20" ht="15.75" customHeight="1" x14ac:dyDescent="0.25">
      <c r="B43" s="201" t="s">
        <v>19</v>
      </c>
      <c r="C43" s="80">
        <v>4368.4030112748142</v>
      </c>
      <c r="D43" s="80">
        <v>-1995.4686720530949</v>
      </c>
      <c r="E43" s="80">
        <v>-715.03914345895646</v>
      </c>
      <c r="F43" s="80">
        <v>1547.952831980652</v>
      </c>
      <c r="G43" s="80">
        <v>2595.9228457502049</v>
      </c>
      <c r="H43" s="80">
        <v>2316.5901203101239</v>
      </c>
      <c r="I43" s="80">
        <v>1031.323776590812</v>
      </c>
      <c r="J43" s="80">
        <v>262.34286739765781</v>
      </c>
      <c r="K43" s="80">
        <v>-123.9778180272224</v>
      </c>
      <c r="L43" s="80">
        <v>412.02969583457889</v>
      </c>
      <c r="M43" s="80">
        <v>-264.50798748218767</v>
      </c>
      <c r="N43" s="296">
        <v>1050.491360273048</v>
      </c>
      <c r="P43" s="427">
        <v>10486.062888390439</v>
      </c>
    </row>
    <row r="44" spans="2:20" x14ac:dyDescent="0.25">
      <c r="B44" s="203" t="s">
        <v>20</v>
      </c>
      <c r="C44" s="82">
        <v>0.60256213119912172</v>
      </c>
      <c r="D44" s="82">
        <v>-0.4061206637883969</v>
      </c>
      <c r="E44" s="82">
        <v>-0.1093881460688364</v>
      </c>
      <c r="F44" s="82">
        <v>0.16501621257060251</v>
      </c>
      <c r="G44" s="82">
        <v>0.2413820217305436</v>
      </c>
      <c r="H44" s="82">
        <v>0.22498879125435031</v>
      </c>
      <c r="I44" s="82">
        <v>0.12529112886170321</v>
      </c>
      <c r="J44" s="82">
        <v>3.4609058514202207E-2</v>
      </c>
      <c r="K44" s="82">
        <v>-1.7937871676323418E-2</v>
      </c>
      <c r="L44" s="82">
        <v>5.2342227537561389E-2</v>
      </c>
      <c r="M44" s="82">
        <v>-3.7691510506425538E-2</v>
      </c>
      <c r="N44" s="298">
        <v>0.12256106176173311</v>
      </c>
      <c r="P44" s="432">
        <v>0.1100145482191823</v>
      </c>
    </row>
    <row r="45" spans="2:20" ht="6" customHeight="1" thickBot="1" x14ac:dyDescent="0.3">
      <c r="B45" s="192"/>
      <c r="E45" s="100"/>
      <c r="P45" s="89"/>
    </row>
    <row r="46" spans="2:20" ht="15.75" customHeight="1" thickBot="1" x14ac:dyDescent="0.3">
      <c r="B46" s="208" t="s">
        <v>41</v>
      </c>
      <c r="C46" s="210">
        <v>1971.0958937687469</v>
      </c>
      <c r="D46" s="209">
        <v>1048.939305835873</v>
      </c>
      <c r="E46" s="209">
        <v>874.49432173702985</v>
      </c>
      <c r="F46" s="209">
        <v>2144.9226219490529</v>
      </c>
      <c r="G46" s="211">
        <v>4127.9301798082952</v>
      </c>
      <c r="H46" s="211">
        <v>5968.4947848120328</v>
      </c>
      <c r="I46" s="211">
        <v>5707.961391715201</v>
      </c>
      <c r="J46" s="211">
        <v>4917.3936901292591</v>
      </c>
      <c r="K46" s="211">
        <v>3876.0897638125498</v>
      </c>
      <c r="L46" s="210">
        <v>3148.3979830378898</v>
      </c>
      <c r="M46" s="209">
        <v>2019.710716929068</v>
      </c>
      <c r="N46" s="211">
        <v>1694.350690855048</v>
      </c>
      <c r="P46" s="89"/>
    </row>
    <row r="47" spans="2:20" ht="15.75" customHeight="1" thickBot="1" x14ac:dyDescent="0.3">
      <c r="B47" s="398" t="s">
        <v>42</v>
      </c>
      <c r="C47" s="399">
        <v>28.95</v>
      </c>
      <c r="D47" s="400">
        <v>28.95</v>
      </c>
      <c r="E47" s="400">
        <v>28.95</v>
      </c>
      <c r="F47" s="400">
        <v>28.95</v>
      </c>
      <c r="G47" s="401">
        <v>28.95</v>
      </c>
      <c r="H47" s="401">
        <v>28.95</v>
      </c>
      <c r="I47" s="401">
        <v>28.95</v>
      </c>
      <c r="J47" s="401">
        <v>28.95</v>
      </c>
      <c r="K47" s="401">
        <v>28.95</v>
      </c>
      <c r="L47" s="399">
        <v>28.95</v>
      </c>
      <c r="M47" s="400">
        <v>28.95</v>
      </c>
      <c r="N47" s="401">
        <v>28.95</v>
      </c>
      <c r="P47" s="89"/>
    </row>
    <row r="48" spans="2:20" ht="15.75" customHeight="1" thickBot="1" x14ac:dyDescent="0.3">
      <c r="B48" s="212" t="s">
        <v>43</v>
      </c>
      <c r="C48" s="395">
        <v>3032.4552211826872</v>
      </c>
      <c r="D48" s="396">
        <v>1613.7527782090349</v>
      </c>
      <c r="E48" s="396">
        <v>1345.37587959543</v>
      </c>
      <c r="F48" s="396">
        <v>3299.8809568446968</v>
      </c>
      <c r="G48" s="397">
        <v>6350.6618150896848</v>
      </c>
      <c r="H48" s="397">
        <v>9182.2996689415886</v>
      </c>
      <c r="I48" s="397">
        <v>8781.4790641772324</v>
      </c>
      <c r="J48" s="397">
        <v>7565.2210617373212</v>
      </c>
      <c r="K48" s="397">
        <v>5963.2150212500756</v>
      </c>
      <c r="L48" s="395">
        <v>4843.6892046736766</v>
      </c>
      <c r="M48" s="396">
        <v>3107.2472568139519</v>
      </c>
      <c r="N48" s="397">
        <v>2606.6933705462288</v>
      </c>
      <c r="P48" s="89"/>
    </row>
    <row r="49" spans="2:16" ht="15.75" customHeight="1" thickBot="1" x14ac:dyDescent="0.3">
      <c r="B49" s="77" t="s">
        <v>44</v>
      </c>
      <c r="C49" s="78">
        <v>2311.7783648722229</v>
      </c>
      <c r="D49" s="150">
        <v>-1418.7024429736521</v>
      </c>
      <c r="E49" s="150">
        <v>-268.37689861360468</v>
      </c>
      <c r="F49" s="150">
        <v>1954.5050772492659</v>
      </c>
      <c r="G49" s="150">
        <v>3050.7808582449879</v>
      </c>
      <c r="H49" s="150">
        <v>2831.6378538519039</v>
      </c>
      <c r="I49" s="150">
        <v>-400.82060476435657</v>
      </c>
      <c r="J49" s="150">
        <v>-1216.258002439911</v>
      </c>
      <c r="K49" s="150">
        <v>-1602.0060404872449</v>
      </c>
      <c r="L49" s="150">
        <v>-1119.5258165764001</v>
      </c>
      <c r="M49" s="78">
        <v>-1736.4419478597249</v>
      </c>
      <c r="N49" s="78">
        <v>-500.5538862677231</v>
      </c>
      <c r="P49" s="89"/>
    </row>
    <row r="50" spans="2:16" ht="15.75" customHeight="1" thickBot="1" x14ac:dyDescent="0.3">
      <c r="B50" s="213" t="s">
        <v>45</v>
      </c>
      <c r="C50" s="214">
        <v>2422.1893333333342</v>
      </c>
      <c r="D50" s="215">
        <v>6297.7866666666669</v>
      </c>
      <c r="E50" s="215">
        <v>6297.7866666666669</v>
      </c>
      <c r="F50" s="215">
        <v>6297.7866666666669</v>
      </c>
      <c r="G50" s="215">
        <v>6297.7866666666669</v>
      </c>
      <c r="H50" s="215">
        <v>6347.7866666666669</v>
      </c>
      <c r="I50" s="215">
        <v>6297.7866666666669</v>
      </c>
      <c r="J50" s="215">
        <v>6297.7866666666669</v>
      </c>
      <c r="K50" s="215">
        <v>6297.7866666666669</v>
      </c>
      <c r="L50" s="215">
        <v>6402.7866666666669</v>
      </c>
      <c r="M50" s="215">
        <v>6297.7866666666669</v>
      </c>
      <c r="N50" s="215">
        <v>6297.7866666666669</v>
      </c>
      <c r="P50" s="89"/>
    </row>
    <row r="51" spans="2:16" ht="15.75" customHeight="1" thickBot="1" x14ac:dyDescent="0.3">
      <c r="B51" s="213" t="s">
        <v>46</v>
      </c>
      <c r="C51" s="214">
        <v>-2000</v>
      </c>
      <c r="D51" s="215">
        <v>-1500</v>
      </c>
      <c r="E51" s="215">
        <v>-1500</v>
      </c>
      <c r="F51" s="215">
        <v>-1500</v>
      </c>
      <c r="G51" s="215">
        <v>-1500</v>
      </c>
      <c r="H51" s="215">
        <v>-1500</v>
      </c>
      <c r="I51" s="215">
        <v>-1500</v>
      </c>
      <c r="J51" s="215">
        <v>-1500</v>
      </c>
      <c r="K51" s="215">
        <v>-1500</v>
      </c>
      <c r="L51" s="215">
        <v>-1500</v>
      </c>
      <c r="M51" s="215">
        <v>-1500</v>
      </c>
      <c r="N51" s="215">
        <v>-1500</v>
      </c>
      <c r="P51" s="89"/>
    </row>
    <row r="52" spans="2:16" ht="15.75" customHeight="1" thickBot="1" x14ac:dyDescent="0.3">
      <c r="B52" s="213" t="s">
        <v>47</v>
      </c>
      <c r="C52" s="78">
        <v>-32096.06982988671</v>
      </c>
      <c r="D52" s="78">
        <v>-38423.252262475173</v>
      </c>
      <c r="E52" s="78">
        <v>-44525.631465256862</v>
      </c>
      <c r="F52" s="78">
        <v>-49542.440928028343</v>
      </c>
      <c r="G52" s="216">
        <v>-51632.187225129317</v>
      </c>
      <c r="H52" s="150">
        <v>-54259.201525648903</v>
      </c>
      <c r="I52" s="150">
        <v>-59152.840125770192</v>
      </c>
      <c r="J52" s="150">
        <v>-63722.694215340489</v>
      </c>
      <c r="K52" s="150">
        <v>-69200.348109192302</v>
      </c>
      <c r="L52" s="150">
        <v>-73914.531252843561</v>
      </c>
      <c r="M52" s="78">
        <v>-78664.643781315332</v>
      </c>
      <c r="N52" s="78">
        <v>-83134.824797219306</v>
      </c>
      <c r="P52" s="89"/>
    </row>
    <row r="53" spans="2:16" ht="15.75" customHeight="1" thickBot="1" x14ac:dyDescent="0.3">
      <c r="B53" s="213" t="s">
        <v>48</v>
      </c>
      <c r="C53" s="216">
        <v>-31034.710502472761</v>
      </c>
      <c r="D53" s="216">
        <v>-37858.438790102002</v>
      </c>
      <c r="E53" s="216">
        <v>-44054.749907398473</v>
      </c>
      <c r="F53" s="216">
        <v>-48387.4825931327</v>
      </c>
      <c r="G53" s="216">
        <v>-49409.45558984793</v>
      </c>
      <c r="H53" s="216">
        <v>-51045.396641519343</v>
      </c>
      <c r="I53" s="216">
        <v>-56079.322453308159</v>
      </c>
      <c r="J53" s="216">
        <v>-61074.86684373243</v>
      </c>
      <c r="K53" s="216">
        <v>-67113.222851754763</v>
      </c>
      <c r="L53" s="216">
        <v>-72219.240031207766</v>
      </c>
      <c r="M53" s="216">
        <v>-77577.107241430465</v>
      </c>
      <c r="N53" s="216">
        <v>-82222.482117528125</v>
      </c>
      <c r="P53" s="89"/>
    </row>
    <row r="54" spans="2:16" ht="15.75" customHeight="1" thickBot="1" x14ac:dyDescent="0.3">
      <c r="B54" s="213" t="s">
        <v>49</v>
      </c>
      <c r="C54" s="217">
        <v>-0.81376623480386323</v>
      </c>
      <c r="D54" s="218">
        <v>-0.16655681771308109</v>
      </c>
      <c r="E54" s="218">
        <v>-0.13885740626395141</v>
      </c>
      <c r="F54" s="218">
        <v>-0.34058356300029002</v>
      </c>
      <c r="G54" s="218">
        <v>-0.65545728972638462</v>
      </c>
      <c r="H54" s="218">
        <v>-0.94024816809828193</v>
      </c>
      <c r="I54" s="218">
        <v>-0.90634403701330002</v>
      </c>
      <c r="J54" s="218">
        <v>-0.78081299834374496</v>
      </c>
      <c r="K54" s="218">
        <v>-0.61546857157422763</v>
      </c>
      <c r="L54" s="218">
        <v>-0.49172308042506851</v>
      </c>
      <c r="M54" s="218">
        <v>-0.32070167248108361</v>
      </c>
      <c r="N54" s="218">
        <v>-0.2690390736515445</v>
      </c>
      <c r="P54" s="89"/>
    </row>
    <row r="55" spans="2:16" x14ac:dyDescent="0.25">
      <c r="B55" s="213" t="s">
        <v>50</v>
      </c>
      <c r="C55" s="217">
        <v>1.5162276105913439</v>
      </c>
      <c r="D55" s="218">
        <v>1.07583518547269</v>
      </c>
      <c r="E55" s="218">
        <v>0.89691725306362025</v>
      </c>
      <c r="F55" s="218">
        <v>2.1999206378964651</v>
      </c>
      <c r="G55" s="218">
        <v>4.2337745433931229</v>
      </c>
      <c r="H55" s="218">
        <v>6.1215331126277261</v>
      </c>
      <c r="I55" s="218">
        <v>5.8543193761181547</v>
      </c>
      <c r="J55" s="218">
        <v>5.0434807078248811</v>
      </c>
      <c r="K55" s="218">
        <v>3.9754766808333839</v>
      </c>
      <c r="L55" s="218">
        <v>3.2291261364491182</v>
      </c>
      <c r="M55" s="218">
        <v>2.071498171209301</v>
      </c>
      <c r="N55" s="218">
        <v>1.737795580364152</v>
      </c>
      <c r="P55" s="89"/>
    </row>
    <row r="56" spans="2:16" x14ac:dyDescent="0.25">
      <c r="B56" s="88"/>
      <c r="E56" s="9"/>
      <c r="P56" s="89"/>
    </row>
    <row r="57" spans="2:16" x14ac:dyDescent="0.25">
      <c r="B57" s="88"/>
      <c r="P57" s="89"/>
    </row>
    <row r="58" spans="2:16" x14ac:dyDescent="0.25">
      <c r="B58" s="88"/>
      <c r="P58" s="89"/>
    </row>
    <row r="59" spans="2:16" x14ac:dyDescent="0.25">
      <c r="B59" s="88"/>
      <c r="P59" s="89"/>
    </row>
    <row r="60" spans="2:16" x14ac:dyDescent="0.25">
      <c r="B60" s="88"/>
      <c r="P60" s="89"/>
    </row>
    <row r="61" spans="2:16" x14ac:dyDescent="0.25">
      <c r="B61" s="88"/>
      <c r="P61" s="89"/>
    </row>
    <row r="62" spans="2:16" x14ac:dyDescent="0.25">
      <c r="B62" s="88"/>
      <c r="P62" s="89"/>
    </row>
    <row r="63" spans="2:16" x14ac:dyDescent="0.25">
      <c r="B63" s="88"/>
      <c r="P63" s="89"/>
    </row>
    <row r="64" spans="2:16" x14ac:dyDescent="0.25">
      <c r="B64" s="88"/>
      <c r="P64" s="89"/>
    </row>
    <row r="65" spans="2:16" x14ac:dyDescent="0.25">
      <c r="B65" s="88"/>
      <c r="P65" s="89"/>
    </row>
    <row r="66" spans="2:16" x14ac:dyDescent="0.25">
      <c r="B66" s="88"/>
      <c r="P66" s="89"/>
    </row>
    <row r="67" spans="2:16" x14ac:dyDescent="0.25">
      <c r="B67" s="88"/>
      <c r="P67" s="89"/>
    </row>
    <row r="68" spans="2:16" x14ac:dyDescent="0.25">
      <c r="B68" s="88"/>
      <c r="P68" s="89"/>
    </row>
    <row r="69" spans="2:16" x14ac:dyDescent="0.25">
      <c r="B69" s="88"/>
      <c r="P69" s="89"/>
    </row>
    <row r="70" spans="2:16" x14ac:dyDescent="0.25">
      <c r="B70" s="88"/>
      <c r="P70" s="89"/>
    </row>
    <row r="71" spans="2:16" ht="15.75" customHeight="1" thickBot="1" x14ac:dyDescent="0.3">
      <c r="B71" s="88"/>
      <c r="O71" s="100"/>
      <c r="P71" s="89"/>
    </row>
    <row r="72" spans="2:16" x14ac:dyDescent="0.25">
      <c r="B72" s="88"/>
      <c r="P72" s="89"/>
    </row>
    <row r="73" spans="2:16" ht="198.4" customHeight="1" thickBot="1" x14ac:dyDescent="0.3">
      <c r="B73" s="98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1"/>
    </row>
  </sheetData>
  <mergeCells count="1">
    <mergeCell ref="B15:P17"/>
  </mergeCells>
  <conditionalFormatting sqref="C51:N51">
    <cfRule type="cellIs" dxfId="2" priority="1" operator="greaterThan">
      <formula>0</formula>
    </cfRule>
  </conditionalFormatting>
  <pageMargins left="0.25" right="0.25" top="0.75" bottom="0.75" header="0.3" footer="0.3"/>
  <pageSetup scale="42" orientation="landscape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  <pageSetUpPr fitToPage="1"/>
  </sheetPr>
  <dimension ref="B14:T73"/>
  <sheetViews>
    <sheetView showGridLines="0" topLeftCell="A22" zoomScale="70" zoomScaleNormal="70" workbookViewId="0">
      <selection activeCell="B6" sqref="B6:P73"/>
    </sheetView>
  </sheetViews>
  <sheetFormatPr defaultColWidth="8.7109375" defaultRowHeight="15" x14ac:dyDescent="0.25"/>
  <cols>
    <col min="2" max="2" width="48.28515625" bestFit="1" customWidth="1"/>
    <col min="3" max="14" width="16.7109375" bestFit="1" customWidth="1"/>
    <col min="15" max="15" width="0.28515625" customWidth="1"/>
    <col min="16" max="16" width="17.28515625" bestFit="1" customWidth="1"/>
  </cols>
  <sheetData>
    <row r="14" spans="2:16" ht="15.75" customHeight="1" thickBot="1" x14ac:dyDescent="0.3"/>
    <row r="15" spans="2:16" ht="15" customHeight="1" x14ac:dyDescent="0.25">
      <c r="B15" s="636" t="s">
        <v>52</v>
      </c>
      <c r="C15" s="637"/>
      <c r="D15" s="637"/>
      <c r="E15" s="637"/>
      <c r="F15" s="637"/>
      <c r="G15" s="637"/>
      <c r="H15" s="637"/>
      <c r="I15" s="637"/>
      <c r="J15" s="637"/>
      <c r="K15" s="637"/>
      <c r="L15" s="637"/>
      <c r="M15" s="637"/>
      <c r="N15" s="637"/>
      <c r="O15" s="637"/>
      <c r="P15" s="638"/>
    </row>
    <row r="16" spans="2:16" ht="15" customHeight="1" x14ac:dyDescent="0.25">
      <c r="B16" s="639"/>
      <c r="C16" s="640"/>
      <c r="D16" s="640"/>
      <c r="E16" s="640"/>
      <c r="F16" s="640"/>
      <c r="G16" s="640"/>
      <c r="H16" s="640"/>
      <c r="I16" s="640"/>
      <c r="J16" s="640"/>
      <c r="K16" s="640"/>
      <c r="L16" s="640"/>
      <c r="M16" s="640"/>
      <c r="N16" s="640"/>
      <c r="O16" s="640"/>
      <c r="P16" s="641"/>
    </row>
    <row r="17" spans="2:17" x14ac:dyDescent="0.25">
      <c r="B17" s="639"/>
      <c r="C17" s="640"/>
      <c r="D17" s="640"/>
      <c r="E17" s="640"/>
      <c r="F17" s="640"/>
      <c r="G17" s="640"/>
      <c r="H17" s="640"/>
      <c r="I17" s="640"/>
      <c r="J17" s="640"/>
      <c r="K17" s="640"/>
      <c r="L17" s="640"/>
      <c r="M17" s="640"/>
      <c r="N17" s="640"/>
      <c r="O17" s="640"/>
      <c r="P17" s="641"/>
    </row>
    <row r="18" spans="2:17" ht="15.75" customHeight="1" x14ac:dyDescent="0.25">
      <c r="B18" s="191"/>
      <c r="C18" s="61" t="s">
        <v>29</v>
      </c>
      <c r="D18" s="61" t="s">
        <v>30</v>
      </c>
      <c r="E18" s="61" t="s">
        <v>31</v>
      </c>
      <c r="F18" s="61" t="s">
        <v>32</v>
      </c>
      <c r="G18" s="61" t="s">
        <v>33</v>
      </c>
      <c r="H18" s="61" t="s">
        <v>34</v>
      </c>
      <c r="I18" s="61" t="s">
        <v>35</v>
      </c>
      <c r="J18" s="61" t="s">
        <v>36</v>
      </c>
      <c r="K18" s="61" t="s">
        <v>37</v>
      </c>
      <c r="L18" s="61" t="s">
        <v>38</v>
      </c>
      <c r="M18" s="61" t="s">
        <v>39</v>
      </c>
      <c r="N18" s="433" t="s">
        <v>40</v>
      </c>
      <c r="O18" s="62"/>
      <c r="P18" s="420" t="s">
        <v>23</v>
      </c>
    </row>
    <row r="19" spans="2:17" x14ac:dyDescent="0.25">
      <c r="B19" s="192"/>
      <c r="C19" s="83">
        <v>45322</v>
      </c>
      <c r="D19" s="83">
        <v>45351</v>
      </c>
      <c r="E19" s="83">
        <v>45382</v>
      </c>
      <c r="F19" s="83">
        <v>45412</v>
      </c>
      <c r="G19" s="83">
        <v>45443</v>
      </c>
      <c r="H19" s="83">
        <v>45473</v>
      </c>
      <c r="I19" s="83">
        <v>45504</v>
      </c>
      <c r="J19" s="83">
        <v>45535</v>
      </c>
      <c r="K19" s="83">
        <v>45565</v>
      </c>
      <c r="L19" s="83">
        <v>45596</v>
      </c>
      <c r="M19" s="83">
        <v>45626</v>
      </c>
      <c r="N19" s="363">
        <v>45657</v>
      </c>
      <c r="O19" s="83">
        <v>45322</v>
      </c>
      <c r="P19" s="421"/>
    </row>
    <row r="20" spans="2:17" x14ac:dyDescent="0.25">
      <c r="B20" s="193" t="s">
        <v>0</v>
      </c>
      <c r="C20" s="65">
        <f>SUMIF('Monthly Detail'!$4:$4, '2024 Overview'!C$19, 'Monthly Detail'!13:13)</f>
        <v>5728.5</v>
      </c>
      <c r="D20" s="65">
        <f>SUMIF('Monthly Detail'!$4:$4, '2024 Overview'!D$19, 'Monthly Detail'!13:13)</f>
        <v>6746.25</v>
      </c>
      <c r="E20" s="65">
        <f>SUMIF('Monthly Detail'!$4:$4, '2024 Overview'!E$19, 'Monthly Detail'!13:13)</f>
        <v>7639.25</v>
      </c>
      <c r="F20" s="65">
        <f>SUMIF('Monthly Detail'!$4:$4, '2024 Overview'!F$19, 'Monthly Detail'!13:13)</f>
        <v>7817</v>
      </c>
      <c r="G20" s="65">
        <f>SUMIF('Monthly Detail'!$4:$4, '2024 Overview'!G$19, 'Monthly Detail'!13:13)</f>
        <v>8048</v>
      </c>
      <c r="H20" s="65">
        <f>SUMIF('Monthly Detail'!$4:$4, '2024 Overview'!H$19, 'Monthly Detail'!13:13)</f>
        <v>7154</v>
      </c>
      <c r="I20" s="65">
        <f>SUMIF('Monthly Detail'!$4:$4, '2024 Overview'!I$19, 'Monthly Detail'!13:13)</f>
        <v>6015.5</v>
      </c>
      <c r="J20" s="65">
        <f>SUMIF('Monthly Detail'!$4:$4, '2024 Overview'!J$19, 'Monthly Detail'!13:13)</f>
        <v>7295</v>
      </c>
      <c r="K20" s="65">
        <f>SUMIF('Monthly Detail'!$4:$4, '2024 Overview'!K$19, 'Monthly Detail'!13:13)</f>
        <v>4538</v>
      </c>
      <c r="L20" s="65">
        <f>SUMIF('Monthly Detail'!$4:$4, '2024 Overview'!L$19, 'Monthly Detail'!13:13)</f>
        <v>7697</v>
      </c>
      <c r="M20" s="65">
        <f>SUMIF('Monthly Detail'!$4:$4, '2024 Overview'!M$19, 'Monthly Detail'!13:13)</f>
        <v>4938.75</v>
      </c>
      <c r="N20" s="434">
        <f>SUMIF('Monthly Detail'!$4:$4, '2024 Overview'!N$19, 'Monthly Detail'!13:13)</f>
        <v>6152</v>
      </c>
      <c r="O20" s="65"/>
      <c r="P20" s="422">
        <f>SUM(C20:O20)</f>
        <v>79769.25</v>
      </c>
    </row>
    <row r="21" spans="2:17" x14ac:dyDescent="0.25">
      <c r="B21" s="193" t="s">
        <v>24</v>
      </c>
      <c r="C21" s="65">
        <f>SUMIF('Monthly Detail'!$4:$4, '2024 Overview'!C$19, 'Monthly Detail'!12:12)</f>
        <v>0</v>
      </c>
      <c r="D21" s="65">
        <f>SUMIF('Monthly Detail'!$4:$4, '2024 Overview'!D$19, 'Monthly Detail'!12:12)</f>
        <v>0</v>
      </c>
      <c r="E21" s="65">
        <f>SUMIF('Monthly Detail'!$4:$4, '2024 Overview'!E$19, 'Monthly Detail'!12:12)</f>
        <v>0</v>
      </c>
      <c r="F21" s="65">
        <f>SUMIF('Monthly Detail'!$4:$4, '2024 Overview'!F$19, 'Monthly Detail'!12:12)</f>
        <v>0</v>
      </c>
      <c r="G21" s="65">
        <f>SUMIF('Monthly Detail'!$4:$4, '2024 Overview'!G$19, 'Monthly Detail'!12:12)</f>
        <v>0</v>
      </c>
      <c r="H21" s="65">
        <f>SUMIF('Monthly Detail'!$4:$4, '2024 Overview'!H$19, 'Monthly Detail'!12:12)</f>
        <v>0</v>
      </c>
      <c r="I21" s="65">
        <f>SUMIF('Monthly Detail'!$4:$4, '2024 Overview'!I$19, 'Monthly Detail'!12:12)</f>
        <v>0</v>
      </c>
      <c r="J21" s="65">
        <f>SUMIF('Monthly Detail'!$4:$4, '2024 Overview'!J$19, 'Monthly Detail'!12:12)</f>
        <v>0</v>
      </c>
      <c r="K21" s="65">
        <f>SUMIF('Monthly Detail'!$4:$4, '2024 Overview'!K$19, 'Monthly Detail'!12:12)</f>
        <v>0</v>
      </c>
      <c r="L21" s="65">
        <f>SUMIF('Monthly Detail'!$4:$4, '2024 Overview'!L$19, 'Monthly Detail'!12:12)</f>
        <v>0</v>
      </c>
      <c r="M21" s="65">
        <f>SUMIF('Monthly Detail'!$4:$4, '2024 Overview'!M$19, 'Monthly Detail'!12:12)</f>
        <v>0</v>
      </c>
      <c r="N21" s="434">
        <f>SUMIF('Monthly Detail'!$4:$4, '2024 Overview'!N$19, 'Monthly Detail'!12:12)</f>
        <v>0</v>
      </c>
      <c r="O21" s="65"/>
      <c r="P21" s="422">
        <f>SUM(C21:O21)</f>
        <v>0</v>
      </c>
    </row>
    <row r="22" spans="2:17" x14ac:dyDescent="0.25">
      <c r="B22" s="194" t="s">
        <v>2</v>
      </c>
      <c r="C22" s="66">
        <f t="shared" ref="C22:N22" si="0">SUM(C20:C21)</f>
        <v>5728.5</v>
      </c>
      <c r="D22" s="66">
        <f t="shared" si="0"/>
        <v>6746.25</v>
      </c>
      <c r="E22" s="66">
        <f t="shared" si="0"/>
        <v>7639.25</v>
      </c>
      <c r="F22" s="66">
        <f t="shared" si="0"/>
        <v>7817</v>
      </c>
      <c r="G22" s="66">
        <f t="shared" si="0"/>
        <v>8048</v>
      </c>
      <c r="H22" s="66">
        <f t="shared" si="0"/>
        <v>7154</v>
      </c>
      <c r="I22" s="66">
        <f t="shared" si="0"/>
        <v>6015.5</v>
      </c>
      <c r="J22" s="66">
        <f t="shared" si="0"/>
        <v>7295</v>
      </c>
      <c r="K22" s="66">
        <f t="shared" si="0"/>
        <v>4538</v>
      </c>
      <c r="L22" s="66">
        <f t="shared" si="0"/>
        <v>7697</v>
      </c>
      <c r="M22" s="66">
        <f t="shared" si="0"/>
        <v>4938.75</v>
      </c>
      <c r="N22" s="291">
        <f t="shared" si="0"/>
        <v>6152</v>
      </c>
      <c r="O22" s="67"/>
      <c r="P22" s="423">
        <f>SUM(P20:P20)</f>
        <v>79769.25</v>
      </c>
    </row>
    <row r="23" spans="2:17" x14ac:dyDescent="0.25">
      <c r="B23" s="195" t="s">
        <v>3</v>
      </c>
      <c r="C23" s="196">
        <f>+'Monthly Detail'!AB15</f>
        <v>67</v>
      </c>
      <c r="D23" s="196">
        <f>+'Monthly Detail'!AC15</f>
        <v>74</v>
      </c>
      <c r="E23" s="196">
        <f>+'Monthly Detail'!AD15</f>
        <v>77</v>
      </c>
      <c r="F23" s="196">
        <f>+'Monthly Detail'!AE15</f>
        <v>78</v>
      </c>
      <c r="G23" s="196">
        <f>+'Monthly Detail'!AF15</f>
        <v>82</v>
      </c>
      <c r="H23" s="196">
        <f>+'Monthly Detail'!AG15</f>
        <v>75</v>
      </c>
      <c r="I23" s="196">
        <f>+'Monthly Detail'!AH15</f>
        <v>66</v>
      </c>
      <c r="J23" s="196">
        <f>+'Monthly Detail'!AI15</f>
        <v>74</v>
      </c>
      <c r="K23" s="196">
        <f>+'Monthly Detail'!AJ15</f>
        <v>48</v>
      </c>
      <c r="L23" s="196">
        <f>+'Monthly Detail'!AK15</f>
        <v>81</v>
      </c>
      <c r="M23" s="196">
        <f>+'Monthly Detail'!AL15</f>
        <v>50</v>
      </c>
      <c r="N23" s="394">
        <f>+'Monthly Detail'!AM15</f>
        <v>61</v>
      </c>
      <c r="O23" s="67"/>
      <c r="P23" s="424">
        <f>+SUM(C23:N23)</f>
        <v>833</v>
      </c>
      <c r="Q23" s="104"/>
    </row>
    <row r="24" spans="2:17" x14ac:dyDescent="0.25">
      <c r="B24" s="197" t="s">
        <v>4</v>
      </c>
      <c r="C24" s="198">
        <f>+'Monthly Detail'!AB41</f>
        <v>3806.3752066115703</v>
      </c>
      <c r="D24" s="199">
        <f>+'Monthly Detail'!AC41</f>
        <v>3565.1260239445496</v>
      </c>
      <c r="E24" s="199">
        <f>+'Monthly Detail'!AD41</f>
        <v>3434.6887435121107</v>
      </c>
      <c r="F24" s="199">
        <f>+'Monthly Detail'!AE41</f>
        <v>2659.5027548209364</v>
      </c>
      <c r="G24" s="199">
        <f>+'Monthly Detail'!AF41</f>
        <v>4158.3868935097671</v>
      </c>
      <c r="H24" s="199">
        <f>+'Monthly Detail'!AG41</f>
        <v>3809.8224852071003</v>
      </c>
      <c r="I24" s="199">
        <f>+'Monthly Detail'!AH41</f>
        <v>3948.4454732510294</v>
      </c>
      <c r="J24" s="199">
        <f>+'Monthly Detail'!AI41</f>
        <v>4344.1940828402367</v>
      </c>
      <c r="K24" s="199">
        <f>+'Monthly Detail'!AJ41</f>
        <v>4568.8707482993195</v>
      </c>
      <c r="L24" s="199">
        <f>+'Monthly Detail'!AK41</f>
        <v>4150.6549586776864</v>
      </c>
      <c r="M24" s="199">
        <f>+'Monthly Detail'!AL41</f>
        <v>3267.6039697542533</v>
      </c>
      <c r="N24" s="435">
        <f>+'Monthly Detail'!AM41</f>
        <v>3217.3525377229075</v>
      </c>
      <c r="O24" s="67"/>
      <c r="P24" s="425">
        <f>+AVERAGE(C24:N24)</f>
        <v>3744.2519898459559</v>
      </c>
    </row>
    <row r="25" spans="2:17" x14ac:dyDescent="0.25">
      <c r="B25" s="195" t="s">
        <v>5</v>
      </c>
      <c r="C25" s="196">
        <f>+'Monthly Detail'!AB17</f>
        <v>30</v>
      </c>
      <c r="D25" s="196">
        <f>+'Monthly Detail'!AC17</f>
        <v>34</v>
      </c>
      <c r="E25" s="196">
        <f>+'Monthly Detail'!AD17</f>
        <v>27</v>
      </c>
      <c r="F25" s="196">
        <f>+'Monthly Detail'!AE17</f>
        <v>19</v>
      </c>
      <c r="G25" s="196">
        <f>+'Monthly Detail'!AF17</f>
        <v>30</v>
      </c>
      <c r="H25" s="196">
        <f>+'Monthly Detail'!AG17</f>
        <v>30</v>
      </c>
      <c r="I25" s="196">
        <f>+'Monthly Detail'!AH17</f>
        <v>29</v>
      </c>
      <c r="J25" s="196">
        <f>+'Monthly Detail'!AI17</f>
        <v>34</v>
      </c>
      <c r="K25" s="196">
        <f>+'Monthly Detail'!AJ17</f>
        <v>37</v>
      </c>
      <c r="L25" s="196">
        <f>+'Monthly Detail'!AK17</f>
        <v>29</v>
      </c>
      <c r="M25" s="196">
        <f>+'Monthly Detail'!AL17</f>
        <v>28</v>
      </c>
      <c r="N25" s="394">
        <f>+'Monthly Detail'!AM17</f>
        <v>25</v>
      </c>
      <c r="P25" s="426"/>
    </row>
    <row r="26" spans="2:17" hidden="1" x14ac:dyDescent="0.25">
      <c r="B26" s="192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436"/>
      <c r="O26" s="7"/>
      <c r="P26" s="426"/>
    </row>
    <row r="27" spans="2:17" x14ac:dyDescent="0.25">
      <c r="B27" s="192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436"/>
      <c r="O27" s="7"/>
      <c r="P27" s="426"/>
    </row>
    <row r="28" spans="2:17" x14ac:dyDescent="0.25">
      <c r="B28" s="192" t="s">
        <v>9</v>
      </c>
      <c r="C28" s="65">
        <f>SUMIF('Monthly Detail'!$4:$4, '2024 Overview'!C$19, 'Monthly Detail'!58:58)</f>
        <v>144.34</v>
      </c>
      <c r="D28" s="68">
        <f>SUMIF('Monthly Detail'!$4:$4, '2024 Overview'!D$19, 'Monthly Detail'!58:58)</f>
        <v>195.79</v>
      </c>
      <c r="E28" s="68">
        <f>SUMIF('Monthly Detail'!$4:$4, '2024 Overview'!E$19, 'Monthly Detail'!58:58)</f>
        <v>210.1</v>
      </c>
      <c r="F28" s="68">
        <f>SUMIF('Monthly Detail'!$4:$4, '2024 Overview'!F$19, 'Monthly Detail'!58:58)</f>
        <v>193.92</v>
      </c>
      <c r="G28" s="68">
        <f>SUMIF('Monthly Detail'!$4:$4, '2024 Overview'!G$19, 'Monthly Detail'!58:58)</f>
        <v>192.8</v>
      </c>
      <c r="H28" s="68">
        <f>SUMIF('Monthly Detail'!$4:$4, '2024 Overview'!H$19, 'Monthly Detail'!58:58)</f>
        <v>204.71</v>
      </c>
      <c r="I28" s="68">
        <f>SUMIF('Monthly Detail'!$4:$4, '2024 Overview'!I$19, 'Monthly Detail'!58:58)</f>
        <v>174.91</v>
      </c>
      <c r="J28" s="68">
        <f>SUMIF('Monthly Detail'!$4:$4, '2024 Overview'!J$19, 'Monthly Detail'!58:58)</f>
        <v>191.38</v>
      </c>
      <c r="K28" s="68">
        <f>SUMIF('Monthly Detail'!$4:$4, '2024 Overview'!K$19, 'Monthly Detail'!58:58)</f>
        <v>128.31</v>
      </c>
      <c r="L28" s="68">
        <f>SUMIF('Monthly Detail'!$4:$4, '2024 Overview'!L$19, 'Monthly Detail'!58:58)</f>
        <v>231.31</v>
      </c>
      <c r="M28" s="68">
        <f>SUMIF('Monthly Detail'!$4:$4, '2024 Overview'!M$19, 'Monthly Detail'!58:58)</f>
        <v>160.15</v>
      </c>
      <c r="N28" s="436">
        <f>SUMIF('Monthly Detail'!$4:$4, '2024 Overview'!N$19, 'Monthly Detail'!58:58)</f>
        <v>171.4</v>
      </c>
      <c r="O28" s="7"/>
      <c r="P28" s="426">
        <f>+SUM(C28:N28)</f>
        <v>2199.1200000000003</v>
      </c>
    </row>
    <row r="29" spans="2:17" x14ac:dyDescent="0.25">
      <c r="B29" s="192" t="s">
        <v>8</v>
      </c>
      <c r="C29" s="65">
        <f>SUMIF('Monthly Detail'!$4:$4, '2024 Overview'!C$19, 'Monthly Detail'!59:59)</f>
        <v>359.46</v>
      </c>
      <c r="D29" s="68">
        <f>SUMIF('Monthly Detail'!$4:$4, '2024 Overview'!D$19, 'Monthly Detail'!59:59)</f>
        <v>458.1</v>
      </c>
      <c r="E29" s="68">
        <f>SUMIF('Monthly Detail'!$4:$4, '2024 Overview'!E$19, 'Monthly Detail'!59:59)</f>
        <v>321.74</v>
      </c>
      <c r="F29" s="68">
        <f>SUMIF('Monthly Detail'!$4:$4, '2024 Overview'!F$19, 'Monthly Detail'!59:59)</f>
        <v>142.87</v>
      </c>
      <c r="G29" s="68">
        <f>SUMIF('Monthly Detail'!$4:$4, '2024 Overview'!G$19, 'Monthly Detail'!59:59)</f>
        <v>753.32</v>
      </c>
      <c r="H29" s="68">
        <f>SUMIF('Monthly Detail'!$4:$4, '2024 Overview'!H$19, 'Monthly Detail'!59:59)</f>
        <v>314.89999999999998</v>
      </c>
      <c r="I29" s="68">
        <f>SUMIF('Monthly Detail'!$4:$4, '2024 Overview'!I$19, 'Monthly Detail'!59:59)</f>
        <v>165.74</v>
      </c>
      <c r="J29" s="68">
        <f>SUMIF('Monthly Detail'!$4:$4, '2024 Overview'!J$19, 'Monthly Detail'!59:59)</f>
        <v>38.46</v>
      </c>
      <c r="K29" s="68">
        <f>SUMIF('Monthly Detail'!$4:$4, '2024 Overview'!K$19, 'Monthly Detail'!59:59)</f>
        <v>28.36</v>
      </c>
      <c r="L29" s="68">
        <f>SUMIF('Monthly Detail'!$4:$4, '2024 Overview'!L$19, 'Monthly Detail'!59:59)</f>
        <v>357.18</v>
      </c>
      <c r="M29" s="68">
        <f>SUMIF('Monthly Detail'!$4:$4, '2024 Overview'!M$19, 'Monthly Detail'!59:59)</f>
        <v>356.29</v>
      </c>
      <c r="N29" s="436">
        <f>SUMIF('Monthly Detail'!$4:$4, '2024 Overview'!N$19, 'Monthly Detail'!59:59)</f>
        <v>589.19000000000005</v>
      </c>
      <c r="O29" s="7"/>
      <c r="P29" s="426">
        <f>+SUM(C29:N29)</f>
        <v>3885.61</v>
      </c>
    </row>
    <row r="30" spans="2:17" x14ac:dyDescent="0.25">
      <c r="B30" s="192" t="s">
        <v>10</v>
      </c>
      <c r="C30" s="65">
        <f>SUMIF('Monthly Detail'!$4:$4, '2024 Overview'!C$19, 'Monthly Detail'!60:60)</f>
        <v>0</v>
      </c>
      <c r="D30" s="68">
        <f>SUMIF('Monthly Detail'!$4:$4, '2024 Overview'!D$19, 'Monthly Detail'!60:60)</f>
        <v>0</v>
      </c>
      <c r="E30" s="68">
        <f>SUMIF('Monthly Detail'!$4:$4, '2024 Overview'!E$19, 'Monthly Detail'!60:60)</f>
        <v>0</v>
      </c>
      <c r="F30" s="68">
        <f>SUMIF('Monthly Detail'!$4:$4, '2024 Overview'!F$19, 'Monthly Detail'!60:60)</f>
        <v>0</v>
      </c>
      <c r="G30" s="68">
        <f>SUMIF('Monthly Detail'!$4:$4, '2024 Overview'!G$19, 'Monthly Detail'!60:60)</f>
        <v>475</v>
      </c>
      <c r="H30" s="68">
        <f>SUMIF('Monthly Detail'!$4:$4, '2024 Overview'!H$19, 'Monthly Detail'!60:60)</f>
        <v>765</v>
      </c>
      <c r="I30" s="68">
        <f>SUMIF('Monthly Detail'!$4:$4, '2024 Overview'!I$19, 'Monthly Detail'!60:60)</f>
        <v>394</v>
      </c>
      <c r="J30" s="68">
        <f>SUMIF('Monthly Detail'!$4:$4, '2024 Overview'!J$19, 'Monthly Detail'!60:60)</f>
        <v>610</v>
      </c>
      <c r="K30" s="68">
        <f>SUMIF('Monthly Detail'!$4:$4, '2024 Overview'!K$19, 'Monthly Detail'!60:60)</f>
        <v>210</v>
      </c>
      <c r="L30" s="68">
        <f>SUMIF('Monthly Detail'!$4:$4, '2024 Overview'!L$19, 'Monthly Detail'!60:60)</f>
        <v>770</v>
      </c>
      <c r="M30" s="68">
        <f>SUMIF('Monthly Detail'!$4:$4, '2024 Overview'!M$19, 'Monthly Detail'!60:60)</f>
        <v>432</v>
      </c>
      <c r="N30" s="436">
        <f>SUMIF('Monthly Detail'!$4:$4, '2024 Overview'!N$19, 'Monthly Detail'!60:60)</f>
        <v>470</v>
      </c>
      <c r="O30" s="7"/>
      <c r="P30" s="426">
        <f>+SUM(C30:N30)</f>
        <v>4126</v>
      </c>
    </row>
    <row r="31" spans="2:17" ht="15.75" customHeight="1" x14ac:dyDescent="0.25">
      <c r="B31" s="201" t="s">
        <v>11</v>
      </c>
      <c r="C31" s="80">
        <f t="shared" ref="C31:N31" si="1">SUM(C28:C30)</f>
        <v>503.79999999999995</v>
      </c>
      <c r="D31" s="80">
        <f t="shared" si="1"/>
        <v>653.89</v>
      </c>
      <c r="E31" s="80">
        <f t="shared" si="1"/>
        <v>531.84</v>
      </c>
      <c r="F31" s="80">
        <f t="shared" si="1"/>
        <v>336.78999999999996</v>
      </c>
      <c r="G31" s="80">
        <f t="shared" si="1"/>
        <v>1421.1200000000001</v>
      </c>
      <c r="H31" s="80">
        <f t="shared" si="1"/>
        <v>1284.6100000000001</v>
      </c>
      <c r="I31" s="80">
        <f t="shared" si="1"/>
        <v>734.65</v>
      </c>
      <c r="J31" s="80">
        <f t="shared" si="1"/>
        <v>839.84</v>
      </c>
      <c r="K31" s="80">
        <f t="shared" si="1"/>
        <v>366.67</v>
      </c>
      <c r="L31" s="80">
        <f t="shared" si="1"/>
        <v>1358.49</v>
      </c>
      <c r="M31" s="80">
        <f t="shared" si="1"/>
        <v>948.44</v>
      </c>
      <c r="N31" s="296">
        <f t="shared" si="1"/>
        <v>1230.5900000000001</v>
      </c>
      <c r="P31" s="427">
        <f>SUM(P28:P30)</f>
        <v>10210.73</v>
      </c>
    </row>
    <row r="32" spans="2:17" ht="5.65" customHeight="1" x14ac:dyDescent="0.25">
      <c r="B32" s="192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436"/>
      <c r="O32" s="7"/>
      <c r="P32" s="426"/>
    </row>
    <row r="33" spans="2:20" ht="15.75" customHeight="1" x14ac:dyDescent="0.25">
      <c r="B33" s="201" t="s">
        <v>12</v>
      </c>
      <c r="C33" s="80">
        <f t="shared" ref="C33:N33" si="2">+C22-C31</f>
        <v>5224.7</v>
      </c>
      <c r="D33" s="80">
        <f t="shared" si="2"/>
        <v>6092.36</v>
      </c>
      <c r="E33" s="80">
        <f t="shared" si="2"/>
        <v>7107.41</v>
      </c>
      <c r="F33" s="80">
        <f t="shared" si="2"/>
        <v>7480.21</v>
      </c>
      <c r="G33" s="80">
        <f t="shared" si="2"/>
        <v>6626.88</v>
      </c>
      <c r="H33" s="80">
        <f t="shared" si="2"/>
        <v>5869.3899999999994</v>
      </c>
      <c r="I33" s="80">
        <f t="shared" si="2"/>
        <v>5280.85</v>
      </c>
      <c r="J33" s="80">
        <f t="shared" si="2"/>
        <v>6455.16</v>
      </c>
      <c r="K33" s="80">
        <f t="shared" si="2"/>
        <v>4171.33</v>
      </c>
      <c r="L33" s="80">
        <f t="shared" si="2"/>
        <v>6338.51</v>
      </c>
      <c r="M33" s="80">
        <f t="shared" si="2"/>
        <v>3990.31</v>
      </c>
      <c r="N33" s="296">
        <f t="shared" si="2"/>
        <v>4921.41</v>
      </c>
      <c r="P33" s="427">
        <f>+SUM(C33:N33)</f>
        <v>69558.51999999999</v>
      </c>
    </row>
    <row r="34" spans="2:20" x14ac:dyDescent="0.25">
      <c r="B34" s="203" t="s">
        <v>13</v>
      </c>
      <c r="C34" s="82">
        <f t="shared" ref="C34:N34" si="3">IFERROR(C33/C22, 0)</f>
        <v>0.91205376625643708</v>
      </c>
      <c r="D34" s="82">
        <f t="shared" si="3"/>
        <v>0.90307355938484335</v>
      </c>
      <c r="E34" s="82">
        <f t="shared" si="3"/>
        <v>0.93038060018980917</v>
      </c>
      <c r="F34" s="82">
        <f t="shared" si="3"/>
        <v>0.95691569655878217</v>
      </c>
      <c r="G34" s="82">
        <f t="shared" si="3"/>
        <v>0.82341948310139168</v>
      </c>
      <c r="H34" s="82">
        <f t="shared" si="3"/>
        <v>0.82043472183393895</v>
      </c>
      <c r="I34" s="82">
        <f t="shared" si="3"/>
        <v>0.87787382594963015</v>
      </c>
      <c r="J34" s="82">
        <f t="shared" si="3"/>
        <v>0.88487457162440031</v>
      </c>
      <c r="K34" s="82">
        <f t="shared" si="3"/>
        <v>0.919200088144557</v>
      </c>
      <c r="L34" s="82">
        <f t="shared" si="3"/>
        <v>0.82350396258282454</v>
      </c>
      <c r="M34" s="82">
        <f t="shared" si="3"/>
        <v>0.80795950392305749</v>
      </c>
      <c r="N34" s="298">
        <f t="shared" si="3"/>
        <v>0.7999691157347204</v>
      </c>
      <c r="P34" s="428">
        <f>P33/P22</f>
        <v>0.87199666538171028</v>
      </c>
      <c r="T34" s="1"/>
    </row>
    <row r="35" spans="2:20" ht="3" customHeight="1" x14ac:dyDescent="0.25">
      <c r="B35" s="192"/>
      <c r="N35" s="227"/>
      <c r="O35" s="72"/>
      <c r="P35" s="421"/>
    </row>
    <row r="36" spans="2:20" x14ac:dyDescent="0.25">
      <c r="B36" s="192" t="s">
        <v>14</v>
      </c>
      <c r="C36" s="65">
        <f>SUMIF('Monthly Detail'!$4:$4, '2024 Overview'!C$19, 'Monthly Detail'!$89:$89)</f>
        <v>959.96</v>
      </c>
      <c r="D36" s="65">
        <f>SUMIF('Monthly Detail'!$4:$4, '2024 Overview'!D$19, 'Monthly Detail'!$89:$89)</f>
        <v>850.04</v>
      </c>
      <c r="E36" s="65">
        <f>SUMIF('Monthly Detail'!$4:$4, '2024 Overview'!E$19, 'Monthly Detail'!$89:$89)</f>
        <v>791.98</v>
      </c>
      <c r="F36" s="65">
        <f>SUMIF('Monthly Detail'!$4:$4, '2024 Overview'!F$19, 'Monthly Detail'!$89:$89)</f>
        <v>1208.6299999999999</v>
      </c>
      <c r="G36" s="65">
        <f>SUMIF('Monthly Detail'!$4:$4, '2024 Overview'!G$19, 'Monthly Detail'!$89:$89)</f>
        <v>2664.6200000000003</v>
      </c>
      <c r="H36" s="65">
        <f>SUMIF('Monthly Detail'!$4:$4, '2024 Overview'!H$19, 'Monthly Detail'!$89:$89)</f>
        <v>2227.69</v>
      </c>
      <c r="I36" s="65">
        <f>SUMIF('Monthly Detail'!$4:$4, '2024 Overview'!I$19, 'Monthly Detail'!$89:$89)</f>
        <v>1832.3400000000001</v>
      </c>
      <c r="J36" s="65">
        <f>SUMIF('Monthly Detail'!$4:$4, '2024 Overview'!J$19, 'Monthly Detail'!$89:$89)</f>
        <v>2698.71</v>
      </c>
      <c r="K36" s="65">
        <f>SUMIF('Monthly Detail'!$4:$4, '2024 Overview'!K$19, 'Monthly Detail'!$89:$89)</f>
        <v>2232.4700000000003</v>
      </c>
      <c r="L36" s="65">
        <f>SUMIF('Monthly Detail'!$4:$4, '2024 Overview'!L$19, 'Monthly Detail'!$89:$89)</f>
        <v>2114.83</v>
      </c>
      <c r="M36" s="65">
        <f>SUMIF('Monthly Detail'!$4:$4, '2024 Overview'!M$19, 'Monthly Detail'!$89:$89)</f>
        <v>2712.35</v>
      </c>
      <c r="N36" s="434">
        <f>SUMIF('Monthly Detail'!$4:$4, '2024 Overview'!N$19, 'Monthly Detail'!$89:$89)</f>
        <v>2293.4699999999998</v>
      </c>
      <c r="P36" s="422">
        <f>SUM(C36:O36)</f>
        <v>22587.090000000004</v>
      </c>
    </row>
    <row r="37" spans="2:20" ht="15.75" customHeight="1" x14ac:dyDescent="0.25">
      <c r="B37" s="205" t="s">
        <v>25</v>
      </c>
      <c r="C37" s="71">
        <f t="shared" ref="C37:N37" si="4">SUM(C36:C36)</f>
        <v>959.96</v>
      </c>
      <c r="D37" s="71">
        <f t="shared" si="4"/>
        <v>850.04</v>
      </c>
      <c r="E37" s="71">
        <f t="shared" si="4"/>
        <v>791.98</v>
      </c>
      <c r="F37" s="71">
        <f t="shared" si="4"/>
        <v>1208.6299999999999</v>
      </c>
      <c r="G37" s="71">
        <f t="shared" si="4"/>
        <v>2664.6200000000003</v>
      </c>
      <c r="H37" s="71">
        <f t="shared" si="4"/>
        <v>2227.69</v>
      </c>
      <c r="I37" s="71">
        <f t="shared" si="4"/>
        <v>1832.3400000000001</v>
      </c>
      <c r="J37" s="71">
        <f t="shared" si="4"/>
        <v>2698.71</v>
      </c>
      <c r="K37" s="71">
        <f t="shared" si="4"/>
        <v>2232.4700000000003</v>
      </c>
      <c r="L37" s="71">
        <f t="shared" si="4"/>
        <v>2114.83</v>
      </c>
      <c r="M37" s="71">
        <f t="shared" si="4"/>
        <v>2712.35</v>
      </c>
      <c r="N37" s="302">
        <f t="shared" si="4"/>
        <v>2293.4699999999998</v>
      </c>
      <c r="O37" s="69"/>
      <c r="P37" s="429">
        <f>SUM(P36:P36)</f>
        <v>22587.090000000004</v>
      </c>
    </row>
    <row r="38" spans="2:20" ht="4.9000000000000004" customHeight="1" x14ac:dyDescent="0.25">
      <c r="B38" s="192"/>
      <c r="N38" s="227"/>
      <c r="O38" s="7"/>
      <c r="P38" s="421"/>
    </row>
    <row r="39" spans="2:20" ht="15.75" customHeight="1" x14ac:dyDescent="0.25">
      <c r="B39" s="201" t="s">
        <v>16</v>
      </c>
      <c r="C39" s="80">
        <f t="shared" ref="C39:N39" si="5">C33-C37</f>
        <v>4264.74</v>
      </c>
      <c r="D39" s="80">
        <f t="shared" si="5"/>
        <v>5242.32</v>
      </c>
      <c r="E39" s="80">
        <f t="shared" si="5"/>
        <v>6315.43</v>
      </c>
      <c r="F39" s="80">
        <f t="shared" si="5"/>
        <v>6271.58</v>
      </c>
      <c r="G39" s="80">
        <f t="shared" si="5"/>
        <v>3962.2599999999998</v>
      </c>
      <c r="H39" s="80">
        <f t="shared" si="5"/>
        <v>3641.6999999999994</v>
      </c>
      <c r="I39" s="80">
        <f t="shared" si="5"/>
        <v>3448.51</v>
      </c>
      <c r="J39" s="80">
        <f t="shared" si="5"/>
        <v>3756.45</v>
      </c>
      <c r="K39" s="80">
        <f t="shared" si="5"/>
        <v>1938.8599999999997</v>
      </c>
      <c r="L39" s="80">
        <f t="shared" si="5"/>
        <v>4223.68</v>
      </c>
      <c r="M39" s="80">
        <f t="shared" si="5"/>
        <v>1277.96</v>
      </c>
      <c r="N39" s="296">
        <f t="shared" si="5"/>
        <v>2627.94</v>
      </c>
      <c r="P39" s="427">
        <f>P33-P37</f>
        <v>46971.429999999986</v>
      </c>
    </row>
    <row r="40" spans="2:20" x14ac:dyDescent="0.25">
      <c r="B40" s="203" t="s">
        <v>17</v>
      </c>
      <c r="C40" s="82">
        <f t="shared" ref="C40:N40" si="6">IFERROR(C39/C22, 0)</f>
        <v>0.74447761194029849</v>
      </c>
      <c r="D40" s="82">
        <f t="shared" si="6"/>
        <v>0.77707170650361312</v>
      </c>
      <c r="E40" s="82">
        <f t="shared" si="6"/>
        <v>0.8267081192525445</v>
      </c>
      <c r="F40" s="82">
        <f t="shared" si="6"/>
        <v>0.80230011513368293</v>
      </c>
      <c r="G40" s="82">
        <f t="shared" si="6"/>
        <v>0.49232852882703776</v>
      </c>
      <c r="H40" s="82">
        <f t="shared" si="6"/>
        <v>0.50904389152921437</v>
      </c>
      <c r="I40" s="82">
        <f t="shared" si="6"/>
        <v>0.57327071731360657</v>
      </c>
      <c r="J40" s="82">
        <f t="shared" si="6"/>
        <v>0.51493488690884159</v>
      </c>
      <c r="K40" s="82">
        <f t="shared" si="6"/>
        <v>0.42724988981930356</v>
      </c>
      <c r="L40" s="82">
        <f t="shared" si="6"/>
        <v>0.54874366636351835</v>
      </c>
      <c r="M40" s="82">
        <f t="shared" si="6"/>
        <v>0.25876183244748163</v>
      </c>
      <c r="N40" s="298">
        <f t="shared" si="6"/>
        <v>0.42716840052015603</v>
      </c>
      <c r="O40" s="119"/>
      <c r="P40" s="428">
        <f>P39/P22</f>
        <v>0.58884131416554608</v>
      </c>
    </row>
    <row r="41" spans="2:20" ht="5.65" customHeight="1" x14ac:dyDescent="0.25">
      <c r="B41" s="206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437"/>
      <c r="O41" s="69"/>
      <c r="P41" s="430"/>
    </row>
    <row r="42" spans="2:20" x14ac:dyDescent="0.25">
      <c r="B42" s="192" t="s">
        <v>18</v>
      </c>
      <c r="C42" s="119">
        <f>SUMIF('Monthly Detail'!$4:$4, '2024 Overview'!C$19, 'Monthly Detail'!130:130)</f>
        <v>0</v>
      </c>
      <c r="D42" s="119">
        <f>SUMIF('Monthly Detail'!$4:$4, '2024 Overview'!D$19, 'Monthly Detail'!130:130)</f>
        <v>0</v>
      </c>
      <c r="E42" s="119">
        <f>SUMIF('Monthly Detail'!$4:$4, '2024 Overview'!E$19, 'Monthly Detail'!130:130)</f>
        <v>0</v>
      </c>
      <c r="F42" s="119">
        <f>SUMIF('Monthly Detail'!$4:$4, '2024 Overview'!F$19, 'Monthly Detail'!130:130)</f>
        <v>0</v>
      </c>
      <c r="G42" s="119">
        <f>SUMIF('Monthly Detail'!$4:$4, '2024 Overview'!G$19, 'Monthly Detail'!130:130)</f>
        <v>0</v>
      </c>
      <c r="H42" s="119">
        <f>SUMIF('Monthly Detail'!$4:$4, '2024 Overview'!H$19, 'Monthly Detail'!130:130)</f>
        <v>0</v>
      </c>
      <c r="I42" s="119">
        <f>SUMIF('Monthly Detail'!$4:$4, '2024 Overview'!I$19, 'Monthly Detail'!130:130)</f>
        <v>0</v>
      </c>
      <c r="J42" s="119">
        <f>SUMIF('Monthly Detail'!$4:$4, '2024 Overview'!J$19, 'Monthly Detail'!130:130)</f>
        <v>0</v>
      </c>
      <c r="K42" s="119">
        <f>SUMIF('Monthly Detail'!$4:$4, '2024 Overview'!K$19, 'Monthly Detail'!130:130)</f>
        <v>0</v>
      </c>
      <c r="L42" s="119">
        <f>SUMIF('Monthly Detail'!$4:$4, '2024 Overview'!L$19, 'Monthly Detail'!130:130)</f>
        <v>0</v>
      </c>
      <c r="M42" s="119">
        <f>SUMIF('Monthly Detail'!$4:$4, '2024 Overview'!M$19, 'Monthly Detail'!130:130)</f>
        <v>0</v>
      </c>
      <c r="N42" s="438">
        <f>SUMIF('Monthly Detail'!$4:$4, '2024 Overview'!N$19, 'Monthly Detail'!130:130)</f>
        <v>0</v>
      </c>
      <c r="O42" s="7"/>
      <c r="P42" s="431">
        <f>SUM(C42:O42)</f>
        <v>0</v>
      </c>
    </row>
    <row r="43" spans="2:20" ht="15.75" customHeight="1" x14ac:dyDescent="0.25">
      <c r="B43" s="201" t="s">
        <v>19</v>
      </c>
      <c r="C43" s="80">
        <f t="shared" ref="C43:N43" si="7">C39+SUM(C42:C42)</f>
        <v>4264.74</v>
      </c>
      <c r="D43" s="80">
        <f t="shared" si="7"/>
        <v>5242.32</v>
      </c>
      <c r="E43" s="80">
        <f t="shared" si="7"/>
        <v>6315.43</v>
      </c>
      <c r="F43" s="80">
        <f t="shared" si="7"/>
        <v>6271.58</v>
      </c>
      <c r="G43" s="80">
        <f t="shared" si="7"/>
        <v>3962.2599999999998</v>
      </c>
      <c r="H43" s="80">
        <f t="shared" si="7"/>
        <v>3641.6999999999994</v>
      </c>
      <c r="I43" s="80">
        <f t="shared" si="7"/>
        <v>3448.51</v>
      </c>
      <c r="J43" s="80">
        <f t="shared" si="7"/>
        <v>3756.45</v>
      </c>
      <c r="K43" s="80">
        <f t="shared" si="7"/>
        <v>1938.8599999999997</v>
      </c>
      <c r="L43" s="80">
        <f t="shared" si="7"/>
        <v>4223.68</v>
      </c>
      <c r="M43" s="80">
        <f t="shared" si="7"/>
        <v>1277.96</v>
      </c>
      <c r="N43" s="296">
        <f t="shared" si="7"/>
        <v>2627.94</v>
      </c>
      <c r="P43" s="427">
        <f>P39+SUM(P42:P42)</f>
        <v>46971.429999999986</v>
      </c>
    </row>
    <row r="44" spans="2:20" x14ac:dyDescent="0.25">
      <c r="B44" s="203" t="s">
        <v>20</v>
      </c>
      <c r="C44" s="82">
        <f t="shared" ref="C44:N44" si="8">IFERROR(C43/C22, 0)</f>
        <v>0.74447761194029849</v>
      </c>
      <c r="D44" s="82">
        <f t="shared" si="8"/>
        <v>0.77707170650361312</v>
      </c>
      <c r="E44" s="82">
        <f t="shared" si="8"/>
        <v>0.8267081192525445</v>
      </c>
      <c r="F44" s="82">
        <f t="shared" si="8"/>
        <v>0.80230011513368293</v>
      </c>
      <c r="G44" s="82">
        <f t="shared" si="8"/>
        <v>0.49232852882703776</v>
      </c>
      <c r="H44" s="82">
        <f t="shared" si="8"/>
        <v>0.50904389152921437</v>
      </c>
      <c r="I44" s="82">
        <f t="shared" si="8"/>
        <v>0.57327071731360657</v>
      </c>
      <c r="J44" s="82">
        <f t="shared" si="8"/>
        <v>0.51493488690884159</v>
      </c>
      <c r="K44" s="82">
        <f t="shared" si="8"/>
        <v>0.42724988981930356</v>
      </c>
      <c r="L44" s="82">
        <f t="shared" si="8"/>
        <v>0.54874366636351835</v>
      </c>
      <c r="M44" s="82">
        <f t="shared" si="8"/>
        <v>0.25876183244748163</v>
      </c>
      <c r="N44" s="298">
        <f t="shared" si="8"/>
        <v>0.42716840052015603</v>
      </c>
      <c r="P44" s="432">
        <f>P43/P22</f>
        <v>0.58884131416554608</v>
      </c>
    </row>
    <row r="45" spans="2:20" ht="6" customHeight="1" thickBot="1" x14ac:dyDescent="0.3">
      <c r="B45" s="192"/>
      <c r="E45" s="100"/>
      <c r="P45" s="89"/>
    </row>
    <row r="46" spans="2:20" ht="15.75" customHeight="1" thickBot="1" x14ac:dyDescent="0.3">
      <c r="B46" s="208" t="s">
        <v>41</v>
      </c>
      <c r="C46" s="210">
        <f>+'Monthly Detail'!AB112</f>
        <v>606.71</v>
      </c>
      <c r="D46" s="209">
        <f>+'Monthly Detail'!AC112</f>
        <v>679.75049999999999</v>
      </c>
      <c r="E46" s="209">
        <f>+'Monthly Detail'!AD112</f>
        <v>1825.2845000000002</v>
      </c>
      <c r="F46" s="209">
        <f>+'Monthly Detail'!AE112</f>
        <v>1156.9480000000001</v>
      </c>
      <c r="G46" s="211">
        <f>+'Monthly Detail'!AF112</f>
        <v>1696.8445000000002</v>
      </c>
      <c r="H46" s="211">
        <f>+'Monthly Detail'!AG112</f>
        <v>1703.2404999999999</v>
      </c>
      <c r="I46" s="211">
        <f>+'Monthly Detail'!AH112</f>
        <v>1893.2809999999999</v>
      </c>
      <c r="J46" s="211">
        <f>+'Monthly Detail'!AI112</f>
        <v>689.98800000000006</v>
      </c>
      <c r="K46" s="211">
        <f>+'Monthly Detail'!AJ112</f>
        <v>80.255500000000012</v>
      </c>
      <c r="L46" s="210">
        <f>+'Monthly Detail'!AK112</f>
        <v>1476.6829999999998</v>
      </c>
      <c r="M46" s="209">
        <f>+'Monthly Detail'!AL112</f>
        <v>1193.8355000000001</v>
      </c>
      <c r="N46" s="211">
        <f>+'Monthly Detail'!AM112</f>
        <v>926.9</v>
      </c>
      <c r="P46" s="89"/>
    </row>
    <row r="47" spans="2:20" ht="15.75" customHeight="1" thickBot="1" x14ac:dyDescent="0.3">
      <c r="B47" s="398" t="s">
        <v>42</v>
      </c>
      <c r="C47" s="399">
        <f>+'Monthly Detail'!AB106</f>
        <v>130.91</v>
      </c>
      <c r="D47" s="400">
        <f>+'Monthly Detail'!AC106</f>
        <v>33.950000000000003</v>
      </c>
      <c r="E47" s="400">
        <f>+'Monthly Detail'!AD106</f>
        <v>770.48</v>
      </c>
      <c r="F47" s="400">
        <f>+'Monthly Detail'!AE106</f>
        <v>79.36</v>
      </c>
      <c r="G47" s="401">
        <f>+'Monthly Detail'!AF106</f>
        <v>107.93</v>
      </c>
      <c r="H47" s="401">
        <f>+'Monthly Detail'!AG106</f>
        <v>496.7</v>
      </c>
      <c r="I47" s="401">
        <f>+'Monthly Detail'!AH106</f>
        <v>27.5</v>
      </c>
      <c r="J47" s="401">
        <f>+'Monthly Detail'!AI106</f>
        <v>53.18</v>
      </c>
      <c r="K47" s="401">
        <f>+'Monthly Detail'!AJ106</f>
        <v>110.31</v>
      </c>
      <c r="L47" s="399">
        <f>+'Monthly Detail'!AK106</f>
        <v>540.47</v>
      </c>
      <c r="M47" s="400">
        <f>+'Monthly Detail'!AL106</f>
        <v>28.95</v>
      </c>
      <c r="N47" s="401">
        <f>+'Monthly Detail'!AM106</f>
        <v>92.91</v>
      </c>
      <c r="P47" s="89"/>
    </row>
    <row r="48" spans="2:20" ht="15.75" customHeight="1" thickBot="1" x14ac:dyDescent="0.3">
      <c r="B48" s="212" t="s">
        <v>43</v>
      </c>
      <c r="C48" s="395">
        <f>+'Monthly Detail'!AB173</f>
        <v>933.39999999999964</v>
      </c>
      <c r="D48" s="396">
        <f>+'Monthly Detail'!AC173</f>
        <v>1045.7699999999986</v>
      </c>
      <c r="E48" s="396">
        <f>+'Monthly Detail'!AD173</f>
        <v>2808.1299999999983</v>
      </c>
      <c r="F48" s="396">
        <f>+'Monthly Detail'!AE173</f>
        <v>1779.92</v>
      </c>
      <c r="G48" s="397">
        <f>+'Monthly Detail'!AF173</f>
        <v>2610.5300000000007</v>
      </c>
      <c r="H48" s="397">
        <f>+'Monthly Detail'!AG173</f>
        <v>2620.3699999999967</v>
      </c>
      <c r="I48" s="397">
        <f>+'Monthly Detail'!AH173</f>
        <v>2912.74</v>
      </c>
      <c r="J48" s="397">
        <f>+'Monthly Detail'!AI173</f>
        <v>1061.5200000000009</v>
      </c>
      <c r="K48" s="397">
        <f>+'Monthly Detail'!AJ173</f>
        <v>123.46999999999639</v>
      </c>
      <c r="L48" s="395">
        <f>+'Monthly Detail'!AK173</f>
        <v>2271.8199999999979</v>
      </c>
      <c r="M48" s="396">
        <f>+'Monthly Detail'!AL173</f>
        <v>1836.6700000000003</v>
      </c>
      <c r="N48" s="397">
        <f>+'Monthly Detail'!AM173</f>
        <v>1425.9999999999984</v>
      </c>
      <c r="P48" s="89"/>
    </row>
    <row r="49" spans="2:16" ht="15.75" customHeight="1" thickBot="1" x14ac:dyDescent="0.3">
      <c r="B49" s="77" t="s">
        <v>44</v>
      </c>
      <c r="C49" s="78">
        <f>SUMIF('Monthly Detail'!$4:$4, '2024 Overview'!C$19, 'Monthly Detail'!170:170)</f>
        <v>933.39999999999964</v>
      </c>
      <c r="D49" s="150">
        <f>SUMIF('Monthly Detail'!$4:$4, '2024 Overview'!D$19, 'Monthly Detail'!170:170)</f>
        <v>112.36999999999898</v>
      </c>
      <c r="E49" s="150">
        <f>SUMIF('Monthly Detail'!$4:$4, '2024 Overview'!E$19, 'Monthly Detail'!170:170)</f>
        <v>1762.3599999999997</v>
      </c>
      <c r="F49" s="150">
        <f>SUMIF('Monthly Detail'!$4:$4, '2024 Overview'!F$19, 'Monthly Detail'!170:170)</f>
        <v>-1028.2099999999982</v>
      </c>
      <c r="G49" s="150">
        <f>SUMIF('Monthly Detail'!$4:$4, '2024 Overview'!G$19, 'Monthly Detail'!170:170)</f>
        <v>830.61000000000058</v>
      </c>
      <c r="H49" s="150">
        <f>SUMIF('Monthly Detail'!$4:$4, '2024 Overview'!H$19, 'Monthly Detail'!170:170)</f>
        <v>9.8399999999960528</v>
      </c>
      <c r="I49" s="150">
        <f>SUMIF('Monthly Detail'!$4:$4, '2024 Overview'!I$19, 'Monthly Detail'!170:170)</f>
        <v>292.37000000000307</v>
      </c>
      <c r="J49" s="150">
        <f>SUMIF('Monthly Detail'!$4:$4, '2024 Overview'!J$19, 'Monthly Detail'!170:170)</f>
        <v>-1851.2199999999989</v>
      </c>
      <c r="K49" s="150">
        <f>SUMIF('Monthly Detail'!$4:$4, '2024 Overview'!K$19, 'Monthly Detail'!170:170)</f>
        <v>-938.0500000000045</v>
      </c>
      <c r="L49" s="150">
        <f>SUMIF('Monthly Detail'!$4:$4, '2024 Overview'!L$19, 'Monthly Detail'!170:170)</f>
        <v>2148.3500000000013</v>
      </c>
      <c r="M49" s="78">
        <f>SUMIF('Monthly Detail'!$4:$4, '2024 Overview'!M$19, 'Monthly Detail'!170:170)</f>
        <v>-435.14999999999759</v>
      </c>
      <c r="N49" s="78">
        <f>SUMIF('Monthly Detail'!$4:$4, '2024 Overview'!N$19, 'Monthly Detail'!170:170)</f>
        <v>-410.67000000000189</v>
      </c>
      <c r="P49" s="89"/>
    </row>
    <row r="50" spans="2:16" ht="15.75" customHeight="1" thickBot="1" x14ac:dyDescent="0.3">
      <c r="B50" s="213" t="s">
        <v>45</v>
      </c>
      <c r="C50" s="214">
        <f>-'Monthly Detail'!AB89</f>
        <v>-959.96</v>
      </c>
      <c r="D50" s="215">
        <f>-'Monthly Detail'!AC89</f>
        <v>-850.04</v>
      </c>
      <c r="E50" s="215">
        <f>-'Monthly Detail'!AD89</f>
        <v>-791.98</v>
      </c>
      <c r="F50" s="215">
        <f>-'Monthly Detail'!AE89</f>
        <v>-1208.6299999999999</v>
      </c>
      <c r="G50" s="215">
        <f>-'Monthly Detail'!AF89</f>
        <v>-2664.6200000000003</v>
      </c>
      <c r="H50" s="215">
        <f>-'Monthly Detail'!AG89</f>
        <v>-2227.69</v>
      </c>
      <c r="I50" s="215">
        <f>-'Monthly Detail'!AH89</f>
        <v>-1832.3400000000001</v>
      </c>
      <c r="J50" s="215">
        <f>-'Monthly Detail'!AI89</f>
        <v>-2698.71</v>
      </c>
      <c r="K50" s="215">
        <f>-'Monthly Detail'!AJ89</f>
        <v>-2232.4700000000003</v>
      </c>
      <c r="L50" s="215">
        <f>-'Monthly Detail'!AK89</f>
        <v>-2114.83</v>
      </c>
      <c r="M50" s="215">
        <f>-'Monthly Detail'!AL89</f>
        <v>-2712.35</v>
      </c>
      <c r="N50" s="215">
        <f>-'Monthly Detail'!AM89</f>
        <v>-2293.4699999999998</v>
      </c>
      <c r="P50" s="89"/>
    </row>
    <row r="51" spans="2:16" ht="15.75" customHeight="1" thickBot="1" x14ac:dyDescent="0.3">
      <c r="B51" s="213" t="s">
        <v>53</v>
      </c>
      <c r="C51" s="214">
        <f>+'Monthly Detail'!AB154</f>
        <v>-4414.2</v>
      </c>
      <c r="D51" s="215">
        <f>+'Monthly Detail'!AC154</f>
        <v>-5131.4900000000007</v>
      </c>
      <c r="E51" s="215">
        <f>+'Monthly Detail'!AD154</f>
        <v>-4430.43</v>
      </c>
      <c r="F51" s="215">
        <f>+'Monthly Detail'!AE154</f>
        <v>-7086.409999999998</v>
      </c>
      <c r="G51" s="215">
        <f>+'Monthly Detail'!AF154</f>
        <v>-3432.2299999999996</v>
      </c>
      <c r="H51" s="215">
        <f>+'Monthly Detail'!AG154</f>
        <v>-3463.0700000000033</v>
      </c>
      <c r="I51" s="215">
        <f>+'Monthly Detail'!AH154</f>
        <v>-2858.9499999999971</v>
      </c>
      <c r="J51" s="215">
        <f>+'Monthly Detail'!AI154</f>
        <v>-5679.5299999999988</v>
      </c>
      <c r="K51" s="215">
        <f>+'Monthly Detail'!AJ154</f>
        <v>-2487.7700000000041</v>
      </c>
      <c r="L51" s="215">
        <f>+'Monthly Detail'!AK154</f>
        <v>-2394.3899999999994</v>
      </c>
      <c r="M51" s="215">
        <f>+'Monthly Detail'!AL154</f>
        <v>-2307.5599999999977</v>
      </c>
      <c r="N51" s="215">
        <f>+'Monthly Detail'!AM154</f>
        <v>-3648.260000000002</v>
      </c>
      <c r="P51" s="89"/>
    </row>
    <row r="52" spans="2:16" ht="15.75" customHeight="1" thickBot="1" x14ac:dyDescent="0.3">
      <c r="B52" s="213" t="s">
        <v>47</v>
      </c>
      <c r="C52" s="78">
        <f>+C46-SUM('Monthly Detail'!AC89:AN89)-SUM('Monthly Detail'!AC61:AN61)</f>
        <v>-33386.530000000006</v>
      </c>
      <c r="D52" s="78">
        <f>+D46-SUM('Monthly Detail'!AD89:AO89)-SUM('Monthly Detail'!AD61:AO61)</f>
        <v>-36172.279500000011</v>
      </c>
      <c r="E52" s="78">
        <f>+E46-SUM('Monthly Detail'!AE89:AP89)-SUM('Monthly Detail'!AE61:AP61)</f>
        <v>-38372.445500000002</v>
      </c>
      <c r="F52" s="78">
        <f>+F46-SUM('Monthly Detail'!AF89:AQ89)-SUM('Monthly Detail'!AF61:AQ61)</f>
        <v>-43260.132000000005</v>
      </c>
      <c r="G52" s="216">
        <f>+G46-SUM('Monthly Detail'!AG89:AR89)-SUM('Monthly Detail'!AG61:AR61)</f>
        <v>-44248.015499999994</v>
      </c>
      <c r="H52" s="150">
        <f>+H46-SUM('Monthly Detail'!AH89:AS89)-SUM('Monthly Detail'!AH61:AS61)</f>
        <v>-44770.659500000002</v>
      </c>
      <c r="I52" s="150">
        <f>+I46-SUM('Monthly Detail'!AI89:AT89)-SUM('Monthly Detail'!AI61:AT61)</f>
        <v>-46498.748999999996</v>
      </c>
      <c r="J52" s="150">
        <f>+J46-SUM('Monthly Detail'!AJ89:AU89)-SUM('Monthly Detail'!AJ61:AU61)</f>
        <v>-48746.462</v>
      </c>
      <c r="K52" s="150">
        <f>+K46-SUM('Monthly Detail'!AK89:AV89)-SUM('Monthly Detail'!AK61:AV61)</f>
        <v>-51046.384499999993</v>
      </c>
      <c r="L52" s="150">
        <f>+L46-SUM('Monthly Detail'!AL89:AW89)-SUM('Monthly Detail'!AL61:AW61)</f>
        <v>-50868.746999999996</v>
      </c>
      <c r="M52" s="78">
        <f>+M46-SUM('Monthly Detail'!AM89:AX89)-SUM('Monthly Detail'!AM61:AX61)</f>
        <v>-51771.484499999991</v>
      </c>
      <c r="N52" s="78">
        <f>+N46-SUM('Monthly Detail'!AN89:AY89)-SUM('Monthly Detail'!AN61:AY61)</f>
        <v>-54693.786982019941</v>
      </c>
      <c r="P52" s="89"/>
    </row>
    <row r="53" spans="2:16" ht="15.75" customHeight="1" thickBot="1" x14ac:dyDescent="0.3">
      <c r="B53" s="213" t="s">
        <v>48</v>
      </c>
      <c r="C53" s="216">
        <f>+C48-SUM('Monthly Detail'!AC89:AN89)-SUM('Monthly Detail'!AC61:AN61)</f>
        <v>-33059.840000000004</v>
      </c>
      <c r="D53" s="216">
        <f>+D48-SUM('Monthly Detail'!AD89:AO89)-SUM('Monthly Detail'!AD61:AO61)</f>
        <v>-35806.260000000009</v>
      </c>
      <c r="E53" s="216">
        <f>+E48-SUM('Monthly Detail'!AE89:AP89)-SUM('Monthly Detail'!AE61:AP61)</f>
        <v>-37389.600000000006</v>
      </c>
      <c r="F53" s="216">
        <f>+F48-SUM('Monthly Detail'!AF89:AQ89)-SUM('Monthly Detail'!AF61:AQ61)</f>
        <v>-42637.16</v>
      </c>
      <c r="G53" s="216">
        <f>+G48-SUM('Monthly Detail'!AG89:AR89)-SUM('Monthly Detail'!AG61:AR61)</f>
        <v>-43334.329999999994</v>
      </c>
      <c r="H53" s="216">
        <f>+H48-SUM('Monthly Detail'!AH89:AS89)-SUM('Monthly Detail'!AH61:AS61)</f>
        <v>-43853.530000000006</v>
      </c>
      <c r="I53" s="216">
        <f>+I48-SUM('Monthly Detail'!AI89:AT89)-SUM('Monthly Detail'!AI61:AT61)</f>
        <v>-45479.290000000008</v>
      </c>
      <c r="J53" s="216">
        <f>+J48-SUM('Monthly Detail'!AJ89:AU89)-SUM('Monthly Detail'!AJ61:AU61)</f>
        <v>-48374.929999999993</v>
      </c>
      <c r="K53" s="216">
        <f>+K48-SUM('Monthly Detail'!AK89:AV89)-SUM('Monthly Detail'!AK61:AV61)</f>
        <v>-51003.17</v>
      </c>
      <c r="L53" s="216">
        <f>+L48-SUM('Monthly Detail'!AL89:AW89)-SUM('Monthly Detail'!AL61:AW61)</f>
        <v>-50073.609999999993</v>
      </c>
      <c r="M53" s="216">
        <f>+M48-SUM('Monthly Detail'!AM89:AX89)-SUM('Monthly Detail'!AM61:AX61)</f>
        <v>-51128.649999999994</v>
      </c>
      <c r="N53" s="216">
        <f>+N48-SUM('Monthly Detail'!AN89:AY89)-SUM('Monthly Detail'!AN61:AY61)</f>
        <v>-54194.686982019935</v>
      </c>
      <c r="P53" s="89"/>
    </row>
    <row r="54" spans="2:16" ht="15.75" customHeight="1" thickBot="1" x14ac:dyDescent="0.3">
      <c r="B54" s="213" t="s">
        <v>49</v>
      </c>
      <c r="C54" s="217">
        <f t="shared" ref="C54:N54" si="9">+C46/-C50</f>
        <v>0.63201591732988871</v>
      </c>
      <c r="D54" s="218">
        <f t="shared" si="9"/>
        <v>0.79966883911345354</v>
      </c>
      <c r="E54" s="218">
        <f t="shared" si="9"/>
        <v>2.3047103462208645</v>
      </c>
      <c r="F54" s="218">
        <f t="shared" si="9"/>
        <v>0.95723918817173181</v>
      </c>
      <c r="G54" s="218">
        <f t="shared" si="9"/>
        <v>0.63680543567187819</v>
      </c>
      <c r="H54" s="218">
        <f t="shared" si="9"/>
        <v>0.76457698333251034</v>
      </c>
      <c r="I54" s="218">
        <f t="shared" si="9"/>
        <v>1.0332585655500615</v>
      </c>
      <c r="J54" s="218">
        <f t="shared" si="9"/>
        <v>0.25567326611603325</v>
      </c>
      <c r="K54" s="218">
        <f t="shared" si="9"/>
        <v>3.5949195285938894E-2</v>
      </c>
      <c r="L54" s="218">
        <f t="shared" si="9"/>
        <v>0.69825139609330289</v>
      </c>
      <c r="M54" s="218">
        <f t="shared" si="9"/>
        <v>0.44014802661898361</v>
      </c>
      <c r="N54" s="218">
        <f t="shared" si="9"/>
        <v>0.40414742726087549</v>
      </c>
      <c r="P54" s="89"/>
    </row>
    <row r="55" spans="2:16" x14ac:dyDescent="0.25">
      <c r="B55" s="213" t="s">
        <v>50</v>
      </c>
      <c r="C55" s="217">
        <f t="shared" ref="C55:N55" si="10">+IFERROR(C48/-C51, 0)</f>
        <v>0.21145394408952917</v>
      </c>
      <c r="D55" s="218">
        <f t="shared" si="10"/>
        <v>0.20379460936297225</v>
      </c>
      <c r="E55" s="218">
        <f t="shared" si="10"/>
        <v>0.63382786772389998</v>
      </c>
      <c r="F55" s="218">
        <f t="shared" si="10"/>
        <v>0.25117372548300204</v>
      </c>
      <c r="G55" s="218">
        <f t="shared" si="10"/>
        <v>0.76059296725452574</v>
      </c>
      <c r="H55" s="218">
        <f t="shared" si="10"/>
        <v>0.7566609973231827</v>
      </c>
      <c r="I55" s="218">
        <f t="shared" si="10"/>
        <v>1.0188145997656493</v>
      </c>
      <c r="J55" s="218">
        <f t="shared" si="10"/>
        <v>0.18690278949138417</v>
      </c>
      <c r="K55" s="218">
        <f t="shared" si="10"/>
        <v>4.9630793843480785E-2</v>
      </c>
      <c r="L55" s="218">
        <f t="shared" si="10"/>
        <v>0.94880950889370508</v>
      </c>
      <c r="M55" s="218">
        <f t="shared" si="10"/>
        <v>0.795935966995442</v>
      </c>
      <c r="N55" s="218">
        <f t="shared" si="10"/>
        <v>0.39087126465767175</v>
      </c>
      <c r="P55" s="89"/>
    </row>
    <row r="56" spans="2:16" x14ac:dyDescent="0.25">
      <c r="B56" s="88"/>
      <c r="E56" s="9"/>
      <c r="P56" s="89"/>
    </row>
    <row r="57" spans="2:16" x14ac:dyDescent="0.25">
      <c r="B57" s="88"/>
      <c r="P57" s="89"/>
    </row>
    <row r="58" spans="2:16" x14ac:dyDescent="0.25">
      <c r="B58" s="88"/>
      <c r="P58" s="89"/>
    </row>
    <row r="59" spans="2:16" x14ac:dyDescent="0.25">
      <c r="B59" s="88"/>
      <c r="P59" s="89"/>
    </row>
    <row r="60" spans="2:16" x14ac:dyDescent="0.25">
      <c r="B60" s="88"/>
      <c r="P60" s="89"/>
    </row>
    <row r="61" spans="2:16" x14ac:dyDescent="0.25">
      <c r="B61" s="88"/>
      <c r="P61" s="89"/>
    </row>
    <row r="62" spans="2:16" x14ac:dyDescent="0.25">
      <c r="B62" s="88"/>
      <c r="P62" s="89"/>
    </row>
    <row r="63" spans="2:16" x14ac:dyDescent="0.25">
      <c r="B63" s="88"/>
      <c r="P63" s="89"/>
    </row>
    <row r="64" spans="2:16" x14ac:dyDescent="0.25">
      <c r="B64" s="88"/>
      <c r="P64" s="89"/>
    </row>
    <row r="65" spans="2:16" x14ac:dyDescent="0.25">
      <c r="B65" s="88"/>
      <c r="P65" s="89"/>
    </row>
    <row r="66" spans="2:16" x14ac:dyDescent="0.25">
      <c r="B66" s="88"/>
      <c r="P66" s="89"/>
    </row>
    <row r="67" spans="2:16" x14ac:dyDescent="0.25">
      <c r="B67" s="88"/>
      <c r="P67" s="89"/>
    </row>
    <row r="68" spans="2:16" x14ac:dyDescent="0.25">
      <c r="B68" s="88"/>
      <c r="P68" s="89"/>
    </row>
    <row r="69" spans="2:16" x14ac:dyDescent="0.25">
      <c r="B69" s="88"/>
      <c r="P69" s="89"/>
    </row>
    <row r="70" spans="2:16" x14ac:dyDescent="0.25">
      <c r="B70" s="88"/>
      <c r="P70" s="89"/>
    </row>
    <row r="71" spans="2:16" ht="15.75" customHeight="1" thickBot="1" x14ac:dyDescent="0.3">
      <c r="B71" s="88"/>
      <c r="O71" s="100"/>
      <c r="P71" s="89"/>
    </row>
    <row r="72" spans="2:16" x14ac:dyDescent="0.25">
      <c r="B72" s="88"/>
      <c r="P72" s="89"/>
    </row>
    <row r="73" spans="2:16" ht="198.4" customHeight="1" thickBot="1" x14ac:dyDescent="0.3">
      <c r="B73" s="98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1"/>
    </row>
  </sheetData>
  <mergeCells count="1">
    <mergeCell ref="B15:P17"/>
  </mergeCells>
  <conditionalFormatting sqref="C51:N51">
    <cfRule type="cellIs" dxfId="1" priority="1" operator="greaterThan">
      <formula>0</formula>
    </cfRule>
  </conditionalFormatting>
  <pageMargins left="0.25" right="0.25" top="0.75" bottom="0.75" header="0.3" footer="0.3"/>
  <pageSetup scale="42" orientation="landscape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  <pageSetUpPr fitToPage="1"/>
  </sheetPr>
  <dimension ref="B10:T31"/>
  <sheetViews>
    <sheetView showGridLines="0" topLeftCell="A5" workbookViewId="0">
      <selection activeCell="N28" sqref="L28:N28"/>
    </sheetView>
  </sheetViews>
  <sheetFormatPr defaultColWidth="8.7109375" defaultRowHeight="15" outlineLevelCol="1" x14ac:dyDescent="0.25"/>
  <cols>
    <col min="2" max="2" width="32.140625" bestFit="1" customWidth="1"/>
    <col min="3" max="9" width="12.28515625" hidden="1" customWidth="1" outlineLevel="1"/>
    <col min="10" max="10" width="9.42578125" bestFit="1" customWidth="1" collapsed="1"/>
    <col min="11" max="12" width="11.140625" bestFit="1" customWidth="1"/>
    <col min="13" max="13" width="10.7109375" bestFit="1" customWidth="1"/>
    <col min="14" max="14" width="10.42578125" bestFit="1" customWidth="1"/>
    <col min="15" max="15" width="0.7109375" customWidth="1"/>
    <col min="16" max="16" width="8.7109375" bestFit="1" customWidth="1"/>
  </cols>
  <sheetData>
    <row r="10" spans="2:16" ht="15.75" customHeight="1" x14ac:dyDescent="0.25">
      <c r="B10" s="60"/>
      <c r="C10" s="61" t="str">
        <f>TEXT('Monthly Detail'!D4,"mmmm")</f>
        <v>January</v>
      </c>
      <c r="D10" s="61" t="str">
        <f>TEXT('Monthly Detail'!E4,"mmmm")</f>
        <v>February</v>
      </c>
      <c r="E10" s="61" t="str">
        <f>TEXT('Monthly Detail'!F4,"mmmm")</f>
        <v>March</v>
      </c>
      <c r="F10" s="61" t="str">
        <f>TEXT('Monthly Detail'!G4,"mmmm")</f>
        <v>April</v>
      </c>
      <c r="G10" s="61" t="str">
        <f>TEXT('Monthly Detail'!H4,"mmmm")</f>
        <v>May</v>
      </c>
      <c r="H10" s="61" t="str">
        <f>TEXT('Monthly Detail'!I4,"mmmm")</f>
        <v>June</v>
      </c>
      <c r="I10" s="61" t="str">
        <f>TEXT('Monthly Detail'!J4,"mmmm")</f>
        <v>July</v>
      </c>
      <c r="J10" s="61" t="str">
        <f>TEXT('Monthly Detail'!K4,"mmmm")</f>
        <v>August</v>
      </c>
      <c r="K10" s="61" t="str">
        <f>TEXT('Monthly Detail'!L4,"mmmm")</f>
        <v>September</v>
      </c>
      <c r="L10" s="61" t="str">
        <f>TEXT('Monthly Detail'!M4,"mmmm")</f>
        <v>October</v>
      </c>
      <c r="M10" s="61" t="str">
        <f>TEXT('Monthly Detail'!N4,"mmmm")</f>
        <v>November</v>
      </c>
      <c r="N10" s="137" t="str">
        <f>TEXT('Monthly Detail'!O4,"mmmm")</f>
        <v>December</v>
      </c>
      <c r="O10" s="62"/>
      <c r="P10" s="63" t="s">
        <v>23</v>
      </c>
    </row>
    <row r="11" spans="2:16" ht="1.5" customHeight="1" x14ac:dyDescent="0.25">
      <c r="B11" s="7"/>
      <c r="C11" s="83">
        <v>44592</v>
      </c>
      <c r="D11" s="83">
        <v>44620</v>
      </c>
      <c r="E11" s="83">
        <v>44651</v>
      </c>
      <c r="F11" s="83">
        <v>44681</v>
      </c>
      <c r="G11" s="83">
        <v>44712</v>
      </c>
      <c r="H11" s="83">
        <v>44742</v>
      </c>
      <c r="I11" s="83">
        <v>44773</v>
      </c>
      <c r="J11" s="83">
        <v>44804</v>
      </c>
      <c r="K11" s="83">
        <v>44834</v>
      </c>
      <c r="L11" s="83">
        <v>44865</v>
      </c>
      <c r="M11" s="83">
        <v>44895</v>
      </c>
      <c r="N11" s="138">
        <v>44926</v>
      </c>
    </row>
    <row r="12" spans="2:16" x14ac:dyDescent="0.25">
      <c r="B12" s="64" t="s">
        <v>0</v>
      </c>
      <c r="C12" s="65">
        <f>SUMIF('Monthly Detail'!$4:$4, '2022 Overview'!C$11, 'Monthly Detail'!9:9)</f>
        <v>0</v>
      </c>
      <c r="D12" s="65">
        <f>SUMIF('Monthly Detail'!$4:$4, '2022 Overview'!D$11, 'Monthly Detail'!9:9)</f>
        <v>0</v>
      </c>
      <c r="E12" s="65">
        <f>SUMIF('Monthly Detail'!$4:$4, '2022 Overview'!E$11, 'Monthly Detail'!9:9)</f>
        <v>0</v>
      </c>
      <c r="F12" s="65">
        <f>SUMIF('Monthly Detail'!$4:$4, '2022 Overview'!F$11, 'Monthly Detail'!9:9)</f>
        <v>0</v>
      </c>
      <c r="G12" s="65">
        <f>SUMIF('Monthly Detail'!$4:$4, '2022 Overview'!G$11, 'Monthly Detail'!9:9)</f>
        <v>0</v>
      </c>
      <c r="H12" s="65">
        <f>SUMIF('Monthly Detail'!$4:$4, '2022 Overview'!H$11, 'Monthly Detail'!9:9)</f>
        <v>0</v>
      </c>
      <c r="I12" s="65">
        <f>SUMIF('Monthly Detail'!$4:$4, '2022 Overview'!I$11, 'Monthly Detail'!9:9)</f>
        <v>0</v>
      </c>
      <c r="J12" s="65">
        <f>SUMIF('Monthly Detail'!$4:$4, '2022 Overview'!J$11, 'Monthly Detail'!9:9)</f>
        <v>0</v>
      </c>
      <c r="K12" s="65">
        <f>SUMIF('Monthly Detail'!$4:$4, '2022 Overview'!K$11, 'Monthly Detail'!9:9)</f>
        <v>0</v>
      </c>
      <c r="L12" s="65">
        <f>SUMIF('Monthly Detail'!$4:$4, '2022 Overview'!L$11, 'Monthly Detail'!9:9)</f>
        <v>0</v>
      </c>
      <c r="M12" s="65">
        <f>SUMIF('Monthly Detail'!$4:$4, '2022 Overview'!M$11, 'Monthly Detail'!9:9)</f>
        <v>0</v>
      </c>
      <c r="N12" s="139">
        <f>SUMIF('Monthly Detail'!$4:$4, '2022 Overview'!N$11, 'Monthly Detail'!9:9)</f>
        <v>0</v>
      </c>
      <c r="O12" s="65"/>
      <c r="P12" s="65">
        <f>SUM(C12:O12)</f>
        <v>0</v>
      </c>
    </row>
    <row r="13" spans="2:16" x14ac:dyDescent="0.25">
      <c r="B13" s="64" t="s">
        <v>24</v>
      </c>
      <c r="C13" s="65">
        <f>SUMIF('Monthly Detail'!$4:$4, '2022 Overview'!C$11, 'Monthly Detail'!12:12)</f>
        <v>0</v>
      </c>
      <c r="D13" s="65">
        <f>SUMIF('Monthly Detail'!$4:$4, '2022 Overview'!D$11, 'Monthly Detail'!12:12)</f>
        <v>0</v>
      </c>
      <c r="E13" s="65">
        <f>SUMIF('Monthly Detail'!$4:$4, '2022 Overview'!E$11, 'Monthly Detail'!12:12)</f>
        <v>0</v>
      </c>
      <c r="F13" s="65">
        <f>SUMIF('Monthly Detail'!$4:$4, '2022 Overview'!F$11, 'Monthly Detail'!12:12)</f>
        <v>0</v>
      </c>
      <c r="G13" s="65">
        <f>SUMIF('Monthly Detail'!$4:$4, '2022 Overview'!G$11, 'Monthly Detail'!12:12)</f>
        <v>0</v>
      </c>
      <c r="H13" s="65">
        <f>SUMIF('Monthly Detail'!$4:$4, '2022 Overview'!H$11, 'Monthly Detail'!12:12)</f>
        <v>0</v>
      </c>
      <c r="I13" s="65">
        <f>SUMIF('Monthly Detail'!$4:$4, '2022 Overview'!I$11, 'Monthly Detail'!12:12)</f>
        <v>0</v>
      </c>
      <c r="J13" s="65">
        <f>SUMIF('Monthly Detail'!$4:$4, '2022 Overview'!J$11, 'Monthly Detail'!12:12)</f>
        <v>0</v>
      </c>
      <c r="K13" s="65">
        <f>SUMIF('Monthly Detail'!$4:$4, '2022 Overview'!K$11, 'Monthly Detail'!12:12)</f>
        <v>0</v>
      </c>
      <c r="L13" s="65">
        <f>SUMIF('Monthly Detail'!$4:$4, '2022 Overview'!L$11, 'Monthly Detail'!12:12)</f>
        <v>0</v>
      </c>
      <c r="M13" s="122">
        <f>SUMIF('Monthly Detail'!$4:$4, '2022 Overview'!M$11, 'Monthly Detail'!12:12)</f>
        <v>0</v>
      </c>
      <c r="N13" s="139">
        <f>SUMIF('Monthly Detail'!$4:$4, '2022 Overview'!N$11, 'Monthly Detail'!12:12)</f>
        <v>0</v>
      </c>
      <c r="O13" s="65"/>
      <c r="P13" s="65"/>
    </row>
    <row r="14" spans="2:16" x14ac:dyDescent="0.25">
      <c r="B14" s="66" t="s">
        <v>2</v>
      </c>
      <c r="C14" s="66">
        <v>0.1</v>
      </c>
      <c r="D14" s="66">
        <v>0.1</v>
      </c>
      <c r="E14" s="66">
        <v>0.1</v>
      </c>
      <c r="F14" s="66">
        <v>0.1</v>
      </c>
      <c r="G14" s="66">
        <v>0.1</v>
      </c>
      <c r="H14" s="66">
        <v>0.1</v>
      </c>
      <c r="I14" s="66">
        <v>0.1</v>
      </c>
      <c r="J14" s="66">
        <f>SUM(J12:J13)</f>
        <v>0</v>
      </c>
      <c r="K14" s="66">
        <f>SUM(K12:K13)</f>
        <v>0</v>
      </c>
      <c r="L14" s="66">
        <f>SUM(L12:L13)</f>
        <v>0</v>
      </c>
      <c r="M14" s="66">
        <f>SUM(M12:M13)</f>
        <v>0</v>
      </c>
      <c r="N14" s="140">
        <f>SUM(N12:N13)</f>
        <v>0</v>
      </c>
      <c r="O14" s="67"/>
      <c r="P14" s="66">
        <f>SUM(P12:P12)</f>
        <v>0</v>
      </c>
    </row>
    <row r="15" spans="2:16" x14ac:dyDescent="0.25">
      <c r="B15" s="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141"/>
      <c r="P15" s="68"/>
    </row>
    <row r="16" spans="2:16" ht="15.75" customHeight="1" x14ac:dyDescent="0.25">
      <c r="B16" s="79" t="s">
        <v>12</v>
      </c>
      <c r="C16" s="80">
        <f t="shared" ref="C16:N16" si="0">C14</f>
        <v>0.1</v>
      </c>
      <c r="D16" s="80">
        <f t="shared" si="0"/>
        <v>0.1</v>
      </c>
      <c r="E16" s="80">
        <f t="shared" si="0"/>
        <v>0.1</v>
      </c>
      <c r="F16" s="80">
        <f t="shared" si="0"/>
        <v>0.1</v>
      </c>
      <c r="G16" s="80">
        <f t="shared" si="0"/>
        <v>0.1</v>
      </c>
      <c r="H16" s="80">
        <f t="shared" si="0"/>
        <v>0.1</v>
      </c>
      <c r="I16" s="80">
        <f t="shared" si="0"/>
        <v>0.1</v>
      </c>
      <c r="J16" s="80">
        <f t="shared" si="0"/>
        <v>0</v>
      </c>
      <c r="K16" s="80">
        <f t="shared" si="0"/>
        <v>0</v>
      </c>
      <c r="L16" s="80">
        <f t="shared" si="0"/>
        <v>0</v>
      </c>
      <c r="M16" s="80">
        <f t="shared" si="0"/>
        <v>0</v>
      </c>
      <c r="N16" s="142">
        <f t="shared" si="0"/>
        <v>0</v>
      </c>
      <c r="O16" s="69"/>
      <c r="P16" s="80">
        <f>P14</f>
        <v>0</v>
      </c>
    </row>
    <row r="17" spans="2:20" x14ac:dyDescent="0.25">
      <c r="B17" s="81" t="s">
        <v>13</v>
      </c>
      <c r="C17" s="82">
        <f t="shared" ref="C17:N17" si="1">C16/C14</f>
        <v>1</v>
      </c>
      <c r="D17" s="82">
        <f t="shared" si="1"/>
        <v>1</v>
      </c>
      <c r="E17" s="82">
        <f t="shared" si="1"/>
        <v>1</v>
      </c>
      <c r="F17" s="82">
        <f t="shared" si="1"/>
        <v>1</v>
      </c>
      <c r="G17" s="82">
        <f t="shared" si="1"/>
        <v>1</v>
      </c>
      <c r="H17" s="82">
        <f t="shared" si="1"/>
        <v>1</v>
      </c>
      <c r="I17" s="82">
        <f t="shared" si="1"/>
        <v>1</v>
      </c>
      <c r="J17" s="82" t="e">
        <f t="shared" si="1"/>
        <v>#DIV/0!</v>
      </c>
      <c r="K17" s="82" t="e">
        <f t="shared" si="1"/>
        <v>#DIV/0!</v>
      </c>
      <c r="L17" s="82" t="e">
        <f t="shared" si="1"/>
        <v>#DIV/0!</v>
      </c>
      <c r="M17" s="82" t="e">
        <f t="shared" si="1"/>
        <v>#DIV/0!</v>
      </c>
      <c r="N17" s="143" t="e">
        <f t="shared" si="1"/>
        <v>#DIV/0!</v>
      </c>
      <c r="O17" s="7"/>
      <c r="P17" s="82" t="e">
        <f>P16/P14</f>
        <v>#DIV/0!</v>
      </c>
    </row>
    <row r="18" spans="2:20" x14ac:dyDescent="0.25">
      <c r="B18" s="7"/>
      <c r="N18" s="106"/>
    </row>
    <row r="19" spans="2:20" x14ac:dyDescent="0.25">
      <c r="B19" s="7" t="s">
        <v>14</v>
      </c>
      <c r="C19" s="65">
        <f>SUMIF('Monthly Detail'!$4:$4, '2023 Overview'!C$11, 'Monthly Detail'!$89:$89)</f>
        <v>0</v>
      </c>
      <c r="D19" s="65">
        <f>SUMIF('Monthly Detail'!$4:$4, '2023 Overview'!D$11, 'Monthly Detail'!$89:$89)</f>
        <v>0</v>
      </c>
      <c r="E19" s="65">
        <f>SUMIF('Monthly Detail'!$4:$4, '2023 Overview'!E$11, 'Monthly Detail'!$89:$89)</f>
        <v>0</v>
      </c>
      <c r="F19" s="65">
        <f>SUMIF('Monthly Detail'!$4:$4, '2023 Overview'!F$11, 'Monthly Detail'!$89:$89)</f>
        <v>0</v>
      </c>
      <c r="G19" s="65">
        <f>SUMIF('Monthly Detail'!$4:$4, '2023 Overview'!G$11, 'Monthly Detail'!$89:$89)</f>
        <v>0</v>
      </c>
      <c r="H19" s="65">
        <f>SUMIF('Monthly Detail'!$4:$4, '2023 Overview'!H$11, 'Monthly Detail'!$89:$89)</f>
        <v>0</v>
      </c>
      <c r="I19" s="65">
        <f>SUMIF('Monthly Detail'!$4:$4, '2023 Overview'!I$11, 'Monthly Detail'!$89:$89)</f>
        <v>0</v>
      </c>
      <c r="J19" s="65">
        <f>SUMIF('Monthly Detail'!$4:$4, '2023 Overview'!J$11, 'Monthly Detail'!$89:$89)</f>
        <v>0</v>
      </c>
      <c r="K19" s="65">
        <f>SUMIF('Monthly Detail'!$4:$4, '2023 Overview'!K$11, 'Monthly Detail'!$89:$89)</f>
        <v>0</v>
      </c>
      <c r="L19" s="65">
        <f>SUMIF('Monthly Detail'!$4:$4, '2023 Overview'!L$11, 'Monthly Detail'!$89:$89)</f>
        <v>0</v>
      </c>
      <c r="M19" s="65">
        <f>SUMIF('Monthly Detail'!$4:$4, '2023 Overview'!M$11, 'Monthly Detail'!$89:$89)</f>
        <v>0</v>
      </c>
      <c r="N19" s="139">
        <f>SUMIF('Monthly Detail'!$4:$4, '2023 Overview'!N$11, 'Monthly Detail'!$89:$89)</f>
        <v>0</v>
      </c>
      <c r="P19" s="65">
        <f>SUM(C19:O19)</f>
        <v>0</v>
      </c>
      <c r="T19" s="1"/>
    </row>
    <row r="20" spans="2:20" x14ac:dyDescent="0.25">
      <c r="B20" s="7" t="s">
        <v>54</v>
      </c>
      <c r="C20" s="65">
        <f>SUMIF('Monthly Detail'!$4:$4, '2022 Overview'!C$11, 'Monthly Detail'!47:47)</f>
        <v>0</v>
      </c>
      <c r="D20" s="65">
        <f>SUMIF('Monthly Detail'!$4:$4, '2022 Overview'!D$11, 'Monthly Detail'!47:47)</f>
        <v>0</v>
      </c>
      <c r="E20" s="65">
        <f>SUMIF('Monthly Detail'!$4:$4, '2022 Overview'!E$11, 'Monthly Detail'!47:47)</f>
        <v>0</v>
      </c>
      <c r="F20" s="65">
        <f>SUMIF('Monthly Detail'!$4:$4, '2022 Overview'!F$11, 'Monthly Detail'!47:47)</f>
        <v>0</v>
      </c>
      <c r="G20" s="65">
        <f>SUMIF('Monthly Detail'!$4:$4, '2022 Overview'!G$11, 'Monthly Detail'!47:47)</f>
        <v>0</v>
      </c>
      <c r="H20" s="65">
        <f>SUMIF('Monthly Detail'!$4:$4, '2022 Overview'!H$11, 'Monthly Detail'!47:47)</f>
        <v>0</v>
      </c>
      <c r="I20" s="65">
        <f>SUMIF('Monthly Detail'!$4:$4, '2022 Overview'!I$11, 'Monthly Detail'!47:47)</f>
        <v>0</v>
      </c>
      <c r="J20" s="65">
        <f>SUMIF('Monthly Detail'!$4:$4, '2022 Overview'!J$11, 'Monthly Detail'!47:47)</f>
        <v>0</v>
      </c>
      <c r="K20" s="65">
        <f>SUMIF('Monthly Detail'!$4:$4, '2022 Overview'!K$11, 'Monthly Detail'!47:47)</f>
        <v>0</v>
      </c>
      <c r="L20" s="65">
        <f>SUMIF('Monthly Detail'!$4:$4, '2022 Overview'!L$11, 'Monthly Detail'!47:47)</f>
        <v>0</v>
      </c>
      <c r="M20" s="65">
        <f>SUMIF('Monthly Detail'!$4:$4, '2022 Overview'!M$11, 'Monthly Detail'!47:47)</f>
        <v>0</v>
      </c>
      <c r="N20" s="139">
        <f>SUMIF('Monthly Detail'!$4:$4, '2022 Overview'!N$11, 'Monthly Detail'!47:47)</f>
        <v>0</v>
      </c>
      <c r="P20" s="65">
        <f>SUM(C20:O20)</f>
        <v>0</v>
      </c>
      <c r="T20" s="1"/>
    </row>
    <row r="21" spans="2:20" x14ac:dyDescent="0.25">
      <c r="B21" s="70" t="s">
        <v>25</v>
      </c>
      <c r="C21" s="71">
        <f t="shared" ref="C21:N21" si="2">SUM(C19:C20)</f>
        <v>0</v>
      </c>
      <c r="D21" s="71">
        <f t="shared" si="2"/>
        <v>0</v>
      </c>
      <c r="E21" s="71">
        <f t="shared" si="2"/>
        <v>0</v>
      </c>
      <c r="F21" s="71">
        <f t="shared" si="2"/>
        <v>0</v>
      </c>
      <c r="G21" s="71">
        <f t="shared" si="2"/>
        <v>0</v>
      </c>
      <c r="H21" s="71">
        <f t="shared" si="2"/>
        <v>0</v>
      </c>
      <c r="I21" s="71">
        <f t="shared" si="2"/>
        <v>0</v>
      </c>
      <c r="J21" s="71">
        <f t="shared" si="2"/>
        <v>0</v>
      </c>
      <c r="K21" s="71">
        <f t="shared" si="2"/>
        <v>0</v>
      </c>
      <c r="L21" s="71">
        <f t="shared" si="2"/>
        <v>0</v>
      </c>
      <c r="M21" s="71">
        <f t="shared" si="2"/>
        <v>0</v>
      </c>
      <c r="N21" s="144">
        <f t="shared" si="2"/>
        <v>0</v>
      </c>
      <c r="O21" s="72"/>
      <c r="P21" s="71">
        <f>SUM(P19:P20)</f>
        <v>0</v>
      </c>
    </row>
    <row r="22" spans="2:20" ht="3" customHeight="1" x14ac:dyDescent="0.25">
      <c r="B22" s="7"/>
      <c r="N22" s="106"/>
    </row>
    <row r="23" spans="2:20" ht="15.75" customHeight="1" x14ac:dyDescent="0.25">
      <c r="B23" s="79" t="s">
        <v>16</v>
      </c>
      <c r="C23" s="80">
        <f t="shared" ref="C23:N23" si="3">C16-C21</f>
        <v>0.1</v>
      </c>
      <c r="D23" s="80">
        <f t="shared" si="3"/>
        <v>0.1</v>
      </c>
      <c r="E23" s="80">
        <f t="shared" si="3"/>
        <v>0.1</v>
      </c>
      <c r="F23" s="80">
        <f t="shared" si="3"/>
        <v>0.1</v>
      </c>
      <c r="G23" s="80">
        <f t="shared" si="3"/>
        <v>0.1</v>
      </c>
      <c r="H23" s="80">
        <f t="shared" si="3"/>
        <v>0.1</v>
      </c>
      <c r="I23" s="80">
        <f t="shared" si="3"/>
        <v>0.1</v>
      </c>
      <c r="J23" s="80">
        <f t="shared" si="3"/>
        <v>0</v>
      </c>
      <c r="K23" s="80">
        <f t="shared" si="3"/>
        <v>0</v>
      </c>
      <c r="L23" s="80">
        <f t="shared" si="3"/>
        <v>0</v>
      </c>
      <c r="M23" s="80">
        <f t="shared" si="3"/>
        <v>0</v>
      </c>
      <c r="N23" s="142">
        <f t="shared" si="3"/>
        <v>0</v>
      </c>
      <c r="O23" s="69"/>
      <c r="P23" s="80">
        <f>P16-P21</f>
        <v>0</v>
      </c>
    </row>
    <row r="24" spans="2:20" x14ac:dyDescent="0.25">
      <c r="B24" s="81" t="s">
        <v>17</v>
      </c>
      <c r="C24" s="82">
        <f t="shared" ref="C24:N24" si="4">C23/C14</f>
        <v>1</v>
      </c>
      <c r="D24" s="82">
        <f t="shared" si="4"/>
        <v>1</v>
      </c>
      <c r="E24" s="82">
        <f t="shared" si="4"/>
        <v>1</v>
      </c>
      <c r="F24" s="82">
        <f t="shared" si="4"/>
        <v>1</v>
      </c>
      <c r="G24" s="82">
        <f t="shared" si="4"/>
        <v>1</v>
      </c>
      <c r="H24" s="82">
        <f t="shared" si="4"/>
        <v>1</v>
      </c>
      <c r="I24" s="82">
        <f t="shared" si="4"/>
        <v>1</v>
      </c>
      <c r="J24" s="82" t="e">
        <f t="shared" si="4"/>
        <v>#DIV/0!</v>
      </c>
      <c r="K24" s="82" t="e">
        <f t="shared" si="4"/>
        <v>#DIV/0!</v>
      </c>
      <c r="L24" s="82" t="e">
        <f t="shared" si="4"/>
        <v>#DIV/0!</v>
      </c>
      <c r="M24" s="82" t="e">
        <f t="shared" si="4"/>
        <v>#DIV/0!</v>
      </c>
      <c r="N24" s="143" t="e">
        <f t="shared" si="4"/>
        <v>#DIV/0!</v>
      </c>
      <c r="O24" s="7"/>
      <c r="P24" s="82" t="e">
        <f>P23/P14</f>
        <v>#DIV/0!</v>
      </c>
    </row>
    <row r="25" spans="2:20" ht="8.25" customHeight="1" x14ac:dyDescent="0.25">
      <c r="B25" s="73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145"/>
      <c r="P25" s="74"/>
    </row>
    <row r="26" spans="2:20" x14ac:dyDescent="0.25">
      <c r="B26" s="7" t="s">
        <v>18</v>
      </c>
      <c r="C26" s="65">
        <f>SUMIF('Monthly Detail'!$4:$4, '2022 Overview'!C$11, 'Monthly Detail'!77:77)</f>
        <v>0</v>
      </c>
      <c r="D26" s="65">
        <f>SUMIF('Monthly Detail'!$4:$4, '2022 Overview'!D$11, 'Monthly Detail'!77:77)</f>
        <v>0</v>
      </c>
      <c r="E26" s="65">
        <f>SUMIF('Monthly Detail'!$4:$4, '2022 Overview'!E$11, 'Monthly Detail'!77:77)</f>
        <v>0</v>
      </c>
      <c r="F26" s="65">
        <f>SUMIF('Monthly Detail'!$4:$4, '2022 Overview'!F$11, 'Monthly Detail'!77:77)</f>
        <v>0</v>
      </c>
      <c r="G26" s="65">
        <f>SUMIF('Monthly Detail'!$4:$4, '2022 Overview'!G$11, 'Monthly Detail'!77:77)</f>
        <v>0</v>
      </c>
      <c r="H26" s="65">
        <f>SUMIF('Monthly Detail'!$4:$4, '2022 Overview'!H$11, 'Monthly Detail'!77:77)</f>
        <v>0</v>
      </c>
      <c r="I26" s="65">
        <f>SUMIF('Monthly Detail'!$4:$4, '2022 Overview'!I$11, 'Monthly Detail'!77:77)</f>
        <v>0</v>
      </c>
      <c r="J26" s="65">
        <f>SUMIF('Monthly Detail'!$4:$4, '2022 Overview'!J$11, 'Monthly Detail'!77:77)</f>
        <v>0</v>
      </c>
      <c r="K26" s="65">
        <f>SUMIF('Monthly Detail'!$4:$4, '2022 Overview'!K$11, 'Monthly Detail'!77:77)</f>
        <v>0</v>
      </c>
      <c r="L26" s="119">
        <f>SUMIF('Monthly Detail'!$4:$4, '2022 Overview'!L$11, 'Monthly Detail'!77:77)</f>
        <v>0</v>
      </c>
      <c r="M26" s="119">
        <f>SUMIF('Monthly Detail'!$4:$4, '2022 Overview'!M$11, 'Monthly Detail'!77:77)</f>
        <v>0</v>
      </c>
      <c r="N26" s="146">
        <f>SUMIF('Monthly Detail'!$4:$4, '2022 Overview'!N$11, 'Monthly Detail'!77:77)</f>
        <v>0</v>
      </c>
      <c r="O26" s="65"/>
      <c r="P26" s="119">
        <f>SUM(C26:O26)</f>
        <v>0</v>
      </c>
    </row>
    <row r="27" spans="2:20" ht="15.75" customHeight="1" x14ac:dyDescent="0.25">
      <c r="B27" s="79" t="s">
        <v>19</v>
      </c>
      <c r="C27" s="80">
        <f t="shared" ref="C27:N27" si="5">C23+SUM(C26:C26)</f>
        <v>0.1</v>
      </c>
      <c r="D27" s="80">
        <f t="shared" si="5"/>
        <v>0.1</v>
      </c>
      <c r="E27" s="80">
        <f t="shared" si="5"/>
        <v>0.1</v>
      </c>
      <c r="F27" s="80">
        <f t="shared" si="5"/>
        <v>0.1</v>
      </c>
      <c r="G27" s="80">
        <f t="shared" si="5"/>
        <v>0.1</v>
      </c>
      <c r="H27" s="80">
        <f t="shared" si="5"/>
        <v>0.1</v>
      </c>
      <c r="I27" s="80">
        <f t="shared" si="5"/>
        <v>0.1</v>
      </c>
      <c r="J27" s="80">
        <f t="shared" si="5"/>
        <v>0</v>
      </c>
      <c r="K27" s="80">
        <f t="shared" si="5"/>
        <v>0</v>
      </c>
      <c r="L27" s="80">
        <f t="shared" si="5"/>
        <v>0</v>
      </c>
      <c r="M27" s="80">
        <f t="shared" si="5"/>
        <v>0</v>
      </c>
      <c r="N27" s="142">
        <f t="shared" si="5"/>
        <v>0</v>
      </c>
      <c r="O27" s="69"/>
      <c r="P27" s="80">
        <f>P23+SUM(P26:P26)</f>
        <v>0</v>
      </c>
    </row>
    <row r="28" spans="2:20" x14ac:dyDescent="0.25">
      <c r="B28" s="81" t="s">
        <v>20</v>
      </c>
      <c r="C28" s="82">
        <f t="shared" ref="C28:N28" si="6">C27/C14</f>
        <v>1</v>
      </c>
      <c r="D28" s="82">
        <f t="shared" si="6"/>
        <v>1</v>
      </c>
      <c r="E28" s="82">
        <f t="shared" si="6"/>
        <v>1</v>
      </c>
      <c r="F28" s="82">
        <f t="shared" si="6"/>
        <v>1</v>
      </c>
      <c r="G28" s="82">
        <f t="shared" si="6"/>
        <v>1</v>
      </c>
      <c r="H28" s="82">
        <f t="shared" si="6"/>
        <v>1</v>
      </c>
      <c r="I28" s="82">
        <f t="shared" si="6"/>
        <v>1</v>
      </c>
      <c r="J28" s="82" t="e">
        <f t="shared" si="6"/>
        <v>#DIV/0!</v>
      </c>
      <c r="K28" s="82" t="e">
        <f t="shared" si="6"/>
        <v>#DIV/0!</v>
      </c>
      <c r="L28" s="82" t="e">
        <f t="shared" si="6"/>
        <v>#DIV/0!</v>
      </c>
      <c r="M28" s="82" t="e">
        <f t="shared" si="6"/>
        <v>#DIV/0!</v>
      </c>
      <c r="N28" s="143" t="e">
        <f t="shared" si="6"/>
        <v>#DIV/0!</v>
      </c>
      <c r="O28" s="7"/>
      <c r="P28" s="82" t="e">
        <f>P27/P14</f>
        <v>#DIV/0!</v>
      </c>
    </row>
    <row r="29" spans="2:20" ht="15.75" customHeight="1" thickBot="1" x14ac:dyDescent="0.3">
      <c r="B29" s="7"/>
      <c r="M29" s="100"/>
      <c r="N29" s="106"/>
    </row>
    <row r="30" spans="2:20" x14ac:dyDescent="0.25">
      <c r="B30" s="75" t="s">
        <v>26</v>
      </c>
      <c r="C30" s="76">
        <f>SUMIF('Monthly Detail'!$4:$4, '2022 Overview'!C$11, 'Monthly Detail'!173:173)</f>
        <v>0</v>
      </c>
      <c r="D30" s="76">
        <f>SUMIF('Monthly Detail'!$4:$4, '2022 Overview'!D$11, 'Monthly Detail'!173:173)</f>
        <v>0</v>
      </c>
      <c r="E30" s="76">
        <f>SUMIF('Monthly Detail'!$4:$4, '2022 Overview'!E$11, 'Monthly Detail'!173:173)</f>
        <v>0</v>
      </c>
      <c r="F30" s="76">
        <f>SUMIF('Monthly Detail'!$4:$4, '2022 Overview'!F$11, 'Monthly Detail'!173:173)</f>
        <v>0</v>
      </c>
      <c r="G30" s="76">
        <f>SUMIF('Monthly Detail'!$4:$4, '2022 Overview'!G$11, 'Monthly Detail'!173:173)</f>
        <v>0</v>
      </c>
      <c r="H30" s="76">
        <f>SUMIF('Monthly Detail'!$4:$4, '2022 Overview'!H$11, 'Monthly Detail'!173:173)</f>
        <v>0</v>
      </c>
      <c r="I30" s="76">
        <f>SUMIF('Monthly Detail'!$4:$4, '2022 Overview'!I$11, 'Monthly Detail'!173:173)</f>
        <v>0</v>
      </c>
      <c r="J30" s="76">
        <f>SUMIF('Monthly Detail'!$4:$4, '2022 Overview'!J$11, 'Monthly Detail'!173:173)</f>
        <v>0</v>
      </c>
      <c r="K30" s="76">
        <f>SUMIF('Monthly Detail'!$4:$4, '2022 Overview'!K$11, 'Monthly Detail'!173:173)</f>
        <v>0</v>
      </c>
      <c r="L30" s="76">
        <f>SUMIF('Monthly Detail'!$4:$4, '2022 Overview'!L$11, 'Monthly Detail'!173:173)</f>
        <v>0</v>
      </c>
      <c r="M30" s="76">
        <f>SUMIF('Monthly Detail'!$4:$4, '2022 Overview'!M$11, 'Monthly Detail'!173:173)</f>
        <v>0</v>
      </c>
      <c r="N30" s="147">
        <f>SUMIF('Monthly Detail'!$4:$4, '2022 Overview'!N$11, 'Monthly Detail'!173:173)</f>
        <v>0</v>
      </c>
    </row>
    <row r="31" spans="2:20" ht="15.75" customHeight="1" thickBot="1" x14ac:dyDescent="0.3">
      <c r="B31" s="77" t="s">
        <v>27</v>
      </c>
      <c r="C31" s="78">
        <f>SUMIF('Monthly Detail'!$4:$4, '2022 Overview'!C$11, 'Monthly Detail'!158:158)</f>
        <v>0</v>
      </c>
      <c r="D31" s="78">
        <f t="shared" ref="D31:N31" si="7">D30-C30</f>
        <v>0</v>
      </c>
      <c r="E31" s="78">
        <f t="shared" si="7"/>
        <v>0</v>
      </c>
      <c r="F31" s="78">
        <f t="shared" si="7"/>
        <v>0</v>
      </c>
      <c r="G31" s="78">
        <f t="shared" si="7"/>
        <v>0</v>
      </c>
      <c r="H31" s="78">
        <f t="shared" si="7"/>
        <v>0</v>
      </c>
      <c r="I31" s="78">
        <f t="shared" si="7"/>
        <v>0</v>
      </c>
      <c r="J31" s="78">
        <f t="shared" si="7"/>
        <v>0</v>
      </c>
      <c r="K31" s="78">
        <f t="shared" si="7"/>
        <v>0</v>
      </c>
      <c r="L31" s="78">
        <f t="shared" si="7"/>
        <v>0</v>
      </c>
      <c r="M31" s="78">
        <f t="shared" si="7"/>
        <v>0</v>
      </c>
      <c r="N31" s="148">
        <f t="shared" si="7"/>
        <v>0</v>
      </c>
    </row>
  </sheetData>
  <pageMargins left="0.7" right="0.7" top="0.75" bottom="0.75" header="0.3" footer="0.3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  <pageSetUpPr fitToPage="1"/>
  </sheetPr>
  <dimension ref="B3:V60"/>
  <sheetViews>
    <sheetView showGridLines="0" topLeftCell="A22" zoomScale="70" zoomScaleNormal="70" workbookViewId="0">
      <selection activeCell="K65" sqref="K65"/>
    </sheetView>
  </sheetViews>
  <sheetFormatPr defaultColWidth="8.7109375" defaultRowHeight="15" outlineLevelCol="1" x14ac:dyDescent="0.25"/>
  <cols>
    <col min="2" max="2" width="47.42578125" bestFit="1" customWidth="1"/>
    <col min="3" max="3" width="14.7109375" bestFit="1" customWidth="1"/>
    <col min="4" max="4" width="15.140625" bestFit="1" customWidth="1"/>
    <col min="5" max="5" width="14.7109375" bestFit="1" customWidth="1" outlineLevel="1"/>
    <col min="6" max="6" width="15.140625" bestFit="1" customWidth="1"/>
    <col min="7" max="7" width="15" bestFit="1" customWidth="1" outlineLevel="1"/>
    <col min="8" max="8" width="15.140625" bestFit="1" customWidth="1"/>
    <col min="9" max="9" width="14.7109375" hidden="1" customWidth="1" outlineLevel="1"/>
    <col min="10" max="10" width="0.28515625" customWidth="1" collapsed="1"/>
    <col min="11" max="11" width="13.28515625" bestFit="1" customWidth="1"/>
  </cols>
  <sheetData>
    <row r="3" spans="2:22" ht="15.75" customHeight="1" thickBot="1" x14ac:dyDescent="0.3"/>
    <row r="4" spans="2:22" ht="15.75" customHeight="1" thickTop="1" x14ac:dyDescent="0.25">
      <c r="B4" s="459"/>
      <c r="C4" s="460"/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1"/>
    </row>
    <row r="5" spans="2:22" x14ac:dyDescent="0.25">
      <c r="B5" s="462"/>
      <c r="V5" s="463"/>
    </row>
    <row r="6" spans="2:22" x14ac:dyDescent="0.25">
      <c r="B6" s="462"/>
      <c r="V6" s="463"/>
    </row>
    <row r="7" spans="2:22" ht="103.15" customHeight="1" x14ac:dyDescent="0.25">
      <c r="B7" s="462"/>
      <c r="V7" s="463"/>
    </row>
    <row r="8" spans="2:22" x14ac:dyDescent="0.25">
      <c r="B8" s="462"/>
      <c r="V8" s="463"/>
    </row>
    <row r="9" spans="2:22" x14ac:dyDescent="0.25">
      <c r="B9" s="462"/>
      <c r="C9" s="83">
        <v>45382</v>
      </c>
      <c r="D9" s="83">
        <v>45473</v>
      </c>
      <c r="E9" s="464"/>
      <c r="F9" s="83">
        <v>45565</v>
      </c>
      <c r="G9" s="464"/>
      <c r="H9" s="83">
        <v>45657</v>
      </c>
      <c r="I9" s="464"/>
      <c r="V9" s="463"/>
    </row>
    <row r="10" spans="2:22" ht="15.75" customHeight="1" x14ac:dyDescent="0.25">
      <c r="B10" s="465"/>
      <c r="C10" s="284" t="s">
        <v>55</v>
      </c>
      <c r="D10" s="284" t="s">
        <v>56</v>
      </c>
      <c r="E10" s="285" t="s">
        <v>57</v>
      </c>
      <c r="F10" s="284" t="s">
        <v>58</v>
      </c>
      <c r="G10" s="285" t="s">
        <v>57</v>
      </c>
      <c r="H10" s="362" t="s">
        <v>59</v>
      </c>
      <c r="I10" s="286" t="s">
        <v>57</v>
      </c>
      <c r="J10" s="287"/>
      <c r="K10" s="371" t="s">
        <v>23</v>
      </c>
      <c r="V10" s="463"/>
    </row>
    <row r="11" spans="2:22" ht="3.4" customHeight="1" x14ac:dyDescent="0.25">
      <c r="B11" s="466"/>
      <c r="C11" s="83" t="str">
        <f>+C10</f>
        <v>Q1 2025</v>
      </c>
      <c r="D11" s="83" t="str">
        <f>+D10</f>
        <v>Q2 2025</v>
      </c>
      <c r="E11" s="288"/>
      <c r="F11" s="83" t="str">
        <f>+F10</f>
        <v>Q3 2025</v>
      </c>
      <c r="G11" s="288"/>
      <c r="H11" s="363" t="str">
        <f>+H10</f>
        <v>Q4 2025</v>
      </c>
      <c r="I11" s="176"/>
      <c r="J11" s="83">
        <v>45322</v>
      </c>
      <c r="K11" s="372"/>
      <c r="V11" s="463"/>
    </row>
    <row r="12" spans="2:22" x14ac:dyDescent="0.25">
      <c r="B12" s="467" t="s">
        <v>60</v>
      </c>
      <c r="C12" s="468">
        <f>SUMIF('Monthly Detail'!$3:$3, 'Quarterly Overview'!C$11, 'Monthly Detail'!13:13)</f>
        <v>20330.690000000002</v>
      </c>
      <c r="D12" s="468">
        <f>SUMIF('Monthly Detail'!$3:$3, 'Quarterly Overview'!D$11, 'Monthly Detail'!13:13)</f>
        <v>22626.82</v>
      </c>
      <c r="E12" s="289">
        <f>+D12-C12</f>
        <v>2296.1299999999974</v>
      </c>
      <c r="F12" s="468">
        <f>SUMIF('Monthly Detail'!$3:$3, 'Quarterly Overview'!F$11, 'Monthly Detail'!13:13)</f>
        <v>21242.350000000002</v>
      </c>
      <c r="G12" s="289">
        <f>+F12-D12</f>
        <v>-1384.4699999999975</v>
      </c>
      <c r="H12" s="364">
        <f>SUMIF('Monthly Detail'!$3:$3, 'Quarterly Overview'!H$11, 'Monthly Detail'!13:13)</f>
        <v>17831.332511807879</v>
      </c>
      <c r="I12" s="289">
        <f>+H12-F12</f>
        <v>-3411.017488192123</v>
      </c>
      <c r="J12" s="65"/>
      <c r="K12" s="373">
        <f>SUM(C12,D12,F12,H12)</f>
        <v>82031.19251180788</v>
      </c>
      <c r="V12" s="463"/>
    </row>
    <row r="13" spans="2:22" x14ac:dyDescent="0.25">
      <c r="B13" s="469" t="s">
        <v>2</v>
      </c>
      <c r="C13" s="66">
        <f>SUM(C12:C12)</f>
        <v>20330.690000000002</v>
      </c>
      <c r="D13" s="66">
        <f>SUM(D12:D12)</f>
        <v>22626.82</v>
      </c>
      <c r="E13" s="290">
        <f>+D13-C13</f>
        <v>2296.1299999999974</v>
      </c>
      <c r="F13" s="66">
        <f>SUM(F12:F12)</f>
        <v>21242.350000000002</v>
      </c>
      <c r="G13" s="290">
        <f>+F13-D13</f>
        <v>-1384.4699999999975</v>
      </c>
      <c r="H13" s="291">
        <f>SUM(H12:H12)</f>
        <v>17831.332511807879</v>
      </c>
      <c r="I13" s="290">
        <f>+H13-F13</f>
        <v>-3411.017488192123</v>
      </c>
      <c r="J13" s="67"/>
      <c r="K13" s="374">
        <f>SUM(K12:K12)</f>
        <v>82031.19251180788</v>
      </c>
      <c r="V13" s="463"/>
    </row>
    <row r="14" spans="2:22" x14ac:dyDescent="0.25">
      <c r="B14" s="470" t="s">
        <v>3</v>
      </c>
      <c r="C14" s="292">
        <f>+SUMIFS('Monthly Detail'!15:15,'Monthly Detail'!$3:$3,'Quarterly Overview'!C$10)</f>
        <v>203</v>
      </c>
      <c r="D14" s="292">
        <f>+SUMIFS('Monthly Detail'!15:15,'Monthly Detail'!$3:$3,'Quarterly Overview'!D$10)</f>
        <v>237</v>
      </c>
      <c r="E14" s="293">
        <f>+D14-C14</f>
        <v>34</v>
      </c>
      <c r="F14" s="292">
        <f>+SUMIFS('Monthly Detail'!15:15,'Monthly Detail'!$3:$3,'Quarterly Overview'!F$10)</f>
        <v>211</v>
      </c>
      <c r="G14" s="293">
        <f>+F14-D14</f>
        <v>-26</v>
      </c>
      <c r="H14" s="365">
        <f>+SUMIFS('Monthly Detail'!15:15,'Monthly Detail'!$3:$3,'Quarterly Overview'!H$10)</f>
        <v>172.83790571030153</v>
      </c>
      <c r="I14" s="293">
        <f>+H14-F14</f>
        <v>-38.162094289698473</v>
      </c>
      <c r="J14" s="67"/>
      <c r="K14" s="384">
        <f>+SUM(C14,D14,F14,H14)</f>
        <v>823.83790571030158</v>
      </c>
      <c r="V14" s="463"/>
    </row>
    <row r="15" spans="2:22" x14ac:dyDescent="0.25">
      <c r="B15" s="470" t="s">
        <v>4</v>
      </c>
      <c r="C15" s="292">
        <f>+AVERAGEIFS('Monthly Detail'!41:41,'Monthly Detail'!$3:$3,'Quarterly Overview'!C$10)</f>
        <v>4119.740142978234</v>
      </c>
      <c r="D15" s="292">
        <f>+AVERAGEIFS('Monthly Detail'!41:41,'Monthly Detail'!$3:$3,'Quarterly Overview'!D$10)</f>
        <v>4306.3922874805057</v>
      </c>
      <c r="E15" s="293">
        <f>+D15-C15</f>
        <v>186.65214450227177</v>
      </c>
      <c r="F15" s="292">
        <f>+AVERAGEIFS('Monthly Detail'!41:41,'Monthly Detail'!$3:$3,'Quarterly Overview'!F$10)</f>
        <v>4653.1897115344591</v>
      </c>
      <c r="G15" s="293">
        <f>+F15-D15</f>
        <v>346.79742405395336</v>
      </c>
      <c r="H15" s="365">
        <f>+AVERAGEIFS('Monthly Detail'!41:41,'Monthly Detail'!$3:$3,'Quarterly Overview'!H$10)</f>
        <v>4114.3156363604512</v>
      </c>
      <c r="I15" s="293">
        <f>+H15-F15</f>
        <v>-538.87407517400788</v>
      </c>
      <c r="J15" s="67"/>
      <c r="K15" s="383">
        <f>+AVERAGE(C15,D15,F15,H15)</f>
        <v>4298.409444588412</v>
      </c>
      <c r="V15" s="463"/>
    </row>
    <row r="16" spans="2:22" x14ac:dyDescent="0.25">
      <c r="B16" s="471" t="s">
        <v>5</v>
      </c>
      <c r="C16" s="455">
        <f>+AVERAGEIFS('Monthly Detail'!17:17,'Monthly Detail'!$3:$3,'Quarterly Overview'!C$10)</f>
        <v>32.666666666666664</v>
      </c>
      <c r="D16" s="455">
        <f>+AVERAGEIFS('Monthly Detail'!17:17,'Monthly Detail'!$3:$3,'Quarterly Overview'!D$10)</f>
        <v>35</v>
      </c>
      <c r="E16" s="456">
        <f>+D16-C16</f>
        <v>2.3333333333333357</v>
      </c>
      <c r="F16" s="455">
        <f>+AVERAGEIFS('Monthly Detail'!17:17,'Monthly Detail'!$3:$3,'Quarterly Overview'!F$10)</f>
        <v>34</v>
      </c>
      <c r="G16" s="456">
        <f>+F16-D16</f>
        <v>-1</v>
      </c>
      <c r="H16" s="457">
        <f>+AVERAGEIFS('Monthly Detail'!17:17,'Monthly Detail'!$3:$3,'Quarterly Overview'!H$10)</f>
        <v>29.196255669028691</v>
      </c>
      <c r="I16" s="456">
        <f>+H16-F16</f>
        <v>-4.803744330971309</v>
      </c>
      <c r="J16" s="67"/>
      <c r="K16" s="384">
        <f>+AVERAGE(C16,D16,F16,H16)</f>
        <v>32.715730583923836</v>
      </c>
      <c r="V16" s="463"/>
    </row>
    <row r="17" spans="2:22" ht="4.9000000000000004" customHeight="1" x14ac:dyDescent="0.25">
      <c r="B17" s="466"/>
      <c r="C17" s="472"/>
      <c r="D17" s="472"/>
      <c r="E17" s="294"/>
      <c r="F17" s="472"/>
      <c r="G17" s="294"/>
      <c r="H17" s="366"/>
      <c r="I17" s="294"/>
      <c r="K17" s="375"/>
      <c r="V17" s="463"/>
    </row>
    <row r="18" spans="2:22" ht="16.899999999999999" customHeight="1" x14ac:dyDescent="0.25">
      <c r="B18" s="466" t="s">
        <v>9</v>
      </c>
      <c r="C18" s="468">
        <f>SUMIF('Monthly Detail'!$3:$3, 'Quarterly Overview'!C$11, 'Monthly Detail'!58:58)</f>
        <v>613.95000000000005</v>
      </c>
      <c r="D18" s="468">
        <f>SUMIF('Monthly Detail'!$3:$3, 'Quarterly Overview'!D$11, 'Monthly Detail'!58:58)</f>
        <v>670.12</v>
      </c>
      <c r="E18" s="293">
        <f>+D18-C18</f>
        <v>56.169999999999959</v>
      </c>
      <c r="F18" s="468">
        <f>SUMIF('Monthly Detail'!$3:$3, 'Quarterly Overview'!F$11, 'Monthly Detail'!58:58)</f>
        <v>644.27</v>
      </c>
      <c r="G18" s="293">
        <f>+F18-D18</f>
        <v>-25.850000000000023</v>
      </c>
      <c r="H18" s="364">
        <f>SUMIF('Monthly Detail'!$3:$3, 'Quarterly Overview'!H$11, 'Monthly Detail'!58:58)</f>
        <v>721.23696823100636</v>
      </c>
      <c r="I18" s="293">
        <f>+H18-F18</f>
        <v>76.966968231006376</v>
      </c>
      <c r="K18" s="373">
        <f>SUM(C18,D18,F18,H18)</f>
        <v>2649.5769682310065</v>
      </c>
      <c r="V18" s="463"/>
    </row>
    <row r="19" spans="2:22" ht="16.899999999999999" customHeight="1" x14ac:dyDescent="0.25">
      <c r="B19" s="466" t="s">
        <v>8</v>
      </c>
      <c r="C19" s="468">
        <f>SUMIF('Monthly Detail'!$3:$3, 'Quarterly Overview'!C$11, 'Monthly Detail'!59:59)</f>
        <v>1557.63</v>
      </c>
      <c r="D19" s="468">
        <f>SUMIF('Monthly Detail'!$3:$3, 'Quarterly Overview'!D$11, 'Monthly Detail'!59:59)</f>
        <v>1610.76</v>
      </c>
      <c r="E19" s="293">
        <f>+D19-C19</f>
        <v>53.129999999999882</v>
      </c>
      <c r="F19" s="468">
        <f>SUMIF('Monthly Detail'!$3:$3, 'Quarterly Overview'!F$11, 'Monthly Detail'!59:59)</f>
        <v>2249.6999999999998</v>
      </c>
      <c r="G19" s="293">
        <f>+F19-D19</f>
        <v>638.93999999999983</v>
      </c>
      <c r="H19" s="364">
        <f>SUMIF('Monthly Detail'!$3:$3, 'Quarterly Overview'!H$11, 'Monthly Detail'!59:59)</f>
        <v>1646.155127107405</v>
      </c>
      <c r="I19" s="293">
        <f>+H19-F19</f>
        <v>-603.54487289259487</v>
      </c>
      <c r="K19" s="373">
        <f>SUM(C19,D19,F19,H19)</f>
        <v>7064.2451271074051</v>
      </c>
      <c r="V19" s="463"/>
    </row>
    <row r="20" spans="2:22" ht="16.899999999999999" customHeight="1" x14ac:dyDescent="0.25">
      <c r="B20" s="466" t="s">
        <v>61</v>
      </c>
      <c r="C20" s="468">
        <f>SUMIF('Monthly Detail'!$3:$3, 'Quarterly Overview'!C$11, 'Monthly Detail'!60:60)</f>
        <v>95</v>
      </c>
      <c r="D20" s="468">
        <f>SUMIF('Monthly Detail'!$3:$3, 'Quarterly Overview'!D$11, 'Monthly Detail'!60:60)</f>
        <v>629</v>
      </c>
      <c r="E20" s="293">
        <f>+D20-C20</f>
        <v>534</v>
      </c>
      <c r="F20" s="468">
        <f>SUMIF('Monthly Detail'!$3:$3, 'Quarterly Overview'!F$11, 'Monthly Detail'!60:60)</f>
        <v>30</v>
      </c>
      <c r="G20" s="293">
        <f>+F20-D20</f>
        <v>-599</v>
      </c>
      <c r="H20" s="364">
        <f>SUMIF('Monthly Detail'!$3:$3, 'Quarterly Overview'!H$11, 'Monthly Detail'!60:60)</f>
        <v>333.46155334820799</v>
      </c>
      <c r="I20" s="293">
        <f>+H20-F20</f>
        <v>303.46155334820799</v>
      </c>
      <c r="K20" s="373">
        <f>SUM(C20,D20,F20,H20)</f>
        <v>1087.4615533482079</v>
      </c>
      <c r="V20" s="463"/>
    </row>
    <row r="21" spans="2:22" ht="15.75" customHeight="1" x14ac:dyDescent="0.25">
      <c r="B21" s="473" t="s">
        <v>11</v>
      </c>
      <c r="C21" s="80">
        <f>SUM(C18:C20)</f>
        <v>2266.58</v>
      </c>
      <c r="D21" s="80">
        <f>SUM(D18:D20)</f>
        <v>2909.88</v>
      </c>
      <c r="E21" s="301">
        <f>SUM(E18:E19)</f>
        <v>109.29999999999984</v>
      </c>
      <c r="F21" s="80">
        <f>SUM(F18:F20)</f>
        <v>2923.97</v>
      </c>
      <c r="G21" s="301">
        <f>+F21-D21</f>
        <v>14.089999999999691</v>
      </c>
      <c r="H21" s="296">
        <f>SUM(H18:H20)</f>
        <v>2700.8536486866192</v>
      </c>
      <c r="I21" s="301">
        <f>+H21-F21</f>
        <v>-223.11635131338062</v>
      </c>
      <c r="J21" s="69"/>
      <c r="K21" s="376">
        <f>SUM(K18:K20)</f>
        <v>10801.28364868662</v>
      </c>
      <c r="V21" s="463"/>
    </row>
    <row r="22" spans="2:22" ht="4.9000000000000004" customHeight="1" x14ac:dyDescent="0.25">
      <c r="B22" s="474"/>
      <c r="C22" s="472"/>
      <c r="D22" s="472"/>
      <c r="E22" s="361"/>
      <c r="F22" s="472"/>
      <c r="G22" s="361"/>
      <c r="H22" s="366"/>
      <c r="I22" s="361"/>
      <c r="K22" s="375"/>
      <c r="V22" s="463"/>
    </row>
    <row r="23" spans="2:22" ht="15.75" customHeight="1" x14ac:dyDescent="0.25">
      <c r="B23" s="473" t="s">
        <v>12</v>
      </c>
      <c r="C23" s="80">
        <f>C13-C21</f>
        <v>18064.11</v>
      </c>
      <c r="D23" s="80">
        <f>D13-D21</f>
        <v>19716.939999999999</v>
      </c>
      <c r="E23" s="295">
        <f>+D23-C23</f>
        <v>1652.8299999999981</v>
      </c>
      <c r="F23" s="80">
        <f>F13-F21</f>
        <v>18318.38</v>
      </c>
      <c r="G23" s="295">
        <f>+F23-D23</f>
        <v>-1398.5599999999977</v>
      </c>
      <c r="H23" s="80">
        <f>H13-H21</f>
        <v>15130.47886312126</v>
      </c>
      <c r="I23" s="295">
        <f>+H23-F23</f>
        <v>-3187.9011368787415</v>
      </c>
      <c r="J23" s="69"/>
      <c r="K23" s="377">
        <f>K13-K21</f>
        <v>71229.908863121265</v>
      </c>
      <c r="V23" s="463"/>
    </row>
    <row r="24" spans="2:22" x14ac:dyDescent="0.25">
      <c r="B24" s="475" t="s">
        <v>13</v>
      </c>
      <c r="C24" s="476">
        <f>C23/C13</f>
        <v>0.88851435932572864</v>
      </c>
      <c r="D24" s="476">
        <f>D23/D13</f>
        <v>0.87139686442902708</v>
      </c>
      <c r="E24" s="297">
        <f>+D24-C24</f>
        <v>-1.7117494896701557E-2</v>
      </c>
      <c r="F24" s="476">
        <f>F23/F13</f>
        <v>0.86235185843374196</v>
      </c>
      <c r="G24" s="297">
        <f>+F24-D24</f>
        <v>-9.0450059952851269E-3</v>
      </c>
      <c r="H24" s="367">
        <f>H23/H13</f>
        <v>0.84853326878974866</v>
      </c>
      <c r="I24" s="297">
        <f>+H24-F24</f>
        <v>-1.3818589643993295E-2</v>
      </c>
      <c r="J24" s="7"/>
      <c r="K24" s="378">
        <f>K23/K13</f>
        <v>0.86832711657663841</v>
      </c>
      <c r="V24" s="463"/>
    </row>
    <row r="25" spans="2:22" ht="5.65" customHeight="1" x14ac:dyDescent="0.25">
      <c r="B25" s="466"/>
      <c r="C25" s="477"/>
      <c r="D25" s="477"/>
      <c r="E25" s="299"/>
      <c r="F25" s="477"/>
      <c r="G25" s="299"/>
      <c r="H25" s="368"/>
      <c r="I25" s="299"/>
      <c r="K25" s="372"/>
      <c r="V25" s="463"/>
    </row>
    <row r="26" spans="2:22" x14ac:dyDescent="0.25">
      <c r="B26" s="466" t="s">
        <v>14</v>
      </c>
      <c r="C26" s="468">
        <f>SUMIF('Monthly Detail'!$3:$3, 'Quarterly Overview'!C$11, 'Monthly Detail'!$89:$89)</f>
        <v>9424.84</v>
      </c>
      <c r="D26" s="468">
        <f>SUMIF('Monthly Detail'!$3:$3, 'Quarterly Overview'!D$11, 'Monthly Detail'!$89:$89)</f>
        <v>12509.749999999998</v>
      </c>
      <c r="E26" s="300">
        <f>+D26-C26</f>
        <v>3084.909999999998</v>
      </c>
      <c r="F26" s="468">
        <f>SUMIF('Monthly Detail'!$3:$3, 'Quarterly Overview'!F$11, 'Monthly Detail'!$89:$89)</f>
        <v>10433.450000000001</v>
      </c>
      <c r="G26" s="300">
        <f>+F26-D26</f>
        <v>-2076.2999999999975</v>
      </c>
      <c r="H26" s="364">
        <f>SUMIF('Monthly Detail'!$3:$3, 'Quarterly Overview'!H$11, 'Monthly Detail'!$89:$89)</f>
        <v>12451.363333333333</v>
      </c>
      <c r="I26" s="300">
        <f>+H26-F26</f>
        <v>2017.913333333332</v>
      </c>
      <c r="K26" s="373">
        <f>SUM(C26,D26,F26,H26)</f>
        <v>44819.403333333328</v>
      </c>
      <c r="O26" s="1"/>
      <c r="V26" s="463"/>
    </row>
    <row r="27" spans="2:22" x14ac:dyDescent="0.25">
      <c r="B27" s="478" t="s">
        <v>25</v>
      </c>
      <c r="C27" s="71">
        <f>SUM(C26:C26)</f>
        <v>9424.84</v>
      </c>
      <c r="D27" s="71">
        <f>SUM(D26:D26)</f>
        <v>12509.749999999998</v>
      </c>
      <c r="E27" s="301">
        <f>SUM(E26:E26)</f>
        <v>3084.909999999998</v>
      </c>
      <c r="F27" s="71">
        <f>SUM(F26:F26)</f>
        <v>10433.450000000001</v>
      </c>
      <c r="G27" s="301">
        <f>+F27-D27</f>
        <v>-2076.2999999999975</v>
      </c>
      <c r="H27" s="302">
        <f>SUM(H26:H26)</f>
        <v>12451.363333333333</v>
      </c>
      <c r="I27" s="301">
        <f>+H27-F27</f>
        <v>2017.913333333332</v>
      </c>
      <c r="J27" s="72"/>
      <c r="K27" s="379">
        <f>SUM(K26:K26)</f>
        <v>44819.403333333328</v>
      </c>
      <c r="V27" s="463"/>
    </row>
    <row r="28" spans="2:22" ht="1.9" customHeight="1" x14ac:dyDescent="0.25">
      <c r="B28" s="466"/>
      <c r="C28" s="477"/>
      <c r="D28" s="477"/>
      <c r="E28" s="299"/>
      <c r="F28" s="477"/>
      <c r="G28" s="299"/>
      <c r="H28" s="368"/>
      <c r="I28" s="299"/>
      <c r="K28" s="372"/>
      <c r="V28" s="463"/>
    </row>
    <row r="29" spans="2:22" ht="15.75" customHeight="1" x14ac:dyDescent="0.25">
      <c r="B29" s="473" t="s">
        <v>16</v>
      </c>
      <c r="C29" s="80">
        <f>C23-C27</f>
        <v>8639.27</v>
      </c>
      <c r="D29" s="80">
        <f>D23-D27</f>
        <v>7207.1900000000005</v>
      </c>
      <c r="E29" s="295">
        <f>+D29-C29</f>
        <v>-1432.08</v>
      </c>
      <c r="F29" s="80">
        <f>F23-F27</f>
        <v>7884.93</v>
      </c>
      <c r="G29" s="295">
        <f>+F29-D29</f>
        <v>677.73999999999978</v>
      </c>
      <c r="H29" s="296">
        <f>H23-H27</f>
        <v>2679.1155297879268</v>
      </c>
      <c r="I29" s="295">
        <f>+H29-F29</f>
        <v>-5205.8144702120735</v>
      </c>
      <c r="J29" s="69"/>
      <c r="K29" s="377">
        <f>K23-K27</f>
        <v>26410.505529787937</v>
      </c>
      <c r="V29" s="463"/>
    </row>
    <row r="30" spans="2:22" x14ac:dyDescent="0.25">
      <c r="B30" s="475" t="s">
        <v>17</v>
      </c>
      <c r="C30" s="476">
        <f>C29/C13</f>
        <v>0.42493737300603174</v>
      </c>
      <c r="D30" s="476">
        <f>D29/D13</f>
        <v>0.31852421153303911</v>
      </c>
      <c r="E30" s="297">
        <f>+D30-C30</f>
        <v>-0.10641316147299262</v>
      </c>
      <c r="F30" s="476">
        <f>F29/F13</f>
        <v>0.3711891575084677</v>
      </c>
      <c r="G30" s="297">
        <f>+F30-D30</f>
        <v>5.266494597542859E-2</v>
      </c>
      <c r="H30" s="367">
        <f>H29/H13</f>
        <v>0.15024763449471995</v>
      </c>
      <c r="I30" s="297">
        <f>+H30-F30</f>
        <v>-0.22094152301374775</v>
      </c>
      <c r="J30" s="7"/>
      <c r="K30" s="378">
        <f>K29/K13</f>
        <v>0.32195686446940669</v>
      </c>
      <c r="V30" s="463"/>
    </row>
    <row r="31" spans="2:22" ht="4.1500000000000004" customHeight="1" x14ac:dyDescent="0.25">
      <c r="B31" s="479"/>
      <c r="C31" s="480"/>
      <c r="D31" s="480"/>
      <c r="E31" s="303"/>
      <c r="F31" s="480"/>
      <c r="G31" s="303"/>
      <c r="H31" s="369"/>
      <c r="I31" s="303"/>
      <c r="K31" s="380"/>
      <c r="V31" s="463"/>
    </row>
    <row r="32" spans="2:22" x14ac:dyDescent="0.25">
      <c r="B32" s="466" t="s">
        <v>18</v>
      </c>
      <c r="C32" s="154">
        <f>SUMIF('Monthly Detail'!$3:$3, 'Quarterly Overview'!C$11, 'Monthly Detail'!96:96)</f>
        <v>2.35</v>
      </c>
      <c r="D32" s="154">
        <f>SUMIF('Monthly Detail'!$3:$3, 'Quarterly Overview'!D$11, 'Monthly Detail'!96:96)</f>
        <v>11.45</v>
      </c>
      <c r="E32" s="304">
        <f>+D32-C32</f>
        <v>9.1</v>
      </c>
      <c r="F32" s="154">
        <f>SUMIF('Monthly Detail'!$3:$3, 'Quarterly Overview'!F$11, 'Monthly Detail'!96:96)</f>
        <v>10.26</v>
      </c>
      <c r="G32" s="304">
        <f>+F32-D32</f>
        <v>-1.1899999999999995</v>
      </c>
      <c r="H32" s="370">
        <f>SUMIF('Monthly Detail'!$3:$3, 'Quarterly Overview'!H$11, 'Monthly Detail'!96:96)</f>
        <v>5.0200000000000005</v>
      </c>
      <c r="I32" s="304">
        <f>+H32-F32</f>
        <v>-5.2399999999999993</v>
      </c>
      <c r="J32" s="119"/>
      <c r="K32" s="381">
        <f>SUM(C32,D32,F32,H32)</f>
        <v>29.08</v>
      </c>
      <c r="V32" s="463"/>
    </row>
    <row r="33" spans="2:22" ht="15.75" customHeight="1" x14ac:dyDescent="0.25">
      <c r="B33" s="473" t="s">
        <v>19</v>
      </c>
      <c r="C33" s="80">
        <f>C29+SUM(C32:C32)</f>
        <v>8641.6200000000008</v>
      </c>
      <c r="D33" s="80">
        <f>D29+SUM(D32:D32)</f>
        <v>7218.64</v>
      </c>
      <c r="E33" s="295">
        <f>+D33-C33</f>
        <v>-1422.9800000000005</v>
      </c>
      <c r="F33" s="80">
        <f>F29+SUM(F32:F32)</f>
        <v>7895.1900000000005</v>
      </c>
      <c r="G33" s="295">
        <f>+F33-D33</f>
        <v>676.55000000000018</v>
      </c>
      <c r="H33" s="296">
        <f>H29+SUM(H32:H32)</f>
        <v>2684.1355297879268</v>
      </c>
      <c r="I33" s="295">
        <f>+H33-F33</f>
        <v>-5211.0544702120733</v>
      </c>
      <c r="J33" s="69"/>
      <c r="K33" s="377">
        <f>K29+SUM(K32:K32)</f>
        <v>26439.585529787939</v>
      </c>
      <c r="L33" s="481"/>
      <c r="V33" s="463"/>
    </row>
    <row r="34" spans="2:22" x14ac:dyDescent="0.25">
      <c r="B34" s="475" t="s">
        <v>20</v>
      </c>
      <c r="C34" s="82">
        <f>C33/C13</f>
        <v>0.42505296180306718</v>
      </c>
      <c r="D34" s="82">
        <f>D33/D13</f>
        <v>0.31903024817451153</v>
      </c>
      <c r="E34" s="305">
        <f>+D34-C34</f>
        <v>-0.10602271362855564</v>
      </c>
      <c r="F34" s="82">
        <f>F33/F13</f>
        <v>0.37167215491694655</v>
      </c>
      <c r="G34" s="305">
        <f>+F34-D34</f>
        <v>5.2641906742435018E-2</v>
      </c>
      <c r="H34" s="298">
        <f>H33/H13</f>
        <v>0.15052916140790357</v>
      </c>
      <c r="I34" s="305">
        <f>+H34-F34</f>
        <v>-0.22114299350904298</v>
      </c>
      <c r="J34" s="7"/>
      <c r="K34" s="378">
        <f>K33/K13</f>
        <v>0.32231136376546182</v>
      </c>
      <c r="L34" s="481"/>
      <c r="V34" s="463"/>
    </row>
    <row r="35" spans="2:22" ht="2.25" customHeight="1" thickBot="1" x14ac:dyDescent="0.3">
      <c r="B35" s="466"/>
      <c r="E35" s="306"/>
      <c r="G35" s="306"/>
      <c r="H35" s="227"/>
      <c r="I35" s="190"/>
      <c r="K35" s="372"/>
      <c r="V35" s="463"/>
    </row>
    <row r="36" spans="2:22" x14ac:dyDescent="0.25">
      <c r="B36" s="482" t="s">
        <v>26</v>
      </c>
      <c r="C36" s="76">
        <f>SUMIF('Monthly Detail'!$4:$4, 'Quarterly Overview'!C$9, 'Monthly Detail'!173:173)</f>
        <v>2808.1299999999983</v>
      </c>
      <c r="D36" s="76">
        <f>SUMIF('Monthly Detail'!$4:$4, 'Quarterly Overview'!D$9, 'Monthly Detail'!173:173)</f>
        <v>2620.3699999999967</v>
      </c>
      <c r="E36" s="307"/>
      <c r="F36" s="149">
        <f>SUMIF('Monthly Detail'!$4:$4, 'Quarterly Overview'!F$9, 'Monthly Detail'!173:173)</f>
        <v>123.46999999999639</v>
      </c>
      <c r="G36" s="307"/>
      <c r="H36" s="76">
        <f>SUMIF('Monthly Detail'!$4:$4, 'Quarterly Overview'!H$9, 'Monthly Detail'!173:173)</f>
        <v>1425.9999999999984</v>
      </c>
      <c r="I36" s="186"/>
      <c r="K36" s="372"/>
      <c r="V36" s="463"/>
    </row>
    <row r="37" spans="2:22" x14ac:dyDescent="0.25">
      <c r="B37" s="483" t="s">
        <v>27</v>
      </c>
      <c r="C37" s="308">
        <f>SUMIF('Monthly Detail'!$3:$3, 'Quarterly Overview'!C$10, 'Monthly Detail'!170:170)</f>
        <v>1963.2400000000021</v>
      </c>
      <c r="D37" s="308">
        <f>SUMIF('Monthly Detail'!$3:$3, 'Quarterly Overview'!D$10, 'Monthly Detail'!170:170)</f>
        <v>3321.7900000000013</v>
      </c>
      <c r="E37" s="458">
        <f>+D37-C37</f>
        <v>1358.5499999999993</v>
      </c>
      <c r="F37" s="309">
        <f>SUMIF('Monthly Detail'!$3:$3, 'Quarterly Overview'!F$10, 'Monthly Detail'!170:170)</f>
        <v>-303.37999999999829</v>
      </c>
      <c r="G37" s="458">
        <f>+F37-D37</f>
        <v>-3625.1699999999996</v>
      </c>
      <c r="H37" s="308">
        <f>SUMIF('Monthly Detail'!$3:$3, 'Quarterly Overview'!H$10, 'Monthly Detail'!170:170)</f>
        <v>-115.68718722347808</v>
      </c>
      <c r="I37" s="310">
        <f>+H37-F37</f>
        <v>187.69281277652021</v>
      </c>
      <c r="J37" s="311"/>
      <c r="K37" s="382"/>
      <c r="V37" s="463"/>
    </row>
    <row r="38" spans="2:22" x14ac:dyDescent="0.25">
      <c r="B38" s="462"/>
      <c r="V38" s="463"/>
    </row>
    <row r="39" spans="2:22" x14ac:dyDescent="0.25">
      <c r="B39" s="462"/>
      <c r="V39" s="463"/>
    </row>
    <row r="40" spans="2:22" x14ac:dyDescent="0.25">
      <c r="B40" s="462"/>
      <c r="V40" s="463"/>
    </row>
    <row r="41" spans="2:22" x14ac:dyDescent="0.25">
      <c r="B41" s="462"/>
      <c r="C41" t="s">
        <v>62</v>
      </c>
      <c r="D41" t="s">
        <v>63</v>
      </c>
      <c r="F41" t="s">
        <v>64</v>
      </c>
      <c r="H41" t="s">
        <v>65</v>
      </c>
      <c r="V41" s="463"/>
    </row>
    <row r="42" spans="2:22" x14ac:dyDescent="0.25">
      <c r="B42" s="462" t="s">
        <v>66</v>
      </c>
      <c r="C42" s="157" t="e">
        <f>+SUM(#REF!)</f>
        <v>#REF!</v>
      </c>
      <c r="D42" s="157" t="e">
        <f>+SUM(#REF!)</f>
        <v>#REF!</v>
      </c>
      <c r="E42" s="157"/>
      <c r="F42" s="157" t="e">
        <f>+SUM(#REF!)</f>
        <v>#REF!</v>
      </c>
      <c r="G42" s="157"/>
      <c r="H42" s="157" t="e">
        <f>+SUM(#REF!)</f>
        <v>#REF!</v>
      </c>
      <c r="V42" s="463"/>
    </row>
    <row r="43" spans="2:22" x14ac:dyDescent="0.25">
      <c r="B43" s="462" t="s">
        <v>67</v>
      </c>
      <c r="C43" s="157" t="e">
        <f>+SUM(#REF!)</f>
        <v>#REF!</v>
      </c>
      <c r="D43" s="157" t="e">
        <f>+SUM(#REF!)</f>
        <v>#REF!</v>
      </c>
      <c r="E43" s="157"/>
      <c r="F43" s="157" t="e">
        <f>+SUM(#REF!)</f>
        <v>#REF!</v>
      </c>
      <c r="G43" s="157"/>
      <c r="H43" s="157" t="e">
        <f>+SUM(#REF!)</f>
        <v>#REF!</v>
      </c>
      <c r="V43" s="463"/>
    </row>
    <row r="44" spans="2:22" x14ac:dyDescent="0.25">
      <c r="B44" s="462" t="s">
        <v>68</v>
      </c>
      <c r="C44" s="93" t="e">
        <f>+AVERAGE(#REF!)</f>
        <v>#REF!</v>
      </c>
      <c r="D44" s="93" t="e">
        <f>+AVERAGE(#REF!)</f>
        <v>#REF!</v>
      </c>
      <c r="E44" s="93"/>
      <c r="F44" s="93" t="e">
        <f>+AVERAGE(#REF!)</f>
        <v>#REF!</v>
      </c>
      <c r="G44" s="93"/>
      <c r="H44" s="93" t="e">
        <f>+AVERAGE(#REF!)</f>
        <v>#REF!</v>
      </c>
      <c r="V44" s="463"/>
    </row>
    <row r="45" spans="2:22" x14ac:dyDescent="0.25">
      <c r="B45" s="462" t="s">
        <v>69</v>
      </c>
      <c r="C45" s="93" t="e">
        <f>+AVERAGE(#REF!)</f>
        <v>#REF!</v>
      </c>
      <c r="D45" s="93" t="e">
        <f>+AVERAGE(#REF!)</f>
        <v>#REF!</v>
      </c>
      <c r="E45" s="93"/>
      <c r="F45" s="93" t="e">
        <f>+AVERAGE(#REF!)</f>
        <v>#REF!</v>
      </c>
      <c r="G45" s="93"/>
      <c r="H45" s="93" t="e">
        <f>+AVERAGE(#REF!)</f>
        <v>#REF!</v>
      </c>
      <c r="V45" s="463"/>
    </row>
    <row r="46" spans="2:22" x14ac:dyDescent="0.25">
      <c r="B46" s="462" t="s">
        <v>70</v>
      </c>
      <c r="C46" s="93" t="e">
        <f>+AVERAGE(#REF!)</f>
        <v>#REF!</v>
      </c>
      <c r="D46" s="93" t="e">
        <f>+AVERAGE(#REF!)</f>
        <v>#REF!</v>
      </c>
      <c r="E46" s="93"/>
      <c r="F46" s="93" t="e">
        <f>+AVERAGE(#REF!)</f>
        <v>#REF!</v>
      </c>
      <c r="G46" s="93"/>
      <c r="H46" s="93" t="e">
        <f>+AVERAGE(#REF!)</f>
        <v>#REF!</v>
      </c>
      <c r="V46" s="463"/>
    </row>
    <row r="47" spans="2:22" x14ac:dyDescent="0.25">
      <c r="B47" s="462"/>
      <c r="V47" s="463"/>
    </row>
    <row r="48" spans="2:22" x14ac:dyDescent="0.25">
      <c r="B48" s="462"/>
      <c r="V48" s="463"/>
    </row>
    <row r="49" spans="2:22" x14ac:dyDescent="0.25">
      <c r="B49" s="462"/>
      <c r="V49" s="463"/>
    </row>
    <row r="50" spans="2:22" x14ac:dyDescent="0.25">
      <c r="B50" s="462"/>
      <c r="V50" s="463"/>
    </row>
    <row r="51" spans="2:22" x14ac:dyDescent="0.25">
      <c r="B51" s="462"/>
      <c r="V51" s="463"/>
    </row>
    <row r="52" spans="2:22" x14ac:dyDescent="0.25">
      <c r="B52" s="462"/>
      <c r="V52" s="463"/>
    </row>
    <row r="53" spans="2:22" x14ac:dyDescent="0.25">
      <c r="B53" s="462"/>
      <c r="V53" s="463"/>
    </row>
    <row r="54" spans="2:22" x14ac:dyDescent="0.25">
      <c r="B54" s="462"/>
      <c r="V54" s="463"/>
    </row>
    <row r="55" spans="2:22" x14ac:dyDescent="0.25">
      <c r="B55" s="462"/>
      <c r="V55" s="463"/>
    </row>
    <row r="56" spans="2:22" x14ac:dyDescent="0.25">
      <c r="B56" s="462"/>
      <c r="V56" s="463"/>
    </row>
    <row r="57" spans="2:22" x14ac:dyDescent="0.25">
      <c r="B57" s="462"/>
      <c r="V57" s="463"/>
    </row>
    <row r="58" spans="2:22" x14ac:dyDescent="0.25">
      <c r="B58" s="462"/>
      <c r="V58" s="463"/>
    </row>
    <row r="59" spans="2:22" ht="15.75" customHeight="1" thickBot="1" x14ac:dyDescent="0.3">
      <c r="B59" s="484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485"/>
    </row>
    <row r="60" spans="2:22" ht="15.75" customHeight="1" thickTop="1" x14ac:dyDescent="0.25"/>
  </sheetData>
  <pageMargins left="0.25" right="0.25" top="0.75" bottom="0.75" header="0.3" footer="0.3"/>
  <pageSetup scale="53" orientation="landscape" horizontalDpi="1200" verticalDpi="12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zoomScaleNormal="100" workbookViewId="0">
      <selection activeCell="B3" sqref="B3"/>
    </sheetView>
  </sheetViews>
  <sheetFormatPr defaultColWidth="8.7109375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499984740745262"/>
    <pageSetUpPr fitToPage="1"/>
  </sheetPr>
  <dimension ref="A1:DJ175"/>
  <sheetViews>
    <sheetView tabSelected="1" zoomScaleNormal="150" workbookViewId="0">
      <pane xSplit="3" ySplit="4" topLeftCell="AQ36" activePane="bottomRight" state="frozen"/>
      <selection activeCell="B1" sqref="B1"/>
      <selection pane="topRight" activeCell="D1" sqref="D1"/>
      <selection pane="bottomLeft" activeCell="B5" sqref="B5"/>
      <selection pane="bottomRight" activeCell="C2" sqref="C2:AZ46"/>
    </sheetView>
  </sheetViews>
  <sheetFormatPr defaultColWidth="8.7109375" defaultRowHeight="15" outlineLevelCol="1" x14ac:dyDescent="0.25"/>
  <cols>
    <col min="1" max="1" width="9.140625" hidden="1" customWidth="1" outlineLevel="1"/>
    <col min="2" max="2" width="39.28515625" bestFit="1" customWidth="1" collapsed="1"/>
    <col min="3" max="3" width="31.28515625" bestFit="1" customWidth="1"/>
    <col min="4" max="9" width="10.42578125" hidden="1" customWidth="1" outlineLevel="1"/>
    <col min="10" max="10" width="10.42578125" hidden="1" customWidth="1" outlineLevel="1" collapsed="1"/>
    <col min="11" max="11" width="10.42578125" hidden="1" customWidth="1" outlineLevel="1"/>
    <col min="12" max="15" width="12.7109375" hidden="1" customWidth="1" outlineLevel="1"/>
    <col min="16" max="16" width="12.7109375" hidden="1" customWidth="1" outlineLevel="1" collapsed="1"/>
    <col min="17" max="20" width="12.7109375" hidden="1" customWidth="1" outlineLevel="1"/>
    <col min="21" max="27" width="13.28515625" hidden="1" customWidth="1" outlineLevel="1"/>
    <col min="28" max="28" width="13.7109375" hidden="1" customWidth="1" outlineLevel="1" collapsed="1"/>
    <col min="29" max="29" width="13.28515625" hidden="1" customWidth="1" outlineLevel="1"/>
    <col min="30" max="32" width="13.7109375" hidden="1" customWidth="1" outlineLevel="1"/>
    <col min="33" max="33" width="14.140625" hidden="1" customWidth="1" outlineLevel="1"/>
    <col min="34" max="34" width="15.140625" hidden="1" customWidth="1" outlineLevel="1" collapsed="1"/>
    <col min="35" max="39" width="14.140625" hidden="1" customWidth="1" outlineLevel="1"/>
    <col min="40" max="42" width="14.42578125" hidden="1" customWidth="1" outlineLevel="1"/>
    <col min="43" max="43" width="14.28515625" hidden="1" customWidth="1" outlineLevel="1" collapsed="1"/>
    <col min="44" max="45" width="14.28515625" hidden="1" customWidth="1" outlineLevel="1"/>
    <col min="46" max="46" width="14.28515625" bestFit="1" customWidth="1" collapsed="1"/>
    <col min="47" max="47" width="14.28515625" bestFit="1" customWidth="1"/>
    <col min="48" max="49" width="14.42578125" bestFit="1" customWidth="1"/>
    <col min="50" max="50" width="14.28515625" bestFit="1" customWidth="1"/>
    <col min="51" max="51" width="13.28515625" bestFit="1" customWidth="1"/>
    <col min="52" max="111" width="13.42578125" bestFit="1" customWidth="1"/>
    <col min="112" max="113" width="5.140625" bestFit="1" customWidth="1"/>
    <col min="114" max="114" width="8.42578125" bestFit="1" customWidth="1"/>
  </cols>
  <sheetData>
    <row r="1" spans="1:114" ht="15.75" customHeight="1" thickBot="1" x14ac:dyDescent="0.3">
      <c r="A1" s="23"/>
      <c r="B1" s="23"/>
      <c r="C1" s="23"/>
      <c r="D1" s="24">
        <f t="shared" ref="D1:AW1" si="0">YEAR(D4)</f>
        <v>2022</v>
      </c>
      <c r="E1" s="24">
        <f t="shared" si="0"/>
        <v>2022</v>
      </c>
      <c r="F1" s="24">
        <f t="shared" si="0"/>
        <v>2022</v>
      </c>
      <c r="G1" s="24">
        <f t="shared" si="0"/>
        <v>2022</v>
      </c>
      <c r="H1" s="24">
        <f t="shared" si="0"/>
        <v>2022</v>
      </c>
      <c r="I1" s="24">
        <f t="shared" si="0"/>
        <v>2022</v>
      </c>
      <c r="J1" s="24">
        <f t="shared" si="0"/>
        <v>2022</v>
      </c>
      <c r="K1" s="24">
        <f t="shared" si="0"/>
        <v>2022</v>
      </c>
      <c r="L1" s="24">
        <f t="shared" si="0"/>
        <v>2022</v>
      </c>
      <c r="M1" s="24">
        <f t="shared" si="0"/>
        <v>2022</v>
      </c>
      <c r="N1" s="24">
        <f t="shared" si="0"/>
        <v>2022</v>
      </c>
      <c r="O1" s="24">
        <f t="shared" si="0"/>
        <v>2022</v>
      </c>
      <c r="P1" s="24">
        <f t="shared" si="0"/>
        <v>2023</v>
      </c>
      <c r="Q1" s="24">
        <f t="shared" si="0"/>
        <v>2023</v>
      </c>
      <c r="R1" s="24">
        <f t="shared" si="0"/>
        <v>2023</v>
      </c>
      <c r="S1" s="24">
        <f t="shared" si="0"/>
        <v>2023</v>
      </c>
      <c r="T1" s="24">
        <f t="shared" si="0"/>
        <v>2023</v>
      </c>
      <c r="U1" s="24">
        <f t="shared" si="0"/>
        <v>2023</v>
      </c>
      <c r="V1" s="24">
        <f t="shared" si="0"/>
        <v>2023</v>
      </c>
      <c r="W1" s="24">
        <f t="shared" si="0"/>
        <v>2023</v>
      </c>
      <c r="X1" s="24">
        <f t="shared" si="0"/>
        <v>2023</v>
      </c>
      <c r="Y1" s="24">
        <f t="shared" si="0"/>
        <v>2023</v>
      </c>
      <c r="Z1" s="24">
        <f t="shared" si="0"/>
        <v>2023</v>
      </c>
      <c r="AA1" s="24">
        <f t="shared" si="0"/>
        <v>2023</v>
      </c>
      <c r="AB1" s="24">
        <f t="shared" si="0"/>
        <v>2024</v>
      </c>
      <c r="AC1" s="24">
        <f t="shared" si="0"/>
        <v>2024</v>
      </c>
      <c r="AD1" s="24">
        <f t="shared" si="0"/>
        <v>2024</v>
      </c>
      <c r="AE1" s="24">
        <f t="shared" si="0"/>
        <v>2024</v>
      </c>
      <c r="AF1" s="224">
        <f t="shared" si="0"/>
        <v>2024</v>
      </c>
      <c r="AG1" s="24">
        <f t="shared" si="0"/>
        <v>2024</v>
      </c>
      <c r="AH1" s="24">
        <f t="shared" si="0"/>
        <v>2024</v>
      </c>
      <c r="AI1" s="24">
        <f t="shared" si="0"/>
        <v>2024</v>
      </c>
      <c r="AJ1" s="24">
        <f t="shared" si="0"/>
        <v>2024</v>
      </c>
      <c r="AK1" s="24">
        <f t="shared" si="0"/>
        <v>2024</v>
      </c>
      <c r="AL1" s="24">
        <f t="shared" si="0"/>
        <v>2024</v>
      </c>
      <c r="AM1" s="24">
        <f t="shared" si="0"/>
        <v>2024</v>
      </c>
      <c r="AN1" s="224">
        <f t="shared" si="0"/>
        <v>2025</v>
      </c>
      <c r="AO1" s="24">
        <f t="shared" si="0"/>
        <v>2025</v>
      </c>
      <c r="AP1" s="24">
        <f t="shared" si="0"/>
        <v>2025</v>
      </c>
      <c r="AQ1" s="224">
        <f t="shared" si="0"/>
        <v>2025</v>
      </c>
      <c r="AR1" s="24">
        <f t="shared" si="0"/>
        <v>2025</v>
      </c>
      <c r="AS1" s="24">
        <f t="shared" si="0"/>
        <v>2025</v>
      </c>
      <c r="AT1" s="24">
        <f t="shared" si="0"/>
        <v>2025</v>
      </c>
      <c r="AU1" s="24">
        <f t="shared" si="0"/>
        <v>2025</v>
      </c>
      <c r="AV1" s="24">
        <f t="shared" si="0"/>
        <v>2025</v>
      </c>
      <c r="AW1" s="24">
        <f t="shared" si="0"/>
        <v>2025</v>
      </c>
      <c r="AX1" s="224">
        <f>YEAR(AW4)</f>
        <v>2025</v>
      </c>
      <c r="AY1" s="24">
        <f>YEAR(AX4)</f>
        <v>2025</v>
      </c>
      <c r="AZ1" s="24">
        <f t="shared" ref="AZ1:CE1" si="1">YEAR(AZ4)</f>
        <v>2026</v>
      </c>
      <c r="BA1" s="24">
        <f t="shared" si="1"/>
        <v>2026</v>
      </c>
      <c r="BB1" s="24">
        <f t="shared" si="1"/>
        <v>2026</v>
      </c>
      <c r="BC1" s="24">
        <f t="shared" si="1"/>
        <v>2026</v>
      </c>
      <c r="BD1" s="24">
        <f t="shared" si="1"/>
        <v>2026</v>
      </c>
      <c r="BE1" s="24">
        <f t="shared" si="1"/>
        <v>2026</v>
      </c>
      <c r="BF1" s="24">
        <f t="shared" si="1"/>
        <v>2026</v>
      </c>
      <c r="BG1" s="24">
        <f t="shared" si="1"/>
        <v>2026</v>
      </c>
      <c r="BH1" s="24">
        <f t="shared" si="1"/>
        <v>2026</v>
      </c>
      <c r="BI1" s="24">
        <f t="shared" si="1"/>
        <v>2026</v>
      </c>
      <c r="BJ1" s="24">
        <f t="shared" si="1"/>
        <v>2026</v>
      </c>
      <c r="BK1" s="224">
        <f t="shared" si="1"/>
        <v>2026</v>
      </c>
      <c r="BL1" s="24">
        <f t="shared" si="1"/>
        <v>2027</v>
      </c>
      <c r="BM1" s="24">
        <f t="shared" si="1"/>
        <v>2027</v>
      </c>
      <c r="BN1" s="24">
        <f t="shared" si="1"/>
        <v>2027</v>
      </c>
      <c r="BO1" s="24">
        <f t="shared" si="1"/>
        <v>2027</v>
      </c>
      <c r="BP1" s="24">
        <f t="shared" si="1"/>
        <v>2027</v>
      </c>
      <c r="BQ1" s="24">
        <f t="shared" si="1"/>
        <v>2027</v>
      </c>
      <c r="BR1" s="24">
        <f t="shared" si="1"/>
        <v>2027</v>
      </c>
      <c r="BS1" s="24">
        <f t="shared" si="1"/>
        <v>2027</v>
      </c>
      <c r="BT1" s="24">
        <f t="shared" si="1"/>
        <v>2027</v>
      </c>
      <c r="BU1" s="24">
        <f t="shared" si="1"/>
        <v>2027</v>
      </c>
      <c r="BV1" s="24">
        <f t="shared" si="1"/>
        <v>2027</v>
      </c>
      <c r="BW1" s="224">
        <f t="shared" si="1"/>
        <v>2027</v>
      </c>
      <c r="BX1" s="24">
        <f t="shared" si="1"/>
        <v>2028</v>
      </c>
      <c r="BY1" s="24">
        <f t="shared" si="1"/>
        <v>2028</v>
      </c>
      <c r="BZ1" s="24">
        <f t="shared" si="1"/>
        <v>2028</v>
      </c>
      <c r="CA1" s="24">
        <f t="shared" si="1"/>
        <v>2028</v>
      </c>
      <c r="CB1" s="24">
        <f t="shared" si="1"/>
        <v>2028</v>
      </c>
      <c r="CC1" s="24">
        <f t="shared" si="1"/>
        <v>2028</v>
      </c>
      <c r="CD1" s="24">
        <f t="shared" si="1"/>
        <v>2028</v>
      </c>
      <c r="CE1" s="24">
        <f t="shared" si="1"/>
        <v>2028</v>
      </c>
      <c r="CF1" s="24">
        <f t="shared" ref="CF1:DG1" si="2">YEAR(CF4)</f>
        <v>2028</v>
      </c>
      <c r="CG1" s="24">
        <f t="shared" si="2"/>
        <v>2028</v>
      </c>
      <c r="CH1" s="24">
        <f t="shared" si="2"/>
        <v>2028</v>
      </c>
      <c r="CI1" s="224">
        <f t="shared" si="2"/>
        <v>2028</v>
      </c>
      <c r="CJ1" s="24">
        <f t="shared" si="2"/>
        <v>2029</v>
      </c>
      <c r="CK1" s="24">
        <f t="shared" si="2"/>
        <v>2029</v>
      </c>
      <c r="CL1" s="24">
        <f t="shared" si="2"/>
        <v>2029</v>
      </c>
      <c r="CM1" s="24">
        <f t="shared" si="2"/>
        <v>2029</v>
      </c>
      <c r="CN1" s="24">
        <f t="shared" si="2"/>
        <v>2029</v>
      </c>
      <c r="CO1" s="24">
        <f t="shared" si="2"/>
        <v>2029</v>
      </c>
      <c r="CP1" s="24">
        <f t="shared" si="2"/>
        <v>2029</v>
      </c>
      <c r="CQ1" s="24">
        <f t="shared" si="2"/>
        <v>2029</v>
      </c>
      <c r="CR1" s="24">
        <f t="shared" si="2"/>
        <v>2029</v>
      </c>
      <c r="CS1" s="24">
        <f t="shared" si="2"/>
        <v>2029</v>
      </c>
      <c r="CT1" s="24">
        <f t="shared" si="2"/>
        <v>2029</v>
      </c>
      <c r="CU1" s="224">
        <f t="shared" si="2"/>
        <v>2029</v>
      </c>
      <c r="CV1" s="24">
        <f t="shared" si="2"/>
        <v>2030</v>
      </c>
      <c r="CW1" s="24">
        <f t="shared" si="2"/>
        <v>2030</v>
      </c>
      <c r="CX1" s="24">
        <f t="shared" si="2"/>
        <v>2030</v>
      </c>
      <c r="CY1" s="24">
        <f t="shared" si="2"/>
        <v>2030</v>
      </c>
      <c r="CZ1" s="24">
        <f t="shared" si="2"/>
        <v>2030</v>
      </c>
      <c r="DA1" s="24">
        <f t="shared" si="2"/>
        <v>2030</v>
      </c>
      <c r="DB1" s="24">
        <f t="shared" si="2"/>
        <v>2030</v>
      </c>
      <c r="DC1" s="24">
        <f t="shared" si="2"/>
        <v>2030</v>
      </c>
      <c r="DD1" s="24">
        <f t="shared" si="2"/>
        <v>2030</v>
      </c>
      <c r="DE1" s="24">
        <f t="shared" si="2"/>
        <v>2030</v>
      </c>
      <c r="DF1" s="24">
        <f t="shared" si="2"/>
        <v>2030</v>
      </c>
      <c r="DG1" s="24">
        <f t="shared" si="2"/>
        <v>2030</v>
      </c>
      <c r="DH1" s="24"/>
      <c r="DI1" s="24"/>
      <c r="DJ1" s="44"/>
    </row>
    <row r="2" spans="1:114" x14ac:dyDescent="0.25">
      <c r="A2" s="23"/>
      <c r="B2" s="23"/>
      <c r="C2" s="560"/>
      <c r="D2" s="277"/>
      <c r="E2" s="277"/>
      <c r="F2" s="277"/>
      <c r="G2" s="278" t="s">
        <v>71</v>
      </c>
      <c r="H2" s="278" t="s">
        <v>71</v>
      </c>
      <c r="I2" s="278" t="s">
        <v>72</v>
      </c>
      <c r="J2" s="278" t="s">
        <v>72</v>
      </c>
      <c r="K2" s="278" t="s">
        <v>73</v>
      </c>
      <c r="L2" s="278" t="s">
        <v>72</v>
      </c>
      <c r="M2" s="278" t="s">
        <v>72</v>
      </c>
      <c r="N2" s="278" t="s">
        <v>73</v>
      </c>
      <c r="O2" s="278" t="s">
        <v>72</v>
      </c>
      <c r="P2" s="278" t="s">
        <v>71</v>
      </c>
      <c r="Q2" s="278" t="s">
        <v>71</v>
      </c>
      <c r="R2" s="278" t="s">
        <v>72</v>
      </c>
      <c r="S2" s="278" t="s">
        <v>73</v>
      </c>
      <c r="T2" s="278" t="s">
        <v>73</v>
      </c>
      <c r="U2" s="278" t="s">
        <v>72</v>
      </c>
      <c r="V2" s="278" t="s">
        <v>71</v>
      </c>
      <c r="W2" s="278" t="s">
        <v>72</v>
      </c>
      <c r="X2" s="278" t="s">
        <v>71</v>
      </c>
      <c r="Y2" s="278" t="s">
        <v>71</v>
      </c>
      <c r="Z2" s="278" t="s">
        <v>71</v>
      </c>
      <c r="AA2" s="278" t="s">
        <v>72</v>
      </c>
      <c r="AB2" s="278" t="s">
        <v>72</v>
      </c>
      <c r="AC2" s="278" t="s">
        <v>72</v>
      </c>
      <c r="AD2" s="278" t="s">
        <v>72</v>
      </c>
      <c r="AE2" s="278" t="s">
        <v>71</v>
      </c>
      <c r="AF2" s="279" t="s">
        <v>71</v>
      </c>
      <c r="AG2" s="278" t="s">
        <v>71</v>
      </c>
      <c r="AH2" s="278" t="s">
        <v>72</v>
      </c>
      <c r="AI2" s="278" t="s">
        <v>72</v>
      </c>
      <c r="AJ2" s="278" t="s">
        <v>73</v>
      </c>
      <c r="AK2" s="278" t="s">
        <v>72</v>
      </c>
      <c r="AL2" s="278" t="s">
        <v>73</v>
      </c>
      <c r="AM2" s="278" t="str">
        <f t="shared" ref="AM2:AR2" si="3">+AA2</f>
        <v>Shoulder</v>
      </c>
      <c r="AN2" s="279" t="str">
        <f t="shared" si="3"/>
        <v>Shoulder</v>
      </c>
      <c r="AO2" s="278" t="str">
        <f t="shared" si="3"/>
        <v>Shoulder</v>
      </c>
      <c r="AP2" s="278" t="str">
        <f t="shared" si="3"/>
        <v>Shoulder</v>
      </c>
      <c r="AQ2" s="279" t="str">
        <f t="shared" si="3"/>
        <v>Peak</v>
      </c>
      <c r="AR2" s="278" t="str">
        <f t="shared" si="3"/>
        <v>Peak</v>
      </c>
      <c r="AS2" s="278" t="s">
        <v>72</v>
      </c>
      <c r="AT2" s="278" t="str">
        <f>+AH2</f>
        <v>Shoulder</v>
      </c>
      <c r="AU2" s="278" t="str">
        <f>+AI2</f>
        <v>Shoulder</v>
      </c>
      <c r="AV2" s="278" t="str">
        <f>+AJ2</f>
        <v>Trough</v>
      </c>
      <c r="AW2" s="278" t="str">
        <f>+AK2</f>
        <v>Shoulder</v>
      </c>
      <c r="AX2" s="279" t="str">
        <f>+AK2</f>
        <v>Shoulder</v>
      </c>
      <c r="AY2" s="278" t="str">
        <f>+AL2</f>
        <v>Trough</v>
      </c>
      <c r="AZ2" s="575" t="str">
        <f t="shared" ref="AZ2:CE2" si="4">+AN2</f>
        <v>Shoulder</v>
      </c>
      <c r="BA2" s="24" t="str">
        <f t="shared" si="4"/>
        <v>Shoulder</v>
      </c>
      <c r="BB2" s="24" t="str">
        <f t="shared" si="4"/>
        <v>Shoulder</v>
      </c>
      <c r="BC2" s="24" t="str">
        <f t="shared" si="4"/>
        <v>Peak</v>
      </c>
      <c r="BD2" s="24" t="str">
        <f t="shared" si="4"/>
        <v>Peak</v>
      </c>
      <c r="BE2" s="24" t="str">
        <f t="shared" si="4"/>
        <v>Shoulder</v>
      </c>
      <c r="BF2" s="24" t="str">
        <f t="shared" si="4"/>
        <v>Shoulder</v>
      </c>
      <c r="BG2" s="24" t="str">
        <f t="shared" si="4"/>
        <v>Shoulder</v>
      </c>
      <c r="BH2" s="24" t="str">
        <f t="shared" si="4"/>
        <v>Trough</v>
      </c>
      <c r="BI2" s="24" t="str">
        <f t="shared" si="4"/>
        <v>Shoulder</v>
      </c>
      <c r="BJ2" s="24" t="str">
        <f t="shared" si="4"/>
        <v>Shoulder</v>
      </c>
      <c r="BK2" s="224" t="str">
        <f t="shared" si="4"/>
        <v>Trough</v>
      </c>
      <c r="BL2" s="24" t="str">
        <f t="shared" si="4"/>
        <v>Shoulder</v>
      </c>
      <c r="BM2" s="24" t="str">
        <f t="shared" si="4"/>
        <v>Shoulder</v>
      </c>
      <c r="BN2" s="24" t="str">
        <f t="shared" si="4"/>
        <v>Shoulder</v>
      </c>
      <c r="BO2" s="24" t="str">
        <f t="shared" si="4"/>
        <v>Peak</v>
      </c>
      <c r="BP2" s="24" t="str">
        <f t="shared" si="4"/>
        <v>Peak</v>
      </c>
      <c r="BQ2" s="24" t="str">
        <f t="shared" si="4"/>
        <v>Shoulder</v>
      </c>
      <c r="BR2" s="24" t="str">
        <f t="shared" si="4"/>
        <v>Shoulder</v>
      </c>
      <c r="BS2" s="24" t="str">
        <f t="shared" si="4"/>
        <v>Shoulder</v>
      </c>
      <c r="BT2" s="24" t="str">
        <f t="shared" si="4"/>
        <v>Trough</v>
      </c>
      <c r="BU2" s="24" t="str">
        <f t="shared" si="4"/>
        <v>Shoulder</v>
      </c>
      <c r="BV2" s="24" t="str">
        <f t="shared" si="4"/>
        <v>Shoulder</v>
      </c>
      <c r="BW2" s="224" t="str">
        <f t="shared" si="4"/>
        <v>Trough</v>
      </c>
      <c r="BX2" s="24" t="str">
        <f t="shared" si="4"/>
        <v>Shoulder</v>
      </c>
      <c r="BY2" s="24" t="str">
        <f t="shared" si="4"/>
        <v>Shoulder</v>
      </c>
      <c r="BZ2" s="24" t="str">
        <f t="shared" si="4"/>
        <v>Shoulder</v>
      </c>
      <c r="CA2" s="24" t="str">
        <f t="shared" si="4"/>
        <v>Peak</v>
      </c>
      <c r="CB2" s="24" t="str">
        <f t="shared" si="4"/>
        <v>Peak</v>
      </c>
      <c r="CC2" s="24" t="str">
        <f t="shared" si="4"/>
        <v>Shoulder</v>
      </c>
      <c r="CD2" s="24" t="str">
        <f t="shared" si="4"/>
        <v>Shoulder</v>
      </c>
      <c r="CE2" s="24" t="str">
        <f t="shared" si="4"/>
        <v>Shoulder</v>
      </c>
      <c r="CF2" s="24" t="str">
        <f t="shared" ref="CF2:DK2" si="5">+BT2</f>
        <v>Trough</v>
      </c>
      <c r="CG2" s="24" t="str">
        <f t="shared" si="5"/>
        <v>Shoulder</v>
      </c>
      <c r="CH2" s="24" t="str">
        <f t="shared" si="5"/>
        <v>Shoulder</v>
      </c>
      <c r="CI2" s="224" t="str">
        <f t="shared" si="5"/>
        <v>Trough</v>
      </c>
      <c r="CJ2" s="24" t="str">
        <f t="shared" si="5"/>
        <v>Shoulder</v>
      </c>
      <c r="CK2" s="24" t="str">
        <f t="shared" si="5"/>
        <v>Shoulder</v>
      </c>
      <c r="CL2" s="24" t="str">
        <f t="shared" si="5"/>
        <v>Shoulder</v>
      </c>
      <c r="CM2" s="24" t="str">
        <f t="shared" si="5"/>
        <v>Peak</v>
      </c>
      <c r="CN2" s="24" t="str">
        <f t="shared" si="5"/>
        <v>Peak</v>
      </c>
      <c r="CO2" s="24" t="str">
        <f t="shared" si="5"/>
        <v>Shoulder</v>
      </c>
      <c r="CP2" s="24" t="str">
        <f t="shared" si="5"/>
        <v>Shoulder</v>
      </c>
      <c r="CQ2" s="24" t="str">
        <f t="shared" si="5"/>
        <v>Shoulder</v>
      </c>
      <c r="CR2" s="24" t="str">
        <f t="shared" si="5"/>
        <v>Trough</v>
      </c>
      <c r="CS2" s="24" t="str">
        <f t="shared" si="5"/>
        <v>Shoulder</v>
      </c>
      <c r="CT2" s="24" t="str">
        <f t="shared" si="5"/>
        <v>Shoulder</v>
      </c>
      <c r="CU2" s="224" t="str">
        <f t="shared" si="5"/>
        <v>Trough</v>
      </c>
      <c r="CV2" s="24" t="str">
        <f t="shared" si="5"/>
        <v>Shoulder</v>
      </c>
      <c r="CW2" s="24" t="str">
        <f t="shared" si="5"/>
        <v>Shoulder</v>
      </c>
      <c r="CX2" s="24" t="str">
        <f t="shared" si="5"/>
        <v>Shoulder</v>
      </c>
      <c r="CY2" s="24" t="str">
        <f t="shared" si="5"/>
        <v>Peak</v>
      </c>
      <c r="CZ2" s="24" t="str">
        <f t="shared" si="5"/>
        <v>Peak</v>
      </c>
      <c r="DA2" s="24" t="str">
        <f t="shared" si="5"/>
        <v>Shoulder</v>
      </c>
      <c r="DB2" s="24" t="str">
        <f t="shared" si="5"/>
        <v>Shoulder</v>
      </c>
      <c r="DC2" s="24" t="str">
        <f t="shared" si="5"/>
        <v>Shoulder</v>
      </c>
      <c r="DD2" s="24" t="str">
        <f t="shared" si="5"/>
        <v>Trough</v>
      </c>
      <c r="DE2" s="24" t="str">
        <f t="shared" si="5"/>
        <v>Shoulder</v>
      </c>
      <c r="DF2" s="24" t="str">
        <f t="shared" si="5"/>
        <v>Shoulder</v>
      </c>
      <c r="DG2" s="24" t="str">
        <f t="shared" si="5"/>
        <v>Trough</v>
      </c>
      <c r="DH2" s="24"/>
      <c r="DI2" s="24"/>
      <c r="DJ2" s="24"/>
    </row>
    <row r="3" spans="1:114" x14ac:dyDescent="0.25">
      <c r="A3" s="23"/>
      <c r="B3" s="23"/>
      <c r="C3" s="561"/>
      <c r="D3" s="660" t="str">
        <f>+"Q1 "&amp;D1</f>
        <v>Q1 2022</v>
      </c>
      <c r="E3" s="660" t="str">
        <f>+"Q1 "&amp;E1</f>
        <v>Q1 2022</v>
      </c>
      <c r="F3" s="660" t="str">
        <f>+"Q1 "&amp;F1</f>
        <v>Q1 2022</v>
      </c>
      <c r="G3" s="660" t="str">
        <f>+"Q2 "&amp;G1</f>
        <v>Q2 2022</v>
      </c>
      <c r="H3" s="660" t="str">
        <f>+"Q2 "&amp;H1</f>
        <v>Q2 2022</v>
      </c>
      <c r="I3" s="660" t="str">
        <f>+"Q2 "&amp;I1</f>
        <v>Q2 2022</v>
      </c>
      <c r="J3" s="660" t="str">
        <f>+"Q3 "&amp;J1</f>
        <v>Q3 2022</v>
      </c>
      <c r="K3" s="660" t="str">
        <f>+"Q3 "&amp;K1</f>
        <v>Q3 2022</v>
      </c>
      <c r="L3" s="660" t="str">
        <f>+"Q3 "&amp;L1</f>
        <v>Q3 2022</v>
      </c>
      <c r="M3" s="660" t="str">
        <f>+"Q4 "&amp;M1</f>
        <v>Q4 2022</v>
      </c>
      <c r="N3" s="660" t="str">
        <f>+"Q4 "&amp;N1</f>
        <v>Q4 2022</v>
      </c>
      <c r="O3" s="660" t="str">
        <f>+"Q4 "&amp;O1</f>
        <v>Q4 2022</v>
      </c>
      <c r="P3" s="660" t="str">
        <f>+"Q1 "&amp;P1</f>
        <v>Q1 2023</v>
      </c>
      <c r="Q3" s="660" t="str">
        <f>+"Q1 "&amp;Q1</f>
        <v>Q1 2023</v>
      </c>
      <c r="R3" s="660" t="str">
        <f>+"Q1 "&amp;R1</f>
        <v>Q1 2023</v>
      </c>
      <c r="S3" s="660" t="str">
        <f>+"Q2 "&amp;S1</f>
        <v>Q2 2023</v>
      </c>
      <c r="T3" s="660" t="str">
        <f>+"Q2 "&amp;T1</f>
        <v>Q2 2023</v>
      </c>
      <c r="U3" s="660" t="str">
        <f>+"Q2 "&amp;U1</f>
        <v>Q2 2023</v>
      </c>
      <c r="V3" s="660" t="str">
        <f>+"Q3 "&amp;V1</f>
        <v>Q3 2023</v>
      </c>
      <c r="W3" s="660" t="str">
        <f>+"Q3 "&amp;W1</f>
        <v>Q3 2023</v>
      </c>
      <c r="X3" s="660" t="str">
        <f>+"Q3 "&amp;X1</f>
        <v>Q3 2023</v>
      </c>
      <c r="Y3" s="660" t="str">
        <f>+"Q4 "&amp;Y1</f>
        <v>Q4 2023</v>
      </c>
      <c r="Z3" s="660" t="str">
        <f>+"Q4 "&amp;Z1</f>
        <v>Q4 2023</v>
      </c>
      <c r="AA3" s="660" t="str">
        <f>+"Q4 "&amp;AA1</f>
        <v>Q4 2023</v>
      </c>
      <c r="AB3" s="660" t="str">
        <f>+"Q1 "&amp;AB1</f>
        <v>Q1 2024</v>
      </c>
      <c r="AC3" s="660" t="str">
        <f>+"Q1 "&amp;AC1</f>
        <v>Q1 2024</v>
      </c>
      <c r="AD3" s="660" t="str">
        <f>+"Q1 "&amp;AD1</f>
        <v>Q1 2024</v>
      </c>
      <c r="AE3" s="660" t="str">
        <f>+"Q2 "&amp;AE1</f>
        <v>Q2 2024</v>
      </c>
      <c r="AF3" s="660" t="str">
        <f>+"Q2 "&amp;AF1</f>
        <v>Q2 2024</v>
      </c>
      <c r="AG3" s="660" t="str">
        <f>+"Q2 "&amp;AG1</f>
        <v>Q2 2024</v>
      </c>
      <c r="AH3" s="660" t="str">
        <f>+"Q3 "&amp;AH1</f>
        <v>Q3 2024</v>
      </c>
      <c r="AI3" s="660" t="str">
        <f>+"Q3 "&amp;AI1</f>
        <v>Q3 2024</v>
      </c>
      <c r="AJ3" s="660" t="str">
        <f>+"Q3 "&amp;AJ1</f>
        <v>Q3 2024</v>
      </c>
      <c r="AK3" s="660" t="str">
        <f>+"Q4 "&amp;AK1</f>
        <v>Q4 2024</v>
      </c>
      <c r="AL3" s="660" t="str">
        <f>+"Q4 "&amp;AL1</f>
        <v>Q4 2024</v>
      </c>
      <c r="AM3" s="660" t="str">
        <f>+"Q4 "&amp;AM1</f>
        <v>Q4 2024</v>
      </c>
      <c r="AN3" s="225" t="str">
        <f>+"Q1 "&amp;AN1</f>
        <v>Q1 2025</v>
      </c>
      <c r="AO3" s="660" t="str">
        <f>+"Q1 "&amp;AO1</f>
        <v>Q1 2025</v>
      </c>
      <c r="AP3" s="660" t="str">
        <f>+"Q1 "&amp;AP1</f>
        <v>Q1 2025</v>
      </c>
      <c r="AQ3" s="225" t="str">
        <f>+"Q2 "&amp;AQ1</f>
        <v>Q2 2025</v>
      </c>
      <c r="AR3" s="660" t="str">
        <f>+"Q2 "&amp;AR1</f>
        <v>Q2 2025</v>
      </c>
      <c r="AS3" s="660" t="str">
        <f>+"Q2 "&amp;AS1</f>
        <v>Q2 2025</v>
      </c>
      <c r="AT3" s="660" t="str">
        <f>+"Q3 "&amp;AT1</f>
        <v>Q3 2025</v>
      </c>
      <c r="AU3" s="660" t="str">
        <f>+"Q3 "&amp;AU1</f>
        <v>Q3 2025</v>
      </c>
      <c r="AV3" s="660" t="str">
        <f>+"Q3 "&amp;AV1</f>
        <v>Q3 2025</v>
      </c>
      <c r="AW3" s="660" t="str">
        <f>+"Q4 "&amp;AW1</f>
        <v>Q4 2025</v>
      </c>
      <c r="AX3" s="660" t="str">
        <f>+"Q4 "&amp;AW1</f>
        <v>Q4 2025</v>
      </c>
      <c r="AY3" s="660" t="str">
        <f>+"Q4 "&amp;AX1</f>
        <v>Q4 2025</v>
      </c>
      <c r="AZ3" s="439" t="str">
        <f>+"Q1 "&amp;AZ1</f>
        <v>Q1 2026</v>
      </c>
      <c r="BA3" s="153" t="str">
        <f>+"Q1 "&amp;BA1</f>
        <v>Q1 2026</v>
      </c>
      <c r="BB3" s="153" t="str">
        <f>+"Q1 "&amp;BB1</f>
        <v>Q1 2026</v>
      </c>
      <c r="BC3" s="153" t="str">
        <f>+"Q2 "&amp;BC1</f>
        <v>Q2 2026</v>
      </c>
      <c r="BD3" s="153" t="str">
        <f>+"Q2 "&amp;BD1</f>
        <v>Q2 2026</v>
      </c>
      <c r="BE3" s="153" t="str">
        <f>+"Q2 "&amp;BE1</f>
        <v>Q2 2026</v>
      </c>
      <c r="BF3" s="153" t="str">
        <f>+"Q3 "&amp;BF1</f>
        <v>Q3 2026</v>
      </c>
      <c r="BG3" s="153" t="str">
        <f>+"Q3 "&amp;BG1</f>
        <v>Q3 2026</v>
      </c>
      <c r="BH3" s="153" t="str">
        <f>+"Q3 "&amp;BH1</f>
        <v>Q3 2026</v>
      </c>
      <c r="BI3" s="153" t="str">
        <f>+"Q4 "&amp;BI1</f>
        <v>Q4 2026</v>
      </c>
      <c r="BJ3" s="153" t="str">
        <f>+"Q4 "&amp;BJ1</f>
        <v>Q4 2026</v>
      </c>
      <c r="BK3" s="225" t="str">
        <f>+"Q4 "&amp;BK1</f>
        <v>Q4 2026</v>
      </c>
      <c r="BL3" s="153" t="str">
        <f>+"Q1 "&amp;BL1</f>
        <v>Q1 2027</v>
      </c>
      <c r="BM3" s="153" t="str">
        <f>+"Q1 "&amp;BM1</f>
        <v>Q1 2027</v>
      </c>
      <c r="BN3" s="153" t="str">
        <f>+"Q1 "&amp;BN1</f>
        <v>Q1 2027</v>
      </c>
      <c r="BO3" s="153" t="str">
        <f>+"Q2 "&amp;BO1</f>
        <v>Q2 2027</v>
      </c>
      <c r="BP3" s="153" t="str">
        <f>+"Q2 "&amp;BP1</f>
        <v>Q2 2027</v>
      </c>
      <c r="BQ3" s="153" t="str">
        <f>+"Q2 "&amp;BQ1</f>
        <v>Q2 2027</v>
      </c>
      <c r="BR3" s="153" t="str">
        <f>+"Q3 "&amp;BR1</f>
        <v>Q3 2027</v>
      </c>
      <c r="BS3" s="153" t="str">
        <f>+"Q3 "&amp;BS1</f>
        <v>Q3 2027</v>
      </c>
      <c r="BT3" s="153" t="str">
        <f>+"Q3 "&amp;BT1</f>
        <v>Q3 2027</v>
      </c>
      <c r="BU3" s="153" t="str">
        <f>+"Q4 "&amp;BU1</f>
        <v>Q4 2027</v>
      </c>
      <c r="BV3" s="153" t="str">
        <f>+"Q4 "&amp;BV1</f>
        <v>Q4 2027</v>
      </c>
      <c r="BW3" s="225" t="str">
        <f>+"Q4 "&amp;BW1</f>
        <v>Q4 2027</v>
      </c>
      <c r="BX3" s="153" t="str">
        <f>+"Q1 "&amp;BX1</f>
        <v>Q1 2028</v>
      </c>
      <c r="BY3" s="153" t="str">
        <f>+"Q1 "&amp;BY1</f>
        <v>Q1 2028</v>
      </c>
      <c r="BZ3" s="153" t="str">
        <f>+"Q1 "&amp;BZ1</f>
        <v>Q1 2028</v>
      </c>
      <c r="CA3" s="153" t="str">
        <f>+"Q2 "&amp;CA1</f>
        <v>Q2 2028</v>
      </c>
      <c r="CB3" s="153" t="str">
        <f>+"Q2 "&amp;CB1</f>
        <v>Q2 2028</v>
      </c>
      <c r="CC3" s="153" t="str">
        <f>+"Q2 "&amp;CC1</f>
        <v>Q2 2028</v>
      </c>
      <c r="CD3" s="153" t="str">
        <f>+"Q3 "&amp;CD1</f>
        <v>Q3 2028</v>
      </c>
      <c r="CE3" s="153" t="str">
        <f>+"Q3 "&amp;CE1</f>
        <v>Q3 2028</v>
      </c>
      <c r="CF3" s="153" t="str">
        <f>+"Q3 "&amp;CF1</f>
        <v>Q3 2028</v>
      </c>
      <c r="CG3" s="153" t="str">
        <f>+"Q4 "&amp;CG1</f>
        <v>Q4 2028</v>
      </c>
      <c r="CH3" s="153" t="str">
        <f>+"Q4 "&amp;CH1</f>
        <v>Q4 2028</v>
      </c>
      <c r="CI3" s="225" t="str">
        <f>+"Q4 "&amp;CI1</f>
        <v>Q4 2028</v>
      </c>
      <c r="CJ3" s="153" t="str">
        <f>+"Q1 "&amp;CJ1</f>
        <v>Q1 2029</v>
      </c>
      <c r="CK3" s="153" t="str">
        <f>+"Q1 "&amp;CK1</f>
        <v>Q1 2029</v>
      </c>
      <c r="CL3" s="153" t="str">
        <f>+"Q1 "&amp;CL1</f>
        <v>Q1 2029</v>
      </c>
      <c r="CM3" s="153" t="str">
        <f>+"Q2 "&amp;CM1</f>
        <v>Q2 2029</v>
      </c>
      <c r="CN3" s="153" t="str">
        <f>+"Q2 "&amp;CN1</f>
        <v>Q2 2029</v>
      </c>
      <c r="CO3" s="153" t="str">
        <f>+"Q2 "&amp;CO1</f>
        <v>Q2 2029</v>
      </c>
      <c r="CP3" s="153" t="str">
        <f>+"Q3 "&amp;CP1</f>
        <v>Q3 2029</v>
      </c>
      <c r="CQ3" s="153" t="str">
        <f>+"Q3 "&amp;CQ1</f>
        <v>Q3 2029</v>
      </c>
      <c r="CR3" s="153" t="str">
        <f>+"Q3 "&amp;CR1</f>
        <v>Q3 2029</v>
      </c>
      <c r="CS3" s="153" t="str">
        <f>+"Q4 "&amp;CS1</f>
        <v>Q4 2029</v>
      </c>
      <c r="CT3" s="153" t="str">
        <f>+"Q4 "&amp;CT1</f>
        <v>Q4 2029</v>
      </c>
      <c r="CU3" s="225" t="str">
        <f>+"Q4 "&amp;CU1</f>
        <v>Q4 2029</v>
      </c>
      <c r="CV3" s="153" t="str">
        <f>+"Q1 "&amp;CV1</f>
        <v>Q1 2030</v>
      </c>
      <c r="CW3" s="153" t="str">
        <f>+"Q1 "&amp;CW1</f>
        <v>Q1 2030</v>
      </c>
      <c r="CX3" s="153" t="str">
        <f>+"Q1 "&amp;CX1</f>
        <v>Q1 2030</v>
      </c>
      <c r="CY3" s="153" t="str">
        <f>+"Q2 "&amp;CY1</f>
        <v>Q2 2030</v>
      </c>
      <c r="CZ3" s="153" t="str">
        <f>+"Q2 "&amp;CZ1</f>
        <v>Q2 2030</v>
      </c>
      <c r="DA3" s="153" t="str">
        <f>+"Q2 "&amp;DA1</f>
        <v>Q2 2030</v>
      </c>
      <c r="DB3" s="153" t="str">
        <f>+"Q3 "&amp;DB1</f>
        <v>Q3 2030</v>
      </c>
      <c r="DC3" s="153" t="str">
        <f>+"Q3 "&amp;DC1</f>
        <v>Q3 2030</v>
      </c>
      <c r="DD3" s="153" t="str">
        <f>+"Q3 "&amp;DD1</f>
        <v>Q3 2030</v>
      </c>
      <c r="DE3" s="153" t="str">
        <f>+"Q4 "&amp;DE1</f>
        <v>Q4 2030</v>
      </c>
      <c r="DF3" s="153" t="str">
        <f>+"Q4 "&amp;DF1</f>
        <v>Q4 2030</v>
      </c>
      <c r="DG3" s="153" t="str">
        <f>+"Q4 "&amp;DG1</f>
        <v>Q4 2030</v>
      </c>
      <c r="DH3" s="24"/>
      <c r="DI3" s="24"/>
      <c r="DJ3" s="24"/>
    </row>
    <row r="4" spans="1:114" ht="15.75" customHeight="1" thickBot="1" x14ac:dyDescent="0.3">
      <c r="A4" s="25"/>
      <c r="B4" s="26"/>
      <c r="C4" s="562"/>
      <c r="D4" s="661">
        <v>44592</v>
      </c>
      <c r="E4" s="661">
        <v>44620</v>
      </c>
      <c r="F4" s="661">
        <v>44651</v>
      </c>
      <c r="G4" s="662">
        <v>44681</v>
      </c>
      <c r="H4" s="662">
        <v>44712</v>
      </c>
      <c r="I4" s="662">
        <v>44742</v>
      </c>
      <c r="J4" s="662">
        <v>44773</v>
      </c>
      <c r="K4" s="662">
        <v>44804</v>
      </c>
      <c r="L4" s="662">
        <v>44834</v>
      </c>
      <c r="M4" s="662">
        <v>44865</v>
      </c>
      <c r="N4" s="662">
        <v>44895</v>
      </c>
      <c r="O4" s="662">
        <v>44926</v>
      </c>
      <c r="P4" s="151">
        <v>44957</v>
      </c>
      <c r="Q4" s="662">
        <v>44985</v>
      </c>
      <c r="R4" s="662">
        <v>45016</v>
      </c>
      <c r="S4" s="662">
        <v>45046</v>
      </c>
      <c r="T4" s="662">
        <v>45077</v>
      </c>
      <c r="U4" s="662">
        <v>45107</v>
      </c>
      <c r="V4" s="662">
        <v>45138</v>
      </c>
      <c r="W4" s="662">
        <v>45169</v>
      </c>
      <c r="X4" s="662">
        <v>45199</v>
      </c>
      <c r="Y4" s="662">
        <v>45230</v>
      </c>
      <c r="Z4" s="662">
        <v>45260</v>
      </c>
      <c r="AA4" s="662">
        <v>45291</v>
      </c>
      <c r="AB4" s="662">
        <v>45322</v>
      </c>
      <c r="AC4" s="662">
        <v>45351</v>
      </c>
      <c r="AD4" s="662">
        <v>45382</v>
      </c>
      <c r="AE4" s="662">
        <v>45412</v>
      </c>
      <c r="AF4" s="226">
        <v>45443</v>
      </c>
      <c r="AG4" s="662">
        <v>45473</v>
      </c>
      <c r="AH4" s="662">
        <v>45504</v>
      </c>
      <c r="AI4" s="662">
        <v>45535</v>
      </c>
      <c r="AJ4" s="662">
        <v>45565</v>
      </c>
      <c r="AK4" s="662">
        <v>45596</v>
      </c>
      <c r="AL4" s="662">
        <v>45626</v>
      </c>
      <c r="AM4" s="662">
        <v>45657</v>
      </c>
      <c r="AN4" s="226">
        <v>45688</v>
      </c>
      <c r="AO4" s="662">
        <v>45716</v>
      </c>
      <c r="AP4" s="662">
        <v>45747</v>
      </c>
      <c r="AQ4" s="226">
        <v>45777</v>
      </c>
      <c r="AR4" s="662">
        <v>45808</v>
      </c>
      <c r="AS4" s="662">
        <v>45838</v>
      </c>
      <c r="AT4" s="662">
        <v>45869</v>
      </c>
      <c r="AU4" s="662">
        <v>45900</v>
      </c>
      <c r="AV4" s="662">
        <v>45930</v>
      </c>
      <c r="AW4" s="662">
        <v>45961</v>
      </c>
      <c r="AX4" s="662">
        <v>45991</v>
      </c>
      <c r="AY4" s="45">
        <v>46022</v>
      </c>
      <c r="AZ4" s="45">
        <v>46053</v>
      </c>
      <c r="BA4" s="27">
        <v>46081</v>
      </c>
      <c r="BB4" s="27">
        <v>46112</v>
      </c>
      <c r="BC4" s="27">
        <v>46142</v>
      </c>
      <c r="BD4" s="27">
        <v>46173</v>
      </c>
      <c r="BE4" s="27">
        <v>46203</v>
      </c>
      <c r="BF4" s="27">
        <v>46234</v>
      </c>
      <c r="BG4" s="27">
        <v>46265</v>
      </c>
      <c r="BH4" s="27">
        <v>46295</v>
      </c>
      <c r="BI4" s="27">
        <v>46326</v>
      </c>
      <c r="BJ4" s="27">
        <v>46356</v>
      </c>
      <c r="BK4" s="226">
        <v>46387</v>
      </c>
      <c r="BL4" s="27">
        <v>46418</v>
      </c>
      <c r="BM4" s="27">
        <v>46446</v>
      </c>
      <c r="BN4" s="27">
        <v>46477</v>
      </c>
      <c r="BO4" s="27">
        <v>46507</v>
      </c>
      <c r="BP4" s="27">
        <v>46538</v>
      </c>
      <c r="BQ4" s="27">
        <v>46568</v>
      </c>
      <c r="BR4" s="27">
        <v>46599</v>
      </c>
      <c r="BS4" s="27">
        <v>46630</v>
      </c>
      <c r="BT4" s="27">
        <v>46660</v>
      </c>
      <c r="BU4" s="27">
        <v>46691</v>
      </c>
      <c r="BV4" s="27">
        <v>46721</v>
      </c>
      <c r="BW4" s="226">
        <v>46752</v>
      </c>
      <c r="BX4" s="27">
        <v>46783</v>
      </c>
      <c r="BY4" s="27">
        <v>46812</v>
      </c>
      <c r="BZ4" s="27">
        <v>46843</v>
      </c>
      <c r="CA4" s="27">
        <v>46873</v>
      </c>
      <c r="CB4" s="27">
        <v>46904</v>
      </c>
      <c r="CC4" s="27">
        <v>46934</v>
      </c>
      <c r="CD4" s="27">
        <v>46965</v>
      </c>
      <c r="CE4" s="27">
        <v>46996</v>
      </c>
      <c r="CF4" s="27">
        <v>47026</v>
      </c>
      <c r="CG4" s="27">
        <v>47057</v>
      </c>
      <c r="CH4" s="27">
        <v>47087</v>
      </c>
      <c r="CI4" s="226">
        <v>47118</v>
      </c>
      <c r="CJ4" s="27">
        <v>47149</v>
      </c>
      <c r="CK4" s="27">
        <v>47177</v>
      </c>
      <c r="CL4" s="27">
        <v>47208</v>
      </c>
      <c r="CM4" s="27">
        <v>47238</v>
      </c>
      <c r="CN4" s="27">
        <v>47269</v>
      </c>
      <c r="CO4" s="27">
        <v>47299</v>
      </c>
      <c r="CP4" s="27">
        <v>47330</v>
      </c>
      <c r="CQ4" s="27">
        <v>47361</v>
      </c>
      <c r="CR4" s="27">
        <v>47391</v>
      </c>
      <c r="CS4" s="27">
        <v>47422</v>
      </c>
      <c r="CT4" s="27">
        <v>47452</v>
      </c>
      <c r="CU4" s="226">
        <v>47483</v>
      </c>
      <c r="CV4" s="27">
        <v>47514</v>
      </c>
      <c r="CW4" s="27">
        <v>47542</v>
      </c>
      <c r="CX4" s="27">
        <v>47573</v>
      </c>
      <c r="CY4" s="27">
        <v>47603</v>
      </c>
      <c r="CZ4" s="27">
        <v>47634</v>
      </c>
      <c r="DA4" s="27">
        <v>47664</v>
      </c>
      <c r="DB4" s="27">
        <v>47695</v>
      </c>
      <c r="DC4" s="27">
        <v>47726</v>
      </c>
      <c r="DD4" s="27">
        <v>47756</v>
      </c>
      <c r="DE4" s="27">
        <v>47787</v>
      </c>
      <c r="DF4" s="27">
        <v>47817</v>
      </c>
      <c r="DG4" s="27">
        <v>47848</v>
      </c>
      <c r="DH4" s="27"/>
      <c r="DI4" s="27"/>
      <c r="DJ4" s="45"/>
    </row>
    <row r="5" spans="1:114" hidden="1" x14ac:dyDescent="0.25">
      <c r="B5" s="1" t="s">
        <v>74</v>
      </c>
      <c r="C5" s="563"/>
      <c r="D5" s="663"/>
      <c r="E5" s="663"/>
      <c r="F5" s="663"/>
      <c r="G5" s="663"/>
      <c r="H5" s="663"/>
      <c r="I5" s="663"/>
      <c r="J5" s="663"/>
      <c r="K5" s="663"/>
      <c r="L5" s="663"/>
      <c r="M5" s="664"/>
      <c r="N5" s="664"/>
      <c r="O5" s="664"/>
      <c r="P5" s="664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659"/>
      <c r="AK5" s="659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665"/>
      <c r="AX5" s="604"/>
      <c r="AY5" s="665"/>
      <c r="AZ5" s="89"/>
      <c r="BK5" s="227"/>
      <c r="BW5" s="227"/>
      <c r="CI5" s="227"/>
      <c r="CU5" s="227"/>
    </row>
    <row r="6" spans="1:114" s="104" customFormat="1" hidden="1" x14ac:dyDescent="0.25">
      <c r="B6" s="1" t="s">
        <v>75</v>
      </c>
      <c r="C6" s="563"/>
      <c r="D6" s="666"/>
      <c r="E6" s="666"/>
      <c r="F6" s="666"/>
      <c r="G6" s="666"/>
      <c r="H6" s="666"/>
      <c r="I6" s="666"/>
      <c r="J6" s="666"/>
      <c r="K6" s="666"/>
      <c r="L6" s="666"/>
      <c r="M6" s="666"/>
      <c r="N6" s="666"/>
      <c r="O6" s="666"/>
      <c r="P6" s="666"/>
      <c r="Q6" s="666"/>
      <c r="R6" s="666"/>
      <c r="S6" s="666"/>
      <c r="T6" s="666"/>
      <c r="U6" s="666"/>
      <c r="V6" s="666">
        <v>0</v>
      </c>
      <c r="W6" s="666"/>
      <c r="X6" s="666"/>
      <c r="Y6" s="666"/>
      <c r="Z6" s="666"/>
      <c r="AA6" s="666"/>
      <c r="AB6" s="666">
        <v>5520</v>
      </c>
      <c r="AC6" s="666">
        <v>6528.4</v>
      </c>
      <c r="AD6" s="666">
        <v>7633.5</v>
      </c>
      <c r="AE6" s="666">
        <v>7610.5</v>
      </c>
      <c r="AF6" s="666">
        <v>7767.15</v>
      </c>
      <c r="AG6" s="666">
        <v>6976.15</v>
      </c>
      <c r="AH6" s="666">
        <v>5696</v>
      </c>
      <c r="AI6" s="666">
        <v>7172.75</v>
      </c>
      <c r="AJ6" s="666">
        <v>4463.25</v>
      </c>
      <c r="AK6" s="666">
        <v>7444.5</v>
      </c>
      <c r="AL6" s="666">
        <v>4717</v>
      </c>
      <c r="AM6" s="666">
        <v>6221.6</v>
      </c>
      <c r="AN6" s="666">
        <v>6476.75</v>
      </c>
      <c r="AO6" s="666">
        <v>6155.39</v>
      </c>
      <c r="AP6" s="666">
        <v>6650.25</v>
      </c>
      <c r="AQ6" s="666">
        <v>7459.5</v>
      </c>
      <c r="AR6" s="666">
        <v>7496.95</v>
      </c>
      <c r="AS6" s="666">
        <v>6520.45</v>
      </c>
      <c r="AT6" s="666">
        <v>7050.8</v>
      </c>
      <c r="AU6" s="666">
        <v>7217.85</v>
      </c>
      <c r="AV6" s="666">
        <v>5873.45</v>
      </c>
      <c r="AW6" s="667">
        <v>6611</v>
      </c>
      <c r="AX6" s="606">
        <v>4935</v>
      </c>
      <c r="AY6" s="668">
        <f t="shared" ref="AY6:CD6" si="6">AY32*AY30</f>
        <v>5283.4133484192898</v>
      </c>
      <c r="AZ6" s="576">
        <f t="shared" si="6"/>
        <v>5937.4599798414893</v>
      </c>
      <c r="BA6" s="448">
        <f t="shared" si="6"/>
        <v>7516.4144737149381</v>
      </c>
      <c r="BB6" s="448">
        <f t="shared" si="6"/>
        <v>8610.2640812291247</v>
      </c>
      <c r="BC6" s="448">
        <f t="shared" si="6"/>
        <v>10542.538683195527</v>
      </c>
      <c r="BD6" s="448">
        <f t="shared" si="6"/>
        <v>10112.536955362908</v>
      </c>
      <c r="BE6" s="448">
        <f t="shared" si="6"/>
        <v>10388.258371125457</v>
      </c>
      <c r="BF6" s="448">
        <f t="shared" si="6"/>
        <v>9928.5892453156921</v>
      </c>
      <c r="BG6" s="448">
        <f t="shared" si="6"/>
        <v>10710.941460697231</v>
      </c>
      <c r="BH6" s="448">
        <f t="shared" si="6"/>
        <v>7646.2970706735105</v>
      </c>
      <c r="BI6" s="448">
        <f t="shared" si="6"/>
        <v>8253.384461883672</v>
      </c>
      <c r="BJ6" s="448">
        <f t="shared" si="6"/>
        <v>9130.6529459499925</v>
      </c>
      <c r="BK6" s="447">
        <f t="shared" si="6"/>
        <v>8891.598074169051</v>
      </c>
      <c r="BL6" s="448">
        <f t="shared" si="6"/>
        <v>7603.9970423651803</v>
      </c>
      <c r="BM6" s="448">
        <f t="shared" si="6"/>
        <v>9270.2445175817575</v>
      </c>
      <c r="BN6" s="448">
        <f t="shared" si="6"/>
        <v>10702.684874498409</v>
      </c>
      <c r="BO6" s="448">
        <f t="shared" si="6"/>
        <v>12087.565904008667</v>
      </c>
      <c r="BP6" s="448">
        <f t="shared" si="6"/>
        <v>11361.435269350228</v>
      </c>
      <c r="BQ6" s="448">
        <f t="shared" si="6"/>
        <v>11611.392018048293</v>
      </c>
      <c r="BR6" s="448">
        <f t="shared" si="6"/>
        <v>10531.968093443329</v>
      </c>
      <c r="BS6" s="448">
        <f t="shared" si="6"/>
        <v>12323.738393284975</v>
      </c>
      <c r="BT6" s="448">
        <f t="shared" si="6"/>
        <v>8264.7475690368101</v>
      </c>
      <c r="BU6" s="448">
        <f t="shared" si="6"/>
        <v>8612.0932012606827</v>
      </c>
      <c r="BV6" s="448">
        <f t="shared" si="6"/>
        <v>10440.180802671768</v>
      </c>
      <c r="BW6" s="447">
        <f t="shared" si="6"/>
        <v>9491.7809441754598</v>
      </c>
      <c r="BX6" s="448">
        <f t="shared" si="6"/>
        <v>8099.9098929542142</v>
      </c>
      <c r="BY6" s="448">
        <f t="shared" si="6"/>
        <v>10496.672812542913</v>
      </c>
      <c r="BZ6" s="448">
        <f t="shared" si="6"/>
        <v>11529.710523891468</v>
      </c>
      <c r="CA6" s="448">
        <f t="shared" si="6"/>
        <v>11902.493124617147</v>
      </c>
      <c r="CB6" s="448">
        <f t="shared" si="6"/>
        <v>13554.086094696793</v>
      </c>
      <c r="CC6" s="448">
        <f t="shared" si="6"/>
        <v>12561.415001343155</v>
      </c>
      <c r="CD6" s="448">
        <f t="shared" si="6"/>
        <v>10780.498094874685</v>
      </c>
      <c r="CE6" s="448">
        <f t="shared" ref="CE6:DG6" si="7">CE32*CE30</f>
        <v>13825.424697501696</v>
      </c>
      <c r="CF6" s="448">
        <f t="shared" si="7"/>
        <v>8401.8672446140117</v>
      </c>
      <c r="CG6" s="448">
        <f t="shared" si="7"/>
        <v>9597.9512387734194</v>
      </c>
      <c r="CH6" s="448">
        <f t="shared" si="7"/>
        <v>11239.713636294098</v>
      </c>
      <c r="CI6" s="447">
        <f t="shared" si="7"/>
        <v>9248.9050098234311</v>
      </c>
      <c r="CJ6" s="448">
        <f t="shared" si="7"/>
        <v>9581.0362733801285</v>
      </c>
      <c r="CK6" s="448">
        <f t="shared" si="7"/>
        <v>10772.901044451937</v>
      </c>
      <c r="CL6" s="448">
        <f t="shared" si="7"/>
        <v>11873.000198818561</v>
      </c>
      <c r="CM6" s="448">
        <f t="shared" si="7"/>
        <v>13524.207812846236</v>
      </c>
      <c r="CN6" s="448">
        <f t="shared" si="7"/>
        <v>14744.64771112286</v>
      </c>
      <c r="CO6" s="448">
        <f t="shared" si="7"/>
        <v>12960.256720971363</v>
      </c>
      <c r="CP6" s="448">
        <f t="shared" si="7"/>
        <v>12229.12752637347</v>
      </c>
      <c r="CQ6" s="448">
        <f t="shared" si="7"/>
        <v>14984.976446324417</v>
      </c>
      <c r="CR6" s="448">
        <f t="shared" si="7"/>
        <v>8638.5395613637047</v>
      </c>
      <c r="CS6" s="448">
        <f t="shared" si="7"/>
        <v>10946.423726865552</v>
      </c>
      <c r="CT6" s="448">
        <f t="shared" si="7"/>
        <v>12238.799292853577</v>
      </c>
      <c r="CU6" s="447">
        <f t="shared" si="7"/>
        <v>10181.254305168535</v>
      </c>
      <c r="CV6" s="448">
        <f t="shared" si="7"/>
        <v>10479.258424009515</v>
      </c>
      <c r="CW6" s="448">
        <f t="shared" si="7"/>
        <v>11746.605561931246</v>
      </c>
      <c r="CX6" s="448">
        <f t="shared" si="7"/>
        <v>12487.637835373564</v>
      </c>
      <c r="CY6" s="448">
        <f t="shared" si="7"/>
        <v>15613.095356216543</v>
      </c>
      <c r="CZ6" s="448">
        <f t="shared" si="7"/>
        <v>16155.005318273741</v>
      </c>
      <c r="DA6" s="448">
        <f t="shared" si="7"/>
        <v>13577.411802922379</v>
      </c>
      <c r="DB6" s="448">
        <f t="shared" si="7"/>
        <v>13966.640617758349</v>
      </c>
      <c r="DC6" s="448">
        <f t="shared" si="7"/>
        <v>15677.217206073099</v>
      </c>
      <c r="DD6" s="448">
        <f t="shared" si="7"/>
        <v>9915.3867102282857</v>
      </c>
      <c r="DE6" s="448">
        <f t="shared" si="7"/>
        <v>11924.760347454163</v>
      </c>
      <c r="DF6" s="448">
        <f t="shared" si="7"/>
        <v>12704.708129570161</v>
      </c>
      <c r="DG6" s="448">
        <f t="shared" si="7"/>
        <v>11543.976035244939</v>
      </c>
    </row>
    <row r="7" spans="1:114" s="104" customFormat="1" hidden="1" x14ac:dyDescent="0.25">
      <c r="B7" s="1" t="s">
        <v>76</v>
      </c>
      <c r="C7" s="563"/>
      <c r="D7" s="666"/>
      <c r="E7" s="666"/>
      <c r="F7" s="666"/>
      <c r="G7" s="666"/>
      <c r="H7" s="666"/>
      <c r="I7" s="666"/>
      <c r="J7" s="666"/>
      <c r="K7" s="666"/>
      <c r="L7" s="666"/>
      <c r="M7" s="666"/>
      <c r="N7" s="666"/>
      <c r="O7" s="666"/>
      <c r="P7" s="666"/>
      <c r="Q7" s="666"/>
      <c r="R7" s="666"/>
      <c r="S7" s="666"/>
      <c r="T7" s="666"/>
      <c r="U7" s="666"/>
      <c r="V7" s="666"/>
      <c r="W7" s="666"/>
      <c r="X7" s="666"/>
      <c r="Y7" s="666"/>
      <c r="Z7" s="666"/>
      <c r="AA7" s="666"/>
      <c r="AB7" s="666">
        <v>208.5</v>
      </c>
      <c r="AC7" s="666">
        <v>282.85000000000002</v>
      </c>
      <c r="AD7" s="666">
        <v>291.5</v>
      </c>
      <c r="AE7" s="666">
        <v>286.5</v>
      </c>
      <c r="AF7" s="666">
        <v>310.85000000000002</v>
      </c>
      <c r="AG7" s="666">
        <v>357.85</v>
      </c>
      <c r="AH7" s="666">
        <v>349.5</v>
      </c>
      <c r="AI7" s="666">
        <v>382.25</v>
      </c>
      <c r="AJ7" s="666">
        <v>357</v>
      </c>
      <c r="AK7" s="666">
        <v>387.5</v>
      </c>
      <c r="AL7" s="666">
        <v>221.75</v>
      </c>
      <c r="AM7" s="666">
        <v>260.39999999999998</v>
      </c>
      <c r="AN7" s="666">
        <v>274.3</v>
      </c>
      <c r="AO7" s="666">
        <v>345.75</v>
      </c>
      <c r="AP7" s="666">
        <v>458.25</v>
      </c>
      <c r="AQ7" s="666">
        <v>402.25</v>
      </c>
      <c r="AR7" s="666">
        <v>410.67</v>
      </c>
      <c r="AS7" s="666">
        <v>382</v>
      </c>
      <c r="AT7" s="666">
        <v>382.75</v>
      </c>
      <c r="AU7" s="666">
        <v>435.5</v>
      </c>
      <c r="AV7" s="666">
        <v>387</v>
      </c>
      <c r="AW7" s="667">
        <v>387.25</v>
      </c>
      <c r="AX7" s="607">
        <v>328</v>
      </c>
      <c r="AY7" s="667">
        <f t="shared" ref="AY7:CD7" si="8">+AY6*AY10</f>
        <v>303.21107164946073</v>
      </c>
      <c r="AZ7" s="577">
        <f t="shared" si="8"/>
        <v>340.74631012963329</v>
      </c>
      <c r="BA7" s="104">
        <f t="shared" si="8"/>
        <v>431.36130702673131</v>
      </c>
      <c r="BB7" s="104">
        <f t="shared" si="8"/>
        <v>494.13650363650402</v>
      </c>
      <c r="BC7" s="104">
        <f t="shared" si="8"/>
        <v>605.02827267792418</v>
      </c>
      <c r="BD7" s="104">
        <f t="shared" si="8"/>
        <v>580.3508007276638</v>
      </c>
      <c r="BE7" s="104">
        <f t="shared" si="8"/>
        <v>596.17424296791205</v>
      </c>
      <c r="BF7" s="104">
        <f t="shared" si="8"/>
        <v>569.7941816231662</v>
      </c>
      <c r="BG7" s="104">
        <f t="shared" si="8"/>
        <v>614.69277993255992</v>
      </c>
      <c r="BH7" s="104">
        <f t="shared" si="8"/>
        <v>438.81517043194947</v>
      </c>
      <c r="BI7" s="104">
        <f t="shared" si="8"/>
        <v>473.65545385001309</v>
      </c>
      <c r="BJ7" s="104">
        <f t="shared" si="8"/>
        <v>524.00122459263901</v>
      </c>
      <c r="BK7" s="228">
        <f t="shared" si="8"/>
        <v>510.28204741006817</v>
      </c>
      <c r="BL7" s="104">
        <f t="shared" si="8"/>
        <v>436.38760399556446</v>
      </c>
      <c r="BM7" s="104">
        <f t="shared" si="8"/>
        <v>532.012278666302</v>
      </c>
      <c r="BN7" s="104">
        <f t="shared" si="8"/>
        <v>614.21894073346334</v>
      </c>
      <c r="BO7" s="104">
        <f t="shared" si="8"/>
        <v>693.69620919106831</v>
      </c>
      <c r="BP7" s="104">
        <f t="shared" si="8"/>
        <v>652.02412461753033</v>
      </c>
      <c r="BQ7" s="104">
        <f t="shared" si="8"/>
        <v>666.36895222058547</v>
      </c>
      <c r="BR7" s="104">
        <f t="shared" si="8"/>
        <v>604.42163457574168</v>
      </c>
      <c r="BS7" s="104">
        <f t="shared" si="8"/>
        <v>707.24996863504873</v>
      </c>
      <c r="BT7" s="104">
        <f t="shared" si="8"/>
        <v>474.307573922769</v>
      </c>
      <c r="BU7" s="104">
        <f t="shared" si="8"/>
        <v>494.24147544324524</v>
      </c>
      <c r="BV7" s="104">
        <f t="shared" si="8"/>
        <v>599.15403180395163</v>
      </c>
      <c r="BW7" s="228">
        <f t="shared" si="8"/>
        <v>544.72608561024765</v>
      </c>
      <c r="BX7" s="104">
        <f t="shared" si="8"/>
        <v>464.84766512570997</v>
      </c>
      <c r="BY7" s="104">
        <f t="shared" si="8"/>
        <v>602.39606526283035</v>
      </c>
      <c r="BZ7" s="104">
        <f t="shared" si="8"/>
        <v>661.68131342650372</v>
      </c>
      <c r="CA7" s="104">
        <f t="shared" si="8"/>
        <v>683.07502321302331</v>
      </c>
      <c r="CB7" s="104">
        <f t="shared" si="8"/>
        <v>777.85868698530612</v>
      </c>
      <c r="CC7" s="104">
        <f t="shared" si="8"/>
        <v>720.89004831136083</v>
      </c>
      <c r="CD7" s="104">
        <f t="shared" si="8"/>
        <v>618.68458223884454</v>
      </c>
      <c r="CE7" s="104">
        <f t="shared" ref="CE7:DJ7" si="9">+CE6*CE10</f>
        <v>793.430602925019</v>
      </c>
      <c r="CF7" s="104">
        <f t="shared" si="9"/>
        <v>482.17676776285128</v>
      </c>
      <c r="CG7" s="104">
        <f t="shared" si="9"/>
        <v>550.81911802687989</v>
      </c>
      <c r="CH7" s="104">
        <f t="shared" si="9"/>
        <v>645.03861272058327</v>
      </c>
      <c r="CI7" s="228">
        <f t="shared" si="9"/>
        <v>530.78762055436187</v>
      </c>
      <c r="CJ7" s="104">
        <f t="shared" si="9"/>
        <v>549.84838103441132</v>
      </c>
      <c r="CK7" s="104">
        <f t="shared" si="9"/>
        <v>618.24859329606272</v>
      </c>
      <c r="CL7" s="104">
        <f t="shared" si="9"/>
        <v>681.3824466441007</v>
      </c>
      <c r="CM7" s="104">
        <f t="shared" si="9"/>
        <v>776.14399512579791</v>
      </c>
      <c r="CN7" s="104">
        <f t="shared" si="9"/>
        <v>846.18411219347479</v>
      </c>
      <c r="CO7" s="104">
        <f t="shared" si="9"/>
        <v>743.7792711019955</v>
      </c>
      <c r="CP7" s="104">
        <f t="shared" si="9"/>
        <v>701.82032297718922</v>
      </c>
      <c r="CQ7" s="104">
        <f t="shared" si="9"/>
        <v>859.97639542840761</v>
      </c>
      <c r="CR7" s="104">
        <f t="shared" si="9"/>
        <v>495.75921192518524</v>
      </c>
      <c r="CS7" s="104">
        <f t="shared" si="9"/>
        <v>628.20692799759854</v>
      </c>
      <c r="CT7" s="104">
        <f t="shared" si="9"/>
        <v>702.37537829574649</v>
      </c>
      <c r="CU7" s="228">
        <f t="shared" si="9"/>
        <v>584.29443714250328</v>
      </c>
      <c r="CV7" s="104">
        <f t="shared" si="9"/>
        <v>601.39666675638728</v>
      </c>
      <c r="CW7" s="104">
        <f t="shared" si="9"/>
        <v>674.12875461320687</v>
      </c>
      <c r="CX7" s="104">
        <f t="shared" si="9"/>
        <v>716.65603289714136</v>
      </c>
      <c r="CY7" s="104">
        <f t="shared" si="9"/>
        <v>896.02366169968332</v>
      </c>
      <c r="CZ7" s="104">
        <f t="shared" si="9"/>
        <v>927.1234620554593</v>
      </c>
      <c r="DA7" s="104">
        <f t="shared" si="9"/>
        <v>779.19733163066189</v>
      </c>
      <c r="DB7" s="104">
        <f t="shared" si="9"/>
        <v>801.53487713021536</v>
      </c>
      <c r="DC7" s="104">
        <f t="shared" si="9"/>
        <v>899.70356586939386</v>
      </c>
      <c r="DD7" s="104">
        <f t="shared" si="9"/>
        <v>569.03649818097631</v>
      </c>
      <c r="DE7" s="104">
        <f t="shared" si="9"/>
        <v>684.35292218738402</v>
      </c>
      <c r="DF7" s="104">
        <f t="shared" si="9"/>
        <v>729.11353190132309</v>
      </c>
      <c r="DG7" s="104">
        <f t="shared" si="9"/>
        <v>662.50000026773057</v>
      </c>
    </row>
    <row r="8" spans="1:114" s="104" customFormat="1" hidden="1" x14ac:dyDescent="0.25">
      <c r="B8" s="1" t="s">
        <v>77</v>
      </c>
      <c r="C8" s="563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666"/>
      <c r="O8" s="666"/>
      <c r="P8" s="666"/>
      <c r="Q8" s="666"/>
      <c r="R8" s="666"/>
      <c r="S8" s="666"/>
      <c r="T8" s="666"/>
      <c r="U8" s="666"/>
      <c r="V8" s="666"/>
      <c r="W8" s="666"/>
      <c r="X8" s="666"/>
      <c r="Y8" s="666"/>
      <c r="Z8" s="666"/>
      <c r="AA8" s="666"/>
      <c r="AB8" s="666"/>
      <c r="AC8" s="666">
        <v>-65</v>
      </c>
      <c r="AD8" s="666">
        <v>-285.75</v>
      </c>
      <c r="AE8" s="666">
        <v>-80</v>
      </c>
      <c r="AF8" s="666">
        <v>-30</v>
      </c>
      <c r="AG8" s="666">
        <v>-180</v>
      </c>
      <c r="AH8" s="666">
        <v>-30</v>
      </c>
      <c r="AI8" s="666">
        <v>-260</v>
      </c>
      <c r="AJ8" s="666">
        <v>-282.25</v>
      </c>
      <c r="AK8" s="666">
        <v>-135</v>
      </c>
      <c r="AL8" s="666">
        <v>0</v>
      </c>
      <c r="AM8" s="666">
        <v>-330</v>
      </c>
      <c r="AN8" s="666">
        <v>-30</v>
      </c>
      <c r="AO8" s="666">
        <v>0</v>
      </c>
      <c r="AP8" s="666">
        <v>0</v>
      </c>
      <c r="AQ8" s="666">
        <v>0</v>
      </c>
      <c r="AR8" s="666">
        <v>-30</v>
      </c>
      <c r="AS8" s="666">
        <v>-15</v>
      </c>
      <c r="AT8" s="666">
        <v>-15</v>
      </c>
      <c r="AU8" s="666">
        <v>0</v>
      </c>
      <c r="AV8" s="666">
        <v>-90</v>
      </c>
      <c r="AW8" s="667">
        <v>0</v>
      </c>
      <c r="AX8" s="607">
        <v>0</v>
      </c>
      <c r="AY8" s="667">
        <f t="shared" ref="AY8:CD8" si="10">+AY6*AY11</f>
        <v>-16.541908260873299</v>
      </c>
      <c r="AZ8" s="577">
        <f t="shared" si="10"/>
        <v>-18.589671451416805</v>
      </c>
      <c r="BA8" s="104">
        <f t="shared" si="10"/>
        <v>-23.533240819042106</v>
      </c>
      <c r="BB8" s="104">
        <f t="shared" si="10"/>
        <v>-26.95798892513255</v>
      </c>
      <c r="BC8" s="104">
        <f t="shared" si="10"/>
        <v>-33.007772860759438</v>
      </c>
      <c r="BD8" s="104">
        <f t="shared" si="10"/>
        <v>-31.661474802146952</v>
      </c>
      <c r="BE8" s="104">
        <f t="shared" si="10"/>
        <v>-32.5247346049157</v>
      </c>
      <c r="BF8" s="104">
        <f t="shared" si="10"/>
        <v>-31.08555050023536</v>
      </c>
      <c r="BG8" s="104">
        <f t="shared" si="10"/>
        <v>-33.535027329150196</v>
      </c>
      <c r="BH8" s="104">
        <f t="shared" si="10"/>
        <v>-23.939891948129986</v>
      </c>
      <c r="BI8" s="104">
        <f t="shared" si="10"/>
        <v>-25.840629836589141</v>
      </c>
      <c r="BJ8" s="104">
        <f t="shared" si="10"/>
        <v>-28.58728125804609</v>
      </c>
      <c r="BK8" s="228">
        <f t="shared" si="10"/>
        <v>-27.838821219518483</v>
      </c>
      <c r="BL8" s="104">
        <f t="shared" si="10"/>
        <v>-23.807454233803114</v>
      </c>
      <c r="BM8" s="104">
        <f t="shared" si="10"/>
        <v>-29.024330343485264</v>
      </c>
      <c r="BN8" s="104">
        <f t="shared" si="10"/>
        <v>-33.509176674953366</v>
      </c>
      <c r="BO8" s="104">
        <f t="shared" si="10"/>
        <v>-37.845118883456948</v>
      </c>
      <c r="BP8" s="104">
        <f t="shared" si="10"/>
        <v>-35.571666940212104</v>
      </c>
      <c r="BQ8" s="104">
        <f t="shared" si="10"/>
        <v>-36.354259808397707</v>
      </c>
      <c r="BR8" s="104">
        <f t="shared" si="10"/>
        <v>-32.974677262438234</v>
      </c>
      <c r="BS8" s="104">
        <f t="shared" si="10"/>
        <v>-38.584554432734883</v>
      </c>
      <c r="BT8" s="104">
        <f t="shared" si="10"/>
        <v>-25.876206738052268</v>
      </c>
      <c r="BU8" s="104">
        <f t="shared" si="10"/>
        <v>-26.96371574106854</v>
      </c>
      <c r="BV8" s="104">
        <f t="shared" si="10"/>
        <v>-32.687299227950071</v>
      </c>
      <c r="BW8" s="228">
        <f t="shared" si="10"/>
        <v>-29.717941651835975</v>
      </c>
      <c r="BX8" s="104">
        <f t="shared" si="10"/>
        <v>-25.360114292529403</v>
      </c>
      <c r="BY8" s="104">
        <f t="shared" si="10"/>
        <v>-32.864170803792305</v>
      </c>
      <c r="BZ8" s="104">
        <f t="shared" si="10"/>
        <v>-36.098522145290673</v>
      </c>
      <c r="CA8" s="104">
        <f t="shared" si="10"/>
        <v>-37.265672087155217</v>
      </c>
      <c r="CB8" s="104">
        <f t="shared" si="10"/>
        <v>-42.436666214187625</v>
      </c>
      <c r="CC8" s="104">
        <f t="shared" si="10"/>
        <v>-39.328699247266613</v>
      </c>
      <c r="CD8" s="104">
        <f t="shared" si="10"/>
        <v>-33.75280310886329</v>
      </c>
      <c r="CE8" s="104">
        <f t="shared" ref="CE8:DG8" si="11">+CE6*CE11</f>
        <v>-43.286203810290175</v>
      </c>
      <c r="CF8" s="104">
        <f t="shared" si="11"/>
        <v>-26.30551653166086</v>
      </c>
      <c r="CG8" s="104">
        <f t="shared" si="11"/>
        <v>-30.050351621954022</v>
      </c>
      <c r="CH8" s="104">
        <f t="shared" si="11"/>
        <v>-35.190567080217129</v>
      </c>
      <c r="CI8" s="228">
        <f t="shared" si="11"/>
        <v>-28.957518198307177</v>
      </c>
      <c r="CJ8" s="104">
        <f t="shared" si="11"/>
        <v>-29.997392334591925</v>
      </c>
      <c r="CK8" s="104">
        <f t="shared" si="11"/>
        <v>-33.729017403892101</v>
      </c>
      <c r="CL8" s="104">
        <f t="shared" si="11"/>
        <v>-37.173332298323267</v>
      </c>
      <c r="CM8" s="104">
        <f t="shared" si="11"/>
        <v>-42.343119909030129</v>
      </c>
      <c r="CN8" s="104">
        <f t="shared" si="11"/>
        <v>-46.164211219487875</v>
      </c>
      <c r="CO8" s="104">
        <f t="shared" si="11"/>
        <v>-40.577438026842259</v>
      </c>
      <c r="CP8" s="104">
        <f t="shared" si="11"/>
        <v>-38.28833602661679</v>
      </c>
      <c r="CQ8" s="104">
        <f t="shared" si="11"/>
        <v>-46.916659613733863</v>
      </c>
      <c r="CR8" s="104">
        <f t="shared" si="11"/>
        <v>-27.046516997341456</v>
      </c>
      <c r="CS8" s="104">
        <f t="shared" si="11"/>
        <v>-34.272301849831855</v>
      </c>
      <c r="CT8" s="104">
        <f t="shared" si="11"/>
        <v>-38.318617487347545</v>
      </c>
      <c r="CU8" s="228">
        <f t="shared" si="11"/>
        <v>-31.876622855394597</v>
      </c>
      <c r="CV8" s="104">
        <f t="shared" si="11"/>
        <v>-32.809647865959917</v>
      </c>
      <c r="CW8" s="104">
        <f t="shared" si="11"/>
        <v>-36.777601669243886</v>
      </c>
      <c r="CX8" s="104">
        <f t="shared" si="11"/>
        <v>-39.097709349120308</v>
      </c>
      <c r="CY8" s="104">
        <f t="shared" si="11"/>
        <v>-48.883245360325859</v>
      </c>
      <c r="CZ8" s="104">
        <f t="shared" si="11"/>
        <v>-50.579918379612806</v>
      </c>
      <c r="DA8" s="104">
        <f t="shared" si="11"/>
        <v>-42.50969698050141</v>
      </c>
      <c r="DB8" s="104">
        <f t="shared" si="11"/>
        <v>-43.728338590178112</v>
      </c>
      <c r="DC8" s="104">
        <f t="shared" si="11"/>
        <v>-49.084005302411782</v>
      </c>
      <c r="DD8" s="104">
        <f t="shared" si="11"/>
        <v>-31.044214509688231</v>
      </c>
      <c r="DE8" s="104">
        <f t="shared" si="11"/>
        <v>-37.335388827660587</v>
      </c>
      <c r="DF8" s="104">
        <f t="shared" si="11"/>
        <v>-39.777337584877252</v>
      </c>
      <c r="DG8" s="104">
        <f t="shared" si="11"/>
        <v>-36.143186222193563</v>
      </c>
    </row>
    <row r="9" spans="1:114" s="3" customFormat="1" x14ac:dyDescent="0.25">
      <c r="B9" s="4" t="s">
        <v>78</v>
      </c>
      <c r="C9" s="564" t="s">
        <v>79</v>
      </c>
      <c r="D9" s="669">
        <f>+(D6)</f>
        <v>0</v>
      </c>
      <c r="E9" s="669">
        <f>+(E6)</f>
        <v>0</v>
      </c>
      <c r="F9" s="669">
        <v>0</v>
      </c>
      <c r="G9" s="669">
        <v>0</v>
      </c>
      <c r="H9" s="669">
        <v>0</v>
      </c>
      <c r="I9" s="669">
        <v>0</v>
      </c>
      <c r="J9" s="669">
        <v>0</v>
      </c>
      <c r="K9" s="669">
        <f t="shared" ref="K9:AA9" si="12">SUM(K6:K6)</f>
        <v>0</v>
      </c>
      <c r="L9" s="669">
        <f t="shared" si="12"/>
        <v>0</v>
      </c>
      <c r="M9" s="669">
        <f t="shared" si="12"/>
        <v>0</v>
      </c>
      <c r="N9" s="669">
        <f t="shared" si="12"/>
        <v>0</v>
      </c>
      <c r="O9" s="669">
        <f t="shared" si="12"/>
        <v>0</v>
      </c>
      <c r="P9" s="669">
        <f t="shared" si="12"/>
        <v>0</v>
      </c>
      <c r="Q9" s="669">
        <f t="shared" si="12"/>
        <v>0</v>
      </c>
      <c r="R9" s="669">
        <f t="shared" si="12"/>
        <v>0</v>
      </c>
      <c r="S9" s="669">
        <f t="shared" si="12"/>
        <v>0</v>
      </c>
      <c r="T9" s="669">
        <f t="shared" si="12"/>
        <v>0</v>
      </c>
      <c r="U9" s="669">
        <f t="shared" si="12"/>
        <v>0</v>
      </c>
      <c r="V9" s="669">
        <f t="shared" si="12"/>
        <v>0</v>
      </c>
      <c r="W9" s="669">
        <f t="shared" si="12"/>
        <v>0</v>
      </c>
      <c r="X9" s="669">
        <f t="shared" si="12"/>
        <v>0</v>
      </c>
      <c r="Y9" s="669">
        <f t="shared" si="12"/>
        <v>0</v>
      </c>
      <c r="Z9" s="669">
        <f t="shared" si="12"/>
        <v>0</v>
      </c>
      <c r="AA9" s="669">
        <f t="shared" si="12"/>
        <v>0</v>
      </c>
      <c r="AB9" s="669">
        <f t="shared" ref="AB9:BG9" si="13">SUM(AB6:AB8)</f>
        <v>5728.5</v>
      </c>
      <c r="AC9" s="669">
        <f t="shared" si="13"/>
        <v>6746.25</v>
      </c>
      <c r="AD9" s="669">
        <f t="shared" si="13"/>
        <v>7639.25</v>
      </c>
      <c r="AE9" s="669">
        <f t="shared" si="13"/>
        <v>7817</v>
      </c>
      <c r="AF9" s="669">
        <f t="shared" si="13"/>
        <v>8048</v>
      </c>
      <c r="AG9" s="669">
        <f t="shared" si="13"/>
        <v>7154</v>
      </c>
      <c r="AH9" s="669">
        <f t="shared" si="13"/>
        <v>6015.5</v>
      </c>
      <c r="AI9" s="669">
        <f t="shared" si="13"/>
        <v>7295</v>
      </c>
      <c r="AJ9" s="669">
        <f t="shared" si="13"/>
        <v>4538</v>
      </c>
      <c r="AK9" s="669">
        <f t="shared" si="13"/>
        <v>7697</v>
      </c>
      <c r="AL9" s="46">
        <f t="shared" si="13"/>
        <v>4938.75</v>
      </c>
      <c r="AM9" s="46">
        <f t="shared" si="13"/>
        <v>6152</v>
      </c>
      <c r="AN9" s="46">
        <f t="shared" si="13"/>
        <v>6721.05</v>
      </c>
      <c r="AO9" s="46">
        <f t="shared" si="13"/>
        <v>6501.14</v>
      </c>
      <c r="AP9" s="46">
        <f t="shared" si="13"/>
        <v>7108.5</v>
      </c>
      <c r="AQ9" s="46">
        <f t="shared" si="13"/>
        <v>7861.75</v>
      </c>
      <c r="AR9" s="46">
        <f t="shared" si="13"/>
        <v>7877.62</v>
      </c>
      <c r="AS9" s="46">
        <f t="shared" si="13"/>
        <v>6887.45</v>
      </c>
      <c r="AT9" s="46">
        <f t="shared" si="13"/>
        <v>7418.55</v>
      </c>
      <c r="AU9" s="46">
        <f t="shared" si="13"/>
        <v>7653.35</v>
      </c>
      <c r="AV9" s="46">
        <f t="shared" si="13"/>
        <v>6170.45</v>
      </c>
      <c r="AW9" s="46">
        <f t="shared" si="13"/>
        <v>6998.25</v>
      </c>
      <c r="AX9" s="233">
        <f t="shared" si="13"/>
        <v>5263</v>
      </c>
      <c r="AY9" s="498">
        <f t="shared" si="13"/>
        <v>5570.0825118078774</v>
      </c>
      <c r="AZ9" s="578">
        <f t="shared" si="13"/>
        <v>6259.6166185197062</v>
      </c>
      <c r="BA9" s="57">
        <f t="shared" si="13"/>
        <v>7924.2425399226267</v>
      </c>
      <c r="BB9" s="57">
        <f t="shared" si="13"/>
        <v>9077.4425959404962</v>
      </c>
      <c r="BC9" s="57">
        <f t="shared" si="13"/>
        <v>11114.559183012692</v>
      </c>
      <c r="BD9" s="57">
        <f t="shared" si="13"/>
        <v>10661.226281288424</v>
      </c>
      <c r="BE9" s="57">
        <f t="shared" si="13"/>
        <v>10951.907879488454</v>
      </c>
      <c r="BF9" s="57">
        <f t="shared" si="13"/>
        <v>10467.297876438624</v>
      </c>
      <c r="BG9" s="57">
        <f t="shared" si="13"/>
        <v>11292.099213300642</v>
      </c>
      <c r="BH9" s="57">
        <f t="shared" ref="BH9:CM9" si="14">SUM(BH6:BH8)</f>
        <v>8061.1723491573302</v>
      </c>
      <c r="BI9" s="57">
        <f t="shared" si="14"/>
        <v>8701.1992858970953</v>
      </c>
      <c r="BJ9" s="57">
        <f t="shared" si="14"/>
        <v>9626.0668892845861</v>
      </c>
      <c r="BK9" s="243">
        <f t="shared" si="14"/>
        <v>9374.0413003596004</v>
      </c>
      <c r="BL9" s="57">
        <f t="shared" si="14"/>
        <v>8016.5771921269425</v>
      </c>
      <c r="BM9" s="57">
        <f t="shared" si="14"/>
        <v>9773.2324659045735</v>
      </c>
      <c r="BN9" s="57">
        <f t="shared" si="14"/>
        <v>11283.394638556918</v>
      </c>
      <c r="BO9" s="57">
        <f t="shared" si="14"/>
        <v>12743.416994316278</v>
      </c>
      <c r="BP9" s="57">
        <f t="shared" si="14"/>
        <v>11977.887727027546</v>
      </c>
      <c r="BQ9" s="57">
        <f t="shared" si="14"/>
        <v>12241.406710460482</v>
      </c>
      <c r="BR9" s="57">
        <f t="shared" si="14"/>
        <v>11103.415050756632</v>
      </c>
      <c r="BS9" s="57">
        <f t="shared" si="14"/>
        <v>12992.40380748729</v>
      </c>
      <c r="BT9" s="57">
        <f t="shared" si="14"/>
        <v>8713.1789362215277</v>
      </c>
      <c r="BU9" s="57">
        <f t="shared" si="14"/>
        <v>9079.3709609628586</v>
      </c>
      <c r="BV9" s="57">
        <f t="shared" si="14"/>
        <v>11006.64753524777</v>
      </c>
      <c r="BW9" s="243">
        <f t="shared" si="14"/>
        <v>10006.789088133872</v>
      </c>
      <c r="BX9" s="57">
        <f t="shared" si="14"/>
        <v>8539.3974437873949</v>
      </c>
      <c r="BY9" s="57">
        <f t="shared" si="14"/>
        <v>11066.204707001951</v>
      </c>
      <c r="BZ9" s="57">
        <f t="shared" si="14"/>
        <v>12155.293315172681</v>
      </c>
      <c r="CA9" s="57">
        <f t="shared" si="14"/>
        <v>12548.302475743016</v>
      </c>
      <c r="CB9" s="57">
        <f t="shared" si="14"/>
        <v>14289.508115467912</v>
      </c>
      <c r="CC9" s="57">
        <f t="shared" si="14"/>
        <v>13242.976350407251</v>
      </c>
      <c r="CD9" s="57">
        <f t="shared" si="14"/>
        <v>11365.429874004665</v>
      </c>
      <c r="CE9" s="57">
        <f t="shared" si="14"/>
        <v>14575.569096616424</v>
      </c>
      <c r="CF9" s="57">
        <f t="shared" si="14"/>
        <v>8857.7384958452021</v>
      </c>
      <c r="CG9" s="57">
        <f t="shared" si="14"/>
        <v>10118.720005178346</v>
      </c>
      <c r="CH9" s="57">
        <f t="shared" si="14"/>
        <v>11849.561681934465</v>
      </c>
      <c r="CI9" s="243">
        <f t="shared" si="14"/>
        <v>9750.7351121794854</v>
      </c>
      <c r="CJ9" s="57">
        <f t="shared" si="14"/>
        <v>10100.887262079948</v>
      </c>
      <c r="CK9" s="57">
        <f t="shared" si="14"/>
        <v>11357.420620344108</v>
      </c>
      <c r="CL9" s="57">
        <f t="shared" si="14"/>
        <v>12517.209313164338</v>
      </c>
      <c r="CM9" s="57">
        <f t="shared" si="14"/>
        <v>14258.008688063004</v>
      </c>
      <c r="CN9" s="57">
        <f t="shared" ref="CN9:DS9" si="15">SUM(CN6:CN8)</f>
        <v>15544.667612096846</v>
      </c>
      <c r="CO9" s="57">
        <f t="shared" si="15"/>
        <v>13663.458554046516</v>
      </c>
      <c r="CP9" s="57">
        <f t="shared" si="15"/>
        <v>12892.659513324043</v>
      </c>
      <c r="CQ9" s="57">
        <f t="shared" si="15"/>
        <v>15798.036182139091</v>
      </c>
      <c r="CR9" s="57">
        <f t="shared" si="15"/>
        <v>9107.2522562915492</v>
      </c>
      <c r="CS9" s="57">
        <f t="shared" si="15"/>
        <v>11540.358353013318</v>
      </c>
      <c r="CT9" s="57">
        <f t="shared" si="15"/>
        <v>12902.856053661975</v>
      </c>
      <c r="CU9" s="243">
        <f t="shared" si="15"/>
        <v>10733.672119455645</v>
      </c>
      <c r="CV9" s="57">
        <f t="shared" si="15"/>
        <v>11047.845442899943</v>
      </c>
      <c r="CW9" s="57">
        <f t="shared" si="15"/>
        <v>12383.956714875208</v>
      </c>
      <c r="CX9" s="57">
        <f t="shared" si="15"/>
        <v>13165.196158921584</v>
      </c>
      <c r="CY9" s="57">
        <f t="shared" si="15"/>
        <v>16460.235772555901</v>
      </c>
      <c r="CZ9" s="57">
        <f t="shared" si="15"/>
        <v>17031.548861949588</v>
      </c>
      <c r="DA9" s="57">
        <f t="shared" si="15"/>
        <v>14314.099437572539</v>
      </c>
      <c r="DB9" s="57">
        <f t="shared" si="15"/>
        <v>14724.447156298387</v>
      </c>
      <c r="DC9" s="57">
        <f t="shared" si="15"/>
        <v>16527.836766640081</v>
      </c>
      <c r="DD9" s="57">
        <f t="shared" si="15"/>
        <v>10453.378993899574</v>
      </c>
      <c r="DE9" s="57">
        <f t="shared" si="15"/>
        <v>12571.777880813886</v>
      </c>
      <c r="DF9" s="57">
        <f t="shared" si="15"/>
        <v>13394.044323886606</v>
      </c>
      <c r="DG9" s="57">
        <f t="shared" si="15"/>
        <v>12170.332849290475</v>
      </c>
      <c r="DH9" s="10"/>
    </row>
    <row r="10" spans="1:114" s="444" customFormat="1" x14ac:dyDescent="0.25">
      <c r="A10" s="442"/>
      <c r="B10" s="443"/>
      <c r="C10" s="565" t="s">
        <v>80</v>
      </c>
      <c r="W10" s="445"/>
      <c r="X10" s="445"/>
      <c r="Y10" s="445"/>
      <c r="Z10" s="445"/>
      <c r="AA10" s="445"/>
      <c r="AB10" s="445">
        <f t="shared" ref="AB10:AX10" si="16">+AB7/AB9</f>
        <v>3.6396962555642835E-2</v>
      </c>
      <c r="AC10" s="445">
        <f t="shared" si="16"/>
        <v>4.1926996479525663E-2</v>
      </c>
      <c r="AD10" s="445">
        <f t="shared" si="16"/>
        <v>3.8158196157999806E-2</v>
      </c>
      <c r="AE10" s="445">
        <f t="shared" si="16"/>
        <v>3.6650889087885379E-2</v>
      </c>
      <c r="AF10" s="445">
        <f t="shared" si="16"/>
        <v>3.8624502982107359E-2</v>
      </c>
      <c r="AG10" s="445">
        <f t="shared" si="16"/>
        <v>5.0020967291026001E-2</v>
      </c>
      <c r="AH10" s="445">
        <f t="shared" si="16"/>
        <v>5.8099908569528715E-2</v>
      </c>
      <c r="AI10" s="445">
        <f t="shared" si="16"/>
        <v>5.2398903358464699E-2</v>
      </c>
      <c r="AJ10" s="445">
        <f t="shared" si="16"/>
        <v>7.8669017188188625E-2</v>
      </c>
      <c r="AK10" s="445">
        <f t="shared" si="16"/>
        <v>5.0344289983110302E-2</v>
      </c>
      <c r="AL10" s="445">
        <f t="shared" si="16"/>
        <v>4.4900025310048088E-2</v>
      </c>
      <c r="AM10" s="445">
        <f t="shared" si="16"/>
        <v>4.2327698309492845E-2</v>
      </c>
      <c r="AN10" s="445">
        <f t="shared" si="16"/>
        <v>4.081207549415642E-2</v>
      </c>
      <c r="AO10" s="445">
        <f t="shared" si="16"/>
        <v>5.3182980215777539E-2</v>
      </c>
      <c r="AP10" s="445">
        <f t="shared" si="16"/>
        <v>6.4465077020468456E-2</v>
      </c>
      <c r="AQ10" s="445">
        <f t="shared" si="16"/>
        <v>5.1165452984386427E-2</v>
      </c>
      <c r="AR10" s="445">
        <f t="shared" si="16"/>
        <v>5.2131227451946149E-2</v>
      </c>
      <c r="AS10" s="445">
        <f t="shared" si="16"/>
        <v>5.5463197554973177E-2</v>
      </c>
      <c r="AT10" s="445">
        <f t="shared" si="16"/>
        <v>5.1593640266628923E-2</v>
      </c>
      <c r="AU10" s="445">
        <f t="shared" si="16"/>
        <v>5.6903186186441232E-2</v>
      </c>
      <c r="AV10" s="445">
        <f t="shared" si="16"/>
        <v>6.2718278245508838E-2</v>
      </c>
      <c r="AW10" s="445">
        <f t="shared" si="16"/>
        <v>5.5335262387025325E-2</v>
      </c>
      <c r="AX10" s="446">
        <f t="shared" si="16"/>
        <v>6.2321869656089685E-2</v>
      </c>
      <c r="AY10" s="496">
        <f>+AVERAGE(AS10:AX10)</f>
        <v>5.738923904944452E-2</v>
      </c>
      <c r="AZ10" s="579">
        <f t="shared" ref="AZ10:CE10" si="17">+AY10</f>
        <v>5.738923904944452E-2</v>
      </c>
      <c r="BA10" s="445">
        <f t="shared" si="17"/>
        <v>5.738923904944452E-2</v>
      </c>
      <c r="BB10" s="445">
        <f t="shared" si="17"/>
        <v>5.738923904944452E-2</v>
      </c>
      <c r="BC10" s="445">
        <f t="shared" si="17"/>
        <v>5.738923904944452E-2</v>
      </c>
      <c r="BD10" s="445">
        <f t="shared" si="17"/>
        <v>5.738923904944452E-2</v>
      </c>
      <c r="BE10" s="445">
        <f t="shared" si="17"/>
        <v>5.738923904944452E-2</v>
      </c>
      <c r="BF10" s="445">
        <f t="shared" si="17"/>
        <v>5.738923904944452E-2</v>
      </c>
      <c r="BG10" s="445">
        <f t="shared" si="17"/>
        <v>5.738923904944452E-2</v>
      </c>
      <c r="BH10" s="445">
        <f t="shared" si="17"/>
        <v>5.738923904944452E-2</v>
      </c>
      <c r="BI10" s="445">
        <f t="shared" si="17"/>
        <v>5.738923904944452E-2</v>
      </c>
      <c r="BJ10" s="445">
        <f t="shared" si="17"/>
        <v>5.738923904944452E-2</v>
      </c>
      <c r="BK10" s="446">
        <f t="shared" si="17"/>
        <v>5.738923904944452E-2</v>
      </c>
      <c r="BL10" s="445">
        <f t="shared" si="17"/>
        <v>5.738923904944452E-2</v>
      </c>
      <c r="BM10" s="445">
        <f t="shared" si="17"/>
        <v>5.738923904944452E-2</v>
      </c>
      <c r="BN10" s="445">
        <f t="shared" si="17"/>
        <v>5.738923904944452E-2</v>
      </c>
      <c r="BO10" s="445">
        <f t="shared" si="17"/>
        <v>5.738923904944452E-2</v>
      </c>
      <c r="BP10" s="445">
        <f t="shared" si="17"/>
        <v>5.738923904944452E-2</v>
      </c>
      <c r="BQ10" s="445">
        <f t="shared" si="17"/>
        <v>5.738923904944452E-2</v>
      </c>
      <c r="BR10" s="445">
        <f t="shared" si="17"/>
        <v>5.738923904944452E-2</v>
      </c>
      <c r="BS10" s="445">
        <f t="shared" si="17"/>
        <v>5.738923904944452E-2</v>
      </c>
      <c r="BT10" s="445">
        <f t="shared" si="17"/>
        <v>5.738923904944452E-2</v>
      </c>
      <c r="BU10" s="445">
        <f t="shared" si="17"/>
        <v>5.738923904944452E-2</v>
      </c>
      <c r="BV10" s="445">
        <f t="shared" si="17"/>
        <v>5.738923904944452E-2</v>
      </c>
      <c r="BW10" s="446">
        <f t="shared" si="17"/>
        <v>5.738923904944452E-2</v>
      </c>
      <c r="BX10" s="445">
        <f t="shared" si="17"/>
        <v>5.738923904944452E-2</v>
      </c>
      <c r="BY10" s="445">
        <f t="shared" si="17"/>
        <v>5.738923904944452E-2</v>
      </c>
      <c r="BZ10" s="445">
        <f t="shared" si="17"/>
        <v>5.738923904944452E-2</v>
      </c>
      <c r="CA10" s="445">
        <f t="shared" si="17"/>
        <v>5.738923904944452E-2</v>
      </c>
      <c r="CB10" s="445">
        <f t="shared" si="17"/>
        <v>5.738923904944452E-2</v>
      </c>
      <c r="CC10" s="445">
        <f t="shared" si="17"/>
        <v>5.738923904944452E-2</v>
      </c>
      <c r="CD10" s="445">
        <f t="shared" si="17"/>
        <v>5.738923904944452E-2</v>
      </c>
      <c r="CE10" s="445">
        <f t="shared" si="17"/>
        <v>5.738923904944452E-2</v>
      </c>
      <c r="CF10" s="445">
        <f t="shared" ref="CF10:DG10" si="18">+CE10</f>
        <v>5.738923904944452E-2</v>
      </c>
      <c r="CG10" s="445">
        <f t="shared" si="18"/>
        <v>5.738923904944452E-2</v>
      </c>
      <c r="CH10" s="445">
        <f t="shared" si="18"/>
        <v>5.738923904944452E-2</v>
      </c>
      <c r="CI10" s="446">
        <f t="shared" si="18"/>
        <v>5.738923904944452E-2</v>
      </c>
      <c r="CJ10" s="445">
        <f t="shared" si="18"/>
        <v>5.738923904944452E-2</v>
      </c>
      <c r="CK10" s="445">
        <f t="shared" si="18"/>
        <v>5.738923904944452E-2</v>
      </c>
      <c r="CL10" s="445">
        <f t="shared" si="18"/>
        <v>5.738923904944452E-2</v>
      </c>
      <c r="CM10" s="445">
        <f t="shared" si="18"/>
        <v>5.738923904944452E-2</v>
      </c>
      <c r="CN10" s="445">
        <f t="shared" si="18"/>
        <v>5.738923904944452E-2</v>
      </c>
      <c r="CO10" s="445">
        <f t="shared" si="18"/>
        <v>5.738923904944452E-2</v>
      </c>
      <c r="CP10" s="445">
        <f t="shared" si="18"/>
        <v>5.738923904944452E-2</v>
      </c>
      <c r="CQ10" s="445">
        <f t="shared" si="18"/>
        <v>5.738923904944452E-2</v>
      </c>
      <c r="CR10" s="445">
        <f t="shared" si="18"/>
        <v>5.738923904944452E-2</v>
      </c>
      <c r="CS10" s="445">
        <f t="shared" si="18"/>
        <v>5.738923904944452E-2</v>
      </c>
      <c r="CT10" s="445">
        <f t="shared" si="18"/>
        <v>5.738923904944452E-2</v>
      </c>
      <c r="CU10" s="446">
        <f t="shared" si="18"/>
        <v>5.738923904944452E-2</v>
      </c>
      <c r="CV10" s="445">
        <f t="shared" si="18"/>
        <v>5.738923904944452E-2</v>
      </c>
      <c r="CW10" s="445">
        <f t="shared" si="18"/>
        <v>5.738923904944452E-2</v>
      </c>
      <c r="CX10" s="445">
        <f t="shared" si="18"/>
        <v>5.738923904944452E-2</v>
      </c>
      <c r="CY10" s="445">
        <f t="shared" si="18"/>
        <v>5.738923904944452E-2</v>
      </c>
      <c r="CZ10" s="445">
        <f t="shared" si="18"/>
        <v>5.738923904944452E-2</v>
      </c>
      <c r="DA10" s="445">
        <f t="shared" si="18"/>
        <v>5.738923904944452E-2</v>
      </c>
      <c r="DB10" s="445">
        <f t="shared" si="18"/>
        <v>5.738923904944452E-2</v>
      </c>
      <c r="DC10" s="445">
        <f t="shared" si="18"/>
        <v>5.738923904944452E-2</v>
      </c>
      <c r="DD10" s="445">
        <f t="shared" si="18"/>
        <v>5.738923904944452E-2</v>
      </c>
      <c r="DE10" s="445">
        <f t="shared" si="18"/>
        <v>5.738923904944452E-2</v>
      </c>
      <c r="DF10" s="445">
        <f t="shared" si="18"/>
        <v>5.738923904944452E-2</v>
      </c>
      <c r="DG10" s="445">
        <f t="shared" si="18"/>
        <v>5.738923904944452E-2</v>
      </c>
    </row>
    <row r="11" spans="1:114" s="444" customFormat="1" x14ac:dyDescent="0.25">
      <c r="A11" s="442"/>
      <c r="B11" s="443"/>
      <c r="C11" s="565" t="s">
        <v>81</v>
      </c>
      <c r="W11" s="445"/>
      <c r="X11" s="445"/>
      <c r="Y11" s="445"/>
      <c r="Z11" s="445"/>
      <c r="AA11" s="445"/>
      <c r="AB11" s="445">
        <f t="shared" ref="AB11:AX11" si="19">+AB8/AB9</f>
        <v>0</v>
      </c>
      <c r="AC11" s="445">
        <f t="shared" si="19"/>
        <v>-9.6349823976283125E-3</v>
      </c>
      <c r="AD11" s="445">
        <f t="shared" si="19"/>
        <v>-3.7405504467061555E-2</v>
      </c>
      <c r="AE11" s="445">
        <f t="shared" si="19"/>
        <v>-1.0234105155430473E-2</v>
      </c>
      <c r="AF11" s="445">
        <f t="shared" si="19"/>
        <v>-3.7276341948310138E-3</v>
      </c>
      <c r="AG11" s="445">
        <f t="shared" si="19"/>
        <v>-2.516074923119933E-2</v>
      </c>
      <c r="AH11" s="445">
        <f t="shared" si="19"/>
        <v>-4.9871166154101905E-3</v>
      </c>
      <c r="AI11" s="445">
        <f t="shared" si="19"/>
        <v>-3.5640849897189859E-2</v>
      </c>
      <c r="AJ11" s="445">
        <f t="shared" si="19"/>
        <v>-6.2197003085059495E-2</v>
      </c>
      <c r="AK11" s="445">
        <f t="shared" si="19"/>
        <v>-1.753930102637391E-2</v>
      </c>
      <c r="AL11" s="445">
        <f t="shared" si="19"/>
        <v>0</v>
      </c>
      <c r="AM11" s="445">
        <f t="shared" si="19"/>
        <v>-5.3641092327698307E-2</v>
      </c>
      <c r="AN11" s="445">
        <f t="shared" si="19"/>
        <v>-4.4635882786171806E-3</v>
      </c>
      <c r="AO11" s="445">
        <f t="shared" si="19"/>
        <v>0</v>
      </c>
      <c r="AP11" s="445">
        <f t="shared" si="19"/>
        <v>0</v>
      </c>
      <c r="AQ11" s="445">
        <f t="shared" si="19"/>
        <v>0</v>
      </c>
      <c r="AR11" s="445">
        <f t="shared" si="19"/>
        <v>-3.8082568085284641E-3</v>
      </c>
      <c r="AS11" s="445">
        <f t="shared" si="19"/>
        <v>-2.1778742495408314E-3</v>
      </c>
      <c r="AT11" s="445">
        <f t="shared" si="19"/>
        <v>-2.0219584689730474E-3</v>
      </c>
      <c r="AU11" s="445">
        <f t="shared" si="19"/>
        <v>0</v>
      </c>
      <c r="AV11" s="445">
        <f t="shared" si="19"/>
        <v>-1.4585646103606707E-2</v>
      </c>
      <c r="AW11" s="445">
        <f t="shared" si="19"/>
        <v>0</v>
      </c>
      <c r="AX11" s="446">
        <f t="shared" si="19"/>
        <v>0</v>
      </c>
      <c r="AY11" s="496">
        <f>+AVERAGE(AS11:AX11)</f>
        <v>-3.1309131370200979E-3</v>
      </c>
      <c r="AZ11" s="579">
        <f t="shared" ref="AZ11:CE11" si="20">+AY11</f>
        <v>-3.1309131370200979E-3</v>
      </c>
      <c r="BA11" s="445">
        <f t="shared" si="20"/>
        <v>-3.1309131370200979E-3</v>
      </c>
      <c r="BB11" s="445">
        <f t="shared" si="20"/>
        <v>-3.1309131370200979E-3</v>
      </c>
      <c r="BC11" s="445">
        <f t="shared" si="20"/>
        <v>-3.1309131370200979E-3</v>
      </c>
      <c r="BD11" s="445">
        <f t="shared" si="20"/>
        <v>-3.1309131370200979E-3</v>
      </c>
      <c r="BE11" s="445">
        <f t="shared" si="20"/>
        <v>-3.1309131370200979E-3</v>
      </c>
      <c r="BF11" s="445">
        <f t="shared" si="20"/>
        <v>-3.1309131370200979E-3</v>
      </c>
      <c r="BG11" s="445">
        <f t="shared" si="20"/>
        <v>-3.1309131370200979E-3</v>
      </c>
      <c r="BH11" s="445">
        <f t="shared" si="20"/>
        <v>-3.1309131370200979E-3</v>
      </c>
      <c r="BI11" s="445">
        <f t="shared" si="20"/>
        <v>-3.1309131370200979E-3</v>
      </c>
      <c r="BJ11" s="445">
        <f t="shared" si="20"/>
        <v>-3.1309131370200979E-3</v>
      </c>
      <c r="BK11" s="446">
        <f t="shared" si="20"/>
        <v>-3.1309131370200979E-3</v>
      </c>
      <c r="BL11" s="445">
        <f t="shared" si="20"/>
        <v>-3.1309131370200979E-3</v>
      </c>
      <c r="BM11" s="445">
        <f t="shared" si="20"/>
        <v>-3.1309131370200979E-3</v>
      </c>
      <c r="BN11" s="445">
        <f t="shared" si="20"/>
        <v>-3.1309131370200979E-3</v>
      </c>
      <c r="BO11" s="445">
        <f t="shared" si="20"/>
        <v>-3.1309131370200979E-3</v>
      </c>
      <c r="BP11" s="445">
        <f t="shared" si="20"/>
        <v>-3.1309131370200979E-3</v>
      </c>
      <c r="BQ11" s="445">
        <f t="shared" si="20"/>
        <v>-3.1309131370200979E-3</v>
      </c>
      <c r="BR11" s="445">
        <f t="shared" si="20"/>
        <v>-3.1309131370200979E-3</v>
      </c>
      <c r="BS11" s="445">
        <f t="shared" si="20"/>
        <v>-3.1309131370200979E-3</v>
      </c>
      <c r="BT11" s="445">
        <f t="shared" si="20"/>
        <v>-3.1309131370200979E-3</v>
      </c>
      <c r="BU11" s="445">
        <f t="shared" si="20"/>
        <v>-3.1309131370200979E-3</v>
      </c>
      <c r="BV11" s="445">
        <f t="shared" si="20"/>
        <v>-3.1309131370200979E-3</v>
      </c>
      <c r="BW11" s="446">
        <f t="shared" si="20"/>
        <v>-3.1309131370200979E-3</v>
      </c>
      <c r="BX11" s="445">
        <f t="shared" si="20"/>
        <v>-3.1309131370200979E-3</v>
      </c>
      <c r="BY11" s="445">
        <f t="shared" si="20"/>
        <v>-3.1309131370200979E-3</v>
      </c>
      <c r="BZ11" s="445">
        <f t="shared" si="20"/>
        <v>-3.1309131370200979E-3</v>
      </c>
      <c r="CA11" s="445">
        <f t="shared" si="20"/>
        <v>-3.1309131370200979E-3</v>
      </c>
      <c r="CB11" s="445">
        <f t="shared" si="20"/>
        <v>-3.1309131370200979E-3</v>
      </c>
      <c r="CC11" s="445">
        <f t="shared" si="20"/>
        <v>-3.1309131370200979E-3</v>
      </c>
      <c r="CD11" s="445">
        <f t="shared" si="20"/>
        <v>-3.1309131370200979E-3</v>
      </c>
      <c r="CE11" s="445">
        <f t="shared" si="20"/>
        <v>-3.1309131370200979E-3</v>
      </c>
      <c r="CF11" s="445">
        <f t="shared" ref="CF11:DG11" si="21">+CE11</f>
        <v>-3.1309131370200979E-3</v>
      </c>
      <c r="CG11" s="445">
        <f t="shared" si="21"/>
        <v>-3.1309131370200979E-3</v>
      </c>
      <c r="CH11" s="445">
        <f t="shared" si="21"/>
        <v>-3.1309131370200979E-3</v>
      </c>
      <c r="CI11" s="446">
        <f t="shared" si="21"/>
        <v>-3.1309131370200979E-3</v>
      </c>
      <c r="CJ11" s="445">
        <f t="shared" si="21"/>
        <v>-3.1309131370200979E-3</v>
      </c>
      <c r="CK11" s="445">
        <f t="shared" si="21"/>
        <v>-3.1309131370200979E-3</v>
      </c>
      <c r="CL11" s="445">
        <f t="shared" si="21"/>
        <v>-3.1309131370200979E-3</v>
      </c>
      <c r="CM11" s="445">
        <f t="shared" si="21"/>
        <v>-3.1309131370200979E-3</v>
      </c>
      <c r="CN11" s="445">
        <f t="shared" si="21"/>
        <v>-3.1309131370200979E-3</v>
      </c>
      <c r="CO11" s="445">
        <f t="shared" si="21"/>
        <v>-3.1309131370200979E-3</v>
      </c>
      <c r="CP11" s="445">
        <f t="shared" si="21"/>
        <v>-3.1309131370200979E-3</v>
      </c>
      <c r="CQ11" s="445">
        <f t="shared" si="21"/>
        <v>-3.1309131370200979E-3</v>
      </c>
      <c r="CR11" s="445">
        <f t="shared" si="21"/>
        <v>-3.1309131370200979E-3</v>
      </c>
      <c r="CS11" s="445">
        <f t="shared" si="21"/>
        <v>-3.1309131370200979E-3</v>
      </c>
      <c r="CT11" s="445">
        <f t="shared" si="21"/>
        <v>-3.1309131370200979E-3</v>
      </c>
      <c r="CU11" s="446">
        <f t="shared" si="21"/>
        <v>-3.1309131370200979E-3</v>
      </c>
      <c r="CV11" s="445">
        <f t="shared" si="21"/>
        <v>-3.1309131370200979E-3</v>
      </c>
      <c r="CW11" s="445">
        <f t="shared" si="21"/>
        <v>-3.1309131370200979E-3</v>
      </c>
      <c r="CX11" s="445">
        <f t="shared" si="21"/>
        <v>-3.1309131370200979E-3</v>
      </c>
      <c r="CY11" s="445">
        <f t="shared" si="21"/>
        <v>-3.1309131370200979E-3</v>
      </c>
      <c r="CZ11" s="445">
        <f t="shared" si="21"/>
        <v>-3.1309131370200979E-3</v>
      </c>
      <c r="DA11" s="445">
        <f t="shared" si="21"/>
        <v>-3.1309131370200979E-3</v>
      </c>
      <c r="DB11" s="445">
        <f t="shared" si="21"/>
        <v>-3.1309131370200979E-3</v>
      </c>
      <c r="DC11" s="445">
        <f t="shared" si="21"/>
        <v>-3.1309131370200979E-3</v>
      </c>
      <c r="DD11" s="445">
        <f t="shared" si="21"/>
        <v>-3.1309131370200979E-3</v>
      </c>
      <c r="DE11" s="445">
        <f t="shared" si="21"/>
        <v>-3.1309131370200979E-3</v>
      </c>
      <c r="DF11" s="445">
        <f t="shared" si="21"/>
        <v>-3.1309131370200979E-3</v>
      </c>
      <c r="DG11" s="445">
        <f t="shared" si="21"/>
        <v>-3.1309131370200979E-3</v>
      </c>
    </row>
    <row r="12" spans="1:114" s="104" customFormat="1" hidden="1" x14ac:dyDescent="0.25">
      <c r="B12" s="105" t="s">
        <v>82</v>
      </c>
      <c r="C12" s="566"/>
      <c r="D12" s="666">
        <f>0</f>
        <v>0</v>
      </c>
      <c r="E12" s="666">
        <f>0</f>
        <v>0</v>
      </c>
      <c r="F12" s="666">
        <f>0</f>
        <v>0</v>
      </c>
      <c r="G12" s="666">
        <f>0</f>
        <v>0</v>
      </c>
      <c r="H12" s="666">
        <f>0</f>
        <v>0</v>
      </c>
      <c r="I12" s="666">
        <f>0</f>
        <v>0</v>
      </c>
      <c r="J12" s="666">
        <f>0</f>
        <v>0</v>
      </c>
      <c r="K12" s="666">
        <v>0</v>
      </c>
      <c r="L12" s="666">
        <v>0</v>
      </c>
      <c r="M12" s="666"/>
      <c r="N12" s="666">
        <v>0</v>
      </c>
      <c r="O12" s="666">
        <v>0</v>
      </c>
      <c r="P12" s="666"/>
      <c r="Q12" s="666"/>
      <c r="R12" s="666"/>
      <c r="S12" s="666"/>
      <c r="T12" s="666"/>
      <c r="U12" s="666"/>
      <c r="V12" s="666"/>
      <c r="W12" s="666"/>
      <c r="X12" s="666"/>
      <c r="Y12" s="666"/>
      <c r="Z12" s="666"/>
      <c r="AA12" s="666"/>
      <c r="AB12" s="666"/>
      <c r="AC12" s="666"/>
      <c r="AD12" s="666"/>
      <c r="AE12" s="666"/>
      <c r="AF12" s="666"/>
      <c r="AG12" s="666"/>
      <c r="AH12" s="666"/>
      <c r="AI12" s="666"/>
      <c r="AJ12" s="666"/>
      <c r="AK12" s="666"/>
      <c r="AL12" s="666"/>
      <c r="AM12" s="666"/>
      <c r="AN12" s="666"/>
      <c r="AO12" s="666"/>
      <c r="AP12" s="666"/>
      <c r="AQ12" s="666"/>
      <c r="AR12" s="666"/>
      <c r="AS12" s="666"/>
      <c r="AT12" s="666"/>
      <c r="AU12" s="666"/>
      <c r="AV12" s="666"/>
      <c r="AW12" s="670"/>
      <c r="AX12" s="607"/>
      <c r="AY12" s="667">
        <f t="shared" ref="AY12:CD12" si="22">AX12</f>
        <v>0</v>
      </c>
      <c r="AZ12" s="577">
        <f t="shared" si="22"/>
        <v>0</v>
      </c>
      <c r="BA12" s="104">
        <f t="shared" si="22"/>
        <v>0</v>
      </c>
      <c r="BB12" s="104">
        <f t="shared" si="22"/>
        <v>0</v>
      </c>
      <c r="BC12" s="104">
        <f t="shared" si="22"/>
        <v>0</v>
      </c>
      <c r="BD12" s="104">
        <f t="shared" si="22"/>
        <v>0</v>
      </c>
      <c r="BE12" s="104">
        <f t="shared" si="22"/>
        <v>0</v>
      </c>
      <c r="BF12" s="104">
        <f t="shared" si="22"/>
        <v>0</v>
      </c>
      <c r="BG12" s="104">
        <f t="shared" si="22"/>
        <v>0</v>
      </c>
      <c r="BH12" s="104">
        <f t="shared" si="22"/>
        <v>0</v>
      </c>
      <c r="BI12" s="104">
        <f t="shared" si="22"/>
        <v>0</v>
      </c>
      <c r="BJ12" s="104">
        <f t="shared" si="22"/>
        <v>0</v>
      </c>
      <c r="BK12" s="228">
        <f t="shared" si="22"/>
        <v>0</v>
      </c>
      <c r="BL12" s="104">
        <f t="shared" si="22"/>
        <v>0</v>
      </c>
      <c r="BM12" s="104">
        <f t="shared" si="22"/>
        <v>0</v>
      </c>
      <c r="BN12" s="104">
        <f t="shared" si="22"/>
        <v>0</v>
      </c>
      <c r="BO12" s="104">
        <f t="shared" si="22"/>
        <v>0</v>
      </c>
      <c r="BP12" s="104">
        <f t="shared" si="22"/>
        <v>0</v>
      </c>
      <c r="BQ12" s="104">
        <f t="shared" si="22"/>
        <v>0</v>
      </c>
      <c r="BR12" s="104">
        <f t="shared" si="22"/>
        <v>0</v>
      </c>
      <c r="BS12" s="104">
        <f t="shared" si="22"/>
        <v>0</v>
      </c>
      <c r="BT12" s="104">
        <f t="shared" si="22"/>
        <v>0</v>
      </c>
      <c r="BU12" s="104">
        <f t="shared" si="22"/>
        <v>0</v>
      </c>
      <c r="BV12" s="104">
        <f t="shared" si="22"/>
        <v>0</v>
      </c>
      <c r="BW12" s="228">
        <f t="shared" si="22"/>
        <v>0</v>
      </c>
      <c r="BX12" s="104">
        <f t="shared" si="22"/>
        <v>0</v>
      </c>
      <c r="BY12" s="104">
        <f t="shared" si="22"/>
        <v>0</v>
      </c>
      <c r="BZ12" s="104">
        <f t="shared" si="22"/>
        <v>0</v>
      </c>
      <c r="CA12" s="104">
        <f t="shared" si="22"/>
        <v>0</v>
      </c>
      <c r="CB12" s="104">
        <f t="shared" si="22"/>
        <v>0</v>
      </c>
      <c r="CC12" s="104">
        <f t="shared" si="22"/>
        <v>0</v>
      </c>
      <c r="CD12" s="104">
        <f t="shared" si="22"/>
        <v>0</v>
      </c>
      <c r="CE12" s="104">
        <f t="shared" ref="CE12:DG12" si="23">CD12</f>
        <v>0</v>
      </c>
      <c r="CF12" s="104">
        <f t="shared" si="23"/>
        <v>0</v>
      </c>
      <c r="CG12" s="104">
        <f t="shared" si="23"/>
        <v>0</v>
      </c>
      <c r="CH12" s="104">
        <f t="shared" si="23"/>
        <v>0</v>
      </c>
      <c r="CI12" s="228">
        <f t="shared" si="23"/>
        <v>0</v>
      </c>
      <c r="CJ12" s="104">
        <f t="shared" si="23"/>
        <v>0</v>
      </c>
      <c r="CK12" s="104">
        <f t="shared" si="23"/>
        <v>0</v>
      </c>
      <c r="CL12" s="104">
        <f t="shared" si="23"/>
        <v>0</v>
      </c>
      <c r="CM12" s="104">
        <f t="shared" si="23"/>
        <v>0</v>
      </c>
      <c r="CN12" s="104">
        <f t="shared" si="23"/>
        <v>0</v>
      </c>
      <c r="CO12" s="104">
        <f t="shared" si="23"/>
        <v>0</v>
      </c>
      <c r="CP12" s="104">
        <f t="shared" si="23"/>
        <v>0</v>
      </c>
      <c r="CQ12" s="104">
        <f t="shared" si="23"/>
        <v>0</v>
      </c>
      <c r="CR12" s="104">
        <f t="shared" si="23"/>
        <v>0</v>
      </c>
      <c r="CS12" s="104">
        <f t="shared" si="23"/>
        <v>0</v>
      </c>
      <c r="CT12" s="104">
        <f t="shared" si="23"/>
        <v>0</v>
      </c>
      <c r="CU12" s="228">
        <f t="shared" si="23"/>
        <v>0</v>
      </c>
      <c r="CV12" s="104">
        <f t="shared" si="23"/>
        <v>0</v>
      </c>
      <c r="CW12" s="104">
        <f t="shared" si="23"/>
        <v>0</v>
      </c>
      <c r="CX12" s="104">
        <f t="shared" si="23"/>
        <v>0</v>
      </c>
      <c r="CY12" s="104">
        <f t="shared" si="23"/>
        <v>0</v>
      </c>
      <c r="CZ12" s="104">
        <f t="shared" si="23"/>
        <v>0</v>
      </c>
      <c r="DA12" s="104">
        <f t="shared" si="23"/>
        <v>0</v>
      </c>
      <c r="DB12" s="104">
        <f t="shared" si="23"/>
        <v>0</v>
      </c>
      <c r="DC12" s="104">
        <f t="shared" si="23"/>
        <v>0</v>
      </c>
      <c r="DD12" s="104">
        <f t="shared" si="23"/>
        <v>0</v>
      </c>
      <c r="DE12" s="104">
        <f t="shared" si="23"/>
        <v>0</v>
      </c>
      <c r="DF12" s="104">
        <f t="shared" si="23"/>
        <v>0</v>
      </c>
      <c r="DG12" s="104">
        <f t="shared" si="23"/>
        <v>0</v>
      </c>
    </row>
    <row r="13" spans="1:114" s="3" customFormat="1" hidden="1" x14ac:dyDescent="0.25">
      <c r="B13" s="4" t="s">
        <v>2</v>
      </c>
      <c r="C13" s="567"/>
      <c r="D13" s="669">
        <f t="shared" ref="D13:J13" si="24">(D9)+(D12)</f>
        <v>0</v>
      </c>
      <c r="E13" s="669">
        <f t="shared" si="24"/>
        <v>0</v>
      </c>
      <c r="F13" s="669">
        <f t="shared" si="24"/>
        <v>0</v>
      </c>
      <c r="G13" s="669">
        <f t="shared" si="24"/>
        <v>0</v>
      </c>
      <c r="H13" s="669">
        <f t="shared" si="24"/>
        <v>0</v>
      </c>
      <c r="I13" s="669">
        <f t="shared" si="24"/>
        <v>0</v>
      </c>
      <c r="J13" s="669">
        <f t="shared" si="24"/>
        <v>0</v>
      </c>
      <c r="K13" s="669">
        <f t="shared" ref="K13:AP13" si="25">K12+K9</f>
        <v>0</v>
      </c>
      <c r="L13" s="669">
        <f t="shared" si="25"/>
        <v>0</v>
      </c>
      <c r="M13" s="669">
        <f t="shared" si="25"/>
        <v>0</v>
      </c>
      <c r="N13" s="669">
        <f t="shared" si="25"/>
        <v>0</v>
      </c>
      <c r="O13" s="669">
        <f t="shared" si="25"/>
        <v>0</v>
      </c>
      <c r="P13" s="669">
        <f t="shared" si="25"/>
        <v>0</v>
      </c>
      <c r="Q13" s="669">
        <f t="shared" si="25"/>
        <v>0</v>
      </c>
      <c r="R13" s="669">
        <f t="shared" si="25"/>
        <v>0</v>
      </c>
      <c r="S13" s="669">
        <f t="shared" si="25"/>
        <v>0</v>
      </c>
      <c r="T13" s="669">
        <f t="shared" si="25"/>
        <v>0</v>
      </c>
      <c r="U13" s="669">
        <f t="shared" si="25"/>
        <v>0</v>
      </c>
      <c r="V13" s="669">
        <f t="shared" si="25"/>
        <v>0</v>
      </c>
      <c r="W13" s="669">
        <f t="shared" si="25"/>
        <v>0</v>
      </c>
      <c r="X13" s="669">
        <f t="shared" si="25"/>
        <v>0</v>
      </c>
      <c r="Y13" s="669">
        <f t="shared" si="25"/>
        <v>0</v>
      </c>
      <c r="Z13" s="669">
        <f t="shared" si="25"/>
        <v>0</v>
      </c>
      <c r="AA13" s="669">
        <f t="shared" si="25"/>
        <v>0</v>
      </c>
      <c r="AB13" s="669">
        <f t="shared" si="25"/>
        <v>5728.5</v>
      </c>
      <c r="AC13" s="669">
        <f t="shared" si="25"/>
        <v>6746.25</v>
      </c>
      <c r="AD13" s="669">
        <f t="shared" si="25"/>
        <v>7639.25</v>
      </c>
      <c r="AE13" s="669">
        <f t="shared" si="25"/>
        <v>7817</v>
      </c>
      <c r="AF13" s="669">
        <f t="shared" si="25"/>
        <v>8048</v>
      </c>
      <c r="AG13" s="669">
        <f t="shared" si="25"/>
        <v>7154</v>
      </c>
      <c r="AH13" s="669">
        <f t="shared" si="25"/>
        <v>6015.5</v>
      </c>
      <c r="AI13" s="669">
        <f t="shared" si="25"/>
        <v>7295</v>
      </c>
      <c r="AJ13" s="669">
        <f t="shared" si="25"/>
        <v>4538</v>
      </c>
      <c r="AK13" s="669">
        <f t="shared" si="25"/>
        <v>7697</v>
      </c>
      <c r="AL13" s="669">
        <f t="shared" si="25"/>
        <v>4938.75</v>
      </c>
      <c r="AM13" s="669">
        <f t="shared" si="25"/>
        <v>6152</v>
      </c>
      <c r="AN13" s="669">
        <f t="shared" si="25"/>
        <v>6721.05</v>
      </c>
      <c r="AO13" s="669">
        <f t="shared" si="25"/>
        <v>6501.14</v>
      </c>
      <c r="AP13" s="669">
        <f t="shared" si="25"/>
        <v>7108.5</v>
      </c>
      <c r="AQ13" s="669">
        <f t="shared" ref="AQ13:BV13" si="26">AQ12+AQ9</f>
        <v>7861.75</v>
      </c>
      <c r="AR13" s="669">
        <f t="shared" si="26"/>
        <v>7877.62</v>
      </c>
      <c r="AS13" s="669">
        <f t="shared" si="26"/>
        <v>6887.45</v>
      </c>
      <c r="AT13" s="669">
        <f t="shared" si="26"/>
        <v>7418.55</v>
      </c>
      <c r="AU13" s="669">
        <f t="shared" si="26"/>
        <v>7653.35</v>
      </c>
      <c r="AV13" s="669">
        <f t="shared" si="26"/>
        <v>6170.45</v>
      </c>
      <c r="AW13" s="669">
        <f t="shared" si="26"/>
        <v>6998.25</v>
      </c>
      <c r="AX13" s="229">
        <f t="shared" si="26"/>
        <v>5263</v>
      </c>
      <c r="AY13" s="669">
        <f t="shared" si="26"/>
        <v>5570.0825118078774</v>
      </c>
      <c r="AZ13" s="580">
        <f t="shared" si="26"/>
        <v>6259.6166185197062</v>
      </c>
      <c r="BA13" s="47">
        <f t="shared" si="26"/>
        <v>7924.2425399226267</v>
      </c>
      <c r="BB13" s="47">
        <f t="shared" si="26"/>
        <v>9077.4425959404962</v>
      </c>
      <c r="BC13" s="47">
        <f t="shared" si="26"/>
        <v>11114.559183012692</v>
      </c>
      <c r="BD13" s="47">
        <f t="shared" si="26"/>
        <v>10661.226281288424</v>
      </c>
      <c r="BE13" s="47">
        <f t="shared" si="26"/>
        <v>10951.907879488454</v>
      </c>
      <c r="BF13" s="47">
        <f t="shared" si="26"/>
        <v>10467.297876438624</v>
      </c>
      <c r="BG13" s="47">
        <f t="shared" si="26"/>
        <v>11292.099213300642</v>
      </c>
      <c r="BH13" s="47">
        <f t="shared" si="26"/>
        <v>8061.1723491573302</v>
      </c>
      <c r="BI13" s="47">
        <f t="shared" si="26"/>
        <v>8701.1992858970953</v>
      </c>
      <c r="BJ13" s="47">
        <f t="shared" si="26"/>
        <v>9626.0668892845861</v>
      </c>
      <c r="BK13" s="229">
        <f t="shared" si="26"/>
        <v>9374.0413003596004</v>
      </c>
      <c r="BL13" s="47">
        <f t="shared" si="26"/>
        <v>8016.5771921269425</v>
      </c>
      <c r="BM13" s="47">
        <f t="shared" si="26"/>
        <v>9773.2324659045735</v>
      </c>
      <c r="BN13" s="47">
        <f t="shared" si="26"/>
        <v>11283.394638556918</v>
      </c>
      <c r="BO13" s="47">
        <f t="shared" si="26"/>
        <v>12743.416994316278</v>
      </c>
      <c r="BP13" s="47">
        <f t="shared" si="26"/>
        <v>11977.887727027546</v>
      </c>
      <c r="BQ13" s="47">
        <f t="shared" si="26"/>
        <v>12241.406710460482</v>
      </c>
      <c r="BR13" s="47">
        <f t="shared" si="26"/>
        <v>11103.415050756632</v>
      </c>
      <c r="BS13" s="47">
        <f t="shared" si="26"/>
        <v>12992.40380748729</v>
      </c>
      <c r="BT13" s="47">
        <f t="shared" si="26"/>
        <v>8713.1789362215277</v>
      </c>
      <c r="BU13" s="47">
        <f t="shared" si="26"/>
        <v>9079.3709609628586</v>
      </c>
      <c r="BV13" s="47">
        <f t="shared" si="26"/>
        <v>11006.64753524777</v>
      </c>
      <c r="BW13" s="229">
        <f t="shared" ref="BW13:DB13" si="27">BW12+BW9</f>
        <v>10006.789088133872</v>
      </c>
      <c r="BX13" s="47">
        <f t="shared" si="27"/>
        <v>8539.3974437873949</v>
      </c>
      <c r="BY13" s="47">
        <f t="shared" si="27"/>
        <v>11066.204707001951</v>
      </c>
      <c r="BZ13" s="47">
        <f t="shared" si="27"/>
        <v>12155.293315172681</v>
      </c>
      <c r="CA13" s="47">
        <f t="shared" si="27"/>
        <v>12548.302475743016</v>
      </c>
      <c r="CB13" s="47">
        <f t="shared" si="27"/>
        <v>14289.508115467912</v>
      </c>
      <c r="CC13" s="47">
        <f t="shared" si="27"/>
        <v>13242.976350407251</v>
      </c>
      <c r="CD13" s="47">
        <f t="shared" si="27"/>
        <v>11365.429874004665</v>
      </c>
      <c r="CE13" s="47">
        <f t="shared" si="27"/>
        <v>14575.569096616424</v>
      </c>
      <c r="CF13" s="47">
        <f t="shared" si="27"/>
        <v>8857.7384958452021</v>
      </c>
      <c r="CG13" s="47">
        <f t="shared" si="27"/>
        <v>10118.720005178346</v>
      </c>
      <c r="CH13" s="47">
        <f t="shared" si="27"/>
        <v>11849.561681934465</v>
      </c>
      <c r="CI13" s="229">
        <f t="shared" si="27"/>
        <v>9750.7351121794854</v>
      </c>
      <c r="CJ13" s="47">
        <f t="shared" si="27"/>
        <v>10100.887262079948</v>
      </c>
      <c r="CK13" s="47">
        <f t="shared" si="27"/>
        <v>11357.420620344108</v>
      </c>
      <c r="CL13" s="47">
        <f t="shared" si="27"/>
        <v>12517.209313164338</v>
      </c>
      <c r="CM13" s="47">
        <f t="shared" si="27"/>
        <v>14258.008688063004</v>
      </c>
      <c r="CN13" s="47">
        <f t="shared" si="27"/>
        <v>15544.667612096846</v>
      </c>
      <c r="CO13" s="47">
        <f t="shared" si="27"/>
        <v>13663.458554046516</v>
      </c>
      <c r="CP13" s="47">
        <f t="shared" si="27"/>
        <v>12892.659513324043</v>
      </c>
      <c r="CQ13" s="47">
        <f t="shared" si="27"/>
        <v>15798.036182139091</v>
      </c>
      <c r="CR13" s="47">
        <f t="shared" si="27"/>
        <v>9107.2522562915492</v>
      </c>
      <c r="CS13" s="47">
        <f t="shared" si="27"/>
        <v>11540.358353013318</v>
      </c>
      <c r="CT13" s="47">
        <f t="shared" si="27"/>
        <v>12902.856053661975</v>
      </c>
      <c r="CU13" s="229">
        <f t="shared" si="27"/>
        <v>10733.672119455645</v>
      </c>
      <c r="CV13" s="47">
        <f t="shared" si="27"/>
        <v>11047.845442899943</v>
      </c>
      <c r="CW13" s="47">
        <f t="shared" si="27"/>
        <v>12383.956714875208</v>
      </c>
      <c r="CX13" s="47">
        <f t="shared" si="27"/>
        <v>13165.196158921584</v>
      </c>
      <c r="CY13" s="47">
        <f t="shared" si="27"/>
        <v>16460.235772555901</v>
      </c>
      <c r="CZ13" s="47">
        <f t="shared" si="27"/>
        <v>17031.548861949588</v>
      </c>
      <c r="DA13" s="47">
        <f t="shared" si="27"/>
        <v>14314.099437572539</v>
      </c>
      <c r="DB13" s="47">
        <f t="shared" si="27"/>
        <v>14724.447156298387</v>
      </c>
      <c r="DC13" s="47">
        <f t="shared" ref="DC13:EH13" si="28">DC12+DC9</f>
        <v>16527.836766640081</v>
      </c>
      <c r="DD13" s="47">
        <f t="shared" si="28"/>
        <v>10453.378993899574</v>
      </c>
      <c r="DE13" s="47">
        <f t="shared" si="28"/>
        <v>12571.777880813886</v>
      </c>
      <c r="DF13" s="47">
        <f t="shared" si="28"/>
        <v>13394.044323886606</v>
      </c>
      <c r="DG13" s="47">
        <f t="shared" si="28"/>
        <v>12170.332849290475</v>
      </c>
    </row>
    <row r="14" spans="1:114" hidden="1" x14ac:dyDescent="0.25">
      <c r="B14" s="1"/>
      <c r="C14" s="563"/>
      <c r="D14" s="671"/>
      <c r="E14" s="671"/>
      <c r="F14" s="671"/>
      <c r="G14" s="671"/>
      <c r="H14" s="671"/>
      <c r="I14" s="671"/>
      <c r="J14" s="671"/>
      <c r="K14" s="671"/>
      <c r="L14" s="671"/>
      <c r="M14" s="671"/>
      <c r="N14" s="671"/>
      <c r="O14" s="671"/>
      <c r="P14" s="671"/>
      <c r="Q14" s="671"/>
      <c r="R14" s="671"/>
      <c r="S14" s="671"/>
      <c r="T14" s="671"/>
      <c r="U14" s="671"/>
      <c r="V14" s="671"/>
      <c r="W14" s="671"/>
      <c r="X14" s="671"/>
      <c r="Y14" s="671"/>
      <c r="Z14" s="671"/>
      <c r="AA14" s="671"/>
      <c r="AB14" s="671"/>
      <c r="AC14" s="671"/>
      <c r="AD14" s="671"/>
      <c r="AE14" s="671"/>
      <c r="AF14" s="671"/>
      <c r="AG14" s="671"/>
      <c r="AH14" s="671"/>
      <c r="AI14" s="671"/>
      <c r="AJ14" s="671"/>
      <c r="AK14" s="671"/>
      <c r="AL14" s="671"/>
      <c r="AM14" s="671"/>
      <c r="AN14" s="671"/>
      <c r="AO14" s="671"/>
      <c r="AP14" s="671"/>
      <c r="AQ14" s="671"/>
      <c r="AR14" s="671"/>
      <c r="AS14" s="671"/>
      <c r="AT14" s="671"/>
      <c r="AU14" s="671"/>
      <c r="AV14" s="671"/>
      <c r="AW14" s="671"/>
      <c r="AX14" s="230"/>
      <c r="AY14" s="671"/>
      <c r="AZ14" s="581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230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230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230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230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</row>
    <row r="15" spans="1:114" s="3" customFormat="1" x14ac:dyDescent="0.25">
      <c r="A15" s="134"/>
      <c r="B15" s="134"/>
      <c r="C15" s="568" t="s">
        <v>83</v>
      </c>
      <c r="D15" s="672"/>
      <c r="E15" s="673">
        <v>12</v>
      </c>
      <c r="F15" s="673">
        <v>8</v>
      </c>
      <c r="G15" s="673">
        <v>7</v>
      </c>
      <c r="H15" s="673">
        <v>10</v>
      </c>
      <c r="I15" s="673">
        <v>13</v>
      </c>
      <c r="J15" s="673">
        <v>11</v>
      </c>
      <c r="K15" s="673">
        <v>5</v>
      </c>
      <c r="L15" s="673">
        <v>9</v>
      </c>
      <c r="M15" s="673">
        <v>17</v>
      </c>
      <c r="N15" s="673">
        <v>11</v>
      </c>
      <c r="O15" s="673">
        <v>7</v>
      </c>
      <c r="P15" s="673">
        <v>12</v>
      </c>
      <c r="Q15" s="673">
        <v>10</v>
      </c>
      <c r="R15" s="673">
        <v>10</v>
      </c>
      <c r="S15" s="673">
        <v>7</v>
      </c>
      <c r="T15" s="673">
        <v>9</v>
      </c>
      <c r="U15" s="673">
        <v>12</v>
      </c>
      <c r="V15" s="673">
        <f>99-24</f>
        <v>75</v>
      </c>
      <c r="W15" s="673">
        <v>177</v>
      </c>
      <c r="X15" s="673">
        <v>191</v>
      </c>
      <c r="Y15" s="673">
        <v>190</v>
      </c>
      <c r="Z15" s="673">
        <v>188</v>
      </c>
      <c r="AA15" s="673">
        <v>207</v>
      </c>
      <c r="AB15" s="673">
        <v>67</v>
      </c>
      <c r="AC15" s="673">
        <v>74</v>
      </c>
      <c r="AD15" s="673">
        <v>77</v>
      </c>
      <c r="AE15" s="673">
        <v>78</v>
      </c>
      <c r="AF15" s="673">
        <v>82</v>
      </c>
      <c r="AG15" s="673">
        <v>75</v>
      </c>
      <c r="AH15" s="673">
        <v>66</v>
      </c>
      <c r="AI15" s="673">
        <v>74</v>
      </c>
      <c r="AJ15" s="673">
        <v>48</v>
      </c>
      <c r="AK15" s="673">
        <v>81</v>
      </c>
      <c r="AL15" s="673">
        <v>50</v>
      </c>
      <c r="AM15" s="673">
        <v>61</v>
      </c>
      <c r="AN15" s="673">
        <v>66</v>
      </c>
      <c r="AO15" s="673">
        <v>69</v>
      </c>
      <c r="AP15" s="673">
        <v>68</v>
      </c>
      <c r="AQ15" s="673">
        <v>82</v>
      </c>
      <c r="AR15" s="673">
        <v>83</v>
      </c>
      <c r="AS15" s="673">
        <v>72</v>
      </c>
      <c r="AT15" s="673">
        <v>76</v>
      </c>
      <c r="AU15" s="673">
        <v>73</v>
      </c>
      <c r="AV15" s="673">
        <v>62</v>
      </c>
      <c r="AW15" s="673">
        <v>72</v>
      </c>
      <c r="AX15" s="524">
        <v>57</v>
      </c>
      <c r="AY15" s="674">
        <f t="shared" ref="AY15:CD15" si="29">+AY16*AY26</f>
        <v>43.837905710301541</v>
      </c>
      <c r="AZ15" s="582">
        <f t="shared" si="29"/>
        <v>57.176234464734733</v>
      </c>
      <c r="BA15" s="135">
        <f t="shared" si="29"/>
        <v>69.737679915320399</v>
      </c>
      <c r="BB15" s="135">
        <f t="shared" si="29"/>
        <v>69.471574571691662</v>
      </c>
      <c r="BC15" s="135">
        <f t="shared" si="29"/>
        <v>97.861953445947563</v>
      </c>
      <c r="BD15" s="135">
        <f t="shared" si="29"/>
        <v>100.71945242086319</v>
      </c>
      <c r="BE15" s="135">
        <f t="shared" si="29"/>
        <v>102.22417677028334</v>
      </c>
      <c r="BF15" s="135">
        <f t="shared" si="29"/>
        <v>95.55615418383033</v>
      </c>
      <c r="BG15" s="135">
        <f t="shared" si="29"/>
        <v>100.18915843643046</v>
      </c>
      <c r="BH15" s="135">
        <f t="shared" si="29"/>
        <v>73.898684715966127</v>
      </c>
      <c r="BI15" s="135">
        <f t="shared" si="29"/>
        <v>85.774309244030846</v>
      </c>
      <c r="BJ15" s="135">
        <f t="shared" si="29"/>
        <v>80.398535542641142</v>
      </c>
      <c r="BK15" s="136">
        <f t="shared" si="29"/>
        <v>64.153032746782742</v>
      </c>
      <c r="BL15" s="135">
        <f t="shared" si="29"/>
        <v>73.058521816049932</v>
      </c>
      <c r="BM15" s="135">
        <f t="shared" si="29"/>
        <v>81.914100217995397</v>
      </c>
      <c r="BN15" s="135">
        <f t="shared" si="29"/>
        <v>78.666341794415558</v>
      </c>
      <c r="BO15" s="135">
        <f t="shared" si="29"/>
        <v>106.86075376281629</v>
      </c>
      <c r="BP15" s="135">
        <f t="shared" si="29"/>
        <v>107.76981409032362</v>
      </c>
      <c r="BQ15" s="135">
        <f t="shared" si="29"/>
        <v>108.81928494901129</v>
      </c>
      <c r="BR15" s="135">
        <f t="shared" si="29"/>
        <v>100.92447745258485</v>
      </c>
      <c r="BS15" s="135">
        <f t="shared" si="29"/>
        <v>104.79555652546173</v>
      </c>
      <c r="BT15" s="135">
        <f t="shared" si="29"/>
        <v>76.072175442906314</v>
      </c>
      <c r="BU15" s="135">
        <f t="shared" si="29"/>
        <v>89.299280856799228</v>
      </c>
      <c r="BV15" s="135">
        <f t="shared" si="29"/>
        <v>83.572161945640133</v>
      </c>
      <c r="BW15" s="136">
        <f t="shared" si="29"/>
        <v>65.222249959229117</v>
      </c>
      <c r="BX15" s="135">
        <f t="shared" si="29"/>
        <v>74.117340972804286</v>
      </c>
      <c r="BY15" s="135">
        <f t="shared" si="29"/>
        <v>84.127994818481753</v>
      </c>
      <c r="BZ15" s="135">
        <f t="shared" si="29"/>
        <v>80.709623399465315</v>
      </c>
      <c r="CA15" s="135">
        <f t="shared" si="29"/>
        <v>110.23530388164207</v>
      </c>
      <c r="CB15" s="135">
        <f t="shared" si="29"/>
        <v>111.79859218715815</v>
      </c>
      <c r="CC15" s="135">
        <f t="shared" si="29"/>
        <v>112.11683903837526</v>
      </c>
      <c r="CD15" s="135">
        <f t="shared" si="29"/>
        <v>103.07180676008666</v>
      </c>
      <c r="CE15" s="135">
        <f t="shared" ref="CE15:DJ15" si="30">+CE16*CE26</f>
        <v>107.09875556997738</v>
      </c>
      <c r="CF15" s="135">
        <f t="shared" si="30"/>
        <v>77.1589208063764</v>
      </c>
      <c r="CG15" s="135">
        <f t="shared" si="30"/>
        <v>90.474271394388694</v>
      </c>
      <c r="CH15" s="135">
        <f t="shared" si="30"/>
        <v>85.687912880972775</v>
      </c>
      <c r="CI15" s="136">
        <f t="shared" si="30"/>
        <v>66.291467171675492</v>
      </c>
      <c r="CJ15" s="135">
        <f t="shared" si="30"/>
        <v>76.234979286312978</v>
      </c>
      <c r="CK15" s="135">
        <f t="shared" si="30"/>
        <v>86.341889418968108</v>
      </c>
      <c r="CL15" s="135">
        <f t="shared" si="30"/>
        <v>82.752905004515057</v>
      </c>
      <c r="CM15" s="135">
        <f t="shared" si="30"/>
        <v>113.60985400046786</v>
      </c>
      <c r="CN15" s="135">
        <f t="shared" si="30"/>
        <v>115.82737028399266</v>
      </c>
      <c r="CO15" s="135">
        <f t="shared" si="30"/>
        <v>115.41439312773925</v>
      </c>
      <c r="CP15" s="135">
        <f t="shared" si="30"/>
        <v>106.29280072133938</v>
      </c>
      <c r="CQ15" s="135">
        <f t="shared" si="30"/>
        <v>110.55355413675085</v>
      </c>
      <c r="CR15" s="135">
        <f t="shared" si="30"/>
        <v>79.332411533316588</v>
      </c>
      <c r="CS15" s="135">
        <f t="shared" si="30"/>
        <v>93.999243007157077</v>
      </c>
      <c r="CT15" s="135">
        <f t="shared" si="30"/>
        <v>88.86153928397178</v>
      </c>
      <c r="CU15" s="136">
        <f t="shared" si="30"/>
        <v>69.499118809014632</v>
      </c>
      <c r="CV15" s="135">
        <f t="shared" si="30"/>
        <v>79.411436756576009</v>
      </c>
      <c r="CW15" s="135">
        <f t="shared" si="30"/>
        <v>89.662731319697656</v>
      </c>
      <c r="CX15" s="135">
        <f t="shared" si="30"/>
        <v>86.83946821461457</v>
      </c>
      <c r="CY15" s="135">
        <f t="shared" si="30"/>
        <v>119.23410419851081</v>
      </c>
      <c r="CZ15" s="135">
        <f t="shared" si="30"/>
        <v>120.86334290503584</v>
      </c>
      <c r="DA15" s="135">
        <f t="shared" si="30"/>
        <v>120.91031661001254</v>
      </c>
      <c r="DB15" s="135">
        <f t="shared" si="30"/>
        <v>110.58745933634297</v>
      </c>
      <c r="DC15" s="135">
        <f t="shared" si="30"/>
        <v>115.15995222578212</v>
      </c>
      <c r="DD15" s="135">
        <f t="shared" si="30"/>
        <v>82.592647623726862</v>
      </c>
      <c r="DE15" s="135">
        <f t="shared" si="30"/>
        <v>97.524214619925473</v>
      </c>
      <c r="DF15" s="135">
        <f t="shared" si="30"/>
        <v>92.035165686970771</v>
      </c>
      <c r="DG15" s="136">
        <f t="shared" si="30"/>
        <v>71.637553233907383</v>
      </c>
    </row>
    <row r="16" spans="1:114" x14ac:dyDescent="0.25">
      <c r="A16" s="28"/>
      <c r="B16" s="28"/>
      <c r="C16" s="569" t="s">
        <v>84</v>
      </c>
      <c r="D16" s="675"/>
      <c r="E16" s="676"/>
      <c r="F16" s="676"/>
      <c r="G16" s="676"/>
      <c r="H16" s="676"/>
      <c r="I16" s="676"/>
      <c r="J16" s="676"/>
      <c r="K16" s="676"/>
      <c r="L16" s="676"/>
      <c r="M16" s="676"/>
      <c r="N16" s="676"/>
      <c r="O16" s="676"/>
      <c r="P16" s="676"/>
      <c r="Q16" s="676"/>
      <c r="R16" s="676"/>
      <c r="S16" s="676"/>
      <c r="T16" s="676"/>
      <c r="U16" s="676"/>
      <c r="V16" s="676"/>
      <c r="W16" s="676">
        <v>123</v>
      </c>
      <c r="X16" s="676">
        <v>123</v>
      </c>
      <c r="Y16" s="676">
        <v>129</v>
      </c>
      <c r="Z16" s="676">
        <v>127</v>
      </c>
      <c r="AA16" s="676">
        <v>126</v>
      </c>
      <c r="AB16" s="676">
        <v>55</v>
      </c>
      <c r="AC16" s="676">
        <v>69</v>
      </c>
      <c r="AD16" s="676">
        <v>68</v>
      </c>
      <c r="AE16" s="676">
        <v>66</v>
      </c>
      <c r="AF16" s="676">
        <v>69</v>
      </c>
      <c r="AG16" s="676">
        <v>65</v>
      </c>
      <c r="AH16" s="676">
        <v>54</v>
      </c>
      <c r="AI16" s="676">
        <v>65</v>
      </c>
      <c r="AJ16" s="676">
        <v>42</v>
      </c>
      <c r="AK16" s="676">
        <v>66</v>
      </c>
      <c r="AL16" s="676">
        <v>46</v>
      </c>
      <c r="AM16" s="676">
        <v>54</v>
      </c>
      <c r="AN16" s="676">
        <v>59</v>
      </c>
      <c r="AO16" s="676">
        <v>59</v>
      </c>
      <c r="AP16" s="676">
        <v>63</v>
      </c>
      <c r="AQ16" s="676">
        <v>69</v>
      </c>
      <c r="AR16" s="676">
        <v>78</v>
      </c>
      <c r="AS16" s="676">
        <v>62</v>
      </c>
      <c r="AT16" s="676">
        <v>67</v>
      </c>
      <c r="AU16" s="676">
        <v>60</v>
      </c>
      <c r="AV16" s="676">
        <v>54</v>
      </c>
      <c r="AW16" s="676">
        <v>58</v>
      </c>
      <c r="AX16" s="525">
        <v>51</v>
      </c>
      <c r="AY16" s="674">
        <f t="shared" ref="AY16:CD16" si="31">+AY22*AY25</f>
        <v>38.807326366496447</v>
      </c>
      <c r="AZ16" s="582">
        <f t="shared" si="31"/>
        <v>51.112088385141661</v>
      </c>
      <c r="BA16" s="135">
        <f t="shared" si="31"/>
        <v>59.630769782665269</v>
      </c>
      <c r="BB16" s="135">
        <f t="shared" si="31"/>
        <v>64.363370559067278</v>
      </c>
      <c r="BC16" s="135">
        <f t="shared" si="31"/>
        <v>82.347253509394903</v>
      </c>
      <c r="BD16" s="135">
        <f t="shared" si="31"/>
        <v>94.65201552804011</v>
      </c>
      <c r="BE16" s="135">
        <f t="shared" si="31"/>
        <v>88.026374441077309</v>
      </c>
      <c r="BF16" s="135">
        <f t="shared" si="31"/>
        <v>84.240293819955696</v>
      </c>
      <c r="BG16" s="135">
        <f t="shared" si="31"/>
        <v>82.347253509394903</v>
      </c>
      <c r="BH16" s="135">
        <f t="shared" si="31"/>
        <v>64.363370559067278</v>
      </c>
      <c r="BI16" s="135">
        <f t="shared" si="31"/>
        <v>69.095971335469287</v>
      </c>
      <c r="BJ16" s="135">
        <f t="shared" si="31"/>
        <v>71.935531801310489</v>
      </c>
      <c r="BK16" s="136">
        <f t="shared" si="31"/>
        <v>56.791209316824066</v>
      </c>
      <c r="BL16" s="135">
        <f t="shared" si="31"/>
        <v>65.309890714347674</v>
      </c>
      <c r="BM16" s="135">
        <f t="shared" si="31"/>
        <v>70.042491490749683</v>
      </c>
      <c r="BN16" s="135">
        <f t="shared" si="31"/>
        <v>72.882051956590885</v>
      </c>
      <c r="BO16" s="135">
        <f t="shared" si="31"/>
        <v>89.919414751638101</v>
      </c>
      <c r="BP16" s="135">
        <f t="shared" si="31"/>
        <v>101.27765661500293</v>
      </c>
      <c r="BQ16" s="135">
        <f t="shared" si="31"/>
        <v>93.705495372759714</v>
      </c>
      <c r="BR16" s="135">
        <f t="shared" si="31"/>
        <v>88.972894596357705</v>
      </c>
      <c r="BS16" s="135">
        <f t="shared" si="31"/>
        <v>86.133334130516502</v>
      </c>
      <c r="BT16" s="135">
        <f t="shared" si="31"/>
        <v>66.256410869628084</v>
      </c>
      <c r="BU16" s="135">
        <f t="shared" si="31"/>
        <v>71.935531801310489</v>
      </c>
      <c r="BV16" s="135">
        <f t="shared" si="31"/>
        <v>74.775092267151692</v>
      </c>
      <c r="BW16" s="136">
        <f t="shared" si="31"/>
        <v>57.737729472104469</v>
      </c>
      <c r="BX16" s="135">
        <f t="shared" si="31"/>
        <v>66.256410869628084</v>
      </c>
      <c r="BY16" s="135">
        <f t="shared" si="31"/>
        <v>71.935531801310489</v>
      </c>
      <c r="BZ16" s="135">
        <f t="shared" si="31"/>
        <v>74.775092267151692</v>
      </c>
      <c r="CA16" s="135">
        <f t="shared" si="31"/>
        <v>92.758975217479303</v>
      </c>
      <c r="CB16" s="135">
        <f t="shared" si="31"/>
        <v>105.06373723612452</v>
      </c>
      <c r="CC16" s="135">
        <f t="shared" si="31"/>
        <v>96.545055838600916</v>
      </c>
      <c r="CD16" s="135">
        <f t="shared" si="31"/>
        <v>90.865934906918511</v>
      </c>
      <c r="CE16" s="135">
        <f t="shared" ref="CE16:DG16" si="32">+CE22*CE25</f>
        <v>88.026374441077309</v>
      </c>
      <c r="CF16" s="135">
        <f t="shared" si="32"/>
        <v>67.20293102490848</v>
      </c>
      <c r="CG16" s="135">
        <f t="shared" si="32"/>
        <v>72.882051956590885</v>
      </c>
      <c r="CH16" s="135">
        <f t="shared" si="32"/>
        <v>76.668132577712484</v>
      </c>
      <c r="CI16" s="136">
        <f t="shared" si="32"/>
        <v>58.684249627384872</v>
      </c>
      <c r="CJ16" s="135">
        <f t="shared" si="32"/>
        <v>68.149451180188876</v>
      </c>
      <c r="CK16" s="135">
        <f t="shared" si="32"/>
        <v>73.828572111871281</v>
      </c>
      <c r="CL16" s="135">
        <f t="shared" si="32"/>
        <v>76.668132577712484</v>
      </c>
      <c r="CM16" s="135">
        <f t="shared" si="32"/>
        <v>95.59853568332052</v>
      </c>
      <c r="CN16" s="135">
        <f t="shared" si="32"/>
        <v>108.84981785724612</v>
      </c>
      <c r="CO16" s="135">
        <f t="shared" si="32"/>
        <v>99.384616304442119</v>
      </c>
      <c r="CP16" s="135">
        <f t="shared" si="32"/>
        <v>93.705495372759714</v>
      </c>
      <c r="CQ16" s="135">
        <f t="shared" si="32"/>
        <v>90.865934906918511</v>
      </c>
      <c r="CR16" s="135">
        <f t="shared" si="32"/>
        <v>69.095971335469287</v>
      </c>
      <c r="CS16" s="135">
        <f t="shared" si="32"/>
        <v>75.721612422432088</v>
      </c>
      <c r="CT16" s="135">
        <f t="shared" si="32"/>
        <v>79.507693043553701</v>
      </c>
      <c r="CU16" s="136">
        <f t="shared" si="32"/>
        <v>61.523810093226075</v>
      </c>
      <c r="CV16" s="135">
        <f t="shared" si="32"/>
        <v>70.989011646030079</v>
      </c>
      <c r="CW16" s="135">
        <f t="shared" si="32"/>
        <v>76.668132577712484</v>
      </c>
      <c r="CX16" s="135">
        <f t="shared" si="32"/>
        <v>80.454213198834097</v>
      </c>
      <c r="CY16" s="135">
        <f t="shared" si="32"/>
        <v>100.33113645972252</v>
      </c>
      <c r="CZ16" s="135">
        <f t="shared" si="32"/>
        <v>113.58241863364813</v>
      </c>
      <c r="DA16" s="135">
        <f t="shared" si="32"/>
        <v>104.11721708084413</v>
      </c>
      <c r="DB16" s="135">
        <f t="shared" si="32"/>
        <v>97.491575993881312</v>
      </c>
      <c r="DC16" s="135">
        <f t="shared" si="32"/>
        <v>94.65201552804011</v>
      </c>
      <c r="DD16" s="135">
        <f t="shared" si="32"/>
        <v>71.935531801310489</v>
      </c>
      <c r="DE16" s="135">
        <f t="shared" si="32"/>
        <v>78.56117288827329</v>
      </c>
      <c r="DF16" s="135">
        <f t="shared" si="32"/>
        <v>82.347253509394903</v>
      </c>
      <c r="DG16" s="136">
        <f t="shared" si="32"/>
        <v>63.416850403786874</v>
      </c>
    </row>
    <row r="17" spans="1:111" x14ac:dyDescent="0.25">
      <c r="A17" s="28"/>
      <c r="B17" s="28"/>
      <c r="C17" s="569" t="s">
        <v>85</v>
      </c>
      <c r="D17" s="675"/>
      <c r="E17" s="676"/>
      <c r="F17" s="676"/>
      <c r="G17" s="676"/>
      <c r="H17" s="676"/>
      <c r="I17" s="676"/>
      <c r="J17" s="676"/>
      <c r="K17" s="676"/>
      <c r="L17" s="676"/>
      <c r="M17" s="676"/>
      <c r="N17" s="676"/>
      <c r="O17" s="676"/>
      <c r="P17" s="676"/>
      <c r="Q17" s="676"/>
      <c r="R17" s="676"/>
      <c r="S17" s="676"/>
      <c r="T17" s="676"/>
      <c r="U17" s="676"/>
      <c r="V17" s="676"/>
      <c r="W17" s="676"/>
      <c r="X17" s="676">
        <v>73</v>
      </c>
      <c r="Y17" s="676">
        <v>71</v>
      </c>
      <c r="Z17" s="676">
        <v>72</v>
      </c>
      <c r="AA17" s="676">
        <v>75</v>
      </c>
      <c r="AB17" s="676">
        <v>30</v>
      </c>
      <c r="AC17" s="676">
        <v>34</v>
      </c>
      <c r="AD17" s="676">
        <v>27</v>
      </c>
      <c r="AE17" s="676">
        <v>19</v>
      </c>
      <c r="AF17" s="676">
        <v>30</v>
      </c>
      <c r="AG17" s="676">
        <v>30</v>
      </c>
      <c r="AH17" s="676">
        <v>29</v>
      </c>
      <c r="AI17" s="676">
        <v>34</v>
      </c>
      <c r="AJ17" s="676">
        <v>37</v>
      </c>
      <c r="AK17" s="676">
        <v>29</v>
      </c>
      <c r="AL17" s="676">
        <v>28</v>
      </c>
      <c r="AM17" s="676">
        <v>25</v>
      </c>
      <c r="AN17" s="676">
        <v>35</v>
      </c>
      <c r="AO17" s="676">
        <v>32</v>
      </c>
      <c r="AP17" s="676">
        <v>31</v>
      </c>
      <c r="AQ17" s="676">
        <v>30</v>
      </c>
      <c r="AR17" s="676">
        <v>38</v>
      </c>
      <c r="AS17" s="676">
        <v>37</v>
      </c>
      <c r="AT17" s="676">
        <v>34</v>
      </c>
      <c r="AU17" s="676">
        <v>32</v>
      </c>
      <c r="AV17" s="676">
        <v>36</v>
      </c>
      <c r="AW17" s="676">
        <v>33</v>
      </c>
      <c r="AX17" s="525">
        <v>31</v>
      </c>
      <c r="AY17" s="674">
        <f t="shared" ref="AY17:CD17" si="33">+AX17*(1+AY24)</f>
        <v>23.588767007086076</v>
      </c>
      <c r="AZ17" s="582">
        <f t="shared" si="33"/>
        <v>31.068132155674345</v>
      </c>
      <c r="BA17" s="135">
        <f t="shared" si="33"/>
        <v>36.246154181620064</v>
      </c>
      <c r="BB17" s="135">
        <f t="shared" si="33"/>
        <v>39.122833084923251</v>
      </c>
      <c r="BC17" s="135">
        <f t="shared" si="33"/>
        <v>50.05421291747534</v>
      </c>
      <c r="BD17" s="135">
        <f t="shared" si="33"/>
        <v>57.533578066063605</v>
      </c>
      <c r="BE17" s="135">
        <f t="shared" si="33"/>
        <v>53.506227601439157</v>
      </c>
      <c r="BF17" s="135">
        <f t="shared" si="33"/>
        <v>51.204884478796608</v>
      </c>
      <c r="BG17" s="135">
        <f t="shared" si="33"/>
        <v>50.054212917475347</v>
      </c>
      <c r="BH17" s="135">
        <f t="shared" si="33"/>
        <v>39.122833084923258</v>
      </c>
      <c r="BI17" s="135">
        <f t="shared" si="33"/>
        <v>41.999511988226438</v>
      </c>
      <c r="BJ17" s="135">
        <f t="shared" si="33"/>
        <v>43.725519330208343</v>
      </c>
      <c r="BK17" s="136">
        <f t="shared" si="33"/>
        <v>34.520146839638159</v>
      </c>
      <c r="BL17" s="135">
        <f t="shared" si="33"/>
        <v>39.698168865583881</v>
      </c>
      <c r="BM17" s="135">
        <f t="shared" si="33"/>
        <v>42.574847768887068</v>
      </c>
      <c r="BN17" s="135">
        <f t="shared" si="33"/>
        <v>44.30085511086898</v>
      </c>
      <c r="BO17" s="135">
        <f t="shared" si="33"/>
        <v>54.656899162760425</v>
      </c>
      <c r="BP17" s="135">
        <f t="shared" si="33"/>
        <v>61.560928530688066</v>
      </c>
      <c r="BQ17" s="135">
        <f t="shared" si="33"/>
        <v>56.958242285402974</v>
      </c>
      <c r="BR17" s="135">
        <f t="shared" si="33"/>
        <v>54.081563382099795</v>
      </c>
      <c r="BS17" s="135">
        <f t="shared" si="33"/>
        <v>52.355556040117889</v>
      </c>
      <c r="BT17" s="135">
        <f t="shared" si="33"/>
        <v>40.273504646244533</v>
      </c>
      <c r="BU17" s="135">
        <f t="shared" si="33"/>
        <v>43.72551933020835</v>
      </c>
      <c r="BV17" s="135">
        <f t="shared" si="33"/>
        <v>45.451526672190262</v>
      </c>
      <c r="BW17" s="136">
        <f t="shared" si="33"/>
        <v>35.09548262029881</v>
      </c>
      <c r="BX17" s="135">
        <f t="shared" si="33"/>
        <v>40.27350464624454</v>
      </c>
      <c r="BY17" s="135">
        <f t="shared" si="33"/>
        <v>43.725519330208357</v>
      </c>
      <c r="BZ17" s="135">
        <f t="shared" si="33"/>
        <v>45.451526672190269</v>
      </c>
      <c r="CA17" s="135">
        <f t="shared" si="33"/>
        <v>56.382906504742358</v>
      </c>
      <c r="CB17" s="135">
        <f t="shared" si="33"/>
        <v>63.86227165333063</v>
      </c>
      <c r="CC17" s="135">
        <f t="shared" si="33"/>
        <v>58.684249627384908</v>
      </c>
      <c r="CD17" s="135">
        <f t="shared" si="33"/>
        <v>55.232234943421091</v>
      </c>
      <c r="CE17" s="135">
        <f t="shared" ref="CE17:DG17" si="34">+CD17*(1+CE24)</f>
        <v>53.506227601439178</v>
      </c>
      <c r="CF17" s="135">
        <f t="shared" si="34"/>
        <v>40.848840426905177</v>
      </c>
      <c r="CG17" s="135">
        <f t="shared" si="34"/>
        <v>44.300855110868987</v>
      </c>
      <c r="CH17" s="135">
        <f t="shared" si="34"/>
        <v>46.60219823351153</v>
      </c>
      <c r="CI17" s="136">
        <f t="shared" si="34"/>
        <v>35.670818400959448</v>
      </c>
      <c r="CJ17" s="135">
        <f t="shared" si="34"/>
        <v>41.424176207565807</v>
      </c>
      <c r="CK17" s="135">
        <f t="shared" si="34"/>
        <v>44.876190891529625</v>
      </c>
      <c r="CL17" s="135">
        <f t="shared" si="34"/>
        <v>46.602198233511537</v>
      </c>
      <c r="CM17" s="135">
        <f t="shared" si="34"/>
        <v>58.108913846724271</v>
      </c>
      <c r="CN17" s="135">
        <f t="shared" si="34"/>
        <v>66.163614775973173</v>
      </c>
      <c r="CO17" s="135">
        <f t="shared" si="34"/>
        <v>60.410256969366813</v>
      </c>
      <c r="CP17" s="135">
        <f t="shared" si="34"/>
        <v>56.958242285402996</v>
      </c>
      <c r="CQ17" s="135">
        <f t="shared" si="34"/>
        <v>55.232234943421091</v>
      </c>
      <c r="CR17" s="135">
        <f t="shared" si="34"/>
        <v>41.999511988226459</v>
      </c>
      <c r="CS17" s="135">
        <f t="shared" si="34"/>
        <v>46.026862452850914</v>
      </c>
      <c r="CT17" s="135">
        <f t="shared" si="34"/>
        <v>48.328205575493463</v>
      </c>
      <c r="CU17" s="136">
        <f t="shared" si="34"/>
        <v>37.396825742941367</v>
      </c>
      <c r="CV17" s="135">
        <f t="shared" si="34"/>
        <v>43.150183549547727</v>
      </c>
      <c r="CW17" s="135">
        <f t="shared" si="34"/>
        <v>46.602198233511551</v>
      </c>
      <c r="CX17" s="135">
        <f t="shared" si="34"/>
        <v>48.903541356154108</v>
      </c>
      <c r="CY17" s="135">
        <f t="shared" si="34"/>
        <v>60.985592750027479</v>
      </c>
      <c r="CZ17" s="135">
        <f t="shared" si="34"/>
        <v>69.040293679276388</v>
      </c>
      <c r="DA17" s="135">
        <f t="shared" si="34"/>
        <v>63.286935872670028</v>
      </c>
      <c r="DB17" s="135">
        <f t="shared" si="34"/>
        <v>59.259585408045567</v>
      </c>
      <c r="DC17" s="135">
        <f t="shared" si="34"/>
        <v>57.533578066063654</v>
      </c>
      <c r="DD17" s="135">
        <f t="shared" si="34"/>
        <v>43.725519330208378</v>
      </c>
      <c r="DE17" s="135">
        <f t="shared" si="34"/>
        <v>47.752869794832833</v>
      </c>
      <c r="DF17" s="135">
        <f t="shared" si="34"/>
        <v>50.05421291747539</v>
      </c>
      <c r="DG17" s="136">
        <f t="shared" si="34"/>
        <v>38.547497304262656</v>
      </c>
    </row>
    <row r="18" spans="1:111" x14ac:dyDescent="0.25">
      <c r="A18" s="28"/>
      <c r="B18" s="28"/>
      <c r="C18" s="570" t="s">
        <v>86</v>
      </c>
      <c r="D18" s="675"/>
      <c r="E18" s="677">
        <f t="shared" ref="E18:AJ18" si="35">SUM(E19:E20)</f>
        <v>0</v>
      </c>
      <c r="F18" s="677">
        <f t="shared" si="35"/>
        <v>-4</v>
      </c>
      <c r="G18" s="677">
        <f t="shared" si="35"/>
        <v>-1</v>
      </c>
      <c r="H18" s="677">
        <f t="shared" si="35"/>
        <v>3</v>
      </c>
      <c r="I18" s="677">
        <f t="shared" si="35"/>
        <v>3</v>
      </c>
      <c r="J18" s="677">
        <f t="shared" si="35"/>
        <v>-2</v>
      </c>
      <c r="K18" s="677">
        <f t="shared" si="35"/>
        <v>-6</v>
      </c>
      <c r="L18" s="677">
        <f t="shared" si="35"/>
        <v>4</v>
      </c>
      <c r="M18" s="677">
        <f t="shared" si="35"/>
        <v>8</v>
      </c>
      <c r="N18" s="677">
        <f t="shared" si="35"/>
        <v>-6</v>
      </c>
      <c r="O18" s="677">
        <f t="shared" si="35"/>
        <v>-4</v>
      </c>
      <c r="P18" s="677">
        <f t="shared" si="35"/>
        <v>5</v>
      </c>
      <c r="Q18" s="677">
        <f t="shared" si="35"/>
        <v>-2</v>
      </c>
      <c r="R18" s="677">
        <f t="shared" si="35"/>
        <v>0</v>
      </c>
      <c r="S18" s="677">
        <f t="shared" si="35"/>
        <v>-3</v>
      </c>
      <c r="T18" s="677">
        <f t="shared" si="35"/>
        <v>2</v>
      </c>
      <c r="U18" s="677">
        <f t="shared" si="35"/>
        <v>3</v>
      </c>
      <c r="V18" s="677">
        <f t="shared" si="35"/>
        <v>63</v>
      </c>
      <c r="W18" s="677">
        <f t="shared" si="35"/>
        <v>24</v>
      </c>
      <c r="X18" s="677">
        <f t="shared" si="35"/>
        <v>24</v>
      </c>
      <c r="Y18" s="677">
        <f t="shared" si="35"/>
        <v>3</v>
      </c>
      <c r="Z18" s="677">
        <f t="shared" si="35"/>
        <v>9</v>
      </c>
      <c r="AA18" s="677">
        <f t="shared" si="35"/>
        <v>2</v>
      </c>
      <c r="AB18" s="677">
        <f t="shared" si="35"/>
        <v>0</v>
      </c>
      <c r="AC18" s="677">
        <f t="shared" si="35"/>
        <v>14</v>
      </c>
      <c r="AD18" s="677">
        <f t="shared" si="35"/>
        <v>-1</v>
      </c>
      <c r="AE18" s="677">
        <f t="shared" si="35"/>
        <v>-2</v>
      </c>
      <c r="AF18" s="677">
        <f t="shared" si="35"/>
        <v>3</v>
      </c>
      <c r="AG18" s="677">
        <f t="shared" si="35"/>
        <v>-4</v>
      </c>
      <c r="AH18" s="677">
        <f t="shared" si="35"/>
        <v>-11</v>
      </c>
      <c r="AI18" s="677">
        <f t="shared" si="35"/>
        <v>11</v>
      </c>
      <c r="AJ18" s="677">
        <f t="shared" si="35"/>
        <v>-23</v>
      </c>
      <c r="AK18" s="677">
        <f t="shared" ref="AK18:BP18" si="36">SUM(AK19:AK20)</f>
        <v>24</v>
      </c>
      <c r="AL18" s="677">
        <f t="shared" si="36"/>
        <v>-20</v>
      </c>
      <c r="AM18" s="677">
        <f t="shared" si="36"/>
        <v>8</v>
      </c>
      <c r="AN18" s="677">
        <f t="shared" si="36"/>
        <v>5</v>
      </c>
      <c r="AO18" s="677">
        <f t="shared" si="36"/>
        <v>0</v>
      </c>
      <c r="AP18" s="677">
        <f t="shared" si="36"/>
        <v>4</v>
      </c>
      <c r="AQ18" s="677">
        <f t="shared" si="36"/>
        <v>6</v>
      </c>
      <c r="AR18" s="677">
        <f t="shared" si="36"/>
        <v>9</v>
      </c>
      <c r="AS18" s="677">
        <f t="shared" si="36"/>
        <v>-15</v>
      </c>
      <c r="AT18" s="677">
        <f t="shared" si="36"/>
        <v>5</v>
      </c>
      <c r="AU18" s="677">
        <f t="shared" si="36"/>
        <v>-7</v>
      </c>
      <c r="AV18" s="677">
        <f t="shared" si="36"/>
        <v>-6</v>
      </c>
      <c r="AW18" s="677">
        <f t="shared" si="36"/>
        <v>3</v>
      </c>
      <c r="AX18" s="526">
        <f t="shared" si="36"/>
        <v>-5</v>
      </c>
      <c r="AY18" s="52">
        <f t="shared" si="36"/>
        <v>-11</v>
      </c>
      <c r="AZ18" s="583">
        <f t="shared" si="36"/>
        <v>13</v>
      </c>
      <c r="BA18" s="52">
        <f t="shared" si="36"/>
        <v>9</v>
      </c>
      <c r="BB18" s="52">
        <f t="shared" si="36"/>
        <v>5</v>
      </c>
      <c r="BC18" s="52">
        <f t="shared" si="36"/>
        <v>19</v>
      </c>
      <c r="BD18" s="52">
        <f t="shared" si="36"/>
        <v>13</v>
      </c>
      <c r="BE18" s="52">
        <f t="shared" si="36"/>
        <v>-7</v>
      </c>
      <c r="BF18" s="52">
        <f t="shared" si="36"/>
        <v>-4</v>
      </c>
      <c r="BG18" s="52">
        <f t="shared" si="36"/>
        <v>-2</v>
      </c>
      <c r="BH18" s="52">
        <f t="shared" si="36"/>
        <v>-19</v>
      </c>
      <c r="BI18" s="52">
        <f t="shared" si="36"/>
        <v>5</v>
      </c>
      <c r="BJ18" s="52">
        <f t="shared" si="36"/>
        <v>3</v>
      </c>
      <c r="BK18" s="129">
        <f t="shared" si="36"/>
        <v>-16</v>
      </c>
      <c r="BL18" s="52">
        <f t="shared" si="36"/>
        <v>9</v>
      </c>
      <c r="BM18" s="52">
        <f t="shared" si="36"/>
        <v>5</v>
      </c>
      <c r="BN18" s="52">
        <f t="shared" si="36"/>
        <v>3</v>
      </c>
      <c r="BO18" s="52">
        <f t="shared" si="36"/>
        <v>18</v>
      </c>
      <c r="BP18" s="52">
        <f t="shared" si="36"/>
        <v>12</v>
      </c>
      <c r="BQ18" s="52">
        <f t="shared" ref="BQ18:CV18" si="37">SUM(BQ19:BQ20)</f>
        <v>-8</v>
      </c>
      <c r="BR18" s="52">
        <f t="shared" si="37"/>
        <v>-5</v>
      </c>
      <c r="BS18" s="52">
        <f t="shared" si="37"/>
        <v>-3</v>
      </c>
      <c r="BT18" s="52">
        <f t="shared" si="37"/>
        <v>-21</v>
      </c>
      <c r="BU18" s="52">
        <f t="shared" si="37"/>
        <v>6</v>
      </c>
      <c r="BV18" s="52">
        <f t="shared" si="37"/>
        <v>3</v>
      </c>
      <c r="BW18" s="129">
        <f t="shared" si="37"/>
        <v>-18</v>
      </c>
      <c r="BX18" s="52">
        <f t="shared" si="37"/>
        <v>9</v>
      </c>
      <c r="BY18" s="52">
        <f t="shared" si="37"/>
        <v>6</v>
      </c>
      <c r="BZ18" s="52">
        <f t="shared" si="37"/>
        <v>3</v>
      </c>
      <c r="CA18" s="52">
        <f t="shared" si="37"/>
        <v>19</v>
      </c>
      <c r="CB18" s="52">
        <f t="shared" si="37"/>
        <v>13</v>
      </c>
      <c r="CC18" s="52">
        <f t="shared" si="37"/>
        <v>-9</v>
      </c>
      <c r="CD18" s="52">
        <f t="shared" si="37"/>
        <v>-6</v>
      </c>
      <c r="CE18" s="52">
        <f t="shared" si="37"/>
        <v>-3</v>
      </c>
      <c r="CF18" s="52">
        <f t="shared" si="37"/>
        <v>-22</v>
      </c>
      <c r="CG18" s="52">
        <f t="shared" si="37"/>
        <v>6</v>
      </c>
      <c r="CH18" s="52">
        <f t="shared" si="37"/>
        <v>4</v>
      </c>
      <c r="CI18" s="129">
        <f t="shared" si="37"/>
        <v>-19</v>
      </c>
      <c r="CJ18" s="52">
        <f t="shared" si="37"/>
        <v>10</v>
      </c>
      <c r="CK18" s="52">
        <f t="shared" si="37"/>
        <v>6</v>
      </c>
      <c r="CL18" s="52">
        <f t="shared" si="37"/>
        <v>3</v>
      </c>
      <c r="CM18" s="52">
        <f t="shared" si="37"/>
        <v>20</v>
      </c>
      <c r="CN18" s="52">
        <f t="shared" si="37"/>
        <v>14</v>
      </c>
      <c r="CO18" s="52">
        <f t="shared" si="37"/>
        <v>-10</v>
      </c>
      <c r="CP18" s="52">
        <f t="shared" si="37"/>
        <v>-6</v>
      </c>
      <c r="CQ18" s="52">
        <f t="shared" si="37"/>
        <v>-3</v>
      </c>
      <c r="CR18" s="52">
        <f t="shared" si="37"/>
        <v>-23</v>
      </c>
      <c r="CS18" s="52">
        <f t="shared" si="37"/>
        <v>7</v>
      </c>
      <c r="CT18" s="52">
        <f t="shared" si="37"/>
        <v>4</v>
      </c>
      <c r="CU18" s="129">
        <f t="shared" si="37"/>
        <v>-19</v>
      </c>
      <c r="CV18" s="52">
        <f t="shared" si="37"/>
        <v>10</v>
      </c>
      <c r="CW18" s="52">
        <f t="shared" ref="CW18:EB18" si="38">SUM(CW19:CW20)</f>
        <v>6</v>
      </c>
      <c r="CX18" s="52">
        <f t="shared" si="38"/>
        <v>4</v>
      </c>
      <c r="CY18" s="52">
        <f t="shared" si="38"/>
        <v>21</v>
      </c>
      <c r="CZ18" s="52">
        <f t="shared" si="38"/>
        <v>14</v>
      </c>
      <c r="DA18" s="52">
        <f t="shared" si="38"/>
        <v>-10</v>
      </c>
      <c r="DB18" s="52">
        <f t="shared" si="38"/>
        <v>-7</v>
      </c>
      <c r="DC18" s="52">
        <f t="shared" si="38"/>
        <v>-3</v>
      </c>
      <c r="DD18" s="52">
        <f t="shared" si="38"/>
        <v>-24</v>
      </c>
      <c r="DE18" s="52">
        <f t="shared" si="38"/>
        <v>7</v>
      </c>
      <c r="DF18" s="52">
        <f t="shared" si="38"/>
        <v>4</v>
      </c>
      <c r="DG18" s="129">
        <f t="shared" si="38"/>
        <v>-20</v>
      </c>
    </row>
    <row r="19" spans="1:111" x14ac:dyDescent="0.25">
      <c r="A19" s="28"/>
      <c r="B19" s="28"/>
      <c r="C19" s="570" t="s">
        <v>87</v>
      </c>
      <c r="D19" s="675"/>
      <c r="E19" s="677"/>
      <c r="F19" s="677">
        <f t="shared" ref="F19:V19" si="39">+IF(F15&gt;E15,F15-E15, 0)</f>
        <v>0</v>
      </c>
      <c r="G19" s="677">
        <f t="shared" si="39"/>
        <v>0</v>
      </c>
      <c r="H19" s="677">
        <f t="shared" si="39"/>
        <v>3</v>
      </c>
      <c r="I19" s="677">
        <f t="shared" si="39"/>
        <v>3</v>
      </c>
      <c r="J19" s="677">
        <f t="shared" si="39"/>
        <v>0</v>
      </c>
      <c r="K19" s="677">
        <f t="shared" si="39"/>
        <v>0</v>
      </c>
      <c r="L19" s="677">
        <f t="shared" si="39"/>
        <v>4</v>
      </c>
      <c r="M19" s="677">
        <f t="shared" si="39"/>
        <v>8</v>
      </c>
      <c r="N19" s="677">
        <f t="shared" si="39"/>
        <v>0</v>
      </c>
      <c r="O19" s="677">
        <f t="shared" si="39"/>
        <v>0</v>
      </c>
      <c r="P19" s="677">
        <f t="shared" si="39"/>
        <v>5</v>
      </c>
      <c r="Q19" s="677">
        <f t="shared" si="39"/>
        <v>0</v>
      </c>
      <c r="R19" s="677">
        <f t="shared" si="39"/>
        <v>0</v>
      </c>
      <c r="S19" s="677">
        <f t="shared" si="39"/>
        <v>0</v>
      </c>
      <c r="T19" s="677">
        <f t="shared" si="39"/>
        <v>2</v>
      </c>
      <c r="U19" s="677">
        <f t="shared" si="39"/>
        <v>3</v>
      </c>
      <c r="V19" s="677">
        <f t="shared" si="39"/>
        <v>63</v>
      </c>
      <c r="W19" s="677">
        <v>62</v>
      </c>
      <c r="X19" s="677">
        <v>62</v>
      </c>
      <c r="Y19" s="677">
        <v>56</v>
      </c>
      <c r="Z19" s="677">
        <v>29</v>
      </c>
      <c r="AA19" s="677">
        <v>19</v>
      </c>
      <c r="AB19" s="677">
        <v>0</v>
      </c>
      <c r="AC19" s="677">
        <v>37</v>
      </c>
      <c r="AD19" s="677">
        <v>42</v>
      </c>
      <c r="AE19" s="677">
        <v>50</v>
      </c>
      <c r="AF19" s="677">
        <v>40</v>
      </c>
      <c r="AG19" s="677">
        <v>35</v>
      </c>
      <c r="AH19" s="678">
        <v>25</v>
      </c>
      <c r="AI19" s="678">
        <v>31</v>
      </c>
      <c r="AJ19" s="678">
        <v>8</v>
      </c>
      <c r="AK19" s="678">
        <v>37</v>
      </c>
      <c r="AL19" s="678">
        <v>18</v>
      </c>
      <c r="AM19" s="678">
        <v>29</v>
      </c>
      <c r="AN19" s="678">
        <v>24</v>
      </c>
      <c r="AO19" s="678">
        <v>27</v>
      </c>
      <c r="AP19" s="678">
        <v>32</v>
      </c>
      <c r="AQ19" s="678">
        <v>39</v>
      </c>
      <c r="AR19" s="678">
        <v>40</v>
      </c>
      <c r="AS19" s="678">
        <v>25</v>
      </c>
      <c r="AT19" s="678">
        <v>33</v>
      </c>
      <c r="AU19" s="678">
        <v>28</v>
      </c>
      <c r="AV19" s="678">
        <v>18</v>
      </c>
      <c r="AW19" s="678">
        <v>24</v>
      </c>
      <c r="AX19" s="527">
        <v>20</v>
      </c>
      <c r="AY19" s="679">
        <f>IF(AY2="Trough",INDEX($I$50:$I$52,MATCH(AY2,$E$50:$E$52,0)),IF(AY2="Shoulder",INDEX($I$50:$I$52,MATCH(AY2,$E$50:$E$52,0)),INDEX($I$50:$I$52,MATCH(AY2,$E$50:$E$52,0))))</f>
        <v>14</v>
      </c>
      <c r="AZ19" s="584">
        <f t="shared" ref="AZ19:BK19" si="40">IF(AZ2="Trough",INDEX($J$50:$J$52,MATCH(AZ2,$E$50:$E$52,0)),IF(AZ2="Shoulder",INDEX($J$50:$J$52,MATCH(AZ2,$E$50:$E$52,0)),INDEX($J$50:$J$52,MATCH(AZ2,$E$50:$E$52,0))))</f>
        <v>33</v>
      </c>
      <c r="BA19" s="161">
        <f t="shared" si="40"/>
        <v>33</v>
      </c>
      <c r="BB19" s="161">
        <f t="shared" si="40"/>
        <v>33</v>
      </c>
      <c r="BC19" s="161">
        <f t="shared" si="40"/>
        <v>48</v>
      </c>
      <c r="BD19" s="161">
        <f t="shared" si="40"/>
        <v>48</v>
      </c>
      <c r="BE19" s="161">
        <f t="shared" si="40"/>
        <v>33</v>
      </c>
      <c r="BF19" s="161">
        <f t="shared" si="40"/>
        <v>33</v>
      </c>
      <c r="BG19" s="161">
        <f t="shared" si="40"/>
        <v>33</v>
      </c>
      <c r="BH19" s="161">
        <f t="shared" si="40"/>
        <v>15</v>
      </c>
      <c r="BI19" s="161">
        <f t="shared" si="40"/>
        <v>33</v>
      </c>
      <c r="BJ19" s="161">
        <f t="shared" si="40"/>
        <v>33</v>
      </c>
      <c r="BK19" s="162">
        <f t="shared" si="40"/>
        <v>15</v>
      </c>
      <c r="BL19" s="161">
        <f t="shared" ref="BL19:BW19" si="41">+IF(BL2="Trough",INDEX($K$50:$K$52,MATCH(BL2,$E$50:$E$52,0)),IF(BL2="Shoulder",INDEX($K$50:$K$52,MATCH(BL2,$E$50:$E$52,0)),INDEX($K$50:$K$52,MATCH(BL2,$E$50:$E$52,0))))</f>
        <v>35</v>
      </c>
      <c r="BM19" s="161">
        <f t="shared" si="41"/>
        <v>35</v>
      </c>
      <c r="BN19" s="161">
        <f t="shared" si="41"/>
        <v>35</v>
      </c>
      <c r="BO19" s="161">
        <f t="shared" si="41"/>
        <v>51</v>
      </c>
      <c r="BP19" s="161">
        <f t="shared" si="41"/>
        <v>51</v>
      </c>
      <c r="BQ19" s="161">
        <f t="shared" si="41"/>
        <v>35</v>
      </c>
      <c r="BR19" s="161">
        <f t="shared" si="41"/>
        <v>35</v>
      </c>
      <c r="BS19" s="161">
        <f t="shared" si="41"/>
        <v>35</v>
      </c>
      <c r="BT19" s="161">
        <f t="shared" si="41"/>
        <v>16</v>
      </c>
      <c r="BU19" s="161">
        <f t="shared" si="41"/>
        <v>35</v>
      </c>
      <c r="BV19" s="161">
        <f t="shared" si="41"/>
        <v>35</v>
      </c>
      <c r="BW19" s="162">
        <f t="shared" si="41"/>
        <v>16</v>
      </c>
      <c r="BX19" s="161">
        <f t="shared" ref="BX19:CI19" si="42">IF(BX2="Trough",INDEX($L$50:$L$52,MATCH(BX2,$E$50:$E$52,0)),IF(BX2="Shoulder",INDEX($L$50:$L$52,MATCH(BX2,$E$50:$E$52,0)),INDEX($L$50:$L$52,MATCH(BX2,$E$50:$E$52,0))))</f>
        <v>37</v>
      </c>
      <c r="BY19" s="161">
        <f t="shared" si="42"/>
        <v>37</v>
      </c>
      <c r="BZ19" s="161">
        <f t="shared" si="42"/>
        <v>37</v>
      </c>
      <c r="CA19" s="161">
        <f t="shared" si="42"/>
        <v>54</v>
      </c>
      <c r="CB19" s="161">
        <f t="shared" si="42"/>
        <v>54</v>
      </c>
      <c r="CC19" s="161">
        <f t="shared" si="42"/>
        <v>37</v>
      </c>
      <c r="CD19" s="161">
        <f t="shared" si="42"/>
        <v>37</v>
      </c>
      <c r="CE19" s="161">
        <f t="shared" si="42"/>
        <v>37</v>
      </c>
      <c r="CF19" s="161">
        <f t="shared" si="42"/>
        <v>17</v>
      </c>
      <c r="CG19" s="161">
        <f t="shared" si="42"/>
        <v>37</v>
      </c>
      <c r="CH19" s="161">
        <f t="shared" si="42"/>
        <v>37</v>
      </c>
      <c r="CI19" s="162">
        <f t="shared" si="42"/>
        <v>17</v>
      </c>
      <c r="CJ19" s="161">
        <f t="shared" ref="CJ19:CU19" si="43">IF(CJ2="Trough",INDEX($M$50:$M$52,MATCH(CJ2,$E$50:$E$52,0)),IF(CJ2="Shoulder",INDEX($M$50:$M$52,MATCH(CJ2,$E$50:$E$52,0)),INDEX($M$50:$M$52,MATCH(CJ2,$E$50:$E$52,0))))</f>
        <v>39</v>
      </c>
      <c r="CK19" s="161">
        <f t="shared" si="43"/>
        <v>39</v>
      </c>
      <c r="CL19" s="161">
        <f t="shared" si="43"/>
        <v>39</v>
      </c>
      <c r="CM19" s="161">
        <f t="shared" si="43"/>
        <v>57</v>
      </c>
      <c r="CN19" s="161">
        <f t="shared" si="43"/>
        <v>57</v>
      </c>
      <c r="CO19" s="161">
        <f t="shared" si="43"/>
        <v>39</v>
      </c>
      <c r="CP19" s="161">
        <f t="shared" si="43"/>
        <v>39</v>
      </c>
      <c r="CQ19" s="161">
        <f t="shared" si="43"/>
        <v>39</v>
      </c>
      <c r="CR19" s="161">
        <f t="shared" si="43"/>
        <v>18</v>
      </c>
      <c r="CS19" s="161">
        <f t="shared" si="43"/>
        <v>39</v>
      </c>
      <c r="CT19" s="161">
        <f t="shared" si="43"/>
        <v>39</v>
      </c>
      <c r="CU19" s="162">
        <f t="shared" si="43"/>
        <v>18</v>
      </c>
      <c r="CV19" s="161">
        <f t="shared" ref="CV19:DG19" si="44">IF(CV2="Trough",INDEX($N$50:$N$52,MATCH(CV2,$E$50:$E$52,0)),IF(CV2="Shoulder",INDEX($N$50:$N$52,MATCH(CV2,$E$50:$E$52,0)),INDEX($N$50:$N$52,MATCH(CV2,$E$50:$E$52,0))))</f>
        <v>41</v>
      </c>
      <c r="CW19" s="161">
        <f t="shared" si="44"/>
        <v>41</v>
      </c>
      <c r="CX19" s="161">
        <f t="shared" si="44"/>
        <v>41</v>
      </c>
      <c r="CY19" s="161">
        <f t="shared" si="44"/>
        <v>60</v>
      </c>
      <c r="CZ19" s="161">
        <f t="shared" si="44"/>
        <v>60</v>
      </c>
      <c r="DA19" s="161">
        <f t="shared" si="44"/>
        <v>41</v>
      </c>
      <c r="DB19" s="161">
        <f t="shared" si="44"/>
        <v>41</v>
      </c>
      <c r="DC19" s="161">
        <f t="shared" si="44"/>
        <v>41</v>
      </c>
      <c r="DD19" s="161">
        <f t="shared" si="44"/>
        <v>19</v>
      </c>
      <c r="DE19" s="161">
        <f t="shared" si="44"/>
        <v>41</v>
      </c>
      <c r="DF19" s="161">
        <f t="shared" si="44"/>
        <v>41</v>
      </c>
      <c r="DG19" s="162">
        <f t="shared" si="44"/>
        <v>19</v>
      </c>
    </row>
    <row r="20" spans="1:111" x14ac:dyDescent="0.25">
      <c r="A20" s="28"/>
      <c r="B20" s="28"/>
      <c r="C20" s="570" t="s">
        <v>88</v>
      </c>
      <c r="D20" s="675"/>
      <c r="E20" s="677"/>
      <c r="F20" s="677">
        <f t="shared" ref="F20:V20" si="45">+IF(F15&lt;E15,F15-E15, 0)</f>
        <v>-4</v>
      </c>
      <c r="G20" s="677">
        <f t="shared" si="45"/>
        <v>-1</v>
      </c>
      <c r="H20" s="677">
        <f t="shared" si="45"/>
        <v>0</v>
      </c>
      <c r="I20" s="677">
        <f t="shared" si="45"/>
        <v>0</v>
      </c>
      <c r="J20" s="677">
        <f t="shared" si="45"/>
        <v>-2</v>
      </c>
      <c r="K20" s="677">
        <f t="shared" si="45"/>
        <v>-6</v>
      </c>
      <c r="L20" s="677">
        <f t="shared" si="45"/>
        <v>0</v>
      </c>
      <c r="M20" s="677">
        <f t="shared" si="45"/>
        <v>0</v>
      </c>
      <c r="N20" s="677">
        <f t="shared" si="45"/>
        <v>-6</v>
      </c>
      <c r="O20" s="677">
        <f t="shared" si="45"/>
        <v>-4</v>
      </c>
      <c r="P20" s="677">
        <f t="shared" si="45"/>
        <v>0</v>
      </c>
      <c r="Q20" s="677">
        <f t="shared" si="45"/>
        <v>-2</v>
      </c>
      <c r="R20" s="677">
        <f t="shared" si="45"/>
        <v>0</v>
      </c>
      <c r="S20" s="677">
        <f t="shared" si="45"/>
        <v>-3</v>
      </c>
      <c r="T20" s="677">
        <f t="shared" si="45"/>
        <v>0</v>
      </c>
      <c r="U20" s="677">
        <f t="shared" si="45"/>
        <v>0</v>
      </c>
      <c r="V20" s="677">
        <f t="shared" si="45"/>
        <v>0</v>
      </c>
      <c r="W20" s="677">
        <v>-38</v>
      </c>
      <c r="X20" s="677">
        <v>-38</v>
      </c>
      <c r="Y20" s="677">
        <v>-53</v>
      </c>
      <c r="Z20" s="677">
        <v>-20</v>
      </c>
      <c r="AA20" s="677">
        <v>-17</v>
      </c>
      <c r="AB20" s="677">
        <v>0</v>
      </c>
      <c r="AC20" s="677">
        <v>-23</v>
      </c>
      <c r="AD20" s="677">
        <v>-43</v>
      </c>
      <c r="AE20" s="677">
        <v>-52</v>
      </c>
      <c r="AF20" s="677">
        <v>-37</v>
      </c>
      <c r="AG20" s="677">
        <v>-39</v>
      </c>
      <c r="AH20" s="678">
        <v>-36</v>
      </c>
      <c r="AI20" s="678">
        <v>-20</v>
      </c>
      <c r="AJ20" s="678">
        <v>-31</v>
      </c>
      <c r="AK20" s="678">
        <v>-13</v>
      </c>
      <c r="AL20" s="678">
        <v>-38</v>
      </c>
      <c r="AM20" s="678">
        <v>-21</v>
      </c>
      <c r="AN20" s="678">
        <v>-19</v>
      </c>
      <c r="AO20" s="678">
        <v>-27</v>
      </c>
      <c r="AP20" s="678">
        <v>-28</v>
      </c>
      <c r="AQ20" s="678">
        <v>-33</v>
      </c>
      <c r="AR20" s="678">
        <v>-31</v>
      </c>
      <c r="AS20" s="678">
        <v>-40</v>
      </c>
      <c r="AT20" s="678">
        <v>-28</v>
      </c>
      <c r="AU20" s="678">
        <v>-35</v>
      </c>
      <c r="AV20" s="678">
        <v>-24</v>
      </c>
      <c r="AW20" s="678">
        <v>-21</v>
      </c>
      <c r="AX20" s="527">
        <v>-25</v>
      </c>
      <c r="AY20" s="679">
        <f t="shared" ref="AY20:CD20" si="46">ROUNDUP(AX16*AY36, 0)</f>
        <v>-25</v>
      </c>
      <c r="AZ20" s="584">
        <f t="shared" si="46"/>
        <v>-20</v>
      </c>
      <c r="BA20" s="161">
        <f t="shared" si="46"/>
        <v>-24</v>
      </c>
      <c r="BB20" s="161">
        <f t="shared" si="46"/>
        <v>-28</v>
      </c>
      <c r="BC20" s="161">
        <f t="shared" si="46"/>
        <v>-29</v>
      </c>
      <c r="BD20" s="161">
        <f t="shared" si="46"/>
        <v>-35</v>
      </c>
      <c r="BE20" s="161">
        <f t="shared" si="46"/>
        <v>-40</v>
      </c>
      <c r="BF20" s="161">
        <f t="shared" si="46"/>
        <v>-37</v>
      </c>
      <c r="BG20" s="161">
        <f t="shared" si="46"/>
        <v>-35</v>
      </c>
      <c r="BH20" s="161">
        <f t="shared" si="46"/>
        <v>-34</v>
      </c>
      <c r="BI20" s="161">
        <f t="shared" si="46"/>
        <v>-28</v>
      </c>
      <c r="BJ20" s="161">
        <f t="shared" si="46"/>
        <v>-30</v>
      </c>
      <c r="BK20" s="162">
        <f t="shared" si="46"/>
        <v>-31</v>
      </c>
      <c r="BL20" s="161">
        <f t="shared" si="46"/>
        <v>-26</v>
      </c>
      <c r="BM20" s="161">
        <f t="shared" si="46"/>
        <v>-30</v>
      </c>
      <c r="BN20" s="161">
        <f t="shared" si="46"/>
        <v>-32</v>
      </c>
      <c r="BO20" s="161">
        <f t="shared" si="46"/>
        <v>-33</v>
      </c>
      <c r="BP20" s="161">
        <f t="shared" si="46"/>
        <v>-39</v>
      </c>
      <c r="BQ20" s="161">
        <f t="shared" si="46"/>
        <v>-43</v>
      </c>
      <c r="BR20" s="161">
        <f t="shared" si="46"/>
        <v>-40</v>
      </c>
      <c r="BS20" s="161">
        <f t="shared" si="46"/>
        <v>-38</v>
      </c>
      <c r="BT20" s="161">
        <f t="shared" si="46"/>
        <v>-37</v>
      </c>
      <c r="BU20" s="161">
        <f t="shared" si="46"/>
        <v>-29</v>
      </c>
      <c r="BV20" s="161">
        <f t="shared" si="46"/>
        <v>-32</v>
      </c>
      <c r="BW20" s="162">
        <f t="shared" si="46"/>
        <v>-34</v>
      </c>
      <c r="BX20" s="161">
        <f t="shared" si="46"/>
        <v>-28</v>
      </c>
      <c r="BY20" s="161">
        <f t="shared" si="46"/>
        <v>-31</v>
      </c>
      <c r="BZ20" s="161">
        <f t="shared" si="46"/>
        <v>-34</v>
      </c>
      <c r="CA20" s="161">
        <f t="shared" si="46"/>
        <v>-35</v>
      </c>
      <c r="CB20" s="161">
        <f t="shared" si="46"/>
        <v>-41</v>
      </c>
      <c r="CC20" s="161">
        <f t="shared" si="46"/>
        <v>-46</v>
      </c>
      <c r="CD20" s="161">
        <f t="shared" si="46"/>
        <v>-43</v>
      </c>
      <c r="CE20" s="161">
        <f t="shared" ref="CE20:DG20" si="47">ROUNDUP(CD16*CE36, 0)</f>
        <v>-40</v>
      </c>
      <c r="CF20" s="161">
        <f t="shared" si="47"/>
        <v>-39</v>
      </c>
      <c r="CG20" s="161">
        <f t="shared" si="47"/>
        <v>-31</v>
      </c>
      <c r="CH20" s="161">
        <f t="shared" si="47"/>
        <v>-33</v>
      </c>
      <c r="CI20" s="162">
        <f t="shared" si="47"/>
        <v>-36</v>
      </c>
      <c r="CJ20" s="161">
        <f t="shared" si="47"/>
        <v>-29</v>
      </c>
      <c r="CK20" s="161">
        <f t="shared" si="47"/>
        <v>-33</v>
      </c>
      <c r="CL20" s="161">
        <f t="shared" si="47"/>
        <v>-36</v>
      </c>
      <c r="CM20" s="161">
        <f t="shared" si="47"/>
        <v>-37</v>
      </c>
      <c r="CN20" s="161">
        <f t="shared" si="47"/>
        <v>-43</v>
      </c>
      <c r="CO20" s="161">
        <f t="shared" si="47"/>
        <v>-49</v>
      </c>
      <c r="CP20" s="161">
        <f t="shared" si="47"/>
        <v>-45</v>
      </c>
      <c r="CQ20" s="161">
        <f t="shared" si="47"/>
        <v>-42</v>
      </c>
      <c r="CR20" s="161">
        <f t="shared" si="47"/>
        <v>-41</v>
      </c>
      <c r="CS20" s="161">
        <f t="shared" si="47"/>
        <v>-32</v>
      </c>
      <c r="CT20" s="161">
        <f t="shared" si="47"/>
        <v>-35</v>
      </c>
      <c r="CU20" s="162">
        <f t="shared" si="47"/>
        <v>-37</v>
      </c>
      <c r="CV20" s="161">
        <f t="shared" si="47"/>
        <v>-31</v>
      </c>
      <c r="CW20" s="161">
        <f t="shared" si="47"/>
        <v>-35</v>
      </c>
      <c r="CX20" s="161">
        <f t="shared" si="47"/>
        <v>-37</v>
      </c>
      <c r="CY20" s="161">
        <f t="shared" si="47"/>
        <v>-39</v>
      </c>
      <c r="CZ20" s="161">
        <f t="shared" si="47"/>
        <v>-46</v>
      </c>
      <c r="DA20" s="161">
        <f t="shared" si="47"/>
        <v>-51</v>
      </c>
      <c r="DB20" s="161">
        <f t="shared" si="47"/>
        <v>-48</v>
      </c>
      <c r="DC20" s="161">
        <f t="shared" si="47"/>
        <v>-44</v>
      </c>
      <c r="DD20" s="161">
        <f t="shared" si="47"/>
        <v>-43</v>
      </c>
      <c r="DE20" s="161">
        <f t="shared" si="47"/>
        <v>-34</v>
      </c>
      <c r="DF20" s="161">
        <f t="shared" si="47"/>
        <v>-37</v>
      </c>
      <c r="DG20" s="162">
        <f t="shared" si="47"/>
        <v>-39</v>
      </c>
    </row>
    <row r="21" spans="1:111" x14ac:dyDescent="0.25">
      <c r="A21" s="28"/>
      <c r="B21" s="28"/>
      <c r="C21" s="569" t="s">
        <v>89</v>
      </c>
      <c r="D21" s="675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6">
        <v>21</v>
      </c>
      <c r="Q21" s="676">
        <v>22</v>
      </c>
      <c r="R21" s="676">
        <v>20</v>
      </c>
      <c r="S21" s="676">
        <v>16</v>
      </c>
      <c r="T21" s="676">
        <v>25</v>
      </c>
      <c r="U21" s="676">
        <v>22</v>
      </c>
      <c r="V21" s="676">
        <v>100</v>
      </c>
      <c r="W21" s="676">
        <v>218</v>
      </c>
      <c r="X21" s="676">
        <v>243</v>
      </c>
      <c r="Y21" s="676">
        <v>240</v>
      </c>
      <c r="Z21" s="676">
        <v>237</v>
      </c>
      <c r="AA21" s="676">
        <v>224</v>
      </c>
      <c r="AB21" s="676">
        <v>71</v>
      </c>
      <c r="AC21" s="676">
        <v>82</v>
      </c>
      <c r="AD21" s="676">
        <v>85</v>
      </c>
      <c r="AE21" s="676">
        <v>87</v>
      </c>
      <c r="AF21" s="676">
        <v>89</v>
      </c>
      <c r="AG21" s="676">
        <v>80</v>
      </c>
      <c r="AH21" s="676">
        <v>79</v>
      </c>
      <c r="AI21" s="676">
        <v>88</v>
      </c>
      <c r="AJ21" s="676">
        <v>52</v>
      </c>
      <c r="AK21" s="676">
        <v>91</v>
      </c>
      <c r="AL21" s="676">
        <v>55</v>
      </c>
      <c r="AM21" s="676">
        <v>66</v>
      </c>
      <c r="AN21" s="676">
        <v>70</v>
      </c>
      <c r="AO21" s="676">
        <v>74</v>
      </c>
      <c r="AP21" s="676">
        <v>72</v>
      </c>
      <c r="AQ21" s="676">
        <v>90</v>
      </c>
      <c r="AR21" s="676">
        <v>90</v>
      </c>
      <c r="AS21" s="676">
        <v>77</v>
      </c>
      <c r="AT21" s="676">
        <v>88</v>
      </c>
      <c r="AU21" s="676">
        <v>84</v>
      </c>
      <c r="AV21" s="676">
        <v>68</v>
      </c>
      <c r="AW21" s="676">
        <v>76</v>
      </c>
      <c r="AX21" s="525">
        <v>58</v>
      </c>
      <c r="AY21" s="674">
        <f t="shared" ref="AY21:CD21" si="48">+(AY23*AX15)+AY15</f>
        <v>48.496319389252747</v>
      </c>
      <c r="AZ21" s="582">
        <f t="shared" si="48"/>
        <v>60.683266921558854</v>
      </c>
      <c r="BA21" s="135">
        <f t="shared" si="48"/>
        <v>74.311778672499173</v>
      </c>
      <c r="BB21" s="135">
        <f t="shared" si="48"/>
        <v>75.050588964917296</v>
      </c>
      <c r="BC21" s="135">
        <f t="shared" si="48"/>
        <v>103.41967941168289</v>
      </c>
      <c r="BD21" s="135">
        <f t="shared" si="48"/>
        <v>108.548408696539</v>
      </c>
      <c r="BE21" s="135">
        <f t="shared" si="48"/>
        <v>110.28173296395239</v>
      </c>
      <c r="BF21" s="135">
        <f t="shared" si="48"/>
        <v>103.734088325453</v>
      </c>
      <c r="BG21" s="135">
        <f t="shared" si="48"/>
        <v>107.83365077113689</v>
      </c>
      <c r="BH21" s="135">
        <f t="shared" si="48"/>
        <v>81.913817390880567</v>
      </c>
      <c r="BI21" s="135">
        <f t="shared" si="48"/>
        <v>91.686204021308129</v>
      </c>
      <c r="BJ21" s="135">
        <f t="shared" si="48"/>
        <v>87.260480282163613</v>
      </c>
      <c r="BK21" s="136">
        <f t="shared" si="48"/>
        <v>70.584915590194029</v>
      </c>
      <c r="BL21" s="135">
        <f t="shared" si="48"/>
        <v>76.266173453389072</v>
      </c>
      <c r="BM21" s="135">
        <f t="shared" si="48"/>
        <v>85.567026308797892</v>
      </c>
      <c r="BN21" s="135">
        <f t="shared" si="48"/>
        <v>82.762046805315322</v>
      </c>
      <c r="BO21" s="135">
        <f t="shared" si="48"/>
        <v>110.79407085253706</v>
      </c>
      <c r="BP21" s="135">
        <f t="shared" si="48"/>
        <v>113.11285177846443</v>
      </c>
      <c r="BQ21" s="135">
        <f t="shared" si="48"/>
        <v>114.20777565352748</v>
      </c>
      <c r="BR21" s="135">
        <f t="shared" si="48"/>
        <v>106.36544170003542</v>
      </c>
      <c r="BS21" s="135">
        <f t="shared" si="48"/>
        <v>109.84178039809098</v>
      </c>
      <c r="BT21" s="135">
        <f t="shared" si="48"/>
        <v>81.311953269179398</v>
      </c>
      <c r="BU21" s="135">
        <f t="shared" si="48"/>
        <v>93.102889628944538</v>
      </c>
      <c r="BV21" s="135">
        <f t="shared" si="48"/>
        <v>88.037125988480099</v>
      </c>
      <c r="BW21" s="136">
        <f t="shared" si="48"/>
        <v>69.400858056511126</v>
      </c>
      <c r="BX21" s="135">
        <f t="shared" si="48"/>
        <v>76.074008471581152</v>
      </c>
      <c r="BY21" s="135">
        <f t="shared" si="48"/>
        <v>86.351515047665885</v>
      </c>
      <c r="BZ21" s="135">
        <f t="shared" si="48"/>
        <v>83.233463244019774</v>
      </c>
      <c r="CA21" s="135">
        <f t="shared" si="48"/>
        <v>112.65659258362602</v>
      </c>
      <c r="CB21" s="135">
        <f t="shared" si="48"/>
        <v>115.10565130360742</v>
      </c>
      <c r="CC21" s="135">
        <f t="shared" si="48"/>
        <v>115.47079680399</v>
      </c>
      <c r="CD21" s="135">
        <f t="shared" si="48"/>
        <v>106.43531193123792</v>
      </c>
      <c r="CE21" s="135">
        <f t="shared" ref="CE21:DG21" si="49">+(CE23*CD15)+CE15</f>
        <v>110.19090977277999</v>
      </c>
      <c r="CF21" s="135">
        <f t="shared" si="49"/>
        <v>80.371883473475719</v>
      </c>
      <c r="CG21" s="135">
        <f t="shared" si="49"/>
        <v>92.789039018579984</v>
      </c>
      <c r="CH21" s="135">
        <f t="shared" si="49"/>
        <v>88.402141022804429</v>
      </c>
      <c r="CI21" s="136">
        <f t="shared" si="49"/>
        <v>68.862104558104676</v>
      </c>
      <c r="CJ21" s="135">
        <f t="shared" si="49"/>
        <v>78.223723301463238</v>
      </c>
      <c r="CK21" s="135">
        <f t="shared" si="49"/>
        <v>88.628938797557495</v>
      </c>
      <c r="CL21" s="135">
        <f t="shared" si="49"/>
        <v>85.343161687084105</v>
      </c>
      <c r="CM21" s="135">
        <f t="shared" si="49"/>
        <v>116.09244115060332</v>
      </c>
      <c r="CN21" s="135">
        <f t="shared" si="49"/>
        <v>119.23566590400669</v>
      </c>
      <c r="CO21" s="135">
        <f t="shared" si="49"/>
        <v>118.88921423625902</v>
      </c>
      <c r="CP21" s="135">
        <f t="shared" si="49"/>
        <v>109.75523251517156</v>
      </c>
      <c r="CQ21" s="135">
        <f t="shared" si="49"/>
        <v>113.74233815839102</v>
      </c>
      <c r="CR21" s="135">
        <f t="shared" si="49"/>
        <v>82.649018157419107</v>
      </c>
      <c r="CS21" s="135">
        <f t="shared" si="49"/>
        <v>96.379215353156567</v>
      </c>
      <c r="CT21" s="135">
        <f t="shared" si="49"/>
        <v>91.681516574186489</v>
      </c>
      <c r="CU21" s="136">
        <f t="shared" si="49"/>
        <v>72.164964987533779</v>
      </c>
      <c r="CV21" s="135">
        <f t="shared" si="49"/>
        <v>81.496410320846451</v>
      </c>
      <c r="CW21" s="135">
        <f t="shared" si="49"/>
        <v>92.045074422394933</v>
      </c>
      <c r="CX21" s="135">
        <f t="shared" si="49"/>
        <v>89.529350154205503</v>
      </c>
      <c r="CY21" s="135">
        <f t="shared" si="49"/>
        <v>121.83928824494924</v>
      </c>
      <c r="CZ21" s="135">
        <f t="shared" si="49"/>
        <v>124.44036603099116</v>
      </c>
      <c r="DA21" s="135">
        <f t="shared" si="49"/>
        <v>124.53621689716361</v>
      </c>
      <c r="DB21" s="135">
        <f t="shared" si="49"/>
        <v>114.21476883464335</v>
      </c>
      <c r="DC21" s="135">
        <f t="shared" si="49"/>
        <v>118.47757600587241</v>
      </c>
      <c r="DD21" s="135">
        <f t="shared" si="49"/>
        <v>86.047446190500324</v>
      </c>
      <c r="DE21" s="135">
        <f t="shared" si="49"/>
        <v>100.00199404863727</v>
      </c>
      <c r="DF21" s="135">
        <f t="shared" si="49"/>
        <v>94.960892125568535</v>
      </c>
      <c r="DG21" s="136">
        <f t="shared" si="49"/>
        <v>74.398608204516506</v>
      </c>
    </row>
    <row r="22" spans="1:111" x14ac:dyDescent="0.25">
      <c r="A22" s="28"/>
      <c r="B22" s="28"/>
      <c r="C22" s="569" t="s">
        <v>90</v>
      </c>
      <c r="D22" s="675"/>
      <c r="E22" s="677"/>
      <c r="F22" s="677"/>
      <c r="G22" s="677"/>
      <c r="H22" s="677"/>
      <c r="I22" s="677"/>
      <c r="J22" s="677"/>
      <c r="K22" s="677"/>
      <c r="L22" s="677"/>
      <c r="M22" s="677"/>
      <c r="N22" s="677"/>
      <c r="O22" s="677"/>
      <c r="P22" s="676"/>
      <c r="Q22" s="676"/>
      <c r="R22" s="676"/>
      <c r="S22" s="676"/>
      <c r="T22" s="676"/>
      <c r="U22" s="676"/>
      <c r="V22" s="676"/>
      <c r="W22" s="676">
        <v>135</v>
      </c>
      <c r="X22" s="676">
        <v>139</v>
      </c>
      <c r="Y22" s="676">
        <v>144</v>
      </c>
      <c r="Z22" s="676">
        <v>143</v>
      </c>
      <c r="AA22" s="676">
        <v>135</v>
      </c>
      <c r="AB22" s="676">
        <v>59</v>
      </c>
      <c r="AC22" s="676">
        <v>74</v>
      </c>
      <c r="AD22" s="676">
        <v>74</v>
      </c>
      <c r="AE22" s="676">
        <v>73</v>
      </c>
      <c r="AF22" s="676">
        <v>72</v>
      </c>
      <c r="AG22" s="676">
        <v>68</v>
      </c>
      <c r="AH22" s="676">
        <v>65</v>
      </c>
      <c r="AI22" s="676">
        <v>73</v>
      </c>
      <c r="AJ22" s="676">
        <v>43</v>
      </c>
      <c r="AK22" s="676">
        <v>70</v>
      </c>
      <c r="AL22" s="676">
        <v>47</v>
      </c>
      <c r="AM22" s="676">
        <v>57</v>
      </c>
      <c r="AN22" s="676">
        <v>63</v>
      </c>
      <c r="AO22" s="676">
        <v>60</v>
      </c>
      <c r="AP22" s="676">
        <v>65</v>
      </c>
      <c r="AQ22" s="676">
        <v>70</v>
      </c>
      <c r="AR22" s="676">
        <v>80</v>
      </c>
      <c r="AS22" s="676">
        <v>64</v>
      </c>
      <c r="AT22" s="676">
        <v>74</v>
      </c>
      <c r="AU22" s="676">
        <v>66</v>
      </c>
      <c r="AV22" s="676">
        <v>56</v>
      </c>
      <c r="AW22" s="676">
        <v>61</v>
      </c>
      <c r="AX22" s="525">
        <v>52</v>
      </c>
      <c r="AY22" s="680">
        <f t="shared" ref="AY22:CD22" si="50">+AX22+AY18</f>
        <v>41</v>
      </c>
      <c r="AZ22" s="16">
        <f t="shared" si="50"/>
        <v>54</v>
      </c>
      <c r="BA22" s="15">
        <f t="shared" si="50"/>
        <v>63</v>
      </c>
      <c r="BB22" s="15">
        <f t="shared" si="50"/>
        <v>68</v>
      </c>
      <c r="BC22" s="15">
        <f t="shared" si="50"/>
        <v>87</v>
      </c>
      <c r="BD22" s="15">
        <f t="shared" si="50"/>
        <v>100</v>
      </c>
      <c r="BE22" s="15">
        <f t="shared" si="50"/>
        <v>93</v>
      </c>
      <c r="BF22" s="15">
        <f t="shared" si="50"/>
        <v>89</v>
      </c>
      <c r="BG22" s="15">
        <f t="shared" si="50"/>
        <v>87</v>
      </c>
      <c r="BH22" s="15">
        <f t="shared" si="50"/>
        <v>68</v>
      </c>
      <c r="BI22" s="15">
        <f t="shared" si="50"/>
        <v>73</v>
      </c>
      <c r="BJ22" s="15">
        <f t="shared" si="50"/>
        <v>76</v>
      </c>
      <c r="BK22" s="245">
        <f t="shared" si="50"/>
        <v>60</v>
      </c>
      <c r="BL22" s="15">
        <f t="shared" si="50"/>
        <v>69</v>
      </c>
      <c r="BM22" s="15">
        <f t="shared" si="50"/>
        <v>74</v>
      </c>
      <c r="BN22" s="15">
        <f t="shared" si="50"/>
        <v>77</v>
      </c>
      <c r="BO22" s="15">
        <f t="shared" si="50"/>
        <v>95</v>
      </c>
      <c r="BP22" s="15">
        <f t="shared" si="50"/>
        <v>107</v>
      </c>
      <c r="BQ22" s="15">
        <f t="shared" si="50"/>
        <v>99</v>
      </c>
      <c r="BR22" s="15">
        <f t="shared" si="50"/>
        <v>94</v>
      </c>
      <c r="BS22" s="15">
        <f t="shared" si="50"/>
        <v>91</v>
      </c>
      <c r="BT22" s="15">
        <f t="shared" si="50"/>
        <v>70</v>
      </c>
      <c r="BU22" s="15">
        <f t="shared" si="50"/>
        <v>76</v>
      </c>
      <c r="BV22" s="15">
        <f t="shared" si="50"/>
        <v>79</v>
      </c>
      <c r="BW22" s="245">
        <f t="shared" si="50"/>
        <v>61</v>
      </c>
      <c r="BX22" s="15">
        <f t="shared" si="50"/>
        <v>70</v>
      </c>
      <c r="BY22" s="15">
        <f t="shared" si="50"/>
        <v>76</v>
      </c>
      <c r="BZ22" s="15">
        <f t="shared" si="50"/>
        <v>79</v>
      </c>
      <c r="CA22" s="15">
        <f t="shared" si="50"/>
        <v>98</v>
      </c>
      <c r="CB22" s="15">
        <f t="shared" si="50"/>
        <v>111</v>
      </c>
      <c r="CC22" s="15">
        <f t="shared" si="50"/>
        <v>102</v>
      </c>
      <c r="CD22" s="15">
        <f t="shared" si="50"/>
        <v>96</v>
      </c>
      <c r="CE22" s="15">
        <f t="shared" ref="CE22:DG22" si="51">+CD22+CE18</f>
        <v>93</v>
      </c>
      <c r="CF22" s="15">
        <f t="shared" si="51"/>
        <v>71</v>
      </c>
      <c r="CG22" s="15">
        <f t="shared" si="51"/>
        <v>77</v>
      </c>
      <c r="CH22" s="15">
        <f t="shared" si="51"/>
        <v>81</v>
      </c>
      <c r="CI22" s="245">
        <f t="shared" si="51"/>
        <v>62</v>
      </c>
      <c r="CJ22" s="15">
        <f t="shared" si="51"/>
        <v>72</v>
      </c>
      <c r="CK22" s="15">
        <f t="shared" si="51"/>
        <v>78</v>
      </c>
      <c r="CL22" s="15">
        <f t="shared" si="51"/>
        <v>81</v>
      </c>
      <c r="CM22" s="15">
        <f t="shared" si="51"/>
        <v>101</v>
      </c>
      <c r="CN22" s="15">
        <f t="shared" si="51"/>
        <v>115</v>
      </c>
      <c r="CO22" s="15">
        <f t="shared" si="51"/>
        <v>105</v>
      </c>
      <c r="CP22" s="15">
        <f t="shared" si="51"/>
        <v>99</v>
      </c>
      <c r="CQ22" s="15">
        <f t="shared" si="51"/>
        <v>96</v>
      </c>
      <c r="CR22" s="15">
        <f t="shared" si="51"/>
        <v>73</v>
      </c>
      <c r="CS22" s="15">
        <f t="shared" si="51"/>
        <v>80</v>
      </c>
      <c r="CT22" s="15">
        <f t="shared" si="51"/>
        <v>84</v>
      </c>
      <c r="CU22" s="245">
        <f t="shared" si="51"/>
        <v>65</v>
      </c>
      <c r="CV22" s="15">
        <f t="shared" si="51"/>
        <v>75</v>
      </c>
      <c r="CW22" s="15">
        <f t="shared" si="51"/>
        <v>81</v>
      </c>
      <c r="CX22" s="15">
        <f t="shared" si="51"/>
        <v>85</v>
      </c>
      <c r="CY22" s="15">
        <f t="shared" si="51"/>
        <v>106</v>
      </c>
      <c r="CZ22" s="15">
        <f t="shared" si="51"/>
        <v>120</v>
      </c>
      <c r="DA22" s="15">
        <f t="shared" si="51"/>
        <v>110</v>
      </c>
      <c r="DB22" s="15">
        <f t="shared" si="51"/>
        <v>103</v>
      </c>
      <c r="DC22" s="15">
        <f t="shared" si="51"/>
        <v>100</v>
      </c>
      <c r="DD22" s="15">
        <f t="shared" si="51"/>
        <v>76</v>
      </c>
      <c r="DE22" s="15">
        <f t="shared" si="51"/>
        <v>83</v>
      </c>
      <c r="DF22" s="15">
        <f t="shared" si="51"/>
        <v>87</v>
      </c>
      <c r="DG22" s="15">
        <f t="shared" si="51"/>
        <v>67</v>
      </c>
    </row>
    <row r="23" spans="1:111" x14ac:dyDescent="0.25">
      <c r="A23" s="28"/>
      <c r="B23" s="28"/>
      <c r="C23" s="569" t="s">
        <v>91</v>
      </c>
      <c r="D23" s="675"/>
      <c r="E23" s="677"/>
      <c r="F23" s="677"/>
      <c r="G23" s="677"/>
      <c r="H23" s="677"/>
      <c r="I23" s="677"/>
      <c r="J23" s="677"/>
      <c r="K23" s="677"/>
      <c r="L23" s="677"/>
      <c r="M23" s="677"/>
      <c r="N23" s="677"/>
      <c r="O23" s="677"/>
      <c r="P23" s="676"/>
      <c r="Q23" s="676"/>
      <c r="R23" s="676"/>
      <c r="S23" s="676"/>
      <c r="T23" s="676"/>
      <c r="U23" s="676"/>
      <c r="V23" s="681">
        <f t="shared" ref="V23:AX23" si="52">+(V21-V15)/V21</f>
        <v>0.25</v>
      </c>
      <c r="W23" s="681">
        <f t="shared" si="52"/>
        <v>0.18807339449541285</v>
      </c>
      <c r="X23" s="681">
        <f t="shared" si="52"/>
        <v>0.2139917695473251</v>
      </c>
      <c r="Y23" s="681">
        <f t="shared" si="52"/>
        <v>0.20833333333333334</v>
      </c>
      <c r="Z23" s="681">
        <f t="shared" si="52"/>
        <v>0.20675105485232068</v>
      </c>
      <c r="AA23" s="681">
        <f t="shared" si="52"/>
        <v>7.5892857142857137E-2</v>
      </c>
      <c r="AB23" s="681">
        <f t="shared" si="52"/>
        <v>5.6338028169014086E-2</v>
      </c>
      <c r="AC23" s="681">
        <f t="shared" si="52"/>
        <v>9.7560975609756101E-2</v>
      </c>
      <c r="AD23" s="681">
        <f t="shared" si="52"/>
        <v>9.4117647058823528E-2</v>
      </c>
      <c r="AE23" s="681">
        <f t="shared" si="52"/>
        <v>0.10344827586206896</v>
      </c>
      <c r="AF23" s="681">
        <f t="shared" si="52"/>
        <v>7.8651685393258425E-2</v>
      </c>
      <c r="AG23" s="681">
        <f t="shared" si="52"/>
        <v>6.25E-2</v>
      </c>
      <c r="AH23" s="681">
        <f t="shared" si="52"/>
        <v>0.16455696202531644</v>
      </c>
      <c r="AI23" s="681">
        <f t="shared" si="52"/>
        <v>0.15909090909090909</v>
      </c>
      <c r="AJ23" s="681">
        <f t="shared" si="52"/>
        <v>7.6923076923076927E-2</v>
      </c>
      <c r="AK23" s="681">
        <f t="shared" si="52"/>
        <v>0.10989010989010989</v>
      </c>
      <c r="AL23" s="681">
        <f t="shared" si="52"/>
        <v>9.0909090909090912E-2</v>
      </c>
      <c r="AM23" s="681">
        <f t="shared" si="52"/>
        <v>7.575757575757576E-2</v>
      </c>
      <c r="AN23" s="681">
        <f t="shared" si="52"/>
        <v>5.7142857142857141E-2</v>
      </c>
      <c r="AO23" s="681">
        <f t="shared" si="52"/>
        <v>6.7567567567567571E-2</v>
      </c>
      <c r="AP23" s="681">
        <f t="shared" si="52"/>
        <v>5.5555555555555552E-2</v>
      </c>
      <c r="AQ23" s="681">
        <f t="shared" si="52"/>
        <v>8.8888888888888892E-2</v>
      </c>
      <c r="AR23" s="681">
        <f t="shared" si="52"/>
        <v>7.7777777777777779E-2</v>
      </c>
      <c r="AS23" s="681">
        <f t="shared" si="52"/>
        <v>6.4935064935064929E-2</v>
      </c>
      <c r="AT23" s="681">
        <f t="shared" si="52"/>
        <v>0.13636363636363635</v>
      </c>
      <c r="AU23" s="681">
        <f t="shared" si="52"/>
        <v>0.13095238095238096</v>
      </c>
      <c r="AV23" s="681">
        <f t="shared" si="52"/>
        <v>8.8235294117647065E-2</v>
      </c>
      <c r="AW23" s="681">
        <f t="shared" si="52"/>
        <v>5.2631578947368418E-2</v>
      </c>
      <c r="AX23" s="528">
        <f t="shared" si="52"/>
        <v>1.7241379310344827E-2</v>
      </c>
      <c r="AY23" s="682">
        <f>+AVERAGE(AS23:AX23)</f>
        <v>8.1726555771073753E-2</v>
      </c>
      <c r="AZ23" s="683">
        <v>0.08</v>
      </c>
      <c r="BA23" s="242">
        <f t="shared" ref="BA23:BK23" si="53">+AZ23</f>
        <v>0.08</v>
      </c>
      <c r="BB23" s="242">
        <f t="shared" si="53"/>
        <v>0.08</v>
      </c>
      <c r="BC23" s="242">
        <f t="shared" si="53"/>
        <v>0.08</v>
      </c>
      <c r="BD23" s="242">
        <f t="shared" si="53"/>
        <v>0.08</v>
      </c>
      <c r="BE23" s="242">
        <f t="shared" si="53"/>
        <v>0.08</v>
      </c>
      <c r="BF23" s="242">
        <f t="shared" si="53"/>
        <v>0.08</v>
      </c>
      <c r="BG23" s="242">
        <f t="shared" si="53"/>
        <v>0.08</v>
      </c>
      <c r="BH23" s="242">
        <f t="shared" si="53"/>
        <v>0.08</v>
      </c>
      <c r="BI23" s="242">
        <f t="shared" si="53"/>
        <v>0.08</v>
      </c>
      <c r="BJ23" s="242">
        <f t="shared" si="53"/>
        <v>0.08</v>
      </c>
      <c r="BK23" s="244">
        <f t="shared" si="53"/>
        <v>0.08</v>
      </c>
      <c r="BL23" s="241">
        <v>0.05</v>
      </c>
      <c r="BM23" s="242">
        <f t="shared" ref="BM23:BW23" si="54">+BL23</f>
        <v>0.05</v>
      </c>
      <c r="BN23" s="242">
        <f t="shared" si="54"/>
        <v>0.05</v>
      </c>
      <c r="BO23" s="242">
        <f t="shared" si="54"/>
        <v>0.05</v>
      </c>
      <c r="BP23" s="242">
        <f t="shared" si="54"/>
        <v>0.05</v>
      </c>
      <c r="BQ23" s="242">
        <f t="shared" si="54"/>
        <v>0.05</v>
      </c>
      <c r="BR23" s="242">
        <f t="shared" si="54"/>
        <v>0.05</v>
      </c>
      <c r="BS23" s="242">
        <f t="shared" si="54"/>
        <v>0.05</v>
      </c>
      <c r="BT23" s="242">
        <f t="shared" si="54"/>
        <v>0.05</v>
      </c>
      <c r="BU23" s="242">
        <f t="shared" si="54"/>
        <v>0.05</v>
      </c>
      <c r="BV23" s="242">
        <f t="shared" si="54"/>
        <v>0.05</v>
      </c>
      <c r="BW23" s="244">
        <f t="shared" si="54"/>
        <v>0.05</v>
      </c>
      <c r="BX23" s="241">
        <v>0.03</v>
      </c>
      <c r="BY23" s="242">
        <f t="shared" ref="BY23:DG23" si="55">+BX23</f>
        <v>0.03</v>
      </c>
      <c r="BZ23" s="242">
        <f t="shared" si="55"/>
        <v>0.03</v>
      </c>
      <c r="CA23" s="242">
        <f t="shared" si="55"/>
        <v>0.03</v>
      </c>
      <c r="CB23" s="242">
        <f t="shared" si="55"/>
        <v>0.03</v>
      </c>
      <c r="CC23" s="242">
        <f t="shared" si="55"/>
        <v>0.03</v>
      </c>
      <c r="CD23" s="242">
        <f t="shared" si="55"/>
        <v>0.03</v>
      </c>
      <c r="CE23" s="242">
        <f t="shared" si="55"/>
        <v>0.03</v>
      </c>
      <c r="CF23" s="242">
        <f t="shared" si="55"/>
        <v>0.03</v>
      </c>
      <c r="CG23" s="242">
        <f t="shared" si="55"/>
        <v>0.03</v>
      </c>
      <c r="CH23" s="242">
        <f t="shared" si="55"/>
        <v>0.03</v>
      </c>
      <c r="CI23" s="244">
        <f t="shared" si="55"/>
        <v>0.03</v>
      </c>
      <c r="CJ23" s="242">
        <f t="shared" si="55"/>
        <v>0.03</v>
      </c>
      <c r="CK23" s="242">
        <f t="shared" si="55"/>
        <v>0.03</v>
      </c>
      <c r="CL23" s="242">
        <f t="shared" si="55"/>
        <v>0.03</v>
      </c>
      <c r="CM23" s="242">
        <f t="shared" si="55"/>
        <v>0.03</v>
      </c>
      <c r="CN23" s="242">
        <f t="shared" si="55"/>
        <v>0.03</v>
      </c>
      <c r="CO23" s="242">
        <f t="shared" si="55"/>
        <v>0.03</v>
      </c>
      <c r="CP23" s="242">
        <f t="shared" si="55"/>
        <v>0.03</v>
      </c>
      <c r="CQ23" s="242">
        <f t="shared" si="55"/>
        <v>0.03</v>
      </c>
      <c r="CR23" s="242">
        <f t="shared" si="55"/>
        <v>0.03</v>
      </c>
      <c r="CS23" s="242">
        <f t="shared" si="55"/>
        <v>0.03</v>
      </c>
      <c r="CT23" s="242">
        <f t="shared" si="55"/>
        <v>0.03</v>
      </c>
      <c r="CU23" s="244">
        <f t="shared" si="55"/>
        <v>0.03</v>
      </c>
      <c r="CV23" s="242">
        <f t="shared" si="55"/>
        <v>0.03</v>
      </c>
      <c r="CW23" s="242">
        <f t="shared" si="55"/>
        <v>0.03</v>
      </c>
      <c r="CX23" s="242">
        <f t="shared" si="55"/>
        <v>0.03</v>
      </c>
      <c r="CY23" s="242">
        <f t="shared" si="55"/>
        <v>0.03</v>
      </c>
      <c r="CZ23" s="242">
        <f t="shared" si="55"/>
        <v>0.03</v>
      </c>
      <c r="DA23" s="242">
        <f t="shared" si="55"/>
        <v>0.03</v>
      </c>
      <c r="DB23" s="242">
        <f t="shared" si="55"/>
        <v>0.03</v>
      </c>
      <c r="DC23" s="242">
        <f t="shared" si="55"/>
        <v>0.03</v>
      </c>
      <c r="DD23" s="242">
        <f t="shared" si="55"/>
        <v>0.03</v>
      </c>
      <c r="DE23" s="242">
        <f t="shared" si="55"/>
        <v>0.03</v>
      </c>
      <c r="DF23" s="242">
        <f t="shared" si="55"/>
        <v>0.03</v>
      </c>
      <c r="DG23" s="242">
        <f t="shared" si="55"/>
        <v>0.03</v>
      </c>
    </row>
    <row r="24" spans="1:111" s="280" customFormat="1" x14ac:dyDescent="0.25">
      <c r="A24" s="28"/>
      <c r="B24" s="28"/>
      <c r="C24" s="569" t="s">
        <v>92</v>
      </c>
      <c r="D24" s="675"/>
      <c r="E24" s="677"/>
      <c r="F24" s="677"/>
      <c r="G24" s="677"/>
      <c r="H24" s="677"/>
      <c r="I24" s="677"/>
      <c r="J24" s="677"/>
      <c r="K24" s="677"/>
      <c r="L24" s="677"/>
      <c r="M24" s="677"/>
      <c r="N24" s="677"/>
      <c r="O24" s="677"/>
      <c r="P24" s="676"/>
      <c r="Q24" s="676"/>
      <c r="R24" s="676"/>
      <c r="S24" s="676"/>
      <c r="T24" s="676"/>
      <c r="U24" s="676"/>
      <c r="V24" s="684"/>
      <c r="W24" s="684"/>
      <c r="X24" s="684">
        <f t="shared" ref="X24:BC24" si="56">+(X16/W16)-1</f>
        <v>0</v>
      </c>
      <c r="Y24" s="684">
        <f t="shared" si="56"/>
        <v>4.8780487804878092E-2</v>
      </c>
      <c r="Z24" s="684">
        <f t="shared" si="56"/>
        <v>-1.5503875968992276E-2</v>
      </c>
      <c r="AA24" s="684">
        <f t="shared" si="56"/>
        <v>-7.8740157480314821E-3</v>
      </c>
      <c r="AB24" s="684">
        <f t="shared" si="56"/>
        <v>-0.56349206349206349</v>
      </c>
      <c r="AC24" s="684">
        <f t="shared" si="56"/>
        <v>0.25454545454545463</v>
      </c>
      <c r="AD24" s="684">
        <f t="shared" si="56"/>
        <v>-1.4492753623188359E-2</v>
      </c>
      <c r="AE24" s="684">
        <f t="shared" si="56"/>
        <v>-2.9411764705882359E-2</v>
      </c>
      <c r="AF24" s="684">
        <f t="shared" si="56"/>
        <v>4.5454545454545414E-2</v>
      </c>
      <c r="AG24" s="684">
        <f t="shared" si="56"/>
        <v>-5.7971014492753659E-2</v>
      </c>
      <c r="AH24" s="684">
        <f t="shared" si="56"/>
        <v>-0.16923076923076918</v>
      </c>
      <c r="AI24" s="684">
        <f t="shared" si="56"/>
        <v>0.20370370370370372</v>
      </c>
      <c r="AJ24" s="684">
        <f t="shared" si="56"/>
        <v>-0.35384615384615381</v>
      </c>
      <c r="AK24" s="684">
        <f t="shared" si="56"/>
        <v>0.5714285714285714</v>
      </c>
      <c r="AL24" s="684">
        <f t="shared" si="56"/>
        <v>-0.30303030303030298</v>
      </c>
      <c r="AM24" s="684">
        <f t="shared" si="56"/>
        <v>0.17391304347826098</v>
      </c>
      <c r="AN24" s="684">
        <f t="shared" si="56"/>
        <v>9.259259259259256E-2</v>
      </c>
      <c r="AO24" s="684">
        <f t="shared" si="56"/>
        <v>0</v>
      </c>
      <c r="AP24" s="684">
        <f t="shared" si="56"/>
        <v>6.7796610169491567E-2</v>
      </c>
      <c r="AQ24" s="684">
        <f t="shared" si="56"/>
        <v>9.5238095238095344E-2</v>
      </c>
      <c r="AR24" s="684">
        <f t="shared" si="56"/>
        <v>0.13043478260869557</v>
      </c>
      <c r="AS24" s="684">
        <f t="shared" si="56"/>
        <v>-0.20512820512820518</v>
      </c>
      <c r="AT24" s="684">
        <f t="shared" si="56"/>
        <v>8.0645161290322509E-2</v>
      </c>
      <c r="AU24" s="684">
        <f t="shared" si="56"/>
        <v>-0.10447761194029848</v>
      </c>
      <c r="AV24" s="684">
        <f t="shared" si="56"/>
        <v>-9.9999999999999978E-2</v>
      </c>
      <c r="AW24" s="684">
        <f t="shared" si="56"/>
        <v>7.4074074074074181E-2</v>
      </c>
      <c r="AX24" s="529">
        <f t="shared" si="56"/>
        <v>-0.12068965517241381</v>
      </c>
      <c r="AY24" s="685">
        <f t="shared" si="56"/>
        <v>-0.23907203202948146</v>
      </c>
      <c r="AZ24" s="174">
        <f t="shared" si="56"/>
        <v>0.31707317073170738</v>
      </c>
      <c r="BA24" s="173">
        <f t="shared" si="56"/>
        <v>0.16666666666666652</v>
      </c>
      <c r="BB24" s="173">
        <f t="shared" si="56"/>
        <v>7.9365079365079527E-2</v>
      </c>
      <c r="BC24" s="173">
        <f t="shared" si="56"/>
        <v>0.27941176470588247</v>
      </c>
      <c r="BD24" s="173">
        <f t="shared" ref="BD24:CI24" si="57">+(BD16/BC16)-1</f>
        <v>0.14942528735632177</v>
      </c>
      <c r="BE24" s="173">
        <f t="shared" si="57"/>
        <v>-6.9999999999999951E-2</v>
      </c>
      <c r="BF24" s="173">
        <f t="shared" si="57"/>
        <v>-4.3010752688172116E-2</v>
      </c>
      <c r="BG24" s="173">
        <f t="shared" si="57"/>
        <v>-2.2471910112359383E-2</v>
      </c>
      <c r="BH24" s="173">
        <f t="shared" si="57"/>
        <v>-0.21839080459770122</v>
      </c>
      <c r="BI24" s="173">
        <f t="shared" si="57"/>
        <v>7.3529411764705843E-2</v>
      </c>
      <c r="BJ24" s="173">
        <f t="shared" si="57"/>
        <v>4.1095890410958846E-2</v>
      </c>
      <c r="BK24" s="251">
        <f t="shared" si="57"/>
        <v>-0.21052631578947378</v>
      </c>
      <c r="BL24" s="173">
        <f t="shared" si="57"/>
        <v>0.14999999999999991</v>
      </c>
      <c r="BM24" s="173">
        <f t="shared" si="57"/>
        <v>7.2463768115942129E-2</v>
      </c>
      <c r="BN24" s="173">
        <f t="shared" si="57"/>
        <v>4.0540540540540571E-2</v>
      </c>
      <c r="BO24" s="173">
        <f t="shared" si="57"/>
        <v>0.23376623376623362</v>
      </c>
      <c r="BP24" s="173">
        <f t="shared" si="57"/>
        <v>0.12631578947368438</v>
      </c>
      <c r="BQ24" s="173">
        <f t="shared" si="57"/>
        <v>-7.4766355140186924E-2</v>
      </c>
      <c r="BR24" s="173">
        <f t="shared" si="57"/>
        <v>-5.0505050505050497E-2</v>
      </c>
      <c r="BS24" s="173">
        <f t="shared" si="57"/>
        <v>-3.1914893617021267E-2</v>
      </c>
      <c r="BT24" s="173">
        <f t="shared" si="57"/>
        <v>-0.23076923076923073</v>
      </c>
      <c r="BU24" s="173">
        <f t="shared" si="57"/>
        <v>8.5714285714285632E-2</v>
      </c>
      <c r="BV24" s="173">
        <f t="shared" si="57"/>
        <v>3.9473684210526327E-2</v>
      </c>
      <c r="BW24" s="251">
        <f t="shared" si="57"/>
        <v>-0.22784810126582278</v>
      </c>
      <c r="BX24" s="173">
        <f t="shared" si="57"/>
        <v>0.14754098360655754</v>
      </c>
      <c r="BY24" s="173">
        <f t="shared" si="57"/>
        <v>8.5714285714285632E-2</v>
      </c>
      <c r="BZ24" s="173">
        <f t="shared" si="57"/>
        <v>3.9473684210526327E-2</v>
      </c>
      <c r="CA24" s="173">
        <f t="shared" si="57"/>
        <v>0.240506329113924</v>
      </c>
      <c r="CB24" s="173">
        <f t="shared" si="57"/>
        <v>0.13265306122448983</v>
      </c>
      <c r="CC24" s="173">
        <f t="shared" si="57"/>
        <v>-8.108108108108103E-2</v>
      </c>
      <c r="CD24" s="173">
        <f t="shared" si="57"/>
        <v>-5.8823529411764719E-2</v>
      </c>
      <c r="CE24" s="173">
        <f t="shared" si="57"/>
        <v>-3.125E-2</v>
      </c>
      <c r="CF24" s="173">
        <f t="shared" si="57"/>
        <v>-0.23655913978494625</v>
      </c>
      <c r="CG24" s="173">
        <f t="shared" si="57"/>
        <v>8.4507042253521014E-2</v>
      </c>
      <c r="CH24" s="173">
        <f t="shared" si="57"/>
        <v>5.1948051948051965E-2</v>
      </c>
      <c r="CI24" s="251">
        <f t="shared" si="57"/>
        <v>-0.23456790123456783</v>
      </c>
      <c r="CJ24" s="173">
        <f t="shared" ref="CJ24:DG24" si="58">+(CJ16/CI16)-1</f>
        <v>0.16129032258064502</v>
      </c>
      <c r="CK24" s="173">
        <f t="shared" si="58"/>
        <v>8.3333333333333259E-2</v>
      </c>
      <c r="CL24" s="173">
        <f t="shared" si="58"/>
        <v>3.8461538461538547E-2</v>
      </c>
      <c r="CM24" s="173">
        <f t="shared" si="58"/>
        <v>0.24691358024691379</v>
      </c>
      <c r="CN24" s="173">
        <f t="shared" si="58"/>
        <v>0.13861386138613851</v>
      </c>
      <c r="CO24" s="173">
        <f t="shared" si="58"/>
        <v>-8.6956521739130377E-2</v>
      </c>
      <c r="CP24" s="173">
        <f t="shared" si="58"/>
        <v>-5.7142857142857162E-2</v>
      </c>
      <c r="CQ24" s="173">
        <f t="shared" si="58"/>
        <v>-3.0303030303030276E-2</v>
      </c>
      <c r="CR24" s="173">
        <f t="shared" si="58"/>
        <v>-0.23958333333333326</v>
      </c>
      <c r="CS24" s="173">
        <f t="shared" si="58"/>
        <v>9.5890410958904049E-2</v>
      </c>
      <c r="CT24" s="173">
        <f t="shared" si="58"/>
        <v>5.0000000000000044E-2</v>
      </c>
      <c r="CU24" s="251">
        <f t="shared" si="58"/>
        <v>-0.22619047619047628</v>
      </c>
      <c r="CV24" s="173">
        <f t="shared" si="58"/>
        <v>0.15384615384615374</v>
      </c>
      <c r="CW24" s="173">
        <f t="shared" si="58"/>
        <v>8.0000000000000071E-2</v>
      </c>
      <c r="CX24" s="173">
        <f t="shared" si="58"/>
        <v>4.9382716049382935E-2</v>
      </c>
      <c r="CY24" s="173">
        <f t="shared" si="58"/>
        <v>0.24705882352941178</v>
      </c>
      <c r="CZ24" s="173">
        <f t="shared" si="58"/>
        <v>0.13207547169811318</v>
      </c>
      <c r="DA24" s="173">
        <f t="shared" si="58"/>
        <v>-8.3333333333333259E-2</v>
      </c>
      <c r="DB24" s="173">
        <f t="shared" si="58"/>
        <v>-6.3636363636363713E-2</v>
      </c>
      <c r="DC24" s="173">
        <f t="shared" si="58"/>
        <v>-2.9126213592232997E-2</v>
      </c>
      <c r="DD24" s="173">
        <f t="shared" si="58"/>
        <v>-0.24</v>
      </c>
      <c r="DE24" s="173">
        <f t="shared" si="58"/>
        <v>9.210526315789469E-2</v>
      </c>
      <c r="DF24" s="173">
        <f t="shared" si="58"/>
        <v>4.8192771084337505E-2</v>
      </c>
      <c r="DG24" s="173">
        <f t="shared" si="58"/>
        <v>-0.22988505747126442</v>
      </c>
    </row>
    <row r="25" spans="1:111" s="280" customFormat="1" x14ac:dyDescent="0.25">
      <c r="A25" s="28"/>
      <c r="B25" s="28"/>
      <c r="C25" s="569" t="s">
        <v>93</v>
      </c>
      <c r="D25" s="675"/>
      <c r="E25" s="677"/>
      <c r="F25" s="677"/>
      <c r="G25" s="677"/>
      <c r="H25" s="677"/>
      <c r="I25" s="677"/>
      <c r="J25" s="677"/>
      <c r="K25" s="677"/>
      <c r="L25" s="677"/>
      <c r="M25" s="677"/>
      <c r="N25" s="677"/>
      <c r="O25" s="677"/>
      <c r="P25" s="676"/>
      <c r="Q25" s="676"/>
      <c r="R25" s="676"/>
      <c r="S25" s="676"/>
      <c r="T25" s="676"/>
      <c r="U25" s="676"/>
      <c r="V25" s="684"/>
      <c r="W25" s="684">
        <f t="shared" ref="W25:AX25" si="59">+(W16/W22)</f>
        <v>0.91111111111111109</v>
      </c>
      <c r="X25" s="684">
        <f t="shared" si="59"/>
        <v>0.8848920863309353</v>
      </c>
      <c r="Y25" s="684">
        <f t="shared" si="59"/>
        <v>0.89583333333333337</v>
      </c>
      <c r="Z25" s="684">
        <f t="shared" si="59"/>
        <v>0.88811188811188813</v>
      </c>
      <c r="AA25" s="684">
        <f t="shared" si="59"/>
        <v>0.93333333333333335</v>
      </c>
      <c r="AB25" s="684">
        <f t="shared" si="59"/>
        <v>0.93220338983050843</v>
      </c>
      <c r="AC25" s="684">
        <f t="shared" si="59"/>
        <v>0.93243243243243246</v>
      </c>
      <c r="AD25" s="684">
        <f t="shared" si="59"/>
        <v>0.91891891891891897</v>
      </c>
      <c r="AE25" s="684">
        <f t="shared" si="59"/>
        <v>0.90410958904109584</v>
      </c>
      <c r="AF25" s="684">
        <f t="shared" si="59"/>
        <v>0.95833333333333337</v>
      </c>
      <c r="AG25" s="684">
        <f t="shared" si="59"/>
        <v>0.95588235294117652</v>
      </c>
      <c r="AH25" s="684">
        <f t="shared" si="59"/>
        <v>0.83076923076923082</v>
      </c>
      <c r="AI25" s="684">
        <f t="shared" si="59"/>
        <v>0.8904109589041096</v>
      </c>
      <c r="AJ25" s="684">
        <f t="shared" si="59"/>
        <v>0.97674418604651159</v>
      </c>
      <c r="AK25" s="684">
        <f t="shared" si="59"/>
        <v>0.94285714285714284</v>
      </c>
      <c r="AL25" s="684">
        <f t="shared" si="59"/>
        <v>0.97872340425531912</v>
      </c>
      <c r="AM25" s="684">
        <f t="shared" si="59"/>
        <v>0.94736842105263153</v>
      </c>
      <c r="AN25" s="684">
        <f t="shared" si="59"/>
        <v>0.93650793650793651</v>
      </c>
      <c r="AO25" s="684">
        <f t="shared" si="59"/>
        <v>0.98333333333333328</v>
      </c>
      <c r="AP25" s="684">
        <f t="shared" si="59"/>
        <v>0.96923076923076923</v>
      </c>
      <c r="AQ25" s="684">
        <f t="shared" si="59"/>
        <v>0.98571428571428577</v>
      </c>
      <c r="AR25" s="684">
        <f t="shared" si="59"/>
        <v>0.97499999999999998</v>
      </c>
      <c r="AS25" s="684">
        <f t="shared" si="59"/>
        <v>0.96875</v>
      </c>
      <c r="AT25" s="684">
        <f t="shared" si="59"/>
        <v>0.90540540540540537</v>
      </c>
      <c r="AU25" s="684">
        <f t="shared" si="59"/>
        <v>0.90909090909090906</v>
      </c>
      <c r="AV25" s="684">
        <f t="shared" si="59"/>
        <v>0.9642857142857143</v>
      </c>
      <c r="AW25" s="684">
        <f t="shared" si="59"/>
        <v>0.95081967213114749</v>
      </c>
      <c r="AX25" s="529">
        <f t="shared" si="59"/>
        <v>0.98076923076923073</v>
      </c>
      <c r="AY25" s="686">
        <f>+AVERAGE(AS25:AX25)</f>
        <v>0.94652015528040112</v>
      </c>
      <c r="AZ25" s="174">
        <f t="shared" ref="AZ25:CE25" si="60">+AY25</f>
        <v>0.94652015528040112</v>
      </c>
      <c r="BA25" s="173">
        <f t="shared" si="60"/>
        <v>0.94652015528040112</v>
      </c>
      <c r="BB25" s="173">
        <f t="shared" si="60"/>
        <v>0.94652015528040112</v>
      </c>
      <c r="BC25" s="173">
        <f t="shared" si="60"/>
        <v>0.94652015528040112</v>
      </c>
      <c r="BD25" s="173">
        <f t="shared" si="60"/>
        <v>0.94652015528040112</v>
      </c>
      <c r="BE25" s="173">
        <f t="shared" si="60"/>
        <v>0.94652015528040112</v>
      </c>
      <c r="BF25" s="173">
        <f t="shared" si="60"/>
        <v>0.94652015528040112</v>
      </c>
      <c r="BG25" s="173">
        <f t="shared" si="60"/>
        <v>0.94652015528040112</v>
      </c>
      <c r="BH25" s="173">
        <f t="shared" si="60"/>
        <v>0.94652015528040112</v>
      </c>
      <c r="BI25" s="173">
        <f t="shared" si="60"/>
        <v>0.94652015528040112</v>
      </c>
      <c r="BJ25" s="173">
        <f t="shared" si="60"/>
        <v>0.94652015528040112</v>
      </c>
      <c r="BK25" s="251">
        <f t="shared" si="60"/>
        <v>0.94652015528040112</v>
      </c>
      <c r="BL25" s="173">
        <f t="shared" si="60"/>
        <v>0.94652015528040112</v>
      </c>
      <c r="BM25" s="173">
        <f t="shared" si="60"/>
        <v>0.94652015528040112</v>
      </c>
      <c r="BN25" s="173">
        <f t="shared" si="60"/>
        <v>0.94652015528040112</v>
      </c>
      <c r="BO25" s="173">
        <f t="shared" si="60"/>
        <v>0.94652015528040112</v>
      </c>
      <c r="BP25" s="173">
        <f t="shared" si="60"/>
        <v>0.94652015528040112</v>
      </c>
      <c r="BQ25" s="173">
        <f t="shared" si="60"/>
        <v>0.94652015528040112</v>
      </c>
      <c r="BR25" s="173">
        <f t="shared" si="60"/>
        <v>0.94652015528040112</v>
      </c>
      <c r="BS25" s="173">
        <f t="shared" si="60"/>
        <v>0.94652015528040112</v>
      </c>
      <c r="BT25" s="173">
        <f t="shared" si="60"/>
        <v>0.94652015528040112</v>
      </c>
      <c r="BU25" s="173">
        <f t="shared" si="60"/>
        <v>0.94652015528040112</v>
      </c>
      <c r="BV25" s="173">
        <f t="shared" si="60"/>
        <v>0.94652015528040112</v>
      </c>
      <c r="BW25" s="251">
        <f t="shared" si="60"/>
        <v>0.94652015528040112</v>
      </c>
      <c r="BX25" s="173">
        <f t="shared" si="60"/>
        <v>0.94652015528040112</v>
      </c>
      <c r="BY25" s="173">
        <f t="shared" si="60"/>
        <v>0.94652015528040112</v>
      </c>
      <c r="BZ25" s="173">
        <f t="shared" si="60"/>
        <v>0.94652015528040112</v>
      </c>
      <c r="CA25" s="173">
        <f t="shared" si="60"/>
        <v>0.94652015528040112</v>
      </c>
      <c r="CB25" s="173">
        <f t="shared" si="60"/>
        <v>0.94652015528040112</v>
      </c>
      <c r="CC25" s="173">
        <f t="shared" si="60"/>
        <v>0.94652015528040112</v>
      </c>
      <c r="CD25" s="173">
        <f t="shared" si="60"/>
        <v>0.94652015528040112</v>
      </c>
      <c r="CE25" s="173">
        <f t="shared" si="60"/>
        <v>0.94652015528040112</v>
      </c>
      <c r="CF25" s="173">
        <f t="shared" ref="CF25:DG25" si="61">+CE25</f>
        <v>0.94652015528040112</v>
      </c>
      <c r="CG25" s="173">
        <f t="shared" si="61"/>
        <v>0.94652015528040112</v>
      </c>
      <c r="CH25" s="173">
        <f t="shared" si="61"/>
        <v>0.94652015528040112</v>
      </c>
      <c r="CI25" s="251">
        <f t="shared" si="61"/>
        <v>0.94652015528040112</v>
      </c>
      <c r="CJ25" s="173">
        <f t="shared" si="61"/>
        <v>0.94652015528040112</v>
      </c>
      <c r="CK25" s="173">
        <f t="shared" si="61"/>
        <v>0.94652015528040112</v>
      </c>
      <c r="CL25" s="173">
        <f t="shared" si="61"/>
        <v>0.94652015528040112</v>
      </c>
      <c r="CM25" s="173">
        <f t="shared" si="61"/>
        <v>0.94652015528040112</v>
      </c>
      <c r="CN25" s="173">
        <f t="shared" si="61"/>
        <v>0.94652015528040112</v>
      </c>
      <c r="CO25" s="173">
        <f t="shared" si="61"/>
        <v>0.94652015528040112</v>
      </c>
      <c r="CP25" s="173">
        <f t="shared" si="61"/>
        <v>0.94652015528040112</v>
      </c>
      <c r="CQ25" s="173">
        <f t="shared" si="61"/>
        <v>0.94652015528040112</v>
      </c>
      <c r="CR25" s="173">
        <f t="shared" si="61"/>
        <v>0.94652015528040112</v>
      </c>
      <c r="CS25" s="173">
        <f t="shared" si="61"/>
        <v>0.94652015528040112</v>
      </c>
      <c r="CT25" s="173">
        <f t="shared" si="61"/>
        <v>0.94652015528040112</v>
      </c>
      <c r="CU25" s="251">
        <f t="shared" si="61"/>
        <v>0.94652015528040112</v>
      </c>
      <c r="CV25" s="173">
        <f t="shared" si="61"/>
        <v>0.94652015528040112</v>
      </c>
      <c r="CW25" s="173">
        <f t="shared" si="61"/>
        <v>0.94652015528040112</v>
      </c>
      <c r="CX25" s="173">
        <f t="shared" si="61"/>
        <v>0.94652015528040112</v>
      </c>
      <c r="CY25" s="173">
        <f t="shared" si="61"/>
        <v>0.94652015528040112</v>
      </c>
      <c r="CZ25" s="173">
        <f t="shared" si="61"/>
        <v>0.94652015528040112</v>
      </c>
      <c r="DA25" s="173">
        <f t="shared" si="61"/>
        <v>0.94652015528040112</v>
      </c>
      <c r="DB25" s="173">
        <f t="shared" si="61"/>
        <v>0.94652015528040112</v>
      </c>
      <c r="DC25" s="173">
        <f t="shared" si="61"/>
        <v>0.94652015528040112</v>
      </c>
      <c r="DD25" s="173">
        <f t="shared" si="61"/>
        <v>0.94652015528040112</v>
      </c>
      <c r="DE25" s="173">
        <f t="shared" si="61"/>
        <v>0.94652015528040112</v>
      </c>
      <c r="DF25" s="173">
        <f t="shared" si="61"/>
        <v>0.94652015528040112</v>
      </c>
      <c r="DG25" s="173">
        <f t="shared" si="61"/>
        <v>0.94652015528040112</v>
      </c>
    </row>
    <row r="26" spans="1:111" ht="18.75" customHeight="1" x14ac:dyDescent="0.25">
      <c r="A26" s="30"/>
      <c r="B26" s="30"/>
      <c r="C26" s="571" t="s">
        <v>94</v>
      </c>
      <c r="D26" s="687"/>
      <c r="E26" s="687"/>
      <c r="F26" s="687"/>
      <c r="G26" s="687"/>
      <c r="H26" s="687"/>
      <c r="I26" s="687"/>
      <c r="J26" s="687"/>
      <c r="K26" s="688"/>
      <c r="L26" s="688"/>
      <c r="M26" s="688"/>
      <c r="N26" s="688"/>
      <c r="O26" s="688"/>
      <c r="P26" s="688"/>
      <c r="Q26" s="688"/>
      <c r="R26" s="688"/>
      <c r="S26" s="688"/>
      <c r="T26" s="688"/>
      <c r="U26" s="689"/>
      <c r="V26" s="690"/>
      <c r="W26" s="689">
        <f t="shared" ref="W26:AX26" si="62">+W15/W16</f>
        <v>1.4390243902439024</v>
      </c>
      <c r="X26" s="689">
        <f t="shared" si="62"/>
        <v>1.5528455284552845</v>
      </c>
      <c r="Y26" s="689">
        <f t="shared" si="62"/>
        <v>1.4728682170542635</v>
      </c>
      <c r="Z26" s="689">
        <f t="shared" si="62"/>
        <v>1.4803149606299213</v>
      </c>
      <c r="AA26" s="689">
        <f t="shared" si="62"/>
        <v>1.6428571428571428</v>
      </c>
      <c r="AB26" s="689">
        <f t="shared" si="62"/>
        <v>1.2181818181818183</v>
      </c>
      <c r="AC26" s="689">
        <f t="shared" si="62"/>
        <v>1.0724637681159421</v>
      </c>
      <c r="AD26" s="689">
        <f t="shared" si="62"/>
        <v>1.1323529411764706</v>
      </c>
      <c r="AE26" s="689">
        <f t="shared" si="62"/>
        <v>1.1818181818181819</v>
      </c>
      <c r="AF26" s="689">
        <f t="shared" si="62"/>
        <v>1.1884057971014492</v>
      </c>
      <c r="AG26" s="689">
        <f t="shared" si="62"/>
        <v>1.1538461538461537</v>
      </c>
      <c r="AH26" s="689">
        <f t="shared" si="62"/>
        <v>1.2222222222222223</v>
      </c>
      <c r="AI26" s="689">
        <f t="shared" si="62"/>
        <v>1.1384615384615384</v>
      </c>
      <c r="AJ26" s="689">
        <f t="shared" si="62"/>
        <v>1.1428571428571428</v>
      </c>
      <c r="AK26" s="689">
        <f t="shared" si="62"/>
        <v>1.2272727272727273</v>
      </c>
      <c r="AL26" s="689">
        <f t="shared" si="62"/>
        <v>1.0869565217391304</v>
      </c>
      <c r="AM26" s="689">
        <f t="shared" si="62"/>
        <v>1.1296296296296295</v>
      </c>
      <c r="AN26" s="689">
        <f t="shared" si="62"/>
        <v>1.1186440677966101</v>
      </c>
      <c r="AO26" s="689">
        <f t="shared" si="62"/>
        <v>1.1694915254237288</v>
      </c>
      <c r="AP26" s="689">
        <f t="shared" si="62"/>
        <v>1.0793650793650793</v>
      </c>
      <c r="AQ26" s="689">
        <f t="shared" si="62"/>
        <v>1.1884057971014492</v>
      </c>
      <c r="AR26" s="689">
        <f t="shared" si="62"/>
        <v>1.0641025641025641</v>
      </c>
      <c r="AS26" s="689">
        <f t="shared" si="62"/>
        <v>1.1612903225806452</v>
      </c>
      <c r="AT26" s="689">
        <f t="shared" si="62"/>
        <v>1.1343283582089552</v>
      </c>
      <c r="AU26" s="689">
        <f t="shared" si="62"/>
        <v>1.2166666666666666</v>
      </c>
      <c r="AV26" s="689">
        <f t="shared" si="62"/>
        <v>1.1481481481481481</v>
      </c>
      <c r="AW26" s="689">
        <f t="shared" si="62"/>
        <v>1.2413793103448276</v>
      </c>
      <c r="AX26" s="609">
        <f t="shared" si="62"/>
        <v>1.1176470588235294</v>
      </c>
      <c r="AY26" s="691">
        <f t="shared" ref="AY26:CD26" si="63">+AM26</f>
        <v>1.1296296296296295</v>
      </c>
      <c r="AZ26" s="170">
        <f t="shared" si="63"/>
        <v>1.1186440677966101</v>
      </c>
      <c r="BA26" s="169">
        <f t="shared" si="63"/>
        <v>1.1694915254237288</v>
      </c>
      <c r="BB26" s="169">
        <f t="shared" si="63"/>
        <v>1.0793650793650793</v>
      </c>
      <c r="BC26" s="169">
        <f t="shared" si="63"/>
        <v>1.1884057971014492</v>
      </c>
      <c r="BD26" s="169">
        <f t="shared" si="63"/>
        <v>1.0641025641025641</v>
      </c>
      <c r="BE26" s="169">
        <f t="shared" si="63"/>
        <v>1.1612903225806452</v>
      </c>
      <c r="BF26" s="169">
        <f t="shared" si="63"/>
        <v>1.1343283582089552</v>
      </c>
      <c r="BG26" s="169">
        <f t="shared" si="63"/>
        <v>1.2166666666666666</v>
      </c>
      <c r="BH26" s="169">
        <f t="shared" si="63"/>
        <v>1.1481481481481481</v>
      </c>
      <c r="BI26" s="169">
        <f t="shared" si="63"/>
        <v>1.2413793103448276</v>
      </c>
      <c r="BJ26" s="169">
        <f t="shared" si="63"/>
        <v>1.1176470588235294</v>
      </c>
      <c r="BK26" s="253">
        <f t="shared" si="63"/>
        <v>1.1296296296296295</v>
      </c>
      <c r="BL26" s="169">
        <f t="shared" si="63"/>
        <v>1.1186440677966101</v>
      </c>
      <c r="BM26" s="169">
        <f t="shared" si="63"/>
        <v>1.1694915254237288</v>
      </c>
      <c r="BN26" s="169">
        <f t="shared" si="63"/>
        <v>1.0793650793650793</v>
      </c>
      <c r="BO26" s="169">
        <f t="shared" si="63"/>
        <v>1.1884057971014492</v>
      </c>
      <c r="BP26" s="169">
        <f t="shared" si="63"/>
        <v>1.0641025641025641</v>
      </c>
      <c r="BQ26" s="169">
        <f t="shared" si="63"/>
        <v>1.1612903225806452</v>
      </c>
      <c r="BR26" s="169">
        <f t="shared" si="63"/>
        <v>1.1343283582089552</v>
      </c>
      <c r="BS26" s="169">
        <f t="shared" si="63"/>
        <v>1.2166666666666666</v>
      </c>
      <c r="BT26" s="169">
        <f t="shared" si="63"/>
        <v>1.1481481481481481</v>
      </c>
      <c r="BU26" s="169">
        <f t="shared" si="63"/>
        <v>1.2413793103448276</v>
      </c>
      <c r="BV26" s="169">
        <f t="shared" si="63"/>
        <v>1.1176470588235294</v>
      </c>
      <c r="BW26" s="253">
        <f t="shared" si="63"/>
        <v>1.1296296296296295</v>
      </c>
      <c r="BX26" s="169">
        <f t="shared" si="63"/>
        <v>1.1186440677966101</v>
      </c>
      <c r="BY26" s="169">
        <f t="shared" si="63"/>
        <v>1.1694915254237288</v>
      </c>
      <c r="BZ26" s="169">
        <f t="shared" si="63"/>
        <v>1.0793650793650793</v>
      </c>
      <c r="CA26" s="169">
        <f t="shared" si="63"/>
        <v>1.1884057971014492</v>
      </c>
      <c r="CB26" s="169">
        <f t="shared" si="63"/>
        <v>1.0641025641025641</v>
      </c>
      <c r="CC26" s="169">
        <f t="shared" si="63"/>
        <v>1.1612903225806452</v>
      </c>
      <c r="CD26" s="169">
        <f t="shared" si="63"/>
        <v>1.1343283582089552</v>
      </c>
      <c r="CE26" s="169">
        <f t="shared" ref="CE26:DJ26" si="64">+BS26</f>
        <v>1.2166666666666666</v>
      </c>
      <c r="CF26" s="169">
        <f t="shared" si="64"/>
        <v>1.1481481481481481</v>
      </c>
      <c r="CG26" s="169">
        <f t="shared" si="64"/>
        <v>1.2413793103448276</v>
      </c>
      <c r="CH26" s="169">
        <f t="shared" si="64"/>
        <v>1.1176470588235294</v>
      </c>
      <c r="CI26" s="253">
        <f t="shared" si="64"/>
        <v>1.1296296296296295</v>
      </c>
      <c r="CJ26" s="169">
        <f t="shared" si="64"/>
        <v>1.1186440677966101</v>
      </c>
      <c r="CK26" s="169">
        <f t="shared" si="64"/>
        <v>1.1694915254237288</v>
      </c>
      <c r="CL26" s="169">
        <f t="shared" si="64"/>
        <v>1.0793650793650793</v>
      </c>
      <c r="CM26" s="169">
        <f t="shared" si="64"/>
        <v>1.1884057971014492</v>
      </c>
      <c r="CN26" s="169">
        <f t="shared" si="64"/>
        <v>1.0641025641025641</v>
      </c>
      <c r="CO26" s="169">
        <f t="shared" si="64"/>
        <v>1.1612903225806452</v>
      </c>
      <c r="CP26" s="169">
        <f t="shared" si="64"/>
        <v>1.1343283582089552</v>
      </c>
      <c r="CQ26" s="169">
        <f t="shared" si="64"/>
        <v>1.2166666666666666</v>
      </c>
      <c r="CR26" s="169">
        <f t="shared" si="64"/>
        <v>1.1481481481481481</v>
      </c>
      <c r="CS26" s="169">
        <f t="shared" si="64"/>
        <v>1.2413793103448276</v>
      </c>
      <c r="CT26" s="169">
        <f t="shared" si="64"/>
        <v>1.1176470588235294</v>
      </c>
      <c r="CU26" s="253">
        <f t="shared" si="64"/>
        <v>1.1296296296296295</v>
      </c>
      <c r="CV26" s="169">
        <f t="shared" si="64"/>
        <v>1.1186440677966101</v>
      </c>
      <c r="CW26" s="169">
        <f t="shared" si="64"/>
        <v>1.1694915254237288</v>
      </c>
      <c r="CX26" s="169">
        <f t="shared" si="64"/>
        <v>1.0793650793650793</v>
      </c>
      <c r="CY26" s="169">
        <f t="shared" si="64"/>
        <v>1.1884057971014492</v>
      </c>
      <c r="CZ26" s="169">
        <f t="shared" si="64"/>
        <v>1.0641025641025641</v>
      </c>
      <c r="DA26" s="169">
        <f t="shared" si="64"/>
        <v>1.1612903225806452</v>
      </c>
      <c r="DB26" s="169">
        <f t="shared" si="64"/>
        <v>1.1343283582089552</v>
      </c>
      <c r="DC26" s="169">
        <f t="shared" si="64"/>
        <v>1.2166666666666666</v>
      </c>
      <c r="DD26" s="169">
        <f t="shared" si="64"/>
        <v>1.1481481481481481</v>
      </c>
      <c r="DE26" s="169">
        <f t="shared" si="64"/>
        <v>1.2413793103448276</v>
      </c>
      <c r="DF26" s="169">
        <f t="shared" si="64"/>
        <v>1.1176470588235294</v>
      </c>
      <c r="DG26" s="170">
        <f t="shared" si="64"/>
        <v>1.1296296296296295</v>
      </c>
    </row>
    <row r="27" spans="1:111" x14ac:dyDescent="0.25">
      <c r="A27" s="28"/>
      <c r="B27" s="102" t="s">
        <v>95</v>
      </c>
      <c r="C27" s="570"/>
      <c r="D27" s="675"/>
      <c r="E27" s="675"/>
      <c r="F27" s="675"/>
      <c r="G27" s="675"/>
      <c r="H27" s="675"/>
      <c r="I27" s="675"/>
      <c r="J27" s="675"/>
      <c r="K27" s="675"/>
      <c r="L27" s="675"/>
      <c r="M27" s="675"/>
      <c r="N27" s="675"/>
      <c r="O27" s="675"/>
      <c r="P27" s="675"/>
      <c r="Q27" s="675"/>
      <c r="R27" s="675"/>
      <c r="S27" s="675"/>
      <c r="T27" s="675"/>
      <c r="U27" s="675"/>
      <c r="V27" s="675"/>
      <c r="W27" s="675"/>
      <c r="X27" s="675"/>
      <c r="Y27" s="675"/>
      <c r="Z27" s="675"/>
      <c r="AA27" s="675"/>
      <c r="AB27" s="675"/>
      <c r="AC27" s="675"/>
      <c r="AD27" s="675"/>
      <c r="AE27" s="675"/>
      <c r="AF27" s="675"/>
      <c r="AG27" s="675"/>
      <c r="AH27" s="675"/>
      <c r="AI27" s="675"/>
      <c r="AJ27" s="675"/>
      <c r="AK27" s="675"/>
      <c r="AL27" s="675"/>
      <c r="AM27" s="675"/>
      <c r="AN27" s="675"/>
      <c r="AO27" s="675"/>
      <c r="AP27" s="675"/>
      <c r="AQ27" s="675"/>
      <c r="AR27" s="675"/>
      <c r="AS27" s="675"/>
      <c r="AT27" s="675"/>
      <c r="AU27" s="675"/>
      <c r="AV27" s="675"/>
      <c r="AW27" s="675"/>
      <c r="AX27" s="530"/>
      <c r="AY27" s="680"/>
      <c r="AZ27" s="16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24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24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24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24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6"/>
    </row>
    <row r="28" spans="1:111" x14ac:dyDescent="0.25">
      <c r="A28" s="29"/>
      <c r="B28" s="103">
        <v>90</v>
      </c>
      <c r="C28" s="571" t="s">
        <v>96</v>
      </c>
      <c r="D28" s="692"/>
      <c r="E28" s="692">
        <f>NETWORKDAYS(D4+1,E4,Holidays!$B$3:$B$62)</f>
        <v>19</v>
      </c>
      <c r="F28" s="692">
        <f>NETWORKDAYS(E4+1,F4,Holidays!$B$3:$B$62)</f>
        <v>23</v>
      </c>
      <c r="G28" s="692">
        <f>NETWORKDAYS(F4+1,G4,Holidays!$B$3:$B$62)</f>
        <v>21</v>
      </c>
      <c r="H28" s="692">
        <f>NETWORKDAYS(G4+1,H4,Holidays!$B$3:$B$62)</f>
        <v>21</v>
      </c>
      <c r="I28" s="692">
        <f>NETWORKDAYS(H4+1,I4,Holidays!$B$3:$B$62)</f>
        <v>22</v>
      </c>
      <c r="J28" s="692">
        <f>NETWORKDAYS(I4+1,J4,Holidays!$B$3:$B$62)</f>
        <v>20</v>
      </c>
      <c r="K28" s="692">
        <f>NETWORKDAYS(J4+1,K4,Holidays!$B$3:$B$62)</f>
        <v>23</v>
      </c>
      <c r="L28" s="692">
        <f>NETWORKDAYS(K4+1,L4,Holidays!$B$3:$B$62)</f>
        <v>21</v>
      </c>
      <c r="M28" s="692">
        <f>NETWORKDAYS(L4+1,M4,Holidays!$B$3:$B$62)</f>
        <v>21</v>
      </c>
      <c r="N28" s="692">
        <f>NETWORKDAYS(M4+1,N4,Holidays!$B$3:$B$62)</f>
        <v>21</v>
      </c>
      <c r="O28" s="692">
        <f>NETWORKDAYS(N4+1,O4,Holidays!$B$3:$B$62)</f>
        <v>21</v>
      </c>
      <c r="P28" s="692">
        <f>NETWORKDAYS(O4+1,P4,Holidays!$B$3:$B$62)</f>
        <v>21</v>
      </c>
      <c r="Q28" s="692">
        <f>NETWORKDAYS(P4+1,Q4,Holidays!$B$3:$B$62)</f>
        <v>19</v>
      </c>
      <c r="R28" s="692">
        <f>NETWORKDAYS(Q4+1,R4,Holidays!$B$3:$B$62)</f>
        <v>23</v>
      </c>
      <c r="S28" s="692">
        <f>NETWORKDAYS(R4+1,S4,Holidays!$B$3:$B$62)</f>
        <v>20</v>
      </c>
      <c r="T28" s="692">
        <f>NETWORKDAYS(S4+1,T4,Holidays!$B$3:$B$62)</f>
        <v>22</v>
      </c>
      <c r="U28" s="692">
        <f>NETWORKDAYS(T4+1,U4,Holidays!$B$3:$B$62)</f>
        <v>22</v>
      </c>
      <c r="V28" s="692">
        <f>NETWORKDAYS(U4+1,V4,Holidays!$B$3:$B$62)</f>
        <v>20</v>
      </c>
      <c r="W28" s="692">
        <f>NETWORKDAYS(V4+1,W4,Holidays!$B$3:$B$62)</f>
        <v>23</v>
      </c>
      <c r="X28" s="692">
        <f>NETWORKDAYS(W4+1,X4,Holidays!$B$3:$B$62)</f>
        <v>20</v>
      </c>
      <c r="Y28" s="692">
        <f>NETWORKDAYS(X4+1,Y4,Holidays!$B$3:$B$62)</f>
        <v>22</v>
      </c>
      <c r="Z28" s="692">
        <f>NETWORKDAYS(Y4+1,Z4,Holidays!$B$3:$B$62)</f>
        <v>20</v>
      </c>
      <c r="AA28" s="692">
        <f>NETWORKDAYS(Z4+1,AA4,Holidays!$B$3:$B$62)</f>
        <v>19</v>
      </c>
      <c r="AB28" s="692">
        <f>NETWORKDAYS(AA4+1,AB4,Holidays!$B$3:$B$62)</f>
        <v>22</v>
      </c>
      <c r="AC28" s="692">
        <f>NETWORKDAYS(AB4+1,AC4,Holidays!$B$3:$B$62)</f>
        <v>21</v>
      </c>
      <c r="AD28" s="692">
        <f>NETWORKDAYS(AC4+1,AD4,Holidays!$B$3:$B$62)</f>
        <v>21</v>
      </c>
      <c r="AE28" s="692">
        <f>NETWORKDAYS(AD4+1,AE4,Holidays!$B$3:$B$62)</f>
        <v>22</v>
      </c>
      <c r="AF28" s="692">
        <f>NETWORKDAYS(AE4+1,AF4,Holidays!$B$3:$B$62)</f>
        <v>23</v>
      </c>
      <c r="AG28" s="692">
        <f>NETWORKDAYS(AF4+1,AG4,Holidays!$B$3:$B$62)</f>
        <v>20</v>
      </c>
      <c r="AH28" s="692">
        <f>NETWORKDAYS(AG4+1,AH4,Holidays!$B$3:$B$62)</f>
        <v>22</v>
      </c>
      <c r="AI28" s="692">
        <f>NETWORKDAYS(AH4+1,AI4,Holidays!$B$3:$B$62)</f>
        <v>22</v>
      </c>
      <c r="AJ28" s="692">
        <f>NETWORKDAYS(AI4+1,AJ4,Holidays!$B$3:$B$62)</f>
        <v>21</v>
      </c>
      <c r="AK28" s="692">
        <f>NETWORKDAYS(AJ4+1,AK4,Holidays!$B$3:$B$62)</f>
        <v>23</v>
      </c>
      <c r="AL28" s="692">
        <f>NETWORKDAYS(AK4+1,AL4,Holidays!$B$3:$B$62)</f>
        <v>19</v>
      </c>
      <c r="AM28" s="692">
        <f>NETWORKDAYS(AL4+1,AM4,Holidays!$B$3:$B$62)</f>
        <v>19</v>
      </c>
      <c r="AN28" s="692">
        <f>NETWORKDAYS(AM4+1,AN4,Holidays!$B$3:$B$62)</f>
        <v>23</v>
      </c>
      <c r="AO28" s="692">
        <f>NETWORKDAYS(AN4+1,AO4,Holidays!$B$3:$B$62)</f>
        <v>20</v>
      </c>
      <c r="AP28" s="692">
        <f>NETWORKDAYS(AO4+1,AP4,Holidays!$B$3:$B$62)</f>
        <v>21</v>
      </c>
      <c r="AQ28" s="692">
        <f>NETWORKDAYS(AP4+1,AQ4,Holidays!$B$3:$B$62)</f>
        <v>22</v>
      </c>
      <c r="AR28" s="692">
        <f>NETWORKDAYS(AQ4+1,AR4,Holidays!$B$3:$B$62)</f>
        <v>22</v>
      </c>
      <c r="AS28" s="692">
        <f>NETWORKDAYS(AR4+1,AS4,Holidays!$B$3:$B$62)</f>
        <v>21</v>
      </c>
      <c r="AT28" s="692">
        <f>NETWORKDAYS(AS4+1,AT4,Holidays!$B$3:$B$62)</f>
        <v>22</v>
      </c>
      <c r="AU28" s="692">
        <f>NETWORKDAYS(AT4+1,AU4,Holidays!$B$3:$B$62)</f>
        <v>21</v>
      </c>
      <c r="AV28" s="692">
        <f>NETWORKDAYS(AU4+1,AV4,Holidays!$B$3:$B$62)</f>
        <v>22</v>
      </c>
      <c r="AW28" s="692">
        <f>NETWORKDAYS(AV4+1,AW4,Holidays!$B$3:$B$62)</f>
        <v>23</v>
      </c>
      <c r="AX28" s="531">
        <f>NETWORKDAYS(AW4+1,AX4,Holidays!$B$3:$B$62)</f>
        <v>18</v>
      </c>
      <c r="AY28" s="693">
        <f>NETWORKDAYS(AX4+1,AY4,Holidays!$B$3:$B$62)</f>
        <v>21</v>
      </c>
      <c r="AZ28" s="18">
        <f>NETWORKDAYS(AY4+1,AZ4,Holidays!$B$3:$B$62)</f>
        <v>22</v>
      </c>
      <c r="BA28" s="17">
        <f>NETWORKDAYS(AZ4+1,BA4,Holidays!$B$3:$B$62)</f>
        <v>20</v>
      </c>
      <c r="BB28" s="17">
        <f>NETWORKDAYS(BA4+1,BB4,Holidays!$B$3:$B$62)</f>
        <v>22</v>
      </c>
      <c r="BC28" s="17">
        <f>NETWORKDAYS(BB4+1,BC4,Holidays!$B$3:$B$62)</f>
        <v>22</v>
      </c>
      <c r="BD28" s="17">
        <f>NETWORKDAYS(BC4+1,BD4,Holidays!$B$3:$B$62)</f>
        <v>21</v>
      </c>
      <c r="BE28" s="17">
        <f>NETWORKDAYS(BD4+1,BE4,Holidays!$B$3:$B$62)</f>
        <v>22</v>
      </c>
      <c r="BF28" s="17">
        <f>NETWORKDAYS(BE4+1,BF4,Holidays!$B$3:$B$62)</f>
        <v>23</v>
      </c>
      <c r="BG28" s="17">
        <f>NETWORKDAYS(BF4+1,BG4,Holidays!$B$3:$B$62)</f>
        <v>21</v>
      </c>
      <c r="BH28" s="17">
        <f>NETWORKDAYS(BG4+1,BH4,Holidays!$B$3:$B$62)</f>
        <v>22</v>
      </c>
      <c r="BI28" s="17">
        <f>NETWORKDAYS(BH4+1,BI4,Holidays!$B$3:$B$62)</f>
        <v>22</v>
      </c>
      <c r="BJ28" s="17">
        <f>NETWORKDAYS(BI4+1,BJ4,Holidays!$B$3:$B$62)</f>
        <v>21</v>
      </c>
      <c r="BK28" s="246">
        <f>NETWORKDAYS(BJ4+1,BK4,Holidays!$B$3:$B$62)</f>
        <v>23</v>
      </c>
      <c r="BL28" s="17">
        <f>NETWORKDAYS(BK4+1,BL4,Holidays!$B$3:$B$62)</f>
        <v>21</v>
      </c>
      <c r="BM28" s="17">
        <f>NETWORKDAYS(BL4+1,BM4,Holidays!$B$3:$B$62)</f>
        <v>20</v>
      </c>
      <c r="BN28" s="17">
        <f>NETWORKDAYS(BM4+1,BN4,Holidays!$B$3:$B$62)</f>
        <v>23</v>
      </c>
      <c r="BO28" s="17">
        <f>NETWORKDAYS(BN4+1,BO4,Holidays!$B$3:$B$62)</f>
        <v>22</v>
      </c>
      <c r="BP28" s="17">
        <f>NETWORKDAYS(BO4+1,BP4,Holidays!$B$3:$B$62)</f>
        <v>21</v>
      </c>
      <c r="BQ28" s="17">
        <f>NETWORKDAYS(BP4+1,BQ4,Holidays!$B$3:$B$62)</f>
        <v>22</v>
      </c>
      <c r="BR28" s="17">
        <f>NETWORKDAYS(BQ4+1,BR4,Holidays!$B$3:$B$62)</f>
        <v>22</v>
      </c>
      <c r="BS28" s="17">
        <f>NETWORKDAYS(BR4+1,BS4,Holidays!$B$3:$B$62)</f>
        <v>22</v>
      </c>
      <c r="BT28" s="17">
        <f>NETWORKDAYS(BS4+1,BT4,Holidays!$B$3:$B$62)</f>
        <v>22</v>
      </c>
      <c r="BU28" s="17">
        <f>NETWORKDAYS(BT4+1,BU4,Holidays!$B$3:$B$62)</f>
        <v>21</v>
      </c>
      <c r="BV28" s="17">
        <f>NETWORKDAYS(BU4+1,BV4,Holidays!$B$3:$B$62)</f>
        <v>22</v>
      </c>
      <c r="BW28" s="246">
        <f>NETWORKDAYS(BV4+1,BW4,Holidays!$B$3:$B$62)</f>
        <v>23</v>
      </c>
      <c r="BX28" s="17">
        <f>NETWORKDAYS(BW4+1,BX4,Holidays!$B$3:$B$62)</f>
        <v>21</v>
      </c>
      <c r="BY28" s="17">
        <f>NETWORKDAYS(BX4+1,BY4,Holidays!$B$3:$B$62)</f>
        <v>21</v>
      </c>
      <c r="BZ28" s="17">
        <f>NETWORKDAYS(BY4+1,BZ4,Holidays!$B$3:$B$62)</f>
        <v>23</v>
      </c>
      <c r="CA28" s="17">
        <f>NETWORKDAYS(BZ4+1,CA4,Holidays!$B$3:$B$62)</f>
        <v>20</v>
      </c>
      <c r="CB28" s="17">
        <f>NETWORKDAYS(CA4+1,CB4,Holidays!$B$3:$B$62)</f>
        <v>23</v>
      </c>
      <c r="CC28" s="17">
        <f>NETWORKDAYS(CB4+1,CC4,Holidays!$B$3:$B$62)</f>
        <v>22</v>
      </c>
      <c r="CD28" s="17">
        <f>NETWORKDAYS(CC4+1,CD4,Holidays!$B$3:$B$62)</f>
        <v>21</v>
      </c>
      <c r="CE28" s="17">
        <f>NETWORKDAYS(CD4+1,CE4,Holidays!$B$3:$B$62)</f>
        <v>23</v>
      </c>
      <c r="CF28" s="17">
        <f>NETWORKDAYS(CE4+1,CF4,Holidays!$B$3:$B$62)</f>
        <v>21</v>
      </c>
      <c r="CG28" s="17">
        <f>NETWORKDAYS(CF4+1,CG4,Holidays!$B$3:$B$62)</f>
        <v>22</v>
      </c>
      <c r="CH28" s="17">
        <f>NETWORKDAYS(CG4+1,CH4,Holidays!$B$3:$B$62)</f>
        <v>22</v>
      </c>
      <c r="CI28" s="246">
        <f>NETWORKDAYS(CH4+1,CI4,Holidays!$B$3:$B$62)</f>
        <v>21</v>
      </c>
      <c r="CJ28" s="17">
        <f>NETWORKDAYS(CI4+1,CJ4,Holidays!$B$3:$B$62)</f>
        <v>23</v>
      </c>
      <c r="CK28" s="17">
        <f>NETWORKDAYS(CJ4+1,CK4,Holidays!$B$3:$B$62)</f>
        <v>20</v>
      </c>
      <c r="CL28" s="17">
        <f>NETWORKDAYS(CK4+1,CL4,Holidays!$B$3:$B$62)</f>
        <v>22</v>
      </c>
      <c r="CM28" s="17">
        <f>NETWORKDAYS(CL4+1,CM4,Holidays!$B$3:$B$62)</f>
        <v>21</v>
      </c>
      <c r="CN28" s="17">
        <f>NETWORKDAYS(CM4+1,CN4,Holidays!$B$3:$B$62)</f>
        <v>23</v>
      </c>
      <c r="CO28" s="17">
        <f>NETWORKDAYS(CN4+1,CO4,Holidays!$B$3:$B$62)</f>
        <v>21</v>
      </c>
      <c r="CP28" s="17">
        <f>NETWORKDAYS(CO4+1,CP4,Holidays!$B$3:$B$62)</f>
        <v>22</v>
      </c>
      <c r="CQ28" s="17">
        <f>NETWORKDAYS(CP4+1,CQ4,Holidays!$B$3:$B$62)</f>
        <v>23</v>
      </c>
      <c r="CR28" s="17">
        <f>NETWORKDAYS(CQ4+1,CR4,Holidays!$B$3:$B$62)</f>
        <v>20</v>
      </c>
      <c r="CS28" s="17">
        <f>NETWORKDAYS(CR4+1,CS4,Holidays!$B$3:$B$62)</f>
        <v>23</v>
      </c>
      <c r="CT28" s="17">
        <f>NETWORKDAYS(CS4+1,CT4,Holidays!$B$3:$B$62)</f>
        <v>22</v>
      </c>
      <c r="CU28" s="246">
        <f>NETWORKDAYS(CT4+1,CU4,Holidays!$B$3:$B$62)</f>
        <v>21</v>
      </c>
      <c r="CV28" s="17">
        <f>NETWORKDAYS(CU4+1,CV4,Holidays!$B$3:$B$62)</f>
        <v>23</v>
      </c>
      <c r="CW28" s="17">
        <f>NETWORKDAYS(CV4+1,CW4,Holidays!$B$3:$B$62)</f>
        <v>20</v>
      </c>
      <c r="CX28" s="17">
        <f>NETWORKDAYS(CW4+1,CX4,Holidays!$B$3:$B$62)</f>
        <v>21</v>
      </c>
      <c r="CY28" s="17">
        <f>NETWORKDAYS(CX4+1,CY4,Holidays!$B$3:$B$62)</f>
        <v>22</v>
      </c>
      <c r="CZ28" s="17">
        <f>NETWORKDAYS(CY4+1,CZ4,Holidays!$B$3:$B$62)</f>
        <v>23</v>
      </c>
      <c r="DA28" s="17">
        <f>NETWORKDAYS(CZ4+1,DA4,Holidays!$B$3:$B$62)</f>
        <v>20</v>
      </c>
      <c r="DB28" s="17">
        <f>NETWORKDAYS(DA4+1,DB4,Holidays!$B$3:$B$62)</f>
        <v>23</v>
      </c>
      <c r="DC28" s="17">
        <f>NETWORKDAYS(DB4+1,DC4,Holidays!$B$3:$B$62)</f>
        <v>22</v>
      </c>
      <c r="DD28" s="17">
        <f>NETWORKDAYS(DC4+1,DD4,Holidays!$B$3:$B$62)</f>
        <v>21</v>
      </c>
      <c r="DE28" s="17">
        <f>NETWORKDAYS(DD4+1,DE4,Holidays!$B$3:$B$62)</f>
        <v>23</v>
      </c>
      <c r="DF28" s="17">
        <f>NETWORKDAYS(DE4+1,DF4,Holidays!$B$3:$B$62)</f>
        <v>21</v>
      </c>
      <c r="DG28" s="18">
        <f>NETWORKDAYS(DF4+1,DG4,Holidays!$B$3:$B$62)</f>
        <v>22</v>
      </c>
    </row>
    <row r="29" spans="1:111" ht="18.75" customHeight="1" x14ac:dyDescent="0.25">
      <c r="A29" s="30"/>
      <c r="B29" s="30"/>
      <c r="C29" s="571" t="s">
        <v>97</v>
      </c>
      <c r="D29" s="694"/>
      <c r="E29" s="694">
        <f t="shared" ref="E29:AX29" si="65">+E30/E28/E15</f>
        <v>4.3859649122807015E-3</v>
      </c>
      <c r="F29" s="694">
        <f t="shared" si="65"/>
        <v>5.434782608695652E-3</v>
      </c>
      <c r="G29" s="694">
        <f t="shared" si="65"/>
        <v>6.8027210884353739E-3</v>
      </c>
      <c r="H29" s="694">
        <f t="shared" si="65"/>
        <v>4.7619047619047615E-3</v>
      </c>
      <c r="I29" s="694">
        <f t="shared" si="65"/>
        <v>3.4965034965034965E-3</v>
      </c>
      <c r="J29" s="694">
        <f t="shared" si="65"/>
        <v>4.5454545454545461E-3</v>
      </c>
      <c r="K29" s="694">
        <f t="shared" si="65"/>
        <v>6.5217391304347824E-2</v>
      </c>
      <c r="L29" s="694">
        <f t="shared" si="65"/>
        <v>0.10846560846560846</v>
      </c>
      <c r="M29" s="694">
        <f t="shared" si="65"/>
        <v>0.16036414565826332</v>
      </c>
      <c r="N29" s="694">
        <f t="shared" si="65"/>
        <v>0.13419913419913421</v>
      </c>
      <c r="O29" s="694">
        <f t="shared" si="65"/>
        <v>0.10204081632653061</v>
      </c>
      <c r="P29" s="694">
        <f t="shared" si="65"/>
        <v>0.10448412698412697</v>
      </c>
      <c r="Q29" s="694">
        <f t="shared" si="65"/>
        <v>0.1118421052631579</v>
      </c>
      <c r="R29" s="694">
        <f t="shared" si="65"/>
        <v>8.5869565217391308E-2</v>
      </c>
      <c r="S29" s="694">
        <f t="shared" si="65"/>
        <v>0.13035714285714287</v>
      </c>
      <c r="T29" s="694">
        <f t="shared" si="65"/>
        <v>0.20833333333333334</v>
      </c>
      <c r="U29" s="694">
        <f t="shared" si="65"/>
        <v>0.1571969696969697</v>
      </c>
      <c r="V29" s="694">
        <f t="shared" si="65"/>
        <v>2.1500000000000002E-2</v>
      </c>
      <c r="W29" s="694">
        <f t="shared" si="65"/>
        <v>2.8309997543601081E-2</v>
      </c>
      <c r="X29" s="694">
        <f t="shared" si="65"/>
        <v>3.2264397905759162E-2</v>
      </c>
      <c r="Y29" s="694">
        <f t="shared" si="65"/>
        <v>2.8827751196172251E-2</v>
      </c>
      <c r="Z29" s="694">
        <f t="shared" si="65"/>
        <v>3.2247340425531915E-2</v>
      </c>
      <c r="AA29" s="694">
        <f t="shared" si="65"/>
        <v>3.2926519196542083E-2</v>
      </c>
      <c r="AB29" s="694">
        <f t="shared" si="65"/>
        <v>9.12483039348711E-2</v>
      </c>
      <c r="AC29" s="694">
        <f t="shared" si="65"/>
        <v>9.9742599742599747E-2</v>
      </c>
      <c r="AD29" s="694">
        <f t="shared" si="65"/>
        <v>0.11363636363636363</v>
      </c>
      <c r="AE29" s="694">
        <f t="shared" si="65"/>
        <v>0.10300116550116549</v>
      </c>
      <c r="AF29" s="694">
        <f t="shared" si="65"/>
        <v>9.5440084835630962E-2</v>
      </c>
      <c r="AG29" s="694">
        <f t="shared" si="65"/>
        <v>0.105</v>
      </c>
      <c r="AH29" s="694">
        <f t="shared" si="65"/>
        <v>9.8484848484848481E-2</v>
      </c>
      <c r="AI29" s="694">
        <f t="shared" si="65"/>
        <v>0.10165847665847666</v>
      </c>
      <c r="AJ29" s="694">
        <f t="shared" si="65"/>
        <v>9.2013888888888895E-2</v>
      </c>
      <c r="AK29" s="694">
        <f t="shared" si="65"/>
        <v>9.5276435856146008E-2</v>
      </c>
      <c r="AL29" s="694">
        <f t="shared" si="65"/>
        <v>0.11894736842105263</v>
      </c>
      <c r="AM29" s="694">
        <f t="shared" si="65"/>
        <v>0.11647972389991372</v>
      </c>
      <c r="AN29" s="694">
        <f t="shared" si="65"/>
        <v>9.1238471673254273E-2</v>
      </c>
      <c r="AO29" s="694">
        <f t="shared" si="65"/>
        <v>0.10416666666666667</v>
      </c>
      <c r="AP29" s="694">
        <f t="shared" si="65"/>
        <v>0.10889355742296919</v>
      </c>
      <c r="AQ29" s="694">
        <f t="shared" si="65"/>
        <v>9.4650776053215077E-2</v>
      </c>
      <c r="AR29" s="694">
        <f t="shared" si="65"/>
        <v>9.2415115005476459E-2</v>
      </c>
      <c r="AS29" s="694">
        <f t="shared" si="65"/>
        <v>8.9285714285714288E-2</v>
      </c>
      <c r="AT29" s="694">
        <f t="shared" si="65"/>
        <v>8.7320574162679424E-2</v>
      </c>
      <c r="AU29" s="694">
        <f t="shared" si="65"/>
        <v>9.8401826484018254E-2</v>
      </c>
      <c r="AV29" s="694">
        <f t="shared" si="65"/>
        <v>9.0909090909090912E-2</v>
      </c>
      <c r="AW29" s="694">
        <f t="shared" si="65"/>
        <v>8.4541062801932368E-2</v>
      </c>
      <c r="AX29" s="532">
        <f t="shared" si="65"/>
        <v>0.10453216374269006</v>
      </c>
      <c r="AY29" s="695">
        <f t="shared" ref="AY29:CD29" si="66">+AM29</f>
        <v>0.11647972389991372</v>
      </c>
      <c r="AZ29" s="20">
        <f t="shared" si="66"/>
        <v>9.1238471673254273E-2</v>
      </c>
      <c r="BA29" s="19">
        <f t="shared" si="66"/>
        <v>0.10416666666666667</v>
      </c>
      <c r="BB29" s="19">
        <f t="shared" si="66"/>
        <v>0.10889355742296919</v>
      </c>
      <c r="BC29" s="19">
        <f t="shared" si="66"/>
        <v>9.4650776053215077E-2</v>
      </c>
      <c r="BD29" s="19">
        <f t="shared" si="66"/>
        <v>9.2415115005476459E-2</v>
      </c>
      <c r="BE29" s="19">
        <f t="shared" si="66"/>
        <v>8.9285714285714288E-2</v>
      </c>
      <c r="BF29" s="19">
        <f t="shared" si="66"/>
        <v>8.7320574162679424E-2</v>
      </c>
      <c r="BG29" s="19">
        <f t="shared" si="66"/>
        <v>9.8401826484018254E-2</v>
      </c>
      <c r="BH29" s="19">
        <f t="shared" si="66"/>
        <v>9.0909090909090912E-2</v>
      </c>
      <c r="BI29" s="19">
        <f t="shared" si="66"/>
        <v>8.4541062801932368E-2</v>
      </c>
      <c r="BJ29" s="19">
        <f t="shared" si="66"/>
        <v>0.10453216374269006</v>
      </c>
      <c r="BK29" s="247">
        <f t="shared" si="66"/>
        <v>0.11647972389991372</v>
      </c>
      <c r="BL29" s="19">
        <f t="shared" si="66"/>
        <v>9.1238471673254273E-2</v>
      </c>
      <c r="BM29" s="19">
        <f t="shared" si="66"/>
        <v>0.10416666666666667</v>
      </c>
      <c r="BN29" s="19">
        <f t="shared" si="66"/>
        <v>0.10889355742296919</v>
      </c>
      <c r="BO29" s="19">
        <f t="shared" si="66"/>
        <v>9.4650776053215077E-2</v>
      </c>
      <c r="BP29" s="19">
        <f t="shared" si="66"/>
        <v>9.2415115005476459E-2</v>
      </c>
      <c r="BQ29" s="19">
        <f t="shared" si="66"/>
        <v>8.9285714285714288E-2</v>
      </c>
      <c r="BR29" s="19">
        <f t="shared" si="66"/>
        <v>8.7320574162679424E-2</v>
      </c>
      <c r="BS29" s="19">
        <f t="shared" si="66"/>
        <v>9.8401826484018254E-2</v>
      </c>
      <c r="BT29" s="19">
        <f t="shared" si="66"/>
        <v>9.0909090909090912E-2</v>
      </c>
      <c r="BU29" s="19">
        <f t="shared" si="66"/>
        <v>8.4541062801932368E-2</v>
      </c>
      <c r="BV29" s="19">
        <f t="shared" si="66"/>
        <v>0.10453216374269006</v>
      </c>
      <c r="BW29" s="247">
        <f t="shared" si="66"/>
        <v>0.11647972389991372</v>
      </c>
      <c r="BX29" s="19">
        <f t="shared" si="66"/>
        <v>9.1238471673254273E-2</v>
      </c>
      <c r="BY29" s="19">
        <f t="shared" si="66"/>
        <v>0.10416666666666667</v>
      </c>
      <c r="BZ29" s="19">
        <f t="shared" si="66"/>
        <v>0.10889355742296919</v>
      </c>
      <c r="CA29" s="19">
        <f t="shared" si="66"/>
        <v>9.4650776053215077E-2</v>
      </c>
      <c r="CB29" s="19">
        <f t="shared" si="66"/>
        <v>9.2415115005476459E-2</v>
      </c>
      <c r="CC29" s="19">
        <f t="shared" si="66"/>
        <v>8.9285714285714288E-2</v>
      </c>
      <c r="CD29" s="19">
        <f t="shared" si="66"/>
        <v>8.7320574162679424E-2</v>
      </c>
      <c r="CE29" s="19">
        <f t="shared" ref="CE29:DJ29" si="67">+BS29</f>
        <v>9.8401826484018254E-2</v>
      </c>
      <c r="CF29" s="19">
        <f t="shared" si="67"/>
        <v>9.0909090909090912E-2</v>
      </c>
      <c r="CG29" s="19">
        <f t="shared" si="67"/>
        <v>8.4541062801932368E-2</v>
      </c>
      <c r="CH29" s="19">
        <f t="shared" si="67"/>
        <v>0.10453216374269006</v>
      </c>
      <c r="CI29" s="247">
        <f t="shared" si="67"/>
        <v>0.11647972389991372</v>
      </c>
      <c r="CJ29" s="19">
        <f t="shared" si="67"/>
        <v>9.1238471673254273E-2</v>
      </c>
      <c r="CK29" s="19">
        <f t="shared" si="67"/>
        <v>0.10416666666666667</v>
      </c>
      <c r="CL29" s="19">
        <f t="shared" si="67"/>
        <v>0.10889355742296919</v>
      </c>
      <c r="CM29" s="19">
        <f t="shared" si="67"/>
        <v>9.4650776053215077E-2</v>
      </c>
      <c r="CN29" s="19">
        <f t="shared" si="67"/>
        <v>9.2415115005476459E-2</v>
      </c>
      <c r="CO29" s="19">
        <f t="shared" si="67"/>
        <v>8.9285714285714288E-2</v>
      </c>
      <c r="CP29" s="19">
        <f t="shared" si="67"/>
        <v>8.7320574162679424E-2</v>
      </c>
      <c r="CQ29" s="19">
        <f t="shared" si="67"/>
        <v>9.8401826484018254E-2</v>
      </c>
      <c r="CR29" s="19">
        <f t="shared" si="67"/>
        <v>9.0909090909090912E-2</v>
      </c>
      <c r="CS29" s="19">
        <f t="shared" si="67"/>
        <v>8.4541062801932368E-2</v>
      </c>
      <c r="CT29" s="19">
        <f t="shared" si="67"/>
        <v>0.10453216374269006</v>
      </c>
      <c r="CU29" s="247">
        <f t="shared" si="67"/>
        <v>0.11647972389991372</v>
      </c>
      <c r="CV29" s="19">
        <f t="shared" si="67"/>
        <v>9.1238471673254273E-2</v>
      </c>
      <c r="CW29" s="19">
        <f t="shared" si="67"/>
        <v>0.10416666666666667</v>
      </c>
      <c r="CX29" s="19">
        <f t="shared" si="67"/>
        <v>0.10889355742296919</v>
      </c>
      <c r="CY29" s="19">
        <f t="shared" si="67"/>
        <v>9.4650776053215077E-2</v>
      </c>
      <c r="CZ29" s="19">
        <f t="shared" si="67"/>
        <v>9.2415115005476459E-2</v>
      </c>
      <c r="DA29" s="19">
        <f t="shared" si="67"/>
        <v>8.9285714285714288E-2</v>
      </c>
      <c r="DB29" s="19">
        <f t="shared" si="67"/>
        <v>8.7320574162679424E-2</v>
      </c>
      <c r="DC29" s="19">
        <f t="shared" si="67"/>
        <v>9.8401826484018254E-2</v>
      </c>
      <c r="DD29" s="19">
        <f t="shared" si="67"/>
        <v>9.0909090909090912E-2</v>
      </c>
      <c r="DE29" s="19">
        <f t="shared" si="67"/>
        <v>8.4541062801932368E-2</v>
      </c>
      <c r="DF29" s="19">
        <f t="shared" si="67"/>
        <v>0.10453216374269006</v>
      </c>
      <c r="DG29" s="20">
        <f t="shared" si="67"/>
        <v>0.11647972389991372</v>
      </c>
    </row>
    <row r="30" spans="1:111" ht="18.75" customHeight="1" x14ac:dyDescent="0.25">
      <c r="A30" s="30"/>
      <c r="B30" s="30"/>
      <c r="C30" s="571" t="s">
        <v>98</v>
      </c>
      <c r="D30" s="675"/>
      <c r="E30" s="675">
        <v>1</v>
      </c>
      <c r="F30" s="675">
        <v>1</v>
      </c>
      <c r="G30" s="675">
        <v>1</v>
      </c>
      <c r="H30" s="675">
        <v>1</v>
      </c>
      <c r="I30" s="675">
        <v>1</v>
      </c>
      <c r="J30" s="675">
        <v>1</v>
      </c>
      <c r="K30" s="676">
        <v>7.5</v>
      </c>
      <c r="L30" s="676">
        <f>20.5</f>
        <v>20.5</v>
      </c>
      <c r="M30" s="676">
        <v>57.25</v>
      </c>
      <c r="N30" s="676">
        <v>31</v>
      </c>
      <c r="O30" s="676">
        <v>15</v>
      </c>
      <c r="P30" s="676">
        <v>26.33</v>
      </c>
      <c r="Q30" s="676">
        <v>21.25</v>
      </c>
      <c r="R30" s="676">
        <v>19.75</v>
      </c>
      <c r="S30" s="676">
        <v>18.25</v>
      </c>
      <c r="T30" s="676">
        <v>41.25</v>
      </c>
      <c r="U30" s="676">
        <v>41.5</v>
      </c>
      <c r="V30" s="676">
        <v>32.25</v>
      </c>
      <c r="W30" s="676">
        <v>115.25</v>
      </c>
      <c r="X30" s="676">
        <v>123.25</v>
      </c>
      <c r="Y30" s="676">
        <v>120.5</v>
      </c>
      <c r="Z30" s="676">
        <v>121.25</v>
      </c>
      <c r="AA30" s="676">
        <v>129.5</v>
      </c>
      <c r="AB30" s="676">
        <v>134.5</v>
      </c>
      <c r="AC30" s="676">
        <v>155</v>
      </c>
      <c r="AD30" s="676">
        <v>183.75</v>
      </c>
      <c r="AE30" s="676">
        <v>176.75</v>
      </c>
      <c r="AF30" s="676">
        <v>180</v>
      </c>
      <c r="AG30" s="676">
        <v>157.5</v>
      </c>
      <c r="AH30" s="676">
        <v>143</v>
      </c>
      <c r="AI30" s="676">
        <v>165.5</v>
      </c>
      <c r="AJ30" s="676">
        <v>92.75</v>
      </c>
      <c r="AK30" s="676">
        <v>177.5</v>
      </c>
      <c r="AL30" s="676">
        <v>113</v>
      </c>
      <c r="AM30" s="676">
        <v>135</v>
      </c>
      <c r="AN30" s="676">
        <v>138.5</v>
      </c>
      <c r="AO30" s="676">
        <v>143.75</v>
      </c>
      <c r="AP30" s="676">
        <v>155.5</v>
      </c>
      <c r="AQ30" s="676">
        <v>170.75</v>
      </c>
      <c r="AR30" s="676">
        <v>168.75</v>
      </c>
      <c r="AS30" s="676">
        <v>135</v>
      </c>
      <c r="AT30" s="676">
        <v>146</v>
      </c>
      <c r="AU30" s="676">
        <v>150.85</v>
      </c>
      <c r="AV30" s="676">
        <v>124</v>
      </c>
      <c r="AW30" s="676">
        <v>140</v>
      </c>
      <c r="AX30" s="525">
        <v>107.25</v>
      </c>
      <c r="AY30" s="680">
        <f t="shared" ref="AY30:CD30" si="68">+AY15*AY28*AY29</f>
        <v>107.23077022321387</v>
      </c>
      <c r="AZ30" s="16">
        <f t="shared" si="68"/>
        <v>114.76678946906898</v>
      </c>
      <c r="BA30" s="15">
        <f t="shared" si="68"/>
        <v>145.28683315691751</v>
      </c>
      <c r="BB30" s="15">
        <f t="shared" si="68"/>
        <v>166.43015168750503</v>
      </c>
      <c r="BC30" s="15">
        <f t="shared" si="68"/>
        <v>203.77961647433591</v>
      </c>
      <c r="BD30" s="15">
        <f t="shared" si="68"/>
        <v>195.46799535401641</v>
      </c>
      <c r="BE30" s="15">
        <f t="shared" si="68"/>
        <v>200.79749008448513</v>
      </c>
      <c r="BF30" s="15">
        <f t="shared" si="68"/>
        <v>191.91241970652047</v>
      </c>
      <c r="BG30" s="15">
        <f t="shared" si="68"/>
        <v>207.03471986487031</v>
      </c>
      <c r="BH30" s="15">
        <f t="shared" si="68"/>
        <v>147.79736943193225</v>
      </c>
      <c r="BI30" s="15">
        <f t="shared" si="68"/>
        <v>159.53192782102357</v>
      </c>
      <c r="BJ30" s="15">
        <f t="shared" si="68"/>
        <v>176.48889052233287</v>
      </c>
      <c r="BK30" s="245">
        <f t="shared" si="68"/>
        <v>171.86813345880969</v>
      </c>
      <c r="BL30" s="15">
        <f t="shared" si="68"/>
        <v>139.98070533727352</v>
      </c>
      <c r="BM30" s="15">
        <f t="shared" si="68"/>
        <v>170.65437545415708</v>
      </c>
      <c r="BN30" s="15">
        <f t="shared" si="68"/>
        <v>197.02392957123757</v>
      </c>
      <c r="BO30" s="15">
        <f t="shared" si="68"/>
        <v>222.51797201220586</v>
      </c>
      <c r="BP30" s="15">
        <f t="shared" si="68"/>
        <v>209.15075502879756</v>
      </c>
      <c r="BQ30" s="15">
        <f t="shared" si="68"/>
        <v>213.75216686412932</v>
      </c>
      <c r="BR30" s="15">
        <f t="shared" si="68"/>
        <v>193.88123300101824</v>
      </c>
      <c r="BS30" s="15">
        <f t="shared" si="68"/>
        <v>226.86563172932148</v>
      </c>
      <c r="BT30" s="15">
        <f t="shared" si="68"/>
        <v>152.14435088581263</v>
      </c>
      <c r="BU30" s="15">
        <f t="shared" si="68"/>
        <v>158.53857833272326</v>
      </c>
      <c r="BV30" s="15">
        <f t="shared" si="68"/>
        <v>192.19153617030983</v>
      </c>
      <c r="BW30" s="245">
        <f t="shared" si="68"/>
        <v>174.73260234978983</v>
      </c>
      <c r="BX30" s="15">
        <f t="shared" si="68"/>
        <v>142.00941121172676</v>
      </c>
      <c r="BY30" s="15">
        <f t="shared" si="68"/>
        <v>184.02998866542885</v>
      </c>
      <c r="BZ30" s="15">
        <f t="shared" si="68"/>
        <v>202.14143423542555</v>
      </c>
      <c r="CA30" s="15">
        <f t="shared" si="68"/>
        <v>208.67714121718828</v>
      </c>
      <c r="CB30" s="15">
        <f t="shared" si="68"/>
        <v>237.63323435181141</v>
      </c>
      <c r="CC30" s="15">
        <f t="shared" si="68"/>
        <v>220.22950525395143</v>
      </c>
      <c r="CD30" s="15">
        <f t="shared" si="68"/>
        <v>189.00607627178573</v>
      </c>
      <c r="CE30" s="15">
        <f t="shared" ref="CE30:DJ30" si="69">+CE15*CE28*CE29</f>
        <v>242.39040273177756</v>
      </c>
      <c r="CF30" s="15">
        <f t="shared" si="69"/>
        <v>147.30339426671858</v>
      </c>
      <c r="CG30" s="15">
        <f t="shared" si="69"/>
        <v>168.27340331806593</v>
      </c>
      <c r="CH30" s="15">
        <f t="shared" si="69"/>
        <v>197.05714468095056</v>
      </c>
      <c r="CI30" s="245">
        <f t="shared" si="69"/>
        <v>162.15384765461607</v>
      </c>
      <c r="CJ30" s="15">
        <f t="shared" si="69"/>
        <v>159.97794895688403</v>
      </c>
      <c r="CK30" s="15">
        <f t="shared" si="69"/>
        <v>179.8789362895169</v>
      </c>
      <c r="CL30" s="15">
        <f t="shared" si="69"/>
        <v>198.24768068658685</v>
      </c>
      <c r="CM30" s="15">
        <f t="shared" si="69"/>
        <v>225.81847781717164</v>
      </c>
      <c r="CN30" s="15">
        <f t="shared" si="69"/>
        <v>246.19659414827302</v>
      </c>
      <c r="CO30" s="15">
        <f t="shared" si="69"/>
        <v>216.40198711451109</v>
      </c>
      <c r="CP30" s="15">
        <f t="shared" si="69"/>
        <v>204.19406454362564</v>
      </c>
      <c r="CQ30" s="15">
        <f t="shared" si="69"/>
        <v>250.20944798118973</v>
      </c>
      <c r="CR30" s="15">
        <f t="shared" si="69"/>
        <v>144.24074824239381</v>
      </c>
      <c r="CS30" s="15">
        <f t="shared" si="69"/>
        <v>182.77630584724989</v>
      </c>
      <c r="CT30" s="15">
        <f t="shared" si="69"/>
        <v>204.35555744691172</v>
      </c>
      <c r="CU30" s="245">
        <f t="shared" si="69"/>
        <v>170.00000157338783</v>
      </c>
      <c r="CV30" s="15">
        <f t="shared" si="69"/>
        <v>166.64369683008752</v>
      </c>
      <c r="CW30" s="15">
        <f t="shared" si="69"/>
        <v>186.79735691603679</v>
      </c>
      <c r="CX30" s="15">
        <f t="shared" si="69"/>
        <v>198.58143099077304</v>
      </c>
      <c r="CY30" s="15">
        <f t="shared" si="69"/>
        <v>248.28321087677708</v>
      </c>
      <c r="CZ30" s="15">
        <f t="shared" si="69"/>
        <v>256.90079389385011</v>
      </c>
      <c r="DA30" s="15">
        <f t="shared" si="69"/>
        <v>215.91127966073668</v>
      </c>
      <c r="DB30" s="15">
        <f t="shared" si="69"/>
        <v>222.10089022215294</v>
      </c>
      <c r="DC30" s="15">
        <f t="shared" si="69"/>
        <v>249.30289201024337</v>
      </c>
      <c r="DD30" s="15">
        <f t="shared" si="69"/>
        <v>157.67687273620584</v>
      </c>
      <c r="DE30" s="15">
        <f t="shared" si="69"/>
        <v>189.63041731652177</v>
      </c>
      <c r="DF30" s="15">
        <f t="shared" si="69"/>
        <v>202.0333352031968</v>
      </c>
      <c r="DG30" s="16">
        <f t="shared" si="69"/>
        <v>183.57509327411989</v>
      </c>
    </row>
    <row r="31" spans="1:111" ht="18.75" customHeight="1" x14ac:dyDescent="0.25">
      <c r="A31" s="30"/>
      <c r="B31" s="30"/>
      <c r="C31" s="571" t="s">
        <v>99</v>
      </c>
      <c r="D31" s="675"/>
      <c r="E31" s="675"/>
      <c r="F31" s="675"/>
      <c r="G31" s="675"/>
      <c r="H31" s="675"/>
      <c r="I31" s="675"/>
      <c r="J31" s="675"/>
      <c r="K31" s="676"/>
      <c r="L31" s="676">
        <v>3.75</v>
      </c>
      <c r="M31" s="676">
        <v>14.75</v>
      </c>
      <c r="N31" s="676">
        <v>13.5</v>
      </c>
      <c r="O31" s="676">
        <v>14</v>
      </c>
      <c r="P31" s="676">
        <v>14</v>
      </c>
      <c r="Q31" s="676">
        <v>14</v>
      </c>
      <c r="R31" s="676">
        <v>5.5</v>
      </c>
      <c r="S31" s="676">
        <v>4.5</v>
      </c>
      <c r="T31" s="676">
        <v>5</v>
      </c>
      <c r="U31" s="676">
        <v>25.75</v>
      </c>
      <c r="V31" s="676">
        <v>11.75</v>
      </c>
      <c r="W31" s="676">
        <v>26.75</v>
      </c>
      <c r="X31" s="676">
        <v>33.75</v>
      </c>
      <c r="Y31" s="676">
        <v>32.5</v>
      </c>
      <c r="Z31" s="676">
        <v>31.5</v>
      </c>
      <c r="AA31" s="676">
        <v>10.75</v>
      </c>
      <c r="AB31" s="676">
        <v>7.75</v>
      </c>
      <c r="AC31" s="676">
        <v>16</v>
      </c>
      <c r="AD31" s="676">
        <v>19.75</v>
      </c>
      <c r="AE31" s="676">
        <v>23.75</v>
      </c>
      <c r="AF31" s="676">
        <v>21</v>
      </c>
      <c r="AG31" s="676">
        <v>14.5</v>
      </c>
      <c r="AH31" s="676">
        <v>31.75</v>
      </c>
      <c r="AI31" s="676">
        <v>33</v>
      </c>
      <c r="AJ31" s="676">
        <v>11.5</v>
      </c>
      <c r="AK31" s="676">
        <v>21.5</v>
      </c>
      <c r="AL31" s="676">
        <v>11.25</v>
      </c>
      <c r="AM31" s="676">
        <v>11.25</v>
      </c>
      <c r="AN31" s="676">
        <v>11</v>
      </c>
      <c r="AO31" s="676">
        <v>14.25</v>
      </c>
      <c r="AP31" s="676">
        <v>6.25</v>
      </c>
      <c r="AQ31" s="676">
        <v>15</v>
      </c>
      <c r="AR31" s="676">
        <v>12.5</v>
      </c>
      <c r="AS31" s="676">
        <v>8</v>
      </c>
      <c r="AT31" s="676">
        <v>26</v>
      </c>
      <c r="AU31" s="676">
        <v>20</v>
      </c>
      <c r="AV31" s="676">
        <v>11.25</v>
      </c>
      <c r="AW31" s="676">
        <v>6.25</v>
      </c>
      <c r="AX31" s="525">
        <v>2.25</v>
      </c>
      <c r="AY31" s="680">
        <f t="shared" ref="AY31:CD31" si="70">+AY33*(AY21-AY15)</f>
        <v>8.7518770626205153</v>
      </c>
      <c r="AZ31" s="16">
        <f t="shared" si="70"/>
        <v>6.5887486668326396</v>
      </c>
      <c r="BA31" s="15">
        <f t="shared" si="70"/>
        <v>8.593472532505249</v>
      </c>
      <c r="BB31" s="15">
        <f t="shared" si="70"/>
        <v>10.481432407070812</v>
      </c>
      <c r="BC31" s="15">
        <f t="shared" si="70"/>
        <v>10.441437311509956</v>
      </c>
      <c r="BD31" s="15">
        <f t="shared" si="70"/>
        <v>14.708453902009872</v>
      </c>
      <c r="BE31" s="15">
        <f t="shared" si="70"/>
        <v>15.13793022521449</v>
      </c>
      <c r="BF31" s="15">
        <f t="shared" si="70"/>
        <v>15.36408725508517</v>
      </c>
      <c r="BG31" s="15">
        <f t="shared" si="70"/>
        <v>14.361896931093977</v>
      </c>
      <c r="BH31" s="15">
        <f t="shared" si="70"/>
        <v>15.05822811065523</v>
      </c>
      <c r="BI31" s="15">
        <f t="shared" si="70"/>
        <v>11.106823022537544</v>
      </c>
      <c r="BJ31" s="15">
        <f t="shared" si="70"/>
        <v>12.891705397945028</v>
      </c>
      <c r="BK31" s="245">
        <f t="shared" si="70"/>
        <v>12.083737470775032</v>
      </c>
      <c r="BL31" s="15">
        <f t="shared" si="70"/>
        <v>6.0262945123469365</v>
      </c>
      <c r="BM31" s="15">
        <f t="shared" si="70"/>
        <v>6.8628426474868354</v>
      </c>
      <c r="BN31" s="15">
        <f t="shared" si="70"/>
        <v>7.6947023623337172</v>
      </c>
      <c r="BO31" s="15">
        <f t="shared" si="70"/>
        <v>7.3896201561237698</v>
      </c>
      <c r="BP31" s="15">
        <f t="shared" si="70"/>
        <v>10.038097131400404</v>
      </c>
      <c r="BQ31" s="15">
        <f t="shared" si="70"/>
        <v>10.123490838112199</v>
      </c>
      <c r="BR31" s="15">
        <f t="shared" si="70"/>
        <v>10.222074181810695</v>
      </c>
      <c r="BS31" s="15">
        <f t="shared" si="70"/>
        <v>9.4804656708064154</v>
      </c>
      <c r="BT31" s="15">
        <f t="shared" si="70"/>
        <v>9.8441002734886816</v>
      </c>
      <c r="BU31" s="15">
        <f t="shared" si="70"/>
        <v>7.1459339299414326</v>
      </c>
      <c r="BV31" s="15">
        <f t="shared" si="70"/>
        <v>8.3884384438683437</v>
      </c>
      <c r="BW31" s="245">
        <f t="shared" si="70"/>
        <v>7.8504544423620777</v>
      </c>
      <c r="BX31" s="15">
        <f t="shared" si="70"/>
        <v>3.6760396525316148</v>
      </c>
      <c r="BY31" s="15">
        <f t="shared" si="70"/>
        <v>4.1773824810789515</v>
      </c>
      <c r="BZ31" s="15">
        <f t="shared" si="70"/>
        <v>4.7416003746272821</v>
      </c>
      <c r="CA31" s="15">
        <f t="shared" si="70"/>
        <v>4.5489350051982642</v>
      </c>
      <c r="CB31" s="15">
        <f t="shared" si="70"/>
        <v>6.2130538034352112</v>
      </c>
      <c r="CC31" s="15">
        <f t="shared" si="70"/>
        <v>6.3011634562455159</v>
      </c>
      <c r="CD31" s="15">
        <f t="shared" si="70"/>
        <v>6.3191004033011593</v>
      </c>
      <c r="CE31" s="15">
        <f t="shared" ref="CE31:DG31" si="71">+CE33*(CE21-CE15)</f>
        <v>5.8093066238133018</v>
      </c>
      <c r="CF31" s="15">
        <f t="shared" si="71"/>
        <v>6.0362724753919599</v>
      </c>
      <c r="CG31" s="15">
        <f t="shared" si="71"/>
        <v>4.3488112202215037</v>
      </c>
      <c r="CH31" s="15">
        <f t="shared" si="71"/>
        <v>5.0992875803515281</v>
      </c>
      <c r="CI31" s="245">
        <f t="shared" si="71"/>
        <v>4.8295200746683129</v>
      </c>
      <c r="CJ31" s="15">
        <f t="shared" si="71"/>
        <v>3.7363025976550883</v>
      </c>
      <c r="CK31" s="15">
        <f t="shared" si="71"/>
        <v>4.2967362662526245</v>
      </c>
      <c r="CL31" s="15">
        <f t="shared" si="71"/>
        <v>4.8663793318543132</v>
      </c>
      <c r="CM31" s="15">
        <f t="shared" si="71"/>
        <v>4.6640979167222927</v>
      </c>
      <c r="CN31" s="15">
        <f t="shared" si="71"/>
        <v>6.4032493280301477</v>
      </c>
      <c r="CO31" s="15">
        <f t="shared" si="71"/>
        <v>6.5282324096237403</v>
      </c>
      <c r="CP31" s="15">
        <f t="shared" si="71"/>
        <v>6.5049562975159017</v>
      </c>
      <c r="CQ31" s="15">
        <f t="shared" si="71"/>
        <v>5.9908474558074465</v>
      </c>
      <c r="CR31" s="15">
        <f t="shared" si="71"/>
        <v>6.2309909423400809</v>
      </c>
      <c r="CS31" s="15">
        <f t="shared" si="71"/>
        <v>4.4713129447347759</v>
      </c>
      <c r="CT31" s="15">
        <f t="shared" si="71"/>
        <v>5.2979611224431524</v>
      </c>
      <c r="CU31" s="245">
        <f t="shared" si="71"/>
        <v>5.0083911885449046</v>
      </c>
      <c r="CV31" s="15">
        <f t="shared" si="71"/>
        <v>3.9170914330255102</v>
      </c>
      <c r="CW31" s="15">
        <f t="shared" si="71"/>
        <v>4.4757669440131487</v>
      </c>
      <c r="CX31" s="15">
        <f t="shared" si="71"/>
        <v>5.0535477676948597</v>
      </c>
      <c r="CY31" s="15">
        <f t="shared" si="71"/>
        <v>4.8944237397702963</v>
      </c>
      <c r="CZ31" s="15">
        <f t="shared" si="71"/>
        <v>6.720241869021744</v>
      </c>
      <c r="DA31" s="15">
        <f t="shared" si="71"/>
        <v>6.8120686013465068</v>
      </c>
      <c r="DB31" s="15">
        <f t="shared" si="71"/>
        <v>6.8147161212071303</v>
      </c>
      <c r="DC31" s="15">
        <f t="shared" si="71"/>
        <v>6.2329018984663422</v>
      </c>
      <c r="DD31" s="15">
        <f t="shared" si="71"/>
        <v>6.4906155649375927</v>
      </c>
      <c r="DE31" s="15">
        <f t="shared" si="71"/>
        <v>4.6550655315046985</v>
      </c>
      <c r="DF31" s="15">
        <f t="shared" si="71"/>
        <v>5.4966346645347759</v>
      </c>
      <c r="DG31" s="16">
        <f t="shared" si="71"/>
        <v>5.1872623024215221</v>
      </c>
    </row>
    <row r="32" spans="1:111" s="3" customFormat="1" ht="18.75" customHeight="1" x14ac:dyDescent="0.25">
      <c r="A32" s="30"/>
      <c r="B32" s="30"/>
      <c r="C32" s="571" t="s">
        <v>100</v>
      </c>
      <c r="D32" s="687"/>
      <c r="E32" s="687">
        <f t="shared" ref="E32:AX32" si="72">+E13/(E30+E31)</f>
        <v>0</v>
      </c>
      <c r="F32" s="687">
        <f t="shared" si="72"/>
        <v>0</v>
      </c>
      <c r="G32" s="687">
        <f t="shared" si="72"/>
        <v>0</v>
      </c>
      <c r="H32" s="687">
        <f t="shared" si="72"/>
        <v>0</v>
      </c>
      <c r="I32" s="687">
        <f t="shared" si="72"/>
        <v>0</v>
      </c>
      <c r="J32" s="687">
        <f t="shared" si="72"/>
        <v>0</v>
      </c>
      <c r="K32" s="687">
        <f t="shared" si="72"/>
        <v>0</v>
      </c>
      <c r="L32" s="687">
        <f t="shared" si="72"/>
        <v>0</v>
      </c>
      <c r="M32" s="687">
        <f t="shared" si="72"/>
        <v>0</v>
      </c>
      <c r="N32" s="687">
        <f t="shared" si="72"/>
        <v>0</v>
      </c>
      <c r="O32" s="687">
        <f t="shared" si="72"/>
        <v>0</v>
      </c>
      <c r="P32" s="687">
        <f t="shared" si="72"/>
        <v>0</v>
      </c>
      <c r="Q32" s="687">
        <f t="shared" si="72"/>
        <v>0</v>
      </c>
      <c r="R32" s="687">
        <f t="shared" si="72"/>
        <v>0</v>
      </c>
      <c r="S32" s="687">
        <f t="shared" si="72"/>
        <v>0</v>
      </c>
      <c r="T32" s="687">
        <f t="shared" si="72"/>
        <v>0</v>
      </c>
      <c r="U32" s="687">
        <f t="shared" si="72"/>
        <v>0</v>
      </c>
      <c r="V32" s="687">
        <f t="shared" si="72"/>
        <v>0</v>
      </c>
      <c r="W32" s="687">
        <f t="shared" si="72"/>
        <v>0</v>
      </c>
      <c r="X32" s="687">
        <f t="shared" si="72"/>
        <v>0</v>
      </c>
      <c r="Y32" s="687">
        <f t="shared" si="72"/>
        <v>0</v>
      </c>
      <c r="Z32" s="687">
        <f t="shared" si="72"/>
        <v>0</v>
      </c>
      <c r="AA32" s="687">
        <f t="shared" si="72"/>
        <v>0</v>
      </c>
      <c r="AB32" s="687">
        <f t="shared" si="72"/>
        <v>40.270650263620389</v>
      </c>
      <c r="AC32" s="687">
        <f t="shared" si="72"/>
        <v>39.451754385964911</v>
      </c>
      <c r="AD32" s="687">
        <f t="shared" si="72"/>
        <v>37.539312039312037</v>
      </c>
      <c r="AE32" s="687">
        <f t="shared" si="72"/>
        <v>38.987531172069822</v>
      </c>
      <c r="AF32" s="687">
        <f t="shared" si="72"/>
        <v>40.039800995024876</v>
      </c>
      <c r="AG32" s="687">
        <f t="shared" si="72"/>
        <v>41.593023255813954</v>
      </c>
      <c r="AH32" s="687">
        <f t="shared" si="72"/>
        <v>34.423462088698138</v>
      </c>
      <c r="AI32" s="687">
        <f t="shared" si="72"/>
        <v>36.750629722921914</v>
      </c>
      <c r="AJ32" s="687">
        <f t="shared" si="72"/>
        <v>43.529976019184652</v>
      </c>
      <c r="AK32" s="687">
        <f t="shared" si="72"/>
        <v>38.678391959798994</v>
      </c>
      <c r="AL32" s="687">
        <f t="shared" si="72"/>
        <v>39.748490945674043</v>
      </c>
      <c r="AM32" s="687">
        <f t="shared" si="72"/>
        <v>42.064957264957265</v>
      </c>
      <c r="AN32" s="687">
        <f t="shared" si="72"/>
        <v>44.956856187290974</v>
      </c>
      <c r="AO32" s="687">
        <f t="shared" si="72"/>
        <v>41.146455696202537</v>
      </c>
      <c r="AP32" s="687">
        <f t="shared" si="72"/>
        <v>43.947449768160745</v>
      </c>
      <c r="AQ32" s="687">
        <f t="shared" si="72"/>
        <v>42.324360699865409</v>
      </c>
      <c r="AR32" s="687">
        <f t="shared" si="72"/>
        <v>43.462731034482758</v>
      </c>
      <c r="AS32" s="687">
        <f t="shared" si="72"/>
        <v>48.163986013986012</v>
      </c>
      <c r="AT32" s="687">
        <f t="shared" si="72"/>
        <v>43.131104651162794</v>
      </c>
      <c r="AU32" s="687">
        <f t="shared" si="72"/>
        <v>44.795727246122333</v>
      </c>
      <c r="AV32" s="687">
        <f t="shared" si="72"/>
        <v>45.622550831792978</v>
      </c>
      <c r="AW32" s="687">
        <f t="shared" si="72"/>
        <v>47.851282051282048</v>
      </c>
      <c r="AX32" s="533">
        <f t="shared" si="72"/>
        <v>48.06392694063927</v>
      </c>
      <c r="AY32" s="696">
        <f>+AVERAGE(AS32:AX32)+3</f>
        <v>49.271429622497571</v>
      </c>
      <c r="AZ32" s="697">
        <f t="shared" ref="AZ32:CE32" si="73">+IF(AZ1&lt;&gt;AY1, AY32*1.05, AY32)</f>
        <v>51.735001103622452</v>
      </c>
      <c r="BA32" s="21">
        <f t="shared" si="73"/>
        <v>51.735001103622452</v>
      </c>
      <c r="BB32" s="21">
        <f t="shared" si="73"/>
        <v>51.735001103622452</v>
      </c>
      <c r="BC32" s="21">
        <f t="shared" si="73"/>
        <v>51.735001103622452</v>
      </c>
      <c r="BD32" s="21">
        <f t="shared" si="73"/>
        <v>51.735001103622452</v>
      </c>
      <c r="BE32" s="21">
        <f t="shared" si="73"/>
        <v>51.735001103622452</v>
      </c>
      <c r="BF32" s="21">
        <f t="shared" si="73"/>
        <v>51.735001103622452</v>
      </c>
      <c r="BG32" s="21">
        <f t="shared" si="73"/>
        <v>51.735001103622452</v>
      </c>
      <c r="BH32" s="21">
        <f t="shared" si="73"/>
        <v>51.735001103622452</v>
      </c>
      <c r="BI32" s="21">
        <f t="shared" si="73"/>
        <v>51.735001103622452</v>
      </c>
      <c r="BJ32" s="21">
        <f t="shared" si="73"/>
        <v>51.735001103622452</v>
      </c>
      <c r="BK32" s="248">
        <f t="shared" si="73"/>
        <v>51.735001103622452</v>
      </c>
      <c r="BL32" s="21">
        <f t="shared" si="73"/>
        <v>54.321751158803579</v>
      </c>
      <c r="BM32" s="21">
        <f t="shared" si="73"/>
        <v>54.321751158803579</v>
      </c>
      <c r="BN32" s="21">
        <f t="shared" si="73"/>
        <v>54.321751158803579</v>
      </c>
      <c r="BO32" s="21">
        <f t="shared" si="73"/>
        <v>54.321751158803579</v>
      </c>
      <c r="BP32" s="21">
        <f t="shared" si="73"/>
        <v>54.321751158803579</v>
      </c>
      <c r="BQ32" s="21">
        <f t="shared" si="73"/>
        <v>54.321751158803579</v>
      </c>
      <c r="BR32" s="21">
        <f t="shared" si="73"/>
        <v>54.321751158803579</v>
      </c>
      <c r="BS32" s="21">
        <f t="shared" si="73"/>
        <v>54.321751158803579</v>
      </c>
      <c r="BT32" s="21">
        <f t="shared" si="73"/>
        <v>54.321751158803579</v>
      </c>
      <c r="BU32" s="21">
        <f t="shared" si="73"/>
        <v>54.321751158803579</v>
      </c>
      <c r="BV32" s="21">
        <f t="shared" si="73"/>
        <v>54.321751158803579</v>
      </c>
      <c r="BW32" s="248">
        <f t="shared" si="73"/>
        <v>54.321751158803579</v>
      </c>
      <c r="BX32" s="21">
        <f t="shared" si="73"/>
        <v>57.037838716743764</v>
      </c>
      <c r="BY32" s="21">
        <f t="shared" si="73"/>
        <v>57.037838716743764</v>
      </c>
      <c r="BZ32" s="21">
        <f t="shared" si="73"/>
        <v>57.037838716743764</v>
      </c>
      <c r="CA32" s="21">
        <f t="shared" si="73"/>
        <v>57.037838716743764</v>
      </c>
      <c r="CB32" s="21">
        <f t="shared" si="73"/>
        <v>57.037838716743764</v>
      </c>
      <c r="CC32" s="21">
        <f t="shared" si="73"/>
        <v>57.037838716743764</v>
      </c>
      <c r="CD32" s="21">
        <f t="shared" si="73"/>
        <v>57.037838716743764</v>
      </c>
      <c r="CE32" s="21">
        <f t="shared" si="73"/>
        <v>57.037838716743764</v>
      </c>
      <c r="CF32" s="21">
        <f t="shared" ref="CF32:DG32" si="74">+IF(CF1&lt;&gt;CE1, CE32*1.05, CE32)</f>
        <v>57.037838716743764</v>
      </c>
      <c r="CG32" s="21">
        <f t="shared" si="74"/>
        <v>57.037838716743764</v>
      </c>
      <c r="CH32" s="21">
        <f t="shared" si="74"/>
        <v>57.037838716743764</v>
      </c>
      <c r="CI32" s="248">
        <f t="shared" si="74"/>
        <v>57.037838716743764</v>
      </c>
      <c r="CJ32" s="21">
        <f t="shared" si="74"/>
        <v>59.889730652580951</v>
      </c>
      <c r="CK32" s="21">
        <f t="shared" si="74"/>
        <v>59.889730652580951</v>
      </c>
      <c r="CL32" s="21">
        <f t="shared" si="74"/>
        <v>59.889730652580951</v>
      </c>
      <c r="CM32" s="21">
        <f t="shared" si="74"/>
        <v>59.889730652580951</v>
      </c>
      <c r="CN32" s="21">
        <f t="shared" si="74"/>
        <v>59.889730652580951</v>
      </c>
      <c r="CO32" s="21">
        <f t="shared" si="74"/>
        <v>59.889730652580951</v>
      </c>
      <c r="CP32" s="21">
        <f t="shared" si="74"/>
        <v>59.889730652580951</v>
      </c>
      <c r="CQ32" s="21">
        <f t="shared" si="74"/>
        <v>59.889730652580951</v>
      </c>
      <c r="CR32" s="21">
        <f t="shared" si="74"/>
        <v>59.889730652580951</v>
      </c>
      <c r="CS32" s="21">
        <f t="shared" si="74"/>
        <v>59.889730652580951</v>
      </c>
      <c r="CT32" s="21">
        <f t="shared" si="74"/>
        <v>59.889730652580951</v>
      </c>
      <c r="CU32" s="248">
        <f t="shared" si="74"/>
        <v>59.889730652580951</v>
      </c>
      <c r="CV32" s="21">
        <f t="shared" si="74"/>
        <v>62.884217185209998</v>
      </c>
      <c r="CW32" s="21">
        <f t="shared" si="74"/>
        <v>62.884217185209998</v>
      </c>
      <c r="CX32" s="21">
        <f t="shared" si="74"/>
        <v>62.884217185209998</v>
      </c>
      <c r="CY32" s="21">
        <f t="shared" si="74"/>
        <v>62.884217185209998</v>
      </c>
      <c r="CZ32" s="21">
        <f t="shared" si="74"/>
        <v>62.884217185209998</v>
      </c>
      <c r="DA32" s="21">
        <f t="shared" si="74"/>
        <v>62.884217185209998</v>
      </c>
      <c r="DB32" s="21">
        <f t="shared" si="74"/>
        <v>62.884217185209998</v>
      </c>
      <c r="DC32" s="21">
        <f t="shared" si="74"/>
        <v>62.884217185209998</v>
      </c>
      <c r="DD32" s="21">
        <f t="shared" si="74"/>
        <v>62.884217185209998</v>
      </c>
      <c r="DE32" s="21">
        <f t="shared" si="74"/>
        <v>62.884217185209998</v>
      </c>
      <c r="DF32" s="21">
        <f t="shared" si="74"/>
        <v>62.884217185209998</v>
      </c>
      <c r="DG32" s="22">
        <f t="shared" si="74"/>
        <v>62.884217185209998</v>
      </c>
    </row>
    <row r="33" spans="1:111" ht="18.75" customHeight="1" x14ac:dyDescent="0.25">
      <c r="A33" s="30"/>
      <c r="B33" s="30"/>
      <c r="C33" s="571" t="s">
        <v>101</v>
      </c>
      <c r="D33" s="687"/>
      <c r="E33" s="687"/>
      <c r="F33" s="687"/>
      <c r="G33" s="687"/>
      <c r="H33" s="687"/>
      <c r="I33" s="687"/>
      <c r="J33" s="687"/>
      <c r="K33" s="687"/>
      <c r="L33" s="687"/>
      <c r="M33" s="687"/>
      <c r="N33" s="687"/>
      <c r="O33" s="687"/>
      <c r="P33" s="687"/>
      <c r="Q33" s="687"/>
      <c r="R33" s="687"/>
      <c r="S33" s="687"/>
      <c r="T33" s="687"/>
      <c r="U33" s="687"/>
      <c r="V33" s="687"/>
      <c r="W33" s="698">
        <f>+(W31/(W21-W15))</f>
        <v>0.65243902439024393</v>
      </c>
      <c r="X33" s="698">
        <f>+(X31/(X21-X15))</f>
        <v>0.64903846153846156</v>
      </c>
      <c r="Y33" s="698">
        <f>+(Y31/(Y21-Y15))</f>
        <v>0.65</v>
      </c>
      <c r="Z33" s="698">
        <f>+(Z31/(Z21-Z15))</f>
        <v>0.6428571428571429</v>
      </c>
      <c r="AA33" s="698">
        <f>+(AA31/(AA21-AA15))</f>
        <v>0.63235294117647056</v>
      </c>
      <c r="AB33" s="699">
        <f t="shared" ref="AB33:AX33" si="75">(AB31/(AB21-AB15))</f>
        <v>1.9375</v>
      </c>
      <c r="AC33" s="699">
        <f t="shared" si="75"/>
        <v>2</v>
      </c>
      <c r="AD33" s="699">
        <f t="shared" si="75"/>
        <v>2.46875</v>
      </c>
      <c r="AE33" s="699">
        <f t="shared" si="75"/>
        <v>2.6388888888888888</v>
      </c>
      <c r="AF33" s="699">
        <f t="shared" si="75"/>
        <v>3</v>
      </c>
      <c r="AG33" s="699">
        <f t="shared" si="75"/>
        <v>2.9</v>
      </c>
      <c r="AH33" s="699">
        <f t="shared" si="75"/>
        <v>2.4423076923076925</v>
      </c>
      <c r="AI33" s="699">
        <f t="shared" si="75"/>
        <v>2.3571428571428572</v>
      </c>
      <c r="AJ33" s="699">
        <f t="shared" si="75"/>
        <v>2.875</v>
      </c>
      <c r="AK33" s="699">
        <f t="shared" si="75"/>
        <v>2.15</v>
      </c>
      <c r="AL33" s="699">
        <f t="shared" si="75"/>
        <v>2.25</v>
      </c>
      <c r="AM33" s="699">
        <f t="shared" si="75"/>
        <v>2.25</v>
      </c>
      <c r="AN33" s="699">
        <f t="shared" si="75"/>
        <v>2.75</v>
      </c>
      <c r="AO33" s="699">
        <f t="shared" si="75"/>
        <v>2.85</v>
      </c>
      <c r="AP33" s="699">
        <f t="shared" si="75"/>
        <v>1.5625</v>
      </c>
      <c r="AQ33" s="699">
        <f t="shared" si="75"/>
        <v>1.875</v>
      </c>
      <c r="AR33" s="699">
        <f t="shared" si="75"/>
        <v>1.7857142857142858</v>
      </c>
      <c r="AS33" s="699">
        <f t="shared" si="75"/>
        <v>1.6</v>
      </c>
      <c r="AT33" s="699">
        <f t="shared" si="75"/>
        <v>2.1666666666666665</v>
      </c>
      <c r="AU33" s="699">
        <f t="shared" si="75"/>
        <v>1.8181818181818181</v>
      </c>
      <c r="AV33" s="699">
        <f t="shared" si="75"/>
        <v>1.875</v>
      </c>
      <c r="AW33" s="699">
        <f t="shared" si="75"/>
        <v>1.5625</v>
      </c>
      <c r="AX33" s="534">
        <f t="shared" si="75"/>
        <v>2.25</v>
      </c>
      <c r="AY33" s="700">
        <f>+AVERAGE(AS33:AX33)</f>
        <v>1.8787247474747477</v>
      </c>
      <c r="AZ33" s="701">
        <f t="shared" ref="AZ33:CE33" si="76">+AY33</f>
        <v>1.8787247474747477</v>
      </c>
      <c r="BA33" s="242">
        <f t="shared" si="76"/>
        <v>1.8787247474747477</v>
      </c>
      <c r="BB33" s="242">
        <f t="shared" si="76"/>
        <v>1.8787247474747477</v>
      </c>
      <c r="BC33" s="242">
        <f t="shared" si="76"/>
        <v>1.8787247474747477</v>
      </c>
      <c r="BD33" s="242">
        <f t="shared" si="76"/>
        <v>1.8787247474747477</v>
      </c>
      <c r="BE33" s="242">
        <f t="shared" si="76"/>
        <v>1.8787247474747477</v>
      </c>
      <c r="BF33" s="242">
        <f t="shared" si="76"/>
        <v>1.8787247474747477</v>
      </c>
      <c r="BG33" s="242">
        <f t="shared" si="76"/>
        <v>1.8787247474747477</v>
      </c>
      <c r="BH33" s="242">
        <f t="shared" si="76"/>
        <v>1.8787247474747477</v>
      </c>
      <c r="BI33" s="242">
        <f t="shared" si="76"/>
        <v>1.8787247474747477</v>
      </c>
      <c r="BJ33" s="242">
        <f t="shared" si="76"/>
        <v>1.8787247474747477</v>
      </c>
      <c r="BK33" s="244">
        <f t="shared" si="76"/>
        <v>1.8787247474747477</v>
      </c>
      <c r="BL33" s="242">
        <f t="shared" si="76"/>
        <v>1.8787247474747477</v>
      </c>
      <c r="BM33" s="242">
        <f t="shared" si="76"/>
        <v>1.8787247474747477</v>
      </c>
      <c r="BN33" s="242">
        <f t="shared" si="76"/>
        <v>1.8787247474747477</v>
      </c>
      <c r="BO33" s="242">
        <f t="shared" si="76"/>
        <v>1.8787247474747477</v>
      </c>
      <c r="BP33" s="242">
        <f t="shared" si="76"/>
        <v>1.8787247474747477</v>
      </c>
      <c r="BQ33" s="242">
        <f t="shared" si="76"/>
        <v>1.8787247474747477</v>
      </c>
      <c r="BR33" s="242">
        <f t="shared" si="76"/>
        <v>1.8787247474747477</v>
      </c>
      <c r="BS33" s="242">
        <f t="shared" si="76"/>
        <v>1.8787247474747477</v>
      </c>
      <c r="BT33" s="242">
        <f t="shared" si="76"/>
        <v>1.8787247474747477</v>
      </c>
      <c r="BU33" s="242">
        <f t="shared" si="76"/>
        <v>1.8787247474747477</v>
      </c>
      <c r="BV33" s="242">
        <f t="shared" si="76"/>
        <v>1.8787247474747477</v>
      </c>
      <c r="BW33" s="244">
        <f t="shared" si="76"/>
        <v>1.8787247474747477</v>
      </c>
      <c r="BX33" s="242">
        <f t="shared" si="76"/>
        <v>1.8787247474747477</v>
      </c>
      <c r="BY33" s="242">
        <f t="shared" si="76"/>
        <v>1.8787247474747477</v>
      </c>
      <c r="BZ33" s="242">
        <f t="shared" si="76"/>
        <v>1.8787247474747477</v>
      </c>
      <c r="CA33" s="242">
        <f t="shared" si="76"/>
        <v>1.8787247474747477</v>
      </c>
      <c r="CB33" s="242">
        <f t="shared" si="76"/>
        <v>1.8787247474747477</v>
      </c>
      <c r="CC33" s="242">
        <f t="shared" si="76"/>
        <v>1.8787247474747477</v>
      </c>
      <c r="CD33" s="242">
        <f t="shared" si="76"/>
        <v>1.8787247474747477</v>
      </c>
      <c r="CE33" s="242">
        <f t="shared" si="76"/>
        <v>1.8787247474747477</v>
      </c>
      <c r="CF33" s="242">
        <f t="shared" ref="CF33:DG33" si="77">+CE33</f>
        <v>1.8787247474747477</v>
      </c>
      <c r="CG33" s="242">
        <f t="shared" si="77"/>
        <v>1.8787247474747477</v>
      </c>
      <c r="CH33" s="242">
        <f t="shared" si="77"/>
        <v>1.8787247474747477</v>
      </c>
      <c r="CI33" s="244">
        <f t="shared" si="77"/>
        <v>1.8787247474747477</v>
      </c>
      <c r="CJ33" s="242">
        <f t="shared" si="77"/>
        <v>1.8787247474747477</v>
      </c>
      <c r="CK33" s="242">
        <f t="shared" si="77"/>
        <v>1.8787247474747477</v>
      </c>
      <c r="CL33" s="242">
        <f t="shared" si="77"/>
        <v>1.8787247474747477</v>
      </c>
      <c r="CM33" s="242">
        <f t="shared" si="77"/>
        <v>1.8787247474747477</v>
      </c>
      <c r="CN33" s="242">
        <f t="shared" si="77"/>
        <v>1.8787247474747477</v>
      </c>
      <c r="CO33" s="242">
        <f t="shared" si="77"/>
        <v>1.8787247474747477</v>
      </c>
      <c r="CP33" s="242">
        <f t="shared" si="77"/>
        <v>1.8787247474747477</v>
      </c>
      <c r="CQ33" s="242">
        <f t="shared" si="77"/>
        <v>1.8787247474747477</v>
      </c>
      <c r="CR33" s="242">
        <f t="shared" si="77"/>
        <v>1.8787247474747477</v>
      </c>
      <c r="CS33" s="242">
        <f t="shared" si="77"/>
        <v>1.8787247474747477</v>
      </c>
      <c r="CT33" s="242">
        <f t="shared" si="77"/>
        <v>1.8787247474747477</v>
      </c>
      <c r="CU33" s="244">
        <f t="shared" si="77"/>
        <v>1.8787247474747477</v>
      </c>
      <c r="CV33" s="242">
        <f t="shared" si="77"/>
        <v>1.8787247474747477</v>
      </c>
      <c r="CW33" s="242">
        <f t="shared" si="77"/>
        <v>1.8787247474747477</v>
      </c>
      <c r="CX33" s="242">
        <f t="shared" si="77"/>
        <v>1.8787247474747477</v>
      </c>
      <c r="CY33" s="242">
        <f t="shared" si="77"/>
        <v>1.8787247474747477</v>
      </c>
      <c r="CZ33" s="242">
        <f t="shared" si="77"/>
        <v>1.8787247474747477</v>
      </c>
      <c r="DA33" s="242">
        <f t="shared" si="77"/>
        <v>1.8787247474747477</v>
      </c>
      <c r="DB33" s="242">
        <f t="shared" si="77"/>
        <v>1.8787247474747477</v>
      </c>
      <c r="DC33" s="242">
        <f t="shared" si="77"/>
        <v>1.8787247474747477</v>
      </c>
      <c r="DD33" s="242">
        <f t="shared" si="77"/>
        <v>1.8787247474747477</v>
      </c>
      <c r="DE33" s="242">
        <f t="shared" si="77"/>
        <v>1.8787247474747477</v>
      </c>
      <c r="DF33" s="242">
        <f t="shared" si="77"/>
        <v>1.8787247474747477</v>
      </c>
      <c r="DG33" s="385">
        <f t="shared" si="77"/>
        <v>1.8787247474747477</v>
      </c>
    </row>
    <row r="34" spans="1:111" ht="18.75" customHeight="1" x14ac:dyDescent="0.25">
      <c r="A34" s="30"/>
      <c r="B34" s="30"/>
      <c r="C34" s="571" t="s">
        <v>102</v>
      </c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702">
        <f t="shared" ref="V34:BA34" si="78">+V30/(V30+V31)</f>
        <v>0.73295454545454541</v>
      </c>
      <c r="W34" s="702">
        <f t="shared" si="78"/>
        <v>0.81161971830985913</v>
      </c>
      <c r="X34" s="702">
        <f t="shared" si="78"/>
        <v>0.78503184713375795</v>
      </c>
      <c r="Y34" s="702">
        <f t="shared" si="78"/>
        <v>0.78758169934640521</v>
      </c>
      <c r="Z34" s="702">
        <f t="shared" si="78"/>
        <v>0.79378068739770868</v>
      </c>
      <c r="AA34" s="702">
        <f t="shared" si="78"/>
        <v>0.92335115864527628</v>
      </c>
      <c r="AB34" s="702">
        <f t="shared" si="78"/>
        <v>0.94551845342706498</v>
      </c>
      <c r="AC34" s="702">
        <f t="shared" si="78"/>
        <v>0.9064327485380117</v>
      </c>
      <c r="AD34" s="702">
        <f t="shared" si="78"/>
        <v>0.90294840294840295</v>
      </c>
      <c r="AE34" s="702">
        <f t="shared" si="78"/>
        <v>0.88154613466334164</v>
      </c>
      <c r="AF34" s="702">
        <f t="shared" si="78"/>
        <v>0.89552238805970152</v>
      </c>
      <c r="AG34" s="702">
        <f t="shared" si="78"/>
        <v>0.91569767441860461</v>
      </c>
      <c r="AH34" s="702">
        <f t="shared" si="78"/>
        <v>0.81831187410586548</v>
      </c>
      <c r="AI34" s="702">
        <f t="shared" si="78"/>
        <v>0.83375314861460958</v>
      </c>
      <c r="AJ34" s="702">
        <f t="shared" si="78"/>
        <v>0.88968824940047964</v>
      </c>
      <c r="AK34" s="702">
        <f t="shared" si="78"/>
        <v>0.89195979899497491</v>
      </c>
      <c r="AL34" s="702">
        <f t="shared" si="78"/>
        <v>0.9094567404426559</v>
      </c>
      <c r="AM34" s="702">
        <f t="shared" si="78"/>
        <v>0.92307692307692313</v>
      </c>
      <c r="AN34" s="702">
        <f t="shared" si="78"/>
        <v>0.9264214046822743</v>
      </c>
      <c r="AO34" s="702">
        <f t="shared" si="78"/>
        <v>0.90981012658227844</v>
      </c>
      <c r="AP34" s="702">
        <f t="shared" si="78"/>
        <v>0.96136012364760437</v>
      </c>
      <c r="AQ34" s="702">
        <f t="shared" si="78"/>
        <v>0.91924629878869446</v>
      </c>
      <c r="AR34" s="702">
        <f t="shared" si="78"/>
        <v>0.93103448275862066</v>
      </c>
      <c r="AS34" s="702">
        <f t="shared" si="78"/>
        <v>0.94405594405594406</v>
      </c>
      <c r="AT34" s="702">
        <f t="shared" si="78"/>
        <v>0.84883720930232553</v>
      </c>
      <c r="AU34" s="702">
        <f t="shared" si="78"/>
        <v>0.88293824992683645</v>
      </c>
      <c r="AV34" s="702">
        <f t="shared" si="78"/>
        <v>0.91682070240295743</v>
      </c>
      <c r="AW34" s="702">
        <f t="shared" si="78"/>
        <v>0.95726495726495731</v>
      </c>
      <c r="AX34" s="535">
        <f t="shared" si="78"/>
        <v>0.97945205479452058</v>
      </c>
      <c r="AY34" s="703">
        <f t="shared" si="78"/>
        <v>0.92454149592695634</v>
      </c>
      <c r="AZ34" s="168">
        <f t="shared" si="78"/>
        <v>0.94570706233897506</v>
      </c>
      <c r="BA34" s="167">
        <f t="shared" si="78"/>
        <v>0.94415482544043361</v>
      </c>
      <c r="BB34" s="167">
        <f t="shared" ref="BB34:CG34" si="79">+BB30/(BB30+BB31)</f>
        <v>0.94075327254168095</v>
      </c>
      <c r="BC34" s="167">
        <f t="shared" si="79"/>
        <v>0.9512585848730436</v>
      </c>
      <c r="BD34" s="167">
        <f t="shared" si="79"/>
        <v>0.93001854416099317</v>
      </c>
      <c r="BE34" s="167">
        <f t="shared" si="79"/>
        <v>0.92989603000979038</v>
      </c>
      <c r="BF34" s="167">
        <f t="shared" si="79"/>
        <v>0.92587636929866302</v>
      </c>
      <c r="BG34" s="167">
        <f t="shared" si="79"/>
        <v>0.93513045890701352</v>
      </c>
      <c r="BH34" s="167">
        <f t="shared" si="79"/>
        <v>0.90753631844482696</v>
      </c>
      <c r="BI34" s="167">
        <f t="shared" si="79"/>
        <v>0.9349103121792065</v>
      </c>
      <c r="BJ34" s="167">
        <f t="shared" si="79"/>
        <v>0.93192699951492419</v>
      </c>
      <c r="BK34" s="249">
        <f t="shared" si="79"/>
        <v>0.93431033123114804</v>
      </c>
      <c r="BL34" s="167">
        <f t="shared" si="79"/>
        <v>0.95872598903782902</v>
      </c>
      <c r="BM34" s="167">
        <f t="shared" si="79"/>
        <v>0.9613398479264289</v>
      </c>
      <c r="BN34" s="167">
        <f t="shared" si="79"/>
        <v>0.96241327772827956</v>
      </c>
      <c r="BO34" s="167">
        <f t="shared" si="79"/>
        <v>0.96785830304066955</v>
      </c>
      <c r="BP34" s="167">
        <f t="shared" si="79"/>
        <v>0.95420343218886017</v>
      </c>
      <c r="BQ34" s="167">
        <f t="shared" si="79"/>
        <v>0.95478074328395002</v>
      </c>
      <c r="BR34" s="167">
        <f t="shared" si="79"/>
        <v>0.94991715556742995</v>
      </c>
      <c r="BS34" s="167">
        <f t="shared" si="79"/>
        <v>0.95988736105612005</v>
      </c>
      <c r="BT34" s="167">
        <f t="shared" si="79"/>
        <v>0.93922961666070937</v>
      </c>
      <c r="BU34" s="167">
        <f t="shared" si="79"/>
        <v>0.9568702358937885</v>
      </c>
      <c r="BV34" s="167">
        <f t="shared" si="79"/>
        <v>0.95817908313128575</v>
      </c>
      <c r="BW34" s="249">
        <f t="shared" si="79"/>
        <v>0.9570033792823458</v>
      </c>
      <c r="BX34" s="167">
        <f t="shared" si="79"/>
        <v>0.97476728368739618</v>
      </c>
      <c r="BY34" s="167">
        <f t="shared" si="79"/>
        <v>0.97780436305107776</v>
      </c>
      <c r="BZ34" s="167">
        <f t="shared" si="79"/>
        <v>0.97708076748021133</v>
      </c>
      <c r="CA34" s="167">
        <f t="shared" si="79"/>
        <v>0.97866614118784467</v>
      </c>
      <c r="CB34" s="167">
        <f t="shared" si="79"/>
        <v>0.9745206135781751</v>
      </c>
      <c r="CC34" s="167">
        <f t="shared" si="79"/>
        <v>0.97218406014460379</v>
      </c>
      <c r="CD34" s="167">
        <f t="shared" si="79"/>
        <v>0.96764830570811344</v>
      </c>
      <c r="CE34" s="167">
        <f t="shared" si="79"/>
        <v>0.97659422471163959</v>
      </c>
      <c r="CF34" s="167">
        <f t="shared" si="79"/>
        <v>0.96063463157550821</v>
      </c>
      <c r="CG34" s="167">
        <f t="shared" si="79"/>
        <v>0.97480734891593601</v>
      </c>
      <c r="CH34" s="167">
        <f t="shared" ref="CH34:DG34" si="80">+CH30/(CH30+CH31)</f>
        <v>0.97477553633435554</v>
      </c>
      <c r="CI34" s="249">
        <f t="shared" si="80"/>
        <v>0.97107783762932598</v>
      </c>
      <c r="CJ34" s="167">
        <f t="shared" si="80"/>
        <v>0.97717790258222947</v>
      </c>
      <c r="CK34" s="167">
        <f t="shared" si="80"/>
        <v>0.97667044617441778</v>
      </c>
      <c r="CL34" s="167">
        <f t="shared" si="80"/>
        <v>0.97604114982777412</v>
      </c>
      <c r="CM34" s="167">
        <f t="shared" si="80"/>
        <v>0.97976377215556953</v>
      </c>
      <c r="CN34" s="167">
        <f t="shared" si="80"/>
        <v>0.9746506203649693</v>
      </c>
      <c r="CO34" s="167">
        <f t="shared" si="80"/>
        <v>0.97071625182284005</v>
      </c>
      <c r="CP34" s="167">
        <f t="shared" si="80"/>
        <v>0.96912678439820388</v>
      </c>
      <c r="CQ34" s="167">
        <f t="shared" si="80"/>
        <v>0.97661654743376092</v>
      </c>
      <c r="CR34" s="167">
        <f t="shared" si="80"/>
        <v>0.95859029093369952</v>
      </c>
      <c r="CS34" s="167">
        <f t="shared" si="80"/>
        <v>0.97612085550897187</v>
      </c>
      <c r="CT34" s="167">
        <f t="shared" si="80"/>
        <v>0.9747299203056754</v>
      </c>
      <c r="CU34" s="249">
        <f t="shared" si="80"/>
        <v>0.97138199426036731</v>
      </c>
      <c r="CV34" s="167">
        <f t="shared" si="80"/>
        <v>0.97703404473610389</v>
      </c>
      <c r="CW34" s="167">
        <f t="shared" si="80"/>
        <v>0.97660012628178772</v>
      </c>
      <c r="CX34" s="167">
        <f t="shared" si="80"/>
        <v>0.97518330201173897</v>
      </c>
      <c r="CY34" s="167">
        <f t="shared" si="80"/>
        <v>0.98066802485463145</v>
      </c>
      <c r="CZ34" s="167">
        <f t="shared" si="80"/>
        <v>0.97450794527995632</v>
      </c>
      <c r="DA34" s="167">
        <f t="shared" si="80"/>
        <v>0.96941466328294146</v>
      </c>
      <c r="DB34" s="167">
        <f t="shared" si="80"/>
        <v>0.9702304433058816</v>
      </c>
      <c r="DC34" s="167">
        <f t="shared" si="80"/>
        <v>0.97560849772500735</v>
      </c>
      <c r="DD34" s="167">
        <f t="shared" si="80"/>
        <v>0.96046345331767868</v>
      </c>
      <c r="DE34" s="167">
        <f t="shared" si="80"/>
        <v>0.97604007534033832</v>
      </c>
      <c r="DF34" s="167">
        <f t="shared" si="80"/>
        <v>0.97351401983993902</v>
      </c>
      <c r="DG34" s="168">
        <f t="shared" si="80"/>
        <v>0.97251961448257018</v>
      </c>
    </row>
    <row r="35" spans="1:111" ht="18.75" customHeight="1" x14ac:dyDescent="0.25">
      <c r="A35" s="30"/>
      <c r="B35" s="30"/>
      <c r="C35" s="571"/>
      <c r="D35" s="687"/>
      <c r="E35" s="687"/>
      <c r="F35" s="687"/>
      <c r="G35" s="687"/>
      <c r="H35" s="687"/>
      <c r="I35" s="687"/>
      <c r="J35" s="687"/>
      <c r="K35" s="687"/>
      <c r="L35" s="687"/>
      <c r="M35" s="687"/>
      <c r="N35" s="687"/>
      <c r="O35" s="687"/>
      <c r="P35" s="687"/>
      <c r="Q35" s="687"/>
      <c r="R35" s="687"/>
      <c r="S35" s="687"/>
      <c r="T35" s="687"/>
      <c r="U35" s="687"/>
      <c r="V35" s="687"/>
      <c r="W35" s="687"/>
      <c r="X35" s="687"/>
      <c r="Y35" s="687"/>
      <c r="Z35" s="687"/>
      <c r="AA35" s="687"/>
      <c r="AB35" s="687"/>
      <c r="AC35" s="687"/>
      <c r="AD35" s="687"/>
      <c r="AE35" s="687"/>
      <c r="AF35" s="687"/>
      <c r="AG35" s="687"/>
      <c r="AH35" s="687"/>
      <c r="AI35" s="687"/>
      <c r="AJ35" s="687"/>
      <c r="AK35" s="687"/>
      <c r="AL35" s="687"/>
      <c r="AM35" s="687"/>
      <c r="AN35" s="687"/>
      <c r="AO35" s="687"/>
      <c r="AP35" s="687"/>
      <c r="AQ35" s="687"/>
      <c r="AR35" s="687"/>
      <c r="AS35" s="687"/>
      <c r="AT35" s="687"/>
      <c r="AU35" s="687"/>
      <c r="AV35" s="687"/>
      <c r="AW35" s="687"/>
      <c r="AX35" s="610"/>
      <c r="AY35" s="704"/>
      <c r="AZ35" s="22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48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48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48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48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2"/>
    </row>
    <row r="36" spans="1:111" ht="18.75" customHeight="1" x14ac:dyDescent="0.25">
      <c r="A36" s="30"/>
      <c r="B36" s="30"/>
      <c r="C36" s="571" t="s">
        <v>103</v>
      </c>
      <c r="D36" s="687"/>
      <c r="E36" s="687"/>
      <c r="F36" s="687"/>
      <c r="G36" s="687"/>
      <c r="H36" s="687"/>
      <c r="I36" s="705"/>
      <c r="J36" s="705"/>
      <c r="K36" s="705"/>
      <c r="L36" s="705">
        <f t="shared" ref="L36:V36" si="81">+AVERAGE(F20:L20)/L15</f>
        <v>-0.20634920634920637</v>
      </c>
      <c r="M36" s="705">
        <f t="shared" si="81"/>
        <v>-7.5630252100840345E-2</v>
      </c>
      <c r="N36" s="705">
        <f t="shared" si="81"/>
        <v>-0.18181818181818182</v>
      </c>
      <c r="O36" s="705">
        <f t="shared" si="81"/>
        <v>-0.36734693877551022</v>
      </c>
      <c r="P36" s="702">
        <f t="shared" si="81"/>
        <v>-0.2142857142857143</v>
      </c>
      <c r="Q36" s="702">
        <f t="shared" si="81"/>
        <v>-0.25714285714285717</v>
      </c>
      <c r="R36" s="702">
        <f t="shared" si="81"/>
        <v>-0.17142857142857143</v>
      </c>
      <c r="S36" s="702">
        <f t="shared" si="81"/>
        <v>-0.30612244897959184</v>
      </c>
      <c r="T36" s="702">
        <f t="shared" si="81"/>
        <v>-0.23809523809523808</v>
      </c>
      <c r="U36" s="702">
        <f t="shared" si="81"/>
        <v>-0.10714285714285715</v>
      </c>
      <c r="V36" s="702">
        <f t="shared" si="81"/>
        <v>-9.5238095238095247E-3</v>
      </c>
      <c r="W36" s="702">
        <f>+AVERAGE(Q20:W20)/W16</f>
        <v>-4.9941927990708485E-2</v>
      </c>
      <c r="X36" s="702">
        <f t="shared" ref="X36:BC36" si="82">+AVERAGE(Q20:W20)/AVERAGE(Q16:W16)</f>
        <v>-4.9941927990708485E-2</v>
      </c>
      <c r="Y36" s="702">
        <f t="shared" si="82"/>
        <v>-9.1753774680603958E-2</v>
      </c>
      <c r="Z36" s="702">
        <f t="shared" si="82"/>
        <v>-0.15085714285714286</v>
      </c>
      <c r="AA36" s="702">
        <f t="shared" si="82"/>
        <v>-0.16960728514513373</v>
      </c>
      <c r="AB36" s="702">
        <f t="shared" si="82"/>
        <v>-0.18880800727934488</v>
      </c>
      <c r="AC36" s="702">
        <f t="shared" si="82"/>
        <v>-0.20832461828069443</v>
      </c>
      <c r="AD36" s="702">
        <f t="shared" si="82"/>
        <v>-0.25132978723404253</v>
      </c>
      <c r="AE36" s="702">
        <f t="shared" si="82"/>
        <v>-0.27833572453371597</v>
      </c>
      <c r="AF36" s="702">
        <f t="shared" si="82"/>
        <v>-0.32500000000000001</v>
      </c>
      <c r="AG36" s="702">
        <f t="shared" si="82"/>
        <v>-0.33103448275862063</v>
      </c>
      <c r="AH36" s="702">
        <f t="shared" si="82"/>
        <v>-0.40733590733590735</v>
      </c>
      <c r="AI36" s="702">
        <f t="shared" si="82"/>
        <v>-0.51569506726457393</v>
      </c>
      <c r="AJ36" s="702">
        <f t="shared" si="82"/>
        <v>-0.54824561403508776</v>
      </c>
      <c r="AK36" s="702">
        <f t="shared" si="82"/>
        <v>-0.60139860139860135</v>
      </c>
      <c r="AL36" s="702">
        <f t="shared" si="82"/>
        <v>-0.5339578454332552</v>
      </c>
      <c r="AM36" s="702">
        <f t="shared" si="82"/>
        <v>-0.52579852579852582</v>
      </c>
      <c r="AN36" s="702">
        <f t="shared" si="82"/>
        <v>-0.50510204081632648</v>
      </c>
      <c r="AO36" s="702">
        <f t="shared" si="82"/>
        <v>-0.46113989637305697</v>
      </c>
      <c r="AP36" s="702">
        <f t="shared" si="82"/>
        <v>-0.43222506393861893</v>
      </c>
      <c r="AQ36" s="702">
        <f t="shared" si="82"/>
        <v>-0.45501285347043702</v>
      </c>
      <c r="AR36" s="702">
        <f t="shared" si="82"/>
        <v>-0.43028846153846156</v>
      </c>
      <c r="AS36" s="702">
        <f t="shared" si="82"/>
        <v>-0.46028037383177567</v>
      </c>
      <c r="AT36" s="702">
        <f t="shared" si="82"/>
        <v>-0.44819819819819817</v>
      </c>
      <c r="AU36" s="702">
        <f t="shared" si="82"/>
        <v>-0.45076586433260385</v>
      </c>
      <c r="AV36" s="702">
        <f t="shared" si="82"/>
        <v>-0.48471615720524019</v>
      </c>
      <c r="AW36" s="702">
        <f t="shared" si="82"/>
        <v>-0.48344370860927155</v>
      </c>
      <c r="AX36" s="535">
        <f t="shared" si="82"/>
        <v>-0.4732142857142857</v>
      </c>
      <c r="AY36" s="706">
        <f t="shared" si="82"/>
        <v>-0.47441860465116276</v>
      </c>
      <c r="AZ36" s="168">
        <f t="shared" si="82"/>
        <v>-0.5066435213507664</v>
      </c>
      <c r="BA36" s="167">
        <f t="shared" si="82"/>
        <v>-0.46852041008844625</v>
      </c>
      <c r="BB36" s="167">
        <f t="shared" si="82"/>
        <v>-0.46705117115296602</v>
      </c>
      <c r="BC36" s="167">
        <f t="shared" si="82"/>
        <v>-0.44307241738395442</v>
      </c>
      <c r="BD36" s="167">
        <f t="shared" ref="BD36:CI36" si="83">+AVERAGE(AW20:BC20)/AVERAGE(AW16:BC16)</f>
        <v>-0.42441804474755779</v>
      </c>
      <c r="BE36" s="167">
        <f t="shared" si="83"/>
        <v>-0.42089749344984889</v>
      </c>
      <c r="BF36" s="167">
        <f t="shared" si="83"/>
        <v>-0.41967748849822395</v>
      </c>
      <c r="BG36" s="167">
        <f t="shared" si="83"/>
        <v>-0.40620004988919639</v>
      </c>
      <c r="BH36" s="167">
        <f t="shared" si="83"/>
        <v>-0.41036175589737078</v>
      </c>
      <c r="BI36" s="167">
        <f t="shared" si="83"/>
        <v>-0.42474217245582985</v>
      </c>
      <c r="BJ36" s="167">
        <f t="shared" si="83"/>
        <v>-0.42118486782889658</v>
      </c>
      <c r="BK36" s="249">
        <f t="shared" si="83"/>
        <v>-0.43089397206836311</v>
      </c>
      <c r="BL36" s="167">
        <f t="shared" si="83"/>
        <v>-0.45472135802055474</v>
      </c>
      <c r="BM36" s="167">
        <f t="shared" si="83"/>
        <v>-0.44729279682814271</v>
      </c>
      <c r="BN36" s="167">
        <f t="shared" si="83"/>
        <v>-0.44593950527973236</v>
      </c>
      <c r="BO36" s="167">
        <f t="shared" si="83"/>
        <v>-0.448534858274036</v>
      </c>
      <c r="BP36" s="167">
        <f t="shared" si="83"/>
        <v>-0.4234071050076077</v>
      </c>
      <c r="BQ36" s="167">
        <f t="shared" si="83"/>
        <v>-0.41843519703277871</v>
      </c>
      <c r="BR36" s="167">
        <f t="shared" si="83"/>
        <v>-0.42551008595699397</v>
      </c>
      <c r="BS36" s="167">
        <f t="shared" si="83"/>
        <v>-0.4174469492437376</v>
      </c>
      <c r="BT36" s="167">
        <f t="shared" si="83"/>
        <v>-0.42293232691273497</v>
      </c>
      <c r="BU36" s="167">
        <f t="shared" si="83"/>
        <v>-0.43728815641528962</v>
      </c>
      <c r="BV36" s="167">
        <f t="shared" si="83"/>
        <v>-0.43296502910799045</v>
      </c>
      <c r="BW36" s="249">
        <f t="shared" si="83"/>
        <v>-0.44249577412019547</v>
      </c>
      <c r="BX36" s="167">
        <f t="shared" si="83"/>
        <v>-0.46893840204735643</v>
      </c>
      <c r="BY36" s="167">
        <f t="shared" si="83"/>
        <v>-0.4647825620958434</v>
      </c>
      <c r="BZ36" s="167">
        <f t="shared" si="83"/>
        <v>-0.46259818785844381</v>
      </c>
      <c r="CA36" s="167">
        <f t="shared" si="83"/>
        <v>-0.46519147964212981</v>
      </c>
      <c r="CB36" s="167">
        <f t="shared" si="83"/>
        <v>-0.43710546014973911</v>
      </c>
      <c r="CC36" s="167">
        <f t="shared" si="83"/>
        <v>-0.43253982836101551</v>
      </c>
      <c r="CD36" s="167">
        <f t="shared" si="83"/>
        <v>-0.44065139533359349</v>
      </c>
      <c r="CE36" s="167">
        <f t="shared" si="83"/>
        <v>-0.43129334945892489</v>
      </c>
      <c r="CF36" s="167">
        <f t="shared" si="83"/>
        <v>-0.43550445086496792</v>
      </c>
      <c r="CG36" s="167">
        <f t="shared" si="83"/>
        <v>-0.45185758095727641</v>
      </c>
      <c r="CH36" s="167">
        <f t="shared" si="83"/>
        <v>-0.44836099229568094</v>
      </c>
      <c r="CI36" s="249">
        <f t="shared" si="83"/>
        <v>-0.4570917906991796</v>
      </c>
      <c r="CJ36" s="167">
        <f t="shared" ref="CJ36:DO36" si="84">+AVERAGE(CC20:CI20)/AVERAGE(CC16:CI16)</f>
        <v>-0.48649899010332487</v>
      </c>
      <c r="CK36" s="167">
        <f t="shared" si="84"/>
        <v>-0.48040196755538811</v>
      </c>
      <c r="CL36" s="167">
        <f t="shared" si="84"/>
        <v>-0.4768106193042691</v>
      </c>
      <c r="CM36" s="167">
        <f t="shared" si="84"/>
        <v>-0.47967598573877751</v>
      </c>
      <c r="CN36" s="167">
        <f t="shared" si="84"/>
        <v>-0.44977873456380962</v>
      </c>
      <c r="CO36" s="167">
        <f t="shared" si="84"/>
        <v>-0.44229810158938387</v>
      </c>
      <c r="CP36" s="167">
        <f t="shared" si="84"/>
        <v>-0.45254056115486602</v>
      </c>
      <c r="CQ36" s="167">
        <f t="shared" si="84"/>
        <v>-0.44142614192468954</v>
      </c>
      <c r="CR36" s="167">
        <f t="shared" si="84"/>
        <v>-0.44607842724399394</v>
      </c>
      <c r="CS36" s="167">
        <f t="shared" si="84"/>
        <v>-0.4620223144707038</v>
      </c>
      <c r="CT36" s="167">
        <f t="shared" si="84"/>
        <v>-0.45639603070632845</v>
      </c>
      <c r="CU36" s="249">
        <f t="shared" si="84"/>
        <v>-0.46505512494802886</v>
      </c>
      <c r="CV36" s="167">
        <f t="shared" si="84"/>
        <v>-0.49315105022733891</v>
      </c>
      <c r="CW36" s="167">
        <f t="shared" si="84"/>
        <v>-0.48576906389700653</v>
      </c>
      <c r="CX36" s="167">
        <f t="shared" si="84"/>
        <v>-0.48248174939890476</v>
      </c>
      <c r="CY36" s="167">
        <f t="shared" si="84"/>
        <v>-0.48252740603304967</v>
      </c>
      <c r="CZ36" s="167">
        <f t="shared" si="84"/>
        <v>-0.45121419861028994</v>
      </c>
      <c r="DA36" s="167">
        <f t="shared" si="84"/>
        <v>-0.445925973919577</v>
      </c>
      <c r="DB36" s="167">
        <f t="shared" si="84"/>
        <v>-0.45419692296855257</v>
      </c>
      <c r="DC36" s="167">
        <f t="shared" si="84"/>
        <v>-0.44590579627369825</v>
      </c>
      <c r="DD36" s="167">
        <f t="shared" si="84"/>
        <v>-0.44957512264232302</v>
      </c>
      <c r="DE36" s="167">
        <f t="shared" si="84"/>
        <v>-0.46486067681216209</v>
      </c>
      <c r="DF36" s="167">
        <f t="shared" si="84"/>
        <v>-0.4616518182720416</v>
      </c>
      <c r="DG36" s="168">
        <f t="shared" si="84"/>
        <v>-0.47145797655002381</v>
      </c>
    </row>
    <row r="37" spans="1:111" ht="18.75" customHeight="1" x14ac:dyDescent="0.25">
      <c r="A37" s="30"/>
      <c r="B37" s="30"/>
      <c r="C37" s="571" t="s">
        <v>104</v>
      </c>
      <c r="D37" s="687"/>
      <c r="E37" s="687"/>
      <c r="F37" s="687"/>
      <c r="G37" s="687"/>
      <c r="H37" s="687"/>
      <c r="I37" s="707"/>
      <c r="J37" s="707"/>
      <c r="K37" s="707"/>
      <c r="L37" s="707">
        <f t="shared" ref="L37:AQ37" si="85">1/-L36</f>
        <v>4.8461538461538458</v>
      </c>
      <c r="M37" s="707">
        <f t="shared" si="85"/>
        <v>13.222222222222221</v>
      </c>
      <c r="N37" s="707">
        <f t="shared" si="85"/>
        <v>5.5</v>
      </c>
      <c r="O37" s="707">
        <f t="shared" si="85"/>
        <v>2.7222222222222219</v>
      </c>
      <c r="P37" s="707">
        <f t="shared" si="85"/>
        <v>4.6666666666666661</v>
      </c>
      <c r="Q37" s="707">
        <f t="shared" si="85"/>
        <v>3.8888888888888884</v>
      </c>
      <c r="R37" s="707">
        <f t="shared" si="85"/>
        <v>5.833333333333333</v>
      </c>
      <c r="S37" s="707">
        <f t="shared" si="85"/>
        <v>3.2666666666666666</v>
      </c>
      <c r="T37" s="707">
        <f t="shared" si="85"/>
        <v>4.2</v>
      </c>
      <c r="U37" s="707">
        <f t="shared" si="85"/>
        <v>9.3333333333333321</v>
      </c>
      <c r="V37" s="707">
        <f t="shared" si="85"/>
        <v>104.99999999999999</v>
      </c>
      <c r="W37" s="707">
        <f t="shared" si="85"/>
        <v>20.023255813953487</v>
      </c>
      <c r="X37" s="707">
        <f t="shared" si="85"/>
        <v>20.023255813953487</v>
      </c>
      <c r="Y37" s="707">
        <f t="shared" si="85"/>
        <v>10.898734177215189</v>
      </c>
      <c r="Z37" s="707">
        <f t="shared" si="85"/>
        <v>6.6287878787878789</v>
      </c>
      <c r="AA37" s="707">
        <f t="shared" si="85"/>
        <v>5.8959731543624168</v>
      </c>
      <c r="AB37" s="707">
        <f t="shared" si="85"/>
        <v>5.2963855421686743</v>
      </c>
      <c r="AC37" s="707">
        <f t="shared" si="85"/>
        <v>4.8002008032128511</v>
      </c>
      <c r="AD37" s="707">
        <f t="shared" si="85"/>
        <v>3.9788359788359791</v>
      </c>
      <c r="AE37" s="707">
        <f t="shared" si="85"/>
        <v>3.5927835051546388</v>
      </c>
      <c r="AF37" s="707">
        <f t="shared" si="85"/>
        <v>3.0769230769230766</v>
      </c>
      <c r="AG37" s="707">
        <f t="shared" si="85"/>
        <v>3.0208333333333339</v>
      </c>
      <c r="AH37" s="707">
        <f t="shared" si="85"/>
        <v>2.4549763033175354</v>
      </c>
      <c r="AI37" s="707">
        <f t="shared" si="85"/>
        <v>1.939130434782609</v>
      </c>
      <c r="AJ37" s="707">
        <f t="shared" si="85"/>
        <v>1.8239999999999998</v>
      </c>
      <c r="AK37" s="707">
        <f t="shared" si="85"/>
        <v>1.6627906976744187</v>
      </c>
      <c r="AL37" s="707">
        <f t="shared" si="85"/>
        <v>1.8728070175438598</v>
      </c>
      <c r="AM37" s="707">
        <f t="shared" si="85"/>
        <v>1.9018691588785046</v>
      </c>
      <c r="AN37" s="707">
        <f t="shared" si="85"/>
        <v>1.9797979797979799</v>
      </c>
      <c r="AO37" s="707">
        <f t="shared" si="85"/>
        <v>2.1685393258426968</v>
      </c>
      <c r="AP37" s="707">
        <f t="shared" si="85"/>
        <v>2.3136094674556213</v>
      </c>
      <c r="AQ37" s="707">
        <f t="shared" si="85"/>
        <v>2.1977401129943503</v>
      </c>
      <c r="AR37" s="707">
        <f t="shared" ref="AR37:BW37" si="86">1/-AR36</f>
        <v>2.3240223463687149</v>
      </c>
      <c r="AS37" s="707">
        <f t="shared" si="86"/>
        <v>2.1725888324873099</v>
      </c>
      <c r="AT37" s="707">
        <f t="shared" si="86"/>
        <v>2.2311557788944727</v>
      </c>
      <c r="AU37" s="707">
        <f t="shared" si="86"/>
        <v>2.2184466019417481</v>
      </c>
      <c r="AV37" s="707">
        <f t="shared" si="86"/>
        <v>2.0630630630630629</v>
      </c>
      <c r="AW37" s="707">
        <f t="shared" si="86"/>
        <v>2.0684931506849313</v>
      </c>
      <c r="AX37" s="611">
        <f t="shared" si="86"/>
        <v>2.1132075471698113</v>
      </c>
      <c r="AY37" s="708">
        <f t="shared" si="86"/>
        <v>2.107843137254902</v>
      </c>
      <c r="AZ37" s="166">
        <f t="shared" si="86"/>
        <v>1.9737743755883661</v>
      </c>
      <c r="BA37" s="165">
        <f t="shared" si="86"/>
        <v>2.1343787345597649</v>
      </c>
      <c r="BB37" s="165">
        <f t="shared" si="86"/>
        <v>2.1410930145649618</v>
      </c>
      <c r="BC37" s="165">
        <f t="shared" si="86"/>
        <v>2.2569673957686862</v>
      </c>
      <c r="BD37" s="165">
        <f t="shared" si="86"/>
        <v>2.3561674918765441</v>
      </c>
      <c r="BE37" s="165">
        <f t="shared" si="86"/>
        <v>2.3758753985527186</v>
      </c>
      <c r="BF37" s="165">
        <f t="shared" si="86"/>
        <v>2.382782082447179</v>
      </c>
      <c r="BG37" s="165">
        <f t="shared" si="86"/>
        <v>2.4618411550485551</v>
      </c>
      <c r="BH37" s="165">
        <f t="shared" si="86"/>
        <v>2.436874259428051</v>
      </c>
      <c r="BI37" s="165">
        <f t="shared" si="86"/>
        <v>2.3543694618739393</v>
      </c>
      <c r="BJ37" s="165">
        <f t="shared" si="86"/>
        <v>2.3742543390857125</v>
      </c>
      <c r="BK37" s="250">
        <f t="shared" si="86"/>
        <v>2.3207565313569667</v>
      </c>
      <c r="BL37" s="165">
        <f t="shared" si="86"/>
        <v>2.199148956523826</v>
      </c>
      <c r="BM37" s="165">
        <f t="shared" si="86"/>
        <v>2.2356720409790469</v>
      </c>
      <c r="BN37" s="165">
        <f t="shared" si="86"/>
        <v>2.2424566295661839</v>
      </c>
      <c r="BO37" s="165">
        <f t="shared" si="86"/>
        <v>2.2294811240490966</v>
      </c>
      <c r="BP37" s="165">
        <f t="shared" si="86"/>
        <v>2.3617931493663344</v>
      </c>
      <c r="BQ37" s="165">
        <f t="shared" si="86"/>
        <v>2.3898563196672571</v>
      </c>
      <c r="BR37" s="165">
        <f t="shared" si="86"/>
        <v>2.3501205564868077</v>
      </c>
      <c r="BS37" s="165">
        <f t="shared" si="86"/>
        <v>2.3955139732405213</v>
      </c>
      <c r="BT37" s="165">
        <f t="shared" si="86"/>
        <v>2.3644444663279032</v>
      </c>
      <c r="BU37" s="165">
        <f t="shared" si="86"/>
        <v>2.2868215965362362</v>
      </c>
      <c r="BV37" s="165">
        <f t="shared" si="86"/>
        <v>2.3096553596031408</v>
      </c>
      <c r="BW37" s="250">
        <f t="shared" si="86"/>
        <v>2.2599085878012684</v>
      </c>
      <c r="BX37" s="165">
        <f t="shared" ref="BX37:DC37" si="87">1/-BX36</f>
        <v>2.1324762391692835</v>
      </c>
      <c r="BY37" s="165">
        <f t="shared" si="87"/>
        <v>2.1515437143138532</v>
      </c>
      <c r="BZ37" s="165">
        <f t="shared" si="87"/>
        <v>2.1617032367320954</v>
      </c>
      <c r="CA37" s="165">
        <f t="shared" si="87"/>
        <v>2.149652441547933</v>
      </c>
      <c r="CB37" s="165">
        <f t="shared" si="87"/>
        <v>2.2877774156777413</v>
      </c>
      <c r="CC37" s="165">
        <f t="shared" si="87"/>
        <v>2.31192582608915</v>
      </c>
      <c r="CD37" s="165">
        <f t="shared" si="87"/>
        <v>2.2693676012144559</v>
      </c>
      <c r="CE37" s="165">
        <f t="shared" si="87"/>
        <v>2.3186075121597418</v>
      </c>
      <c r="CF37" s="165">
        <f t="shared" si="87"/>
        <v>2.2961877841061584</v>
      </c>
      <c r="CG37" s="165">
        <f t="shared" si="87"/>
        <v>2.2130866940009377</v>
      </c>
      <c r="CH37" s="165">
        <f t="shared" si="87"/>
        <v>2.230345674988</v>
      </c>
      <c r="CI37" s="250">
        <f t="shared" si="87"/>
        <v>2.1877443882122094</v>
      </c>
      <c r="CJ37" s="165">
        <f t="shared" si="87"/>
        <v>2.0555027252731097</v>
      </c>
      <c r="CK37" s="165">
        <f t="shared" si="87"/>
        <v>2.0815901422899659</v>
      </c>
      <c r="CL37" s="165">
        <f t="shared" si="87"/>
        <v>2.0972687258080254</v>
      </c>
      <c r="CM37" s="165">
        <f t="shared" si="87"/>
        <v>2.0847405951745541</v>
      </c>
      <c r="CN37" s="165">
        <f t="shared" si="87"/>
        <v>2.2233154285735379</v>
      </c>
      <c r="CO37" s="165">
        <f t="shared" si="87"/>
        <v>2.2609185895361805</v>
      </c>
      <c r="CP37" s="165">
        <f t="shared" si="87"/>
        <v>2.2097466743048151</v>
      </c>
      <c r="CQ37" s="165">
        <f t="shared" si="87"/>
        <v>2.2653846363512544</v>
      </c>
      <c r="CR37" s="165">
        <f t="shared" si="87"/>
        <v>2.2417582625062131</v>
      </c>
      <c r="CS37" s="165">
        <f t="shared" si="87"/>
        <v>2.164397624702624</v>
      </c>
      <c r="CT37" s="165">
        <f t="shared" si="87"/>
        <v>2.1910795290054961</v>
      </c>
      <c r="CU37" s="250">
        <f t="shared" si="87"/>
        <v>2.1502827221004233</v>
      </c>
      <c r="CV37" s="165">
        <f t="shared" si="87"/>
        <v>2.0277762757252722</v>
      </c>
      <c r="CW37" s="165">
        <f t="shared" si="87"/>
        <v>2.058591364336082</v>
      </c>
      <c r="CX37" s="165">
        <f t="shared" si="87"/>
        <v>2.0726172570171624</v>
      </c>
      <c r="CY37" s="165">
        <f t="shared" si="87"/>
        <v>2.0724211464405551</v>
      </c>
      <c r="CZ37" s="165">
        <f t="shared" si="87"/>
        <v>2.2162423148028902</v>
      </c>
      <c r="DA37" s="165">
        <f t="shared" si="87"/>
        <v>2.2425246755874118</v>
      </c>
      <c r="DB37" s="165">
        <f t="shared" si="87"/>
        <v>2.2016881872826723</v>
      </c>
      <c r="DC37" s="165">
        <f t="shared" si="87"/>
        <v>2.242626151883877</v>
      </c>
      <c r="DD37" s="165">
        <f t="shared" ref="DD37:EI37" si="88">1/-DD36</f>
        <v>2.224322364908943</v>
      </c>
      <c r="DE37" s="165">
        <f t="shared" si="88"/>
        <v>2.1511821710918206</v>
      </c>
      <c r="DF37" s="165">
        <f t="shared" si="88"/>
        <v>2.1661346504449837</v>
      </c>
      <c r="DG37" s="166">
        <f t="shared" si="88"/>
        <v>2.1210798199187866</v>
      </c>
    </row>
    <row r="38" spans="1:111" ht="18.75" customHeight="1" x14ac:dyDescent="0.25">
      <c r="A38" s="30"/>
      <c r="B38" s="30"/>
      <c r="C38" s="571" t="s">
        <v>105</v>
      </c>
      <c r="D38" s="687"/>
      <c r="E38" s="687"/>
      <c r="F38" s="687"/>
      <c r="G38" s="687"/>
      <c r="H38" s="687"/>
      <c r="I38" s="687"/>
      <c r="J38" s="687"/>
      <c r="K38" s="687"/>
      <c r="L38" s="687">
        <f t="shared" ref="L38:V38" si="89">+L13/L15</f>
        <v>0</v>
      </c>
      <c r="M38" s="687">
        <f t="shared" si="89"/>
        <v>0</v>
      </c>
      <c r="N38" s="687">
        <f t="shared" si="89"/>
        <v>0</v>
      </c>
      <c r="O38" s="687">
        <f t="shared" si="89"/>
        <v>0</v>
      </c>
      <c r="P38" s="687">
        <f t="shared" si="89"/>
        <v>0</v>
      </c>
      <c r="Q38" s="687">
        <f t="shared" si="89"/>
        <v>0</v>
      </c>
      <c r="R38" s="687">
        <f t="shared" si="89"/>
        <v>0</v>
      </c>
      <c r="S38" s="687">
        <f t="shared" si="89"/>
        <v>0</v>
      </c>
      <c r="T38" s="687">
        <f t="shared" si="89"/>
        <v>0</v>
      </c>
      <c r="U38" s="687">
        <f t="shared" si="89"/>
        <v>0</v>
      </c>
      <c r="V38" s="687">
        <f t="shared" si="89"/>
        <v>0</v>
      </c>
      <c r="W38" s="687">
        <f>+W13/W16</f>
        <v>0</v>
      </c>
      <c r="X38" s="687">
        <f>+X13/X16</f>
        <v>0</v>
      </c>
      <c r="Y38" s="687">
        <f>+Y13/Y16</f>
        <v>0</v>
      </c>
      <c r="Z38" s="687">
        <f>+Z13/Z16</f>
        <v>0</v>
      </c>
      <c r="AA38" s="687">
        <f>+AA13/AA16</f>
        <v>0</v>
      </c>
      <c r="AB38" s="687">
        <f t="shared" ref="AB38:BG38" si="90">+(AB13/AB16)*AB26</f>
        <v>126.87917355371901</v>
      </c>
      <c r="AC38" s="687">
        <f t="shared" si="90"/>
        <v>104.85664776307499</v>
      </c>
      <c r="AD38" s="687">
        <f t="shared" si="90"/>
        <v>127.21069420415225</v>
      </c>
      <c r="AE38" s="687">
        <f t="shared" si="90"/>
        <v>139.97382920110192</v>
      </c>
      <c r="AF38" s="687">
        <f t="shared" si="90"/>
        <v>138.61289645032556</v>
      </c>
      <c r="AG38" s="687">
        <f t="shared" si="90"/>
        <v>126.99408284023667</v>
      </c>
      <c r="AH38" s="687">
        <f t="shared" si="90"/>
        <v>136.15329218106999</v>
      </c>
      <c r="AI38" s="687">
        <f t="shared" si="90"/>
        <v>127.77041420118343</v>
      </c>
      <c r="AJ38" s="687">
        <f t="shared" si="90"/>
        <v>123.48299319727892</v>
      </c>
      <c r="AK38" s="687">
        <f t="shared" si="90"/>
        <v>143.12603305785126</v>
      </c>
      <c r="AL38" s="687">
        <f t="shared" si="90"/>
        <v>116.70014177693761</v>
      </c>
      <c r="AM38" s="687">
        <f t="shared" si="90"/>
        <v>128.6941015089163</v>
      </c>
      <c r="AN38" s="687">
        <f t="shared" si="90"/>
        <v>127.43157138753232</v>
      </c>
      <c r="AO38" s="687">
        <f t="shared" si="90"/>
        <v>128.86488365412239</v>
      </c>
      <c r="AP38" s="687">
        <f t="shared" si="90"/>
        <v>121.78835978835977</v>
      </c>
      <c r="AQ38" s="687">
        <f t="shared" si="90"/>
        <v>135.40506196177273</v>
      </c>
      <c r="AR38" s="687">
        <f t="shared" si="90"/>
        <v>107.46917488494412</v>
      </c>
      <c r="AS38" s="687">
        <f t="shared" si="90"/>
        <v>129.00530697190428</v>
      </c>
      <c r="AT38" s="687">
        <f t="shared" si="90"/>
        <v>125.59808420583649</v>
      </c>
      <c r="AU38" s="687">
        <f t="shared" si="90"/>
        <v>155.19293055555556</v>
      </c>
      <c r="AV38" s="687">
        <f t="shared" si="90"/>
        <v>131.19612482853225</v>
      </c>
      <c r="AW38" s="687">
        <f t="shared" si="90"/>
        <v>149.78418549346017</v>
      </c>
      <c r="AX38" s="533">
        <f t="shared" si="90"/>
        <v>115.33679354094581</v>
      </c>
      <c r="AY38" s="709">
        <f t="shared" si="90"/>
        <v>162.13768981138048</v>
      </c>
      <c r="AZ38" s="22">
        <f t="shared" si="90"/>
        <v>136.99856957955404</v>
      </c>
      <c r="BA38" s="21">
        <f t="shared" si="90"/>
        <v>155.41195476124375</v>
      </c>
      <c r="BB38" s="21">
        <f t="shared" si="90"/>
        <v>152.22749310506669</v>
      </c>
      <c r="BC38" s="21">
        <f t="shared" si="90"/>
        <v>160.40130061912117</v>
      </c>
      <c r="BD38" s="21">
        <f t="shared" si="90"/>
        <v>119.85627732391893</v>
      </c>
      <c r="BE38" s="21">
        <f t="shared" si="90"/>
        <v>144.48334053287635</v>
      </c>
      <c r="BF38" s="21">
        <f t="shared" si="90"/>
        <v>140.94624171707278</v>
      </c>
      <c r="BG38" s="21">
        <f t="shared" si="90"/>
        <v>166.83884554751234</v>
      </c>
      <c r="BH38" s="21">
        <f t="shared" ref="BH38:CM38" si="91">+(BH13/BH16)*BH26</f>
        <v>143.79949378341212</v>
      </c>
      <c r="BI38" s="21">
        <f t="shared" si="91"/>
        <v>156.32588354909015</v>
      </c>
      <c r="BJ38" s="21">
        <f t="shared" si="91"/>
        <v>149.55815405053394</v>
      </c>
      <c r="BK38" s="248">
        <f t="shared" si="91"/>
        <v>186.45834328308763</v>
      </c>
      <c r="BL38" s="21">
        <f t="shared" si="91"/>
        <v>137.30992996496212</v>
      </c>
      <c r="BM38" s="21">
        <f t="shared" si="91"/>
        <v>163.18255249930596</v>
      </c>
      <c r="BN38" s="21">
        <f t="shared" si="91"/>
        <v>167.10427084033455</v>
      </c>
      <c r="BO38" s="21">
        <f t="shared" si="91"/>
        <v>168.42136565007723</v>
      </c>
      <c r="BP38" s="21">
        <f t="shared" si="91"/>
        <v>125.84909119011489</v>
      </c>
      <c r="BQ38" s="21">
        <f t="shared" si="91"/>
        <v>151.70750755952017</v>
      </c>
      <c r="BR38" s="21">
        <f t="shared" si="91"/>
        <v>141.55905146366871</v>
      </c>
      <c r="BS38" s="21">
        <f t="shared" si="91"/>
        <v>183.52273010226355</v>
      </c>
      <c r="BT38" s="21">
        <f t="shared" si="91"/>
        <v>150.98946847258276</v>
      </c>
      <c r="BU38" s="21">
        <f t="shared" si="91"/>
        <v>156.68116964806535</v>
      </c>
      <c r="BV38" s="21">
        <f t="shared" si="91"/>
        <v>164.51396945558736</v>
      </c>
      <c r="BW38" s="248">
        <f t="shared" si="91"/>
        <v>195.78126044724198</v>
      </c>
      <c r="BX38" s="21">
        <f t="shared" si="91"/>
        <v>144.17542646321021</v>
      </c>
      <c r="BY38" s="21">
        <f t="shared" si="91"/>
        <v>179.90876413048485</v>
      </c>
      <c r="BZ38" s="21">
        <f t="shared" si="91"/>
        <v>175.45948438235129</v>
      </c>
      <c r="CA38" s="21">
        <f t="shared" si="91"/>
        <v>160.7658490296192</v>
      </c>
      <c r="CB38" s="21">
        <f t="shared" si="91"/>
        <v>144.72645486863215</v>
      </c>
      <c r="CC38" s="21">
        <f t="shared" si="91"/>
        <v>159.29288293749622</v>
      </c>
      <c r="CD38" s="21">
        <f t="shared" si="91"/>
        <v>141.88077658063165</v>
      </c>
      <c r="CE38" s="21">
        <f t="shared" si="91"/>
        <v>201.45790599862116</v>
      </c>
      <c r="CF38" s="21">
        <f t="shared" si="91"/>
        <v>151.33262635547499</v>
      </c>
      <c r="CG38" s="21">
        <f t="shared" si="91"/>
        <v>172.34928661287194</v>
      </c>
      <c r="CH38" s="21">
        <f t="shared" si="91"/>
        <v>172.73966792836674</v>
      </c>
      <c r="CI38" s="248">
        <f t="shared" si="91"/>
        <v>187.69464316789939</v>
      </c>
      <c r="CJ38" s="21">
        <f t="shared" si="91"/>
        <v>165.80174043269179</v>
      </c>
      <c r="CK38" s="21">
        <f t="shared" si="91"/>
        <v>179.90876413048488</v>
      </c>
      <c r="CL38" s="21">
        <f t="shared" si="91"/>
        <v>176.22235170575283</v>
      </c>
      <c r="CM38" s="21">
        <f t="shared" si="91"/>
        <v>177.2443485551552</v>
      </c>
      <c r="CN38" s="21">
        <f t="shared" ref="CN38:DG38" si="92">+(CN13/CN16)*CN26</f>
        <v>151.96277761206372</v>
      </c>
      <c r="CO38" s="21">
        <f t="shared" si="92"/>
        <v>159.65491221689959</v>
      </c>
      <c r="CP38" s="21">
        <f t="shared" si="92"/>
        <v>156.06885423869483</v>
      </c>
      <c r="CQ38" s="21">
        <f t="shared" si="92"/>
        <v>211.53080129855221</v>
      </c>
      <c r="CR38" s="21">
        <f t="shared" si="92"/>
        <v>151.33262635547501</v>
      </c>
      <c r="CS38" s="21">
        <f t="shared" si="92"/>
        <v>189.19251235003892</v>
      </c>
      <c r="CT38" s="21">
        <f t="shared" si="92"/>
        <v>181.37665132478506</v>
      </c>
      <c r="CU38" s="248">
        <f t="shared" si="92"/>
        <v>197.07937532629441</v>
      </c>
      <c r="CV38" s="21">
        <f t="shared" si="92"/>
        <v>174.09182745432636</v>
      </c>
      <c r="CW38" s="21">
        <f t="shared" si="92"/>
        <v>188.90420233700908</v>
      </c>
      <c r="CX38" s="21">
        <f t="shared" si="92"/>
        <v>176.62285705053864</v>
      </c>
      <c r="CY38" s="21">
        <f t="shared" si="92"/>
        <v>194.96878341067071</v>
      </c>
      <c r="CZ38" s="21">
        <f t="shared" si="92"/>
        <v>159.56091649266693</v>
      </c>
      <c r="DA38" s="21">
        <f t="shared" si="92"/>
        <v>159.65491221689956</v>
      </c>
      <c r="DB38" s="21">
        <f t="shared" si="92"/>
        <v>171.32103772111273</v>
      </c>
      <c r="DC38" s="21">
        <f t="shared" si="92"/>
        <v>212.45050043463289</v>
      </c>
      <c r="DD38" s="21">
        <f t="shared" si="92"/>
        <v>166.84422055691121</v>
      </c>
      <c r="DE38" s="21">
        <f t="shared" si="92"/>
        <v>198.65213796754091</v>
      </c>
      <c r="DF38" s="21">
        <f t="shared" si="92"/>
        <v>181.78887098688685</v>
      </c>
      <c r="DG38" s="22">
        <f t="shared" si="92"/>
        <v>216.7873128589238</v>
      </c>
    </row>
    <row r="39" spans="1:111" ht="18.75" customHeight="1" x14ac:dyDescent="0.25">
      <c r="A39" s="30"/>
      <c r="B39" s="30"/>
      <c r="C39" s="571" t="s">
        <v>106</v>
      </c>
      <c r="D39" s="687"/>
      <c r="E39" s="687"/>
      <c r="F39" s="687"/>
      <c r="G39" s="687"/>
      <c r="H39" s="687"/>
      <c r="I39" s="687"/>
      <c r="J39" s="687"/>
      <c r="K39" s="687"/>
      <c r="L39" s="687">
        <f t="shared" ref="L39:AQ39" si="93">+L38*L37</f>
        <v>0</v>
      </c>
      <c r="M39" s="687">
        <f t="shared" si="93"/>
        <v>0</v>
      </c>
      <c r="N39" s="687">
        <f t="shared" si="93"/>
        <v>0</v>
      </c>
      <c r="O39" s="687">
        <f t="shared" si="93"/>
        <v>0</v>
      </c>
      <c r="P39" s="687">
        <f t="shared" si="93"/>
        <v>0</v>
      </c>
      <c r="Q39" s="687">
        <f t="shared" si="93"/>
        <v>0</v>
      </c>
      <c r="R39" s="687">
        <f t="shared" si="93"/>
        <v>0</v>
      </c>
      <c r="S39" s="687">
        <f t="shared" si="93"/>
        <v>0</v>
      </c>
      <c r="T39" s="687">
        <f t="shared" si="93"/>
        <v>0</v>
      </c>
      <c r="U39" s="687">
        <f t="shared" si="93"/>
        <v>0</v>
      </c>
      <c r="V39" s="687">
        <f t="shared" si="93"/>
        <v>0</v>
      </c>
      <c r="W39" s="687">
        <f t="shared" si="93"/>
        <v>0</v>
      </c>
      <c r="X39" s="687">
        <f t="shared" si="93"/>
        <v>0</v>
      </c>
      <c r="Y39" s="687">
        <f t="shared" si="93"/>
        <v>0</v>
      </c>
      <c r="Z39" s="687">
        <f t="shared" si="93"/>
        <v>0</v>
      </c>
      <c r="AA39" s="687">
        <f t="shared" si="93"/>
        <v>0</v>
      </c>
      <c r="AB39" s="687">
        <f t="shared" si="93"/>
        <v>672.00102041222738</v>
      </c>
      <c r="AC39" s="687">
        <f t="shared" si="93"/>
        <v>503.33296481451958</v>
      </c>
      <c r="AD39" s="687">
        <f t="shared" si="93"/>
        <v>506.15048699218249</v>
      </c>
      <c r="AE39" s="687">
        <f t="shared" si="93"/>
        <v>502.89566470705171</v>
      </c>
      <c r="AF39" s="687">
        <f t="shared" si="93"/>
        <v>426.50121984715554</v>
      </c>
      <c r="AG39" s="687">
        <f t="shared" si="93"/>
        <v>383.62795857988169</v>
      </c>
      <c r="AH39" s="687">
        <f t="shared" si="93"/>
        <v>334.25310592319551</v>
      </c>
      <c r="AI39" s="687">
        <f t="shared" si="93"/>
        <v>247.76349884229487</v>
      </c>
      <c r="AJ39" s="687">
        <f t="shared" si="93"/>
        <v>225.23297959183671</v>
      </c>
      <c r="AK39" s="687">
        <f t="shared" si="93"/>
        <v>237.9886363636364</v>
      </c>
      <c r="AL39" s="687">
        <f t="shared" si="93"/>
        <v>218.55684446821212</v>
      </c>
      <c r="AM39" s="687">
        <f t="shared" si="93"/>
        <v>244.75934258938753</v>
      </c>
      <c r="AN39" s="687">
        <f t="shared" si="93"/>
        <v>252.28876759551852</v>
      </c>
      <c r="AO39" s="687">
        <f t="shared" si="93"/>
        <v>279.44856792410815</v>
      </c>
      <c r="AP39" s="687">
        <f t="shared" si="93"/>
        <v>281.77070223224064</v>
      </c>
      <c r="AQ39" s="687">
        <f t="shared" si="93"/>
        <v>297.5851361758734</v>
      </c>
      <c r="AR39" s="687">
        <f t="shared" ref="AR39:BW39" si="94">+AR38*AR37</f>
        <v>249.7607639784176</v>
      </c>
      <c r="AS39" s="687">
        <f t="shared" si="94"/>
        <v>280.27548925875652</v>
      </c>
      <c r="AT39" s="687">
        <f t="shared" si="94"/>
        <v>280.22889139392669</v>
      </c>
      <c r="AU39" s="687">
        <f t="shared" si="94"/>
        <v>344.28722943635393</v>
      </c>
      <c r="AV39" s="687">
        <f t="shared" si="94"/>
        <v>270.6658791507557</v>
      </c>
      <c r="AW39" s="687">
        <f t="shared" si="94"/>
        <v>309.82756177414359</v>
      </c>
      <c r="AX39" s="533">
        <f t="shared" si="94"/>
        <v>243.73058257709303</v>
      </c>
      <c r="AY39" s="709">
        <f t="shared" si="94"/>
        <v>341.76081675928242</v>
      </c>
      <c r="AZ39" s="22">
        <f t="shared" si="94"/>
        <v>270.4042661283836</v>
      </c>
      <c r="BA39" s="21">
        <f t="shared" si="94"/>
        <v>331.70797133876289</v>
      </c>
      <c r="BB39" s="21">
        <f t="shared" si="94"/>
        <v>325.93322211199416</v>
      </c>
      <c r="BC39" s="21">
        <f t="shared" si="94"/>
        <v>362.02050573624808</v>
      </c>
      <c r="BD39" s="21">
        <f t="shared" si="94"/>
        <v>282.40146432795757</v>
      </c>
      <c r="BE39" s="21">
        <f t="shared" si="94"/>
        <v>343.27441427277574</v>
      </c>
      <c r="BF39" s="21">
        <f t="shared" si="94"/>
        <v>335.84417935171012</v>
      </c>
      <c r="BG39" s="21">
        <f t="shared" si="94"/>
        <v>410.73073622965524</v>
      </c>
      <c r="BH39" s="21">
        <f t="shared" si="94"/>
        <v>350.42128491958101</v>
      </c>
      <c r="BI39" s="21">
        <f t="shared" si="94"/>
        <v>368.04888632843949</v>
      </c>
      <c r="BJ39" s="21">
        <f t="shared" si="94"/>
        <v>355.08909620012963</v>
      </c>
      <c r="BK39" s="248">
        <f t="shared" si="94"/>
        <v>432.724418000225</v>
      </c>
      <c r="BL39" s="21">
        <f t="shared" si="94"/>
        <v>301.96498920280607</v>
      </c>
      <c r="BM39" s="21">
        <f t="shared" si="94"/>
        <v>364.82267019829385</v>
      </c>
      <c r="BN39" s="21">
        <f t="shared" si="94"/>
        <v>374.72407997473135</v>
      </c>
      <c r="BO39" s="21">
        <f t="shared" si="94"/>
        <v>375.49225560341807</v>
      </c>
      <c r="BP39" s="21">
        <f t="shared" si="94"/>
        <v>297.22952142679247</v>
      </c>
      <c r="BQ39" s="21">
        <f t="shared" si="94"/>
        <v>362.55914568208743</v>
      </c>
      <c r="BR39" s="21">
        <f t="shared" si="94"/>
        <v>332.68083680154177</v>
      </c>
      <c r="BS39" s="21">
        <f t="shared" si="94"/>
        <v>439.63126436722121</v>
      </c>
      <c r="BT39" s="21">
        <f t="shared" si="94"/>
        <v>357.00621320378968</v>
      </c>
      <c r="BU39" s="21">
        <f t="shared" si="94"/>
        <v>358.30188252175367</v>
      </c>
      <c r="BV39" s="21">
        <f t="shared" si="94"/>
        <v>379.97057128268477</v>
      </c>
      <c r="BW39" s="248">
        <f t="shared" si="94"/>
        <v>442.44775181527893</v>
      </c>
      <c r="BX39" s="21">
        <f t="shared" ref="BX39:DC39" si="95">+BX38*BX37</f>
        <v>307.45067120489409</v>
      </c>
      <c r="BY39" s="21">
        <f t="shared" si="95"/>
        <v>387.08157061491829</v>
      </c>
      <c r="BZ39" s="21">
        <f t="shared" si="95"/>
        <v>379.29133530467334</v>
      </c>
      <c r="CA39" s="21">
        <f t="shared" si="95"/>
        <v>345.5906998840473</v>
      </c>
      <c r="CB39" s="21">
        <f t="shared" si="95"/>
        <v>331.10191489956048</v>
      </c>
      <c r="CC39" s="21">
        <f t="shared" si="95"/>
        <v>368.27332997539321</v>
      </c>
      <c r="CD39" s="21">
        <f t="shared" si="95"/>
        <v>321.97963760723218</v>
      </c>
      <c r="CE39" s="21">
        <f t="shared" si="95"/>
        <v>467.10181423237412</v>
      </c>
      <c r="CF39" s="21">
        <f t="shared" si="95"/>
        <v>347.48812797414331</v>
      </c>
      <c r="CG39" s="21">
        <f t="shared" si="95"/>
        <v>381.42391292350084</v>
      </c>
      <c r="CH39" s="21">
        <f t="shared" si="95"/>
        <v>385.26917126289607</v>
      </c>
      <c r="CI39" s="248">
        <f t="shared" si="95"/>
        <v>410.627902288065</v>
      </c>
      <c r="CJ39" s="21">
        <f t="shared" si="95"/>
        <v>340.80592931442271</v>
      </c>
      <c r="CK39" s="21">
        <f t="shared" si="95"/>
        <v>374.49630992558792</v>
      </c>
      <c r="CL39" s="21">
        <f t="shared" si="95"/>
        <v>369.58562702081792</v>
      </c>
      <c r="CM39" s="21">
        <f t="shared" si="95"/>
        <v>369.50848869820038</v>
      </c>
      <c r="CN39" s="21">
        <f t="shared" si="95"/>
        <v>337.86118803379065</v>
      </c>
      <c r="CO39" s="21">
        <f t="shared" si="95"/>
        <v>360.96675894195533</v>
      </c>
      <c r="CP39" s="21">
        <f t="shared" si="95"/>
        <v>344.87263161651885</v>
      </c>
      <c r="CQ39" s="21">
        <f t="shared" si="95"/>
        <v>479.19862737681012</v>
      </c>
      <c r="CR39" s="21">
        <f t="shared" si="95"/>
        <v>339.25116551915164</v>
      </c>
      <c r="CS39" s="21">
        <f t="shared" si="95"/>
        <v>409.48782434194612</v>
      </c>
      <c r="CT39" s="21">
        <f t="shared" si="95"/>
        <v>397.41066775730411</v>
      </c>
      <c r="CU39" s="248">
        <f t="shared" si="95"/>
        <v>423.77637564647534</v>
      </c>
      <c r="CV39" s="21">
        <f t="shared" si="95"/>
        <v>353.01927750954059</v>
      </c>
      <c r="CW39" s="21">
        <f t="shared" si="95"/>
        <v>388.87655961776284</v>
      </c>
      <c r="CX39" s="21">
        <f t="shared" si="95"/>
        <v>366.07158150662178</v>
      </c>
      <c r="CY39" s="21">
        <f t="shared" si="95"/>
        <v>404.05742963606247</v>
      </c>
      <c r="CZ39" s="21">
        <f t="shared" si="95"/>
        <v>353.62565491977881</v>
      </c>
      <c r="DA39" s="21">
        <f t="shared" si="95"/>
        <v>358.03008022513939</v>
      </c>
      <c r="DB39" s="21">
        <f t="shared" si="95"/>
        <v>377.19550498358302</v>
      </c>
      <c r="DC39" s="21">
        <f t="shared" si="95"/>
        <v>476.44704825552469</v>
      </c>
      <c r="DD39" s="21">
        <f t="shared" ref="DD39:EI39" si="96">+DD38*DD37</f>
        <v>371.11533124053801</v>
      </c>
      <c r="DE39" s="21">
        <f t="shared" si="96"/>
        <v>427.33693744504654</v>
      </c>
      <c r="DF39" s="21">
        <f t="shared" si="96"/>
        <v>393.77917250996836</v>
      </c>
      <c r="DG39" s="22">
        <f t="shared" si="96"/>
        <v>459.82319451948376</v>
      </c>
    </row>
    <row r="40" spans="1:111" ht="18.75" customHeight="1" x14ac:dyDescent="0.25">
      <c r="A40" s="30"/>
      <c r="B40" s="30"/>
      <c r="C40" s="571" t="s">
        <v>107</v>
      </c>
      <c r="D40" s="687"/>
      <c r="E40" s="687"/>
      <c r="F40" s="687"/>
      <c r="G40" s="687"/>
      <c r="H40" s="687"/>
      <c r="I40" s="702"/>
      <c r="J40" s="702"/>
      <c r="K40" s="702"/>
      <c r="L40" s="702" t="e">
        <f>+L92/L13</f>
        <v>#DIV/0!</v>
      </c>
      <c r="M40" s="702" t="e">
        <f>+M92/M13</f>
        <v>#DIV/0!</v>
      </c>
      <c r="N40" s="702" t="e">
        <f>+N92/N13</f>
        <v>#DIV/0!</v>
      </c>
      <c r="O40" s="702" t="e">
        <f>+O92/O13</f>
        <v>#DIV/0!</v>
      </c>
      <c r="P40" s="710" t="e">
        <f>+P92/P13</f>
        <v>#DIV/0!</v>
      </c>
      <c r="Q40" s="710">
        <v>0</v>
      </c>
      <c r="R40" s="710">
        <v>0</v>
      </c>
      <c r="S40" s="710">
        <v>0</v>
      </c>
      <c r="T40" s="710">
        <v>0</v>
      </c>
      <c r="U40" s="710">
        <v>0</v>
      </c>
      <c r="V40" s="710">
        <v>0</v>
      </c>
      <c r="W40" s="710" t="e">
        <f>+W92/W13</f>
        <v>#DIV/0!</v>
      </c>
      <c r="X40" s="710" t="e">
        <f>+X92/X13</f>
        <v>#DIV/0!</v>
      </c>
      <c r="Y40" s="710" t="e">
        <f>+Y92/Y13</f>
        <v>#DIV/0!</v>
      </c>
      <c r="Z40" s="710" t="e">
        <f>+Z92/Z13</f>
        <v>#DIV/0!</v>
      </c>
      <c r="AA40" s="710" t="e">
        <f>+AA92/AA13</f>
        <v>#DIV/0!</v>
      </c>
      <c r="AB40" s="710">
        <f t="shared" ref="AB40:BG40" si="97">+AB65/AB13</f>
        <v>0.91205376625643708</v>
      </c>
      <c r="AC40" s="710">
        <f t="shared" si="97"/>
        <v>0.90307355938484335</v>
      </c>
      <c r="AD40" s="710">
        <f t="shared" si="97"/>
        <v>0.93038060018980917</v>
      </c>
      <c r="AE40" s="710">
        <f t="shared" si="97"/>
        <v>0.95691569655878217</v>
      </c>
      <c r="AF40" s="710">
        <f t="shared" si="97"/>
        <v>0.82341948310139168</v>
      </c>
      <c r="AG40" s="710">
        <f t="shared" si="97"/>
        <v>0.82043472183393895</v>
      </c>
      <c r="AH40" s="710">
        <f t="shared" si="97"/>
        <v>0.87787382594963015</v>
      </c>
      <c r="AI40" s="710">
        <f t="shared" si="97"/>
        <v>0.88487457162440031</v>
      </c>
      <c r="AJ40" s="710">
        <f t="shared" si="97"/>
        <v>0.919200088144557</v>
      </c>
      <c r="AK40" s="710">
        <f t="shared" si="97"/>
        <v>0.82350396258282454</v>
      </c>
      <c r="AL40" s="710">
        <f t="shared" si="97"/>
        <v>0.80795950392305749</v>
      </c>
      <c r="AM40" s="710">
        <f t="shared" si="97"/>
        <v>0.7999691157347204</v>
      </c>
      <c r="AN40" s="710">
        <f t="shared" si="97"/>
        <v>0.92601156069364166</v>
      </c>
      <c r="AO40" s="710">
        <f t="shared" si="97"/>
        <v>0.88546470311360781</v>
      </c>
      <c r="AP40" s="710">
        <f t="shared" si="97"/>
        <v>0.85585003868608001</v>
      </c>
      <c r="AQ40" s="710">
        <f t="shared" si="97"/>
        <v>0.92360861131427485</v>
      </c>
      <c r="AR40" s="710">
        <f t="shared" si="97"/>
        <v>0.79391237454967356</v>
      </c>
      <c r="AS40" s="710">
        <f t="shared" si="97"/>
        <v>0.9004232335624941</v>
      </c>
      <c r="AT40" s="710">
        <f t="shared" si="97"/>
        <v>0.8915273200288466</v>
      </c>
      <c r="AU40" s="710">
        <f t="shared" si="97"/>
        <v>0.87277336068519018</v>
      </c>
      <c r="AV40" s="710">
        <f t="shared" si="97"/>
        <v>0.81434903451125928</v>
      </c>
      <c r="AW40" s="710">
        <f t="shared" si="97"/>
        <v>0.87703925981495368</v>
      </c>
      <c r="AX40" s="536">
        <f t="shared" si="97"/>
        <v>0.85243207296218892</v>
      </c>
      <c r="AY40" s="685">
        <f t="shared" si="97"/>
        <v>0.80903448980661907</v>
      </c>
      <c r="AZ40" s="174">
        <f t="shared" si="97"/>
        <v>0.78798523435084278</v>
      </c>
      <c r="BA40" s="173">
        <f t="shared" si="97"/>
        <v>0.74721084773262614</v>
      </c>
      <c r="BB40" s="173">
        <f t="shared" si="97"/>
        <v>0.7277321615019352</v>
      </c>
      <c r="BC40" s="173">
        <f t="shared" si="97"/>
        <v>0.70050080407322779</v>
      </c>
      <c r="BD40" s="173">
        <f t="shared" si="97"/>
        <v>0.705034330864453</v>
      </c>
      <c r="BE40" s="173">
        <f t="shared" si="97"/>
        <v>0.70482346461352086</v>
      </c>
      <c r="BF40" s="173">
        <f t="shared" si="97"/>
        <v>0.70995969252700941</v>
      </c>
      <c r="BG40" s="173">
        <f t="shared" si="97"/>
        <v>0.70148124443768967</v>
      </c>
      <c r="BH40" s="173">
        <f t="shared" ref="BH40:CM40" si="98">+BH65/BH13</f>
        <v>0.75204947011342393</v>
      </c>
      <c r="BI40" s="173">
        <f t="shared" si="98"/>
        <v>0.73351981387170473</v>
      </c>
      <c r="BJ40" s="173">
        <f t="shared" si="98"/>
        <v>0.72010366544589322</v>
      </c>
      <c r="BK40" s="251">
        <f t="shared" si="98"/>
        <v>0.72989779908236263</v>
      </c>
      <c r="BL40" s="173">
        <f t="shared" si="98"/>
        <v>0.75854088741437597</v>
      </c>
      <c r="BM40" s="173">
        <f t="shared" si="98"/>
        <v>0.7312990990914372</v>
      </c>
      <c r="BN40" s="173">
        <f t="shared" si="98"/>
        <v>0.71466030456584784</v>
      </c>
      <c r="BO40" s="173">
        <f t="shared" si="98"/>
        <v>0.69996913237973168</v>
      </c>
      <c r="BP40" s="173">
        <f t="shared" si="98"/>
        <v>0.70591224577827139</v>
      </c>
      <c r="BQ40" s="173">
        <f t="shared" si="98"/>
        <v>0.70623324323973447</v>
      </c>
      <c r="BR40" s="173">
        <f t="shared" si="98"/>
        <v>0.71640573754939407</v>
      </c>
      <c r="BS40" s="173">
        <f t="shared" si="98"/>
        <v>0.70049612634447733</v>
      </c>
      <c r="BT40" s="173">
        <f t="shared" si="98"/>
        <v>0.75331000467202236</v>
      </c>
      <c r="BU40" s="173">
        <f t="shared" si="98"/>
        <v>0.74079978765520471</v>
      </c>
      <c r="BV40" s="173">
        <f t="shared" si="98"/>
        <v>0.71736777999819423</v>
      </c>
      <c r="BW40" s="251">
        <f t="shared" si="98"/>
        <v>0.73439344212691204</v>
      </c>
      <c r="BX40" s="173">
        <f t="shared" si="98"/>
        <v>0.76173407852106823</v>
      </c>
      <c r="BY40" s="173">
        <f t="shared" si="98"/>
        <v>0.72924611658129357</v>
      </c>
      <c r="BZ40" s="173">
        <f t="shared" si="98"/>
        <v>0.71940882938903405</v>
      </c>
      <c r="CA40" s="173">
        <f t="shared" si="98"/>
        <v>0.713887460928184</v>
      </c>
      <c r="CB40" s="173">
        <f t="shared" si="98"/>
        <v>0.70238035377317465</v>
      </c>
      <c r="CC40" s="173">
        <f t="shared" si="98"/>
        <v>0.71119912374055949</v>
      </c>
      <c r="CD40" s="173">
        <f t="shared" si="98"/>
        <v>0.72635550439266494</v>
      </c>
      <c r="CE40" s="173">
        <f t="shared" si="98"/>
        <v>0.70281104306564279</v>
      </c>
      <c r="CF40" s="173">
        <f t="shared" si="98"/>
        <v>0.76339430967278843</v>
      </c>
      <c r="CG40" s="173">
        <f t="shared" si="98"/>
        <v>0.73952685255860662</v>
      </c>
      <c r="CH40" s="173">
        <f t="shared" si="98"/>
        <v>0.72198781503626208</v>
      </c>
      <c r="CI40" s="251">
        <f t="shared" si="98"/>
        <v>0.75021174881682651</v>
      </c>
      <c r="CJ40" s="173">
        <f t="shared" si="98"/>
        <v>0.75161734677242353</v>
      </c>
      <c r="CK40" s="173">
        <f t="shared" si="98"/>
        <v>0.73830939964947773</v>
      </c>
      <c r="CL40" s="173">
        <f t="shared" si="98"/>
        <v>0.72839724832527974</v>
      </c>
      <c r="CM40" s="173">
        <f t="shared" si="98"/>
        <v>0.71444206911617725</v>
      </c>
      <c r="CN40" s="173">
        <f t="shared" ref="CN40:DG40" si="99">+CN65/CN13</f>
        <v>0.70756281310801916</v>
      </c>
      <c r="CO40" s="173">
        <f t="shared" si="99"/>
        <v>0.72025419684045844</v>
      </c>
      <c r="CP40" s="173">
        <f t="shared" si="99"/>
        <v>0.72557055567189721</v>
      </c>
      <c r="CQ40" s="173">
        <f t="shared" si="99"/>
        <v>0.708239177245788</v>
      </c>
      <c r="CR40" s="173">
        <f t="shared" si="99"/>
        <v>0.77132920223866919</v>
      </c>
      <c r="CS40" s="173">
        <f t="shared" si="99"/>
        <v>0.73661357647783166</v>
      </c>
      <c r="CT40" s="173">
        <f t="shared" si="99"/>
        <v>0.72549608234521468</v>
      </c>
      <c r="CU40" s="251">
        <f t="shared" si="99"/>
        <v>0.75011595451502855</v>
      </c>
      <c r="CV40" s="173">
        <f t="shared" si="99"/>
        <v>0.75261994249842401</v>
      </c>
      <c r="CW40" s="173">
        <f t="shared" si="99"/>
        <v>0.74075455596679174</v>
      </c>
      <c r="CX40" s="173">
        <f t="shared" si="99"/>
        <v>0.73493253613502851</v>
      </c>
      <c r="CY40" s="173">
        <f t="shared" si="99"/>
        <v>0.71463542632146049</v>
      </c>
      <c r="CZ40" s="173">
        <f t="shared" si="99"/>
        <v>0.71222050865740383</v>
      </c>
      <c r="DA40" s="173">
        <f t="shared" si="99"/>
        <v>0.72752509204013982</v>
      </c>
      <c r="DB40" s="173">
        <f t="shared" si="99"/>
        <v>0.72515957939653319</v>
      </c>
      <c r="DC40" s="173">
        <f t="shared" si="99"/>
        <v>0.71615609060014085</v>
      </c>
      <c r="DD40" s="173">
        <f t="shared" si="99"/>
        <v>0.76461387842415263</v>
      </c>
      <c r="DE40" s="173">
        <f t="shared" si="99"/>
        <v>0.73928878982523882</v>
      </c>
      <c r="DF40" s="173">
        <f t="shared" si="99"/>
        <v>0.73335570696252061</v>
      </c>
      <c r="DG40" s="174">
        <f t="shared" si="99"/>
        <v>0.74740670024839784</v>
      </c>
    </row>
    <row r="41" spans="1:111" ht="18.75" customHeight="1" x14ac:dyDescent="0.25">
      <c r="A41" s="30"/>
      <c r="B41" s="30"/>
      <c r="C41" s="571" t="s">
        <v>4</v>
      </c>
      <c r="D41" s="687"/>
      <c r="E41" s="687"/>
      <c r="F41" s="687"/>
      <c r="G41" s="687"/>
      <c r="H41" s="687"/>
      <c r="I41" s="702"/>
      <c r="J41" s="702"/>
      <c r="K41" s="702"/>
      <c r="L41" s="702"/>
      <c r="M41" s="702"/>
      <c r="N41" s="702"/>
      <c r="O41" s="702"/>
      <c r="P41" s="710"/>
      <c r="Q41" s="710"/>
      <c r="R41" s="710"/>
      <c r="S41" s="710"/>
      <c r="T41" s="710"/>
      <c r="U41" s="710"/>
      <c r="V41" s="710"/>
      <c r="W41" s="711">
        <f>+(W38)*W17*W26</f>
        <v>0</v>
      </c>
      <c r="X41" s="711">
        <f>+(X38)*X17*X26</f>
        <v>0</v>
      </c>
      <c r="Y41" s="711">
        <f>+(Y38)*Y17*Y26</f>
        <v>0</v>
      </c>
      <c r="Z41" s="711">
        <f>+(Z38)*Z17*Z26</f>
        <v>0</v>
      </c>
      <c r="AA41" s="711">
        <f>+(AA38)*AA17*AA26</f>
        <v>0</v>
      </c>
      <c r="AB41" s="711">
        <f t="shared" ref="AB41:BG41" si="100">+(AB38)*AB17</f>
        <v>3806.3752066115703</v>
      </c>
      <c r="AC41" s="711">
        <f t="shared" si="100"/>
        <v>3565.1260239445496</v>
      </c>
      <c r="AD41" s="711">
        <f t="shared" si="100"/>
        <v>3434.6887435121107</v>
      </c>
      <c r="AE41" s="711">
        <f t="shared" si="100"/>
        <v>2659.5027548209364</v>
      </c>
      <c r="AF41" s="711">
        <f t="shared" si="100"/>
        <v>4158.3868935097671</v>
      </c>
      <c r="AG41" s="711">
        <f t="shared" si="100"/>
        <v>3809.8224852071003</v>
      </c>
      <c r="AH41" s="711">
        <f t="shared" si="100"/>
        <v>3948.4454732510294</v>
      </c>
      <c r="AI41" s="711">
        <f t="shared" si="100"/>
        <v>4344.1940828402367</v>
      </c>
      <c r="AJ41" s="711">
        <f t="shared" si="100"/>
        <v>4568.8707482993195</v>
      </c>
      <c r="AK41" s="711">
        <f t="shared" si="100"/>
        <v>4150.6549586776864</v>
      </c>
      <c r="AL41" s="711">
        <f t="shared" si="100"/>
        <v>3267.6039697542533</v>
      </c>
      <c r="AM41" s="711">
        <f t="shared" si="100"/>
        <v>3217.3525377229075</v>
      </c>
      <c r="AN41" s="711">
        <f t="shared" si="100"/>
        <v>4460.1049985636309</v>
      </c>
      <c r="AO41" s="711">
        <f t="shared" si="100"/>
        <v>4123.6762769319166</v>
      </c>
      <c r="AP41" s="711">
        <f t="shared" si="100"/>
        <v>3775.439153439153</v>
      </c>
      <c r="AQ41" s="711">
        <f t="shared" si="100"/>
        <v>4062.1518588531817</v>
      </c>
      <c r="AR41" s="711">
        <f t="shared" si="100"/>
        <v>4083.8286456278765</v>
      </c>
      <c r="AS41" s="711">
        <f t="shared" si="100"/>
        <v>4773.196357960458</v>
      </c>
      <c r="AT41" s="711">
        <f t="shared" si="100"/>
        <v>4270.3348629984403</v>
      </c>
      <c r="AU41" s="711">
        <f t="shared" si="100"/>
        <v>4966.173777777778</v>
      </c>
      <c r="AV41" s="711">
        <f t="shared" si="100"/>
        <v>4723.0604938271608</v>
      </c>
      <c r="AW41" s="711">
        <f t="shared" si="100"/>
        <v>4942.8781212841859</v>
      </c>
      <c r="AX41" s="537">
        <f t="shared" si="100"/>
        <v>3575.4405997693198</v>
      </c>
      <c r="AY41" s="712">
        <f t="shared" si="100"/>
        <v>3824.6281880278484</v>
      </c>
      <c r="AZ41" s="240">
        <f t="shared" si="100"/>
        <v>4256.2896648359319</v>
      </c>
      <c r="BA41" s="239">
        <f t="shared" si="100"/>
        <v>5633.0856739430037</v>
      </c>
      <c r="BB41" s="239">
        <f t="shared" si="100"/>
        <v>5955.5708036858287</v>
      </c>
      <c r="BC41" s="239">
        <f t="shared" si="100"/>
        <v>8028.7608534294604</v>
      </c>
      <c r="BD41" s="239">
        <f t="shared" si="100"/>
        <v>6895.7604881234593</v>
      </c>
      <c r="BE41" s="239">
        <f t="shared" si="100"/>
        <v>7730.758503168322</v>
      </c>
      <c r="BF41" s="239">
        <f t="shared" si="100"/>
        <v>7217.1360248432547</v>
      </c>
      <c r="BG41" s="239">
        <f t="shared" si="100"/>
        <v>8350.9870979409661</v>
      </c>
      <c r="BH41" s="239">
        <f t="shared" ref="BH41:CM41" si="101">+(BH38)*BH17</f>
        <v>5625.843592984892</v>
      </c>
      <c r="BI41" s="239">
        <f t="shared" si="101"/>
        <v>6565.6108201901015</v>
      </c>
      <c r="BJ41" s="239">
        <f t="shared" si="101"/>
        <v>6539.5079559268988</v>
      </c>
      <c r="BK41" s="252">
        <f t="shared" si="101"/>
        <v>6436.5693896078446</v>
      </c>
      <c r="BL41" s="239">
        <f t="shared" si="101"/>
        <v>5450.9527866705621</v>
      </c>
      <c r="BM41" s="239">
        <f t="shared" si="101"/>
        <v>6947.4723311963726</v>
      </c>
      <c r="BN41" s="239">
        <f t="shared" si="101"/>
        <v>7402.8620909050687</v>
      </c>
      <c r="BO41" s="239">
        <f t="shared" si="101"/>
        <v>9205.3895991906738</v>
      </c>
      <c r="BP41" s="239">
        <f t="shared" si="101"/>
        <v>7747.3869084067082</v>
      </c>
      <c r="BQ41" s="239">
        <f t="shared" si="101"/>
        <v>8640.9929720897526</v>
      </c>
      <c r="BR41" s="239">
        <f t="shared" si="101"/>
        <v>7655.7348140423255</v>
      </c>
      <c r="BS41" s="239">
        <f t="shared" si="101"/>
        <v>9608.4345805044904</v>
      </c>
      <c r="BT41" s="239">
        <f t="shared" si="101"/>
        <v>6080.8750600645544</v>
      </c>
      <c r="BU41" s="239">
        <f t="shared" si="101"/>
        <v>6850.9655121261349</v>
      </c>
      <c r="BV41" s="239">
        <f t="shared" si="101"/>
        <v>7477.4110706585225</v>
      </c>
      <c r="BW41" s="252">
        <f t="shared" si="101"/>
        <v>6871.0378234063755</v>
      </c>
      <c r="BX41" s="239">
        <f t="shared" si="101"/>
        <v>5806.4497075403842</v>
      </c>
      <c r="BY41" s="239">
        <f t="shared" si="101"/>
        <v>7866.6041436614114</v>
      </c>
      <c r="BZ41" s="239">
        <f t="shared" si="101"/>
        <v>7974.9014342931914</v>
      </c>
      <c r="CA41" s="239">
        <f t="shared" si="101"/>
        <v>9064.4458349925444</v>
      </c>
      <c r="CB41" s="239">
        <f t="shared" si="101"/>
        <v>9242.560176244082</v>
      </c>
      <c r="CC41" s="239">
        <f t="shared" si="101"/>
        <v>9347.98330616983</v>
      </c>
      <c r="CD41" s="239">
        <f t="shared" si="101"/>
        <v>7836.3923860564837</v>
      </c>
      <c r="CE41" s="239">
        <f t="shared" si="101"/>
        <v>10779.252570471563</v>
      </c>
      <c r="CF41" s="239">
        <f t="shared" si="101"/>
        <v>6181.7623053792622</v>
      </c>
      <c r="CG41" s="239">
        <f t="shared" si="101"/>
        <v>7635.2207746984714</v>
      </c>
      <c r="CH41" s="239">
        <f t="shared" si="101"/>
        <v>8050.0482475887011</v>
      </c>
      <c r="CI41" s="252">
        <f t="shared" si="101"/>
        <v>6695.2215312750232</v>
      </c>
      <c r="CJ41" s="239">
        <f t="shared" si="101"/>
        <v>6868.2005112049128</v>
      </c>
      <c r="CK41" s="239">
        <f t="shared" si="101"/>
        <v>8073.6200421788171</v>
      </c>
      <c r="CL41" s="239">
        <f t="shared" si="101"/>
        <v>8212.3489673670829</v>
      </c>
      <c r="CM41" s="239">
        <f t="shared" si="101"/>
        <v>10299.476580010281</v>
      </c>
      <c r="CN41" s="239">
        <f t="shared" ref="CN41:DG41" si="102">+(CN38)*CN17</f>
        <v>10054.406678211464</v>
      </c>
      <c r="CO41" s="239">
        <f t="shared" si="102"/>
        <v>9644.794273444606</v>
      </c>
      <c r="CP41" s="239">
        <f t="shared" si="102"/>
        <v>8889.4076129328241</v>
      </c>
      <c r="CQ41" s="239">
        <f t="shared" si="102"/>
        <v>11683.318915091759</v>
      </c>
      <c r="CR41" s="239">
        <f t="shared" si="102"/>
        <v>6355.8964548265685</v>
      </c>
      <c r="CS41" s="239">
        <f t="shared" si="102"/>
        <v>8707.9377430445402</v>
      </c>
      <c r="CT41" s="239">
        <f t="shared" si="102"/>
        <v>8765.6080918188109</v>
      </c>
      <c r="CU41" s="252">
        <f t="shared" si="102"/>
        <v>7370.1430566051704</v>
      </c>
      <c r="CV41" s="239">
        <f t="shared" si="102"/>
        <v>7512.0943091303743</v>
      </c>
      <c r="CW41" s="239">
        <f t="shared" si="102"/>
        <v>8803.3510844526736</v>
      </c>
      <c r="CX41" s="239">
        <f t="shared" si="102"/>
        <v>8637.4831942131113</v>
      </c>
      <c r="CY41" s="239">
        <f t="shared" si="102"/>
        <v>11890.286824051478</v>
      </c>
      <c r="CZ41" s="239">
        <f t="shared" si="102"/>
        <v>11016.13253438822</v>
      </c>
      <c r="DA41" s="239">
        <f t="shared" si="102"/>
        <v>10104.070191227685</v>
      </c>
      <c r="DB41" s="239">
        <f t="shared" si="102"/>
        <v>10152.413667029276</v>
      </c>
      <c r="DC41" s="239">
        <f t="shared" si="102"/>
        <v>12223.037451930242</v>
      </c>
      <c r="DD41" s="239">
        <f t="shared" si="102"/>
        <v>7295.3501910947716</v>
      </c>
      <c r="DE41" s="239">
        <f t="shared" si="102"/>
        <v>9486.2096788291492</v>
      </c>
      <c r="DF41" s="239">
        <f t="shared" si="102"/>
        <v>9099.2988544050986</v>
      </c>
      <c r="DG41" s="240">
        <f t="shared" si="102"/>
        <v>8356.60835802771</v>
      </c>
    </row>
    <row r="42" spans="1:111" ht="18.75" customHeight="1" x14ac:dyDescent="0.25">
      <c r="A42" s="30"/>
      <c r="B42" s="30"/>
      <c r="C42" s="571" t="s">
        <v>108</v>
      </c>
      <c r="D42" s="687"/>
      <c r="E42" s="687"/>
      <c r="F42" s="687"/>
      <c r="G42" s="687"/>
      <c r="H42" s="687"/>
      <c r="I42" s="687"/>
      <c r="J42" s="687"/>
      <c r="K42" s="687"/>
      <c r="L42" s="687">
        <f t="shared" ref="L42:AQ42" si="103">+IFERROR(AVERAGE(L40*L39,K40*K39, J40*J39, I40*I39,H39*H40,G39*G40), 0)</f>
        <v>0</v>
      </c>
      <c r="M42" s="687">
        <f t="shared" si="103"/>
        <v>0</v>
      </c>
      <c r="N42" s="687">
        <f t="shared" si="103"/>
        <v>0</v>
      </c>
      <c r="O42" s="687">
        <f t="shared" si="103"/>
        <v>0</v>
      </c>
      <c r="P42" s="687">
        <f t="shared" si="103"/>
        <v>0</v>
      </c>
      <c r="Q42" s="687">
        <f t="shared" si="103"/>
        <v>0</v>
      </c>
      <c r="R42" s="687">
        <f t="shared" si="103"/>
        <v>0</v>
      </c>
      <c r="S42" s="687">
        <f t="shared" si="103"/>
        <v>0</v>
      </c>
      <c r="T42" s="687">
        <f t="shared" si="103"/>
        <v>0</v>
      </c>
      <c r="U42" s="687">
        <f t="shared" si="103"/>
        <v>0</v>
      </c>
      <c r="V42" s="687">
        <f t="shared" si="103"/>
        <v>0</v>
      </c>
      <c r="W42" s="687">
        <f t="shared" si="103"/>
        <v>0</v>
      </c>
      <c r="X42" s="687">
        <f t="shared" si="103"/>
        <v>0</v>
      </c>
      <c r="Y42" s="687">
        <f t="shared" si="103"/>
        <v>0</v>
      </c>
      <c r="Z42" s="687">
        <f t="shared" si="103"/>
        <v>0</v>
      </c>
      <c r="AA42" s="687">
        <f t="shared" si="103"/>
        <v>0</v>
      </c>
      <c r="AB42" s="687">
        <f t="shared" si="103"/>
        <v>0</v>
      </c>
      <c r="AC42" s="687">
        <f t="shared" si="103"/>
        <v>0</v>
      </c>
      <c r="AD42" s="687">
        <f t="shared" si="103"/>
        <v>0</v>
      </c>
      <c r="AE42" s="687">
        <f t="shared" si="103"/>
        <v>0</v>
      </c>
      <c r="AF42" s="687">
        <f t="shared" si="103"/>
        <v>0</v>
      </c>
      <c r="AG42" s="687">
        <f t="shared" si="103"/>
        <v>447.58670238724517</v>
      </c>
      <c r="AH42" s="687">
        <f t="shared" si="103"/>
        <v>394.34186761011216</v>
      </c>
      <c r="AI42" s="687">
        <f t="shared" si="103"/>
        <v>355.12402224535617</v>
      </c>
      <c r="AJ42" s="687">
        <f t="shared" si="103"/>
        <v>311.14428571531062</v>
      </c>
      <c r="AK42" s="687">
        <f t="shared" si="103"/>
        <v>263.60359068291012</v>
      </c>
      <c r="AL42" s="687">
        <f t="shared" si="103"/>
        <v>234.50286829072141</v>
      </c>
      <c r="AM42" s="687">
        <f t="shared" si="103"/>
        <v>214.67923785302753</v>
      </c>
      <c r="AN42" s="687">
        <f t="shared" si="103"/>
        <v>204.71094826873738</v>
      </c>
      <c r="AO42" s="687">
        <f t="shared" si="103"/>
        <v>209.4113188237715</v>
      </c>
      <c r="AP42" s="687">
        <f t="shared" si="103"/>
        <v>215.09786744246978</v>
      </c>
      <c r="AQ42" s="687">
        <f t="shared" si="103"/>
        <v>228.24246898847483</v>
      </c>
      <c r="AR42" s="687">
        <f t="shared" ref="AR42:BW42" si="104">+IFERROR(AVERAGE(AR40*AR39,AQ40*AQ39, AP40*AP39, AO40*AO39,AN39*AN40,AM39*AM40), 0)</f>
        <v>231.8596492491283</v>
      </c>
      <c r="AS42" s="687">
        <f t="shared" si="104"/>
        <v>241.28742382706756</v>
      </c>
      <c r="AT42" s="687">
        <f t="shared" si="104"/>
        <v>243.98899001248103</v>
      </c>
      <c r="AU42" s="687">
        <f t="shared" si="104"/>
        <v>252.82946985310039</v>
      </c>
      <c r="AV42" s="687">
        <f t="shared" si="104"/>
        <v>249.37330834568243</v>
      </c>
      <c r="AW42" s="687">
        <f t="shared" si="104"/>
        <v>248.85309852526555</v>
      </c>
      <c r="AX42" s="533">
        <f t="shared" si="104"/>
        <v>250.43236595043678</v>
      </c>
      <c r="AY42" s="709">
        <f t="shared" si="104"/>
        <v>254.45398689978012</v>
      </c>
      <c r="AZ42" s="22">
        <f t="shared" si="104"/>
        <v>248.32779631237341</v>
      </c>
      <c r="BA42" s="21">
        <f t="shared" si="104"/>
        <v>239.55630834363123</v>
      </c>
      <c r="BB42" s="21">
        <f t="shared" si="104"/>
        <v>242.35224015551333</v>
      </c>
      <c r="BC42" s="21">
        <f t="shared" si="104"/>
        <v>239.32969347394194</v>
      </c>
      <c r="BD42" s="21">
        <f t="shared" si="104"/>
        <v>237.88618708846363</v>
      </c>
      <c r="BE42" s="21">
        <f t="shared" si="104"/>
        <v>232.12811608149283</v>
      </c>
      <c r="BF42" s="21">
        <f t="shared" si="104"/>
        <v>236.35499296397347</v>
      </c>
      <c r="BG42" s="21">
        <f t="shared" si="104"/>
        <v>243.06567854988688</v>
      </c>
      <c r="BH42" s="21">
        <f t="shared" si="104"/>
        <v>247.45602078445094</v>
      </c>
      <c r="BI42" s="21">
        <f t="shared" si="104"/>
        <v>250.1852699904654</v>
      </c>
      <c r="BJ42" s="21">
        <f t="shared" si="104"/>
        <v>259.61830870646196</v>
      </c>
      <c r="BK42" s="248">
        <f t="shared" si="104"/>
        <v>271.9344317609029</v>
      </c>
      <c r="BL42" s="21">
        <f t="shared" si="104"/>
        <v>270.37059185564345</v>
      </c>
      <c r="BM42" s="21">
        <f t="shared" si="104"/>
        <v>266.8163555331364</v>
      </c>
      <c r="BN42" s="21">
        <f t="shared" si="104"/>
        <v>267.5274027802468</v>
      </c>
      <c r="BO42" s="21">
        <f t="shared" si="104"/>
        <v>266.33770907603144</v>
      </c>
      <c r="BP42" s="21">
        <f t="shared" si="104"/>
        <v>258.69054228409897</v>
      </c>
      <c r="BQ42" s="21">
        <f t="shared" si="104"/>
        <v>248.7249957863869</v>
      </c>
      <c r="BR42" s="21">
        <f t="shared" si="104"/>
        <v>250.27194068295171</v>
      </c>
      <c r="BS42" s="21">
        <f t="shared" si="104"/>
        <v>257.13285862712149</v>
      </c>
      <c r="BT42" s="21">
        <f t="shared" si="104"/>
        <v>257.32217979605304</v>
      </c>
      <c r="BU42" s="21">
        <f t="shared" si="104"/>
        <v>257.75500814914341</v>
      </c>
      <c r="BV42" s="21">
        <f t="shared" si="104"/>
        <v>268.21512251642963</v>
      </c>
      <c r="BW42" s="248">
        <f t="shared" si="104"/>
        <v>279.69502353237101</v>
      </c>
      <c r="BX42" s="21">
        <f t="shared" ref="BX42:DC42" si="105">+IFERROR(AVERAGE(BX40*BX39,BW40*BW39, BV40*BV39, BU40*BU39,BT39*BT40,BS39*BS40), 0)</f>
        <v>279.00522244296866</v>
      </c>
      <c r="BY42" s="21">
        <f t="shared" si="105"/>
        <v>274.72484485329426</v>
      </c>
      <c r="BZ42" s="21">
        <f t="shared" si="105"/>
        <v>275.37970875203604</v>
      </c>
      <c r="CA42" s="21">
        <f t="shared" si="105"/>
        <v>272.26019354737628</v>
      </c>
      <c r="CB42" s="21">
        <f t="shared" si="105"/>
        <v>265.5903327034469</v>
      </c>
      <c r="CC42" s="21">
        <f t="shared" si="105"/>
        <v>255.08782306321041</v>
      </c>
      <c r="CD42" s="21">
        <f t="shared" si="105"/>
        <v>255.03382778944786</v>
      </c>
      <c r="CE42" s="21">
        <f t="shared" si="105"/>
        <v>262.70159130734652</v>
      </c>
      <c r="CF42" s="21">
        <f t="shared" si="105"/>
        <v>261.43574531490856</v>
      </c>
      <c r="CG42" s="21">
        <f t="shared" si="105"/>
        <v>267.32913840728992</v>
      </c>
      <c r="CH42" s="21">
        <f t="shared" si="105"/>
        <v>274.92916624709005</v>
      </c>
      <c r="CI42" s="248">
        <f t="shared" si="105"/>
        <v>282.61953409925616</v>
      </c>
      <c r="CJ42" s="21">
        <f t="shared" si="105"/>
        <v>286.33352847879752</v>
      </c>
      <c r="CK42" s="21">
        <f t="shared" si="105"/>
        <v>277.70183389106359</v>
      </c>
      <c r="CL42" s="21">
        <f t="shared" si="105"/>
        <v>278.35761625243458</v>
      </c>
      <c r="CM42" s="21">
        <f t="shared" si="105"/>
        <v>275.34414682020616</v>
      </c>
      <c r="CN42" s="21">
        <f t="shared" si="105"/>
        <v>268.82720773425223</v>
      </c>
      <c r="CO42" s="21">
        <f t="shared" si="105"/>
        <v>260.81553212747343</v>
      </c>
      <c r="CP42" s="21">
        <f t="shared" si="105"/>
        <v>259.82782856120855</v>
      </c>
      <c r="CQ42" s="21">
        <f t="shared" si="105"/>
        <v>270.31001120096812</v>
      </c>
      <c r="CR42" s="21">
        <f t="shared" si="105"/>
        <v>269.05487405361629</v>
      </c>
      <c r="CS42" s="21">
        <f t="shared" si="105"/>
        <v>275.32852098546846</v>
      </c>
      <c r="CT42" s="21">
        <f t="shared" si="105"/>
        <v>283.53883263462069</v>
      </c>
      <c r="CU42" s="248">
        <f t="shared" si="105"/>
        <v>293.18776554647633</v>
      </c>
      <c r="CV42" s="21">
        <f t="shared" si="105"/>
        <v>295.76441911014945</v>
      </c>
      <c r="CW42" s="21">
        <f t="shared" si="105"/>
        <v>287.2102260526305</v>
      </c>
      <c r="CX42" s="21">
        <f t="shared" si="105"/>
        <v>288.43749021016328</v>
      </c>
      <c r="CY42" s="21">
        <f t="shared" si="105"/>
        <v>286.2907339891089</v>
      </c>
      <c r="CZ42" s="21">
        <f t="shared" si="105"/>
        <v>280.21399420263435</v>
      </c>
      <c r="DA42" s="21">
        <f t="shared" si="105"/>
        <v>270.6464019609607</v>
      </c>
      <c r="DB42" s="21">
        <f t="shared" si="105"/>
        <v>271.95266619497608</v>
      </c>
      <c r="DC42" s="21">
        <f t="shared" si="105"/>
        <v>280.81072823016001</v>
      </c>
      <c r="DD42" s="21">
        <f t="shared" ref="DD42:EI42" si="106">+IFERROR(AVERAGE(DD40*DD39,DC40*DC39, DB40*DB39, DA40*DA39,CZ39*CZ40,CY39*CY40), 0)</f>
        <v>283.26439772330497</v>
      </c>
      <c r="DE42" s="21">
        <f t="shared" si="106"/>
        <v>287.79300669748017</v>
      </c>
      <c r="DF42" s="21">
        <f t="shared" si="106"/>
        <v>293.94646663446213</v>
      </c>
      <c r="DG42" s="22">
        <f t="shared" si="106"/>
        <v>307.812978208554</v>
      </c>
    </row>
    <row r="43" spans="1:111" ht="18.75" customHeight="1" x14ac:dyDescent="0.25">
      <c r="A43" s="30"/>
      <c r="B43" s="30"/>
      <c r="C43" s="571" t="s">
        <v>109</v>
      </c>
      <c r="D43" s="687"/>
      <c r="E43" s="687"/>
      <c r="F43" s="687"/>
      <c r="G43" s="687"/>
      <c r="H43" s="687"/>
      <c r="I43" s="687"/>
      <c r="J43" s="687"/>
      <c r="K43" s="687"/>
      <c r="L43" s="687">
        <f t="shared" ref="L43:V43" si="107">+AVERAGE(J89:L89)</f>
        <v>0</v>
      </c>
      <c r="M43" s="687">
        <f t="shared" si="107"/>
        <v>0</v>
      </c>
      <c r="N43" s="687">
        <f t="shared" si="107"/>
        <v>0</v>
      </c>
      <c r="O43" s="687">
        <f t="shared" si="107"/>
        <v>0</v>
      </c>
      <c r="P43" s="687">
        <f t="shared" si="107"/>
        <v>0</v>
      </c>
      <c r="Q43" s="687">
        <f t="shared" si="107"/>
        <v>0</v>
      </c>
      <c r="R43" s="687">
        <f t="shared" si="107"/>
        <v>0</v>
      </c>
      <c r="S43" s="687">
        <f t="shared" si="107"/>
        <v>0</v>
      </c>
      <c r="T43" s="687">
        <f t="shared" si="107"/>
        <v>0</v>
      </c>
      <c r="U43" s="687">
        <f t="shared" si="107"/>
        <v>0</v>
      </c>
      <c r="V43" s="687">
        <f t="shared" si="107"/>
        <v>0</v>
      </c>
      <c r="W43" s="687"/>
      <c r="X43" s="687">
        <f>+AVERAGE(V93:X93)</f>
        <v>0</v>
      </c>
      <c r="Y43" s="687">
        <f>+AVERAGE(W93:Y93)</f>
        <v>0</v>
      </c>
      <c r="Z43" s="687">
        <f>+AVERAGE(X93:Z93)</f>
        <v>0</v>
      </c>
      <c r="AA43" s="687">
        <f>+AVERAGE(Y93:AA93)</f>
        <v>0</v>
      </c>
      <c r="AB43" s="687">
        <f t="shared" ref="AB43:BG43" si="108">+AVERAGE(W93:AB93)/AB17</f>
        <v>5.0918888888888887</v>
      </c>
      <c r="AC43" s="687">
        <f t="shared" si="108"/>
        <v>10.026470588235295</v>
      </c>
      <c r="AD43" s="687">
        <f t="shared" si="108"/>
        <v>17.13388888888889</v>
      </c>
      <c r="AE43" s="687">
        <f t="shared" si="108"/>
        <v>34.362894736842101</v>
      </c>
      <c r="AF43" s="687">
        <f t="shared" si="108"/>
        <v>37.86611111111111</v>
      </c>
      <c r="AG43" s="687">
        <f t="shared" si="108"/>
        <v>54.101222222222219</v>
      </c>
      <c r="AH43" s="687">
        <f t="shared" si="108"/>
        <v>63.302241379310345</v>
      </c>
      <c r="AI43" s="687">
        <f t="shared" si="108"/>
        <v>62.410588235294107</v>
      </c>
      <c r="AJ43" s="687">
        <f t="shared" si="108"/>
        <v>62.192837837837843</v>
      </c>
      <c r="AK43" s="687">
        <f t="shared" si="108"/>
        <v>89.380632183908048</v>
      </c>
      <c r="AL43" s="687">
        <f t="shared" si="108"/>
        <v>93.409821428571419</v>
      </c>
      <c r="AM43" s="687">
        <f t="shared" si="108"/>
        <v>104.80059999999999</v>
      </c>
      <c r="AN43" s="687">
        <f t="shared" si="108"/>
        <v>75.119857142857128</v>
      </c>
      <c r="AO43" s="687">
        <f t="shared" si="108"/>
        <v>79.47604166666666</v>
      </c>
      <c r="AP43" s="687">
        <f t="shared" si="108"/>
        <v>86.670322580645163</v>
      </c>
      <c r="AQ43" s="687">
        <f t="shared" si="108"/>
        <v>88.197055555555565</v>
      </c>
      <c r="AR43" s="687">
        <f t="shared" si="108"/>
        <v>69.963026315789463</v>
      </c>
      <c r="AS43" s="687">
        <f t="shared" si="108"/>
        <v>69.487522522522525</v>
      </c>
      <c r="AT43" s="687">
        <f t="shared" si="108"/>
        <v>77.815147058823527</v>
      </c>
      <c r="AU43" s="687">
        <f t="shared" si="108"/>
        <v>84.312239583333323</v>
      </c>
      <c r="AV43" s="687">
        <f t="shared" si="108"/>
        <v>75.669444444444437</v>
      </c>
      <c r="AW43" s="687">
        <f t="shared" si="108"/>
        <v>83.716313131313143</v>
      </c>
      <c r="AX43" s="533">
        <f t="shared" si="108"/>
        <v>87.41811827956991</v>
      </c>
      <c r="AY43" s="709">
        <f t="shared" si="108"/>
        <v>118.65909389773194</v>
      </c>
      <c r="AZ43" s="22">
        <f t="shared" si="108"/>
        <v>93.904297772632447</v>
      </c>
      <c r="BA43" s="21">
        <f t="shared" si="108"/>
        <v>87.104435004596624</v>
      </c>
      <c r="BB43" s="21">
        <f t="shared" si="108"/>
        <v>88.059427468811876</v>
      </c>
      <c r="BC43" s="21">
        <f t="shared" si="108"/>
        <v>77.269095558726775</v>
      </c>
      <c r="BD43" s="21">
        <f t="shared" si="108"/>
        <v>74.248651845222753</v>
      </c>
      <c r="BE43" s="21">
        <f t="shared" si="108"/>
        <v>87.168310866519391</v>
      </c>
      <c r="BF43" s="21">
        <f t="shared" si="108"/>
        <v>96.647980400848098</v>
      </c>
      <c r="BG43" s="21">
        <f t="shared" si="108"/>
        <v>103.42397129564719</v>
      </c>
      <c r="BH43" s="21">
        <f t="shared" ref="BH43:CM43" si="109">+AVERAGE(BC93:BH93)/BH17</f>
        <v>130.30800152950587</v>
      </c>
      <c r="BI43" s="21">
        <f t="shared" si="109"/>
        <v>117.37439884204926</v>
      </c>
      <c r="BJ43" s="21">
        <f t="shared" si="109"/>
        <v>111.02444815012035</v>
      </c>
      <c r="BK43" s="248">
        <f t="shared" si="109"/>
        <v>137.24745058452874</v>
      </c>
      <c r="BL43" s="21">
        <f t="shared" si="109"/>
        <v>115.57832735351029</v>
      </c>
      <c r="BM43" s="21">
        <f t="shared" si="109"/>
        <v>105.64765994489517</v>
      </c>
      <c r="BN43" s="21">
        <f t="shared" si="109"/>
        <v>106.88794506011584</v>
      </c>
      <c r="BO43" s="21">
        <f t="shared" si="109"/>
        <v>91.842699488219608</v>
      </c>
      <c r="BP43" s="21">
        <f t="shared" si="109"/>
        <v>84.334361985955297</v>
      </c>
      <c r="BQ43" s="21">
        <f t="shared" si="109"/>
        <v>94.856966492181414</v>
      </c>
      <c r="BR43" s="21">
        <f t="shared" si="109"/>
        <v>103.64131373548175</v>
      </c>
      <c r="BS43" s="21">
        <f t="shared" si="109"/>
        <v>111.08564593749446</v>
      </c>
      <c r="BT43" s="21">
        <f t="shared" si="109"/>
        <v>139.98267821220628</v>
      </c>
      <c r="BU43" s="21">
        <f t="shared" si="109"/>
        <v>123.32811276515507</v>
      </c>
      <c r="BV43" s="21">
        <f t="shared" si="109"/>
        <v>117.13503790575395</v>
      </c>
      <c r="BW43" s="248">
        <f t="shared" si="109"/>
        <v>147.24377583826609</v>
      </c>
      <c r="BX43" s="21">
        <f t="shared" si="109"/>
        <v>124.62520295199263</v>
      </c>
      <c r="BY43" s="21">
        <f t="shared" si="109"/>
        <v>112.22560078232991</v>
      </c>
      <c r="BZ43" s="21">
        <f t="shared" si="109"/>
        <v>113.4071963346441</v>
      </c>
      <c r="CA43" s="21">
        <f t="shared" si="109"/>
        <v>95.736061245838172</v>
      </c>
      <c r="CB43" s="21">
        <f t="shared" si="109"/>
        <v>88.086700429436519</v>
      </c>
      <c r="CC43" s="21">
        <f t="shared" si="109"/>
        <v>99.806582488044441</v>
      </c>
      <c r="CD43" s="21">
        <f t="shared" si="109"/>
        <v>109.28970002337149</v>
      </c>
      <c r="CE43" s="21">
        <f t="shared" si="109"/>
        <v>116.97506468677568</v>
      </c>
      <c r="CF43" s="21">
        <f t="shared" si="109"/>
        <v>147.85605328222488</v>
      </c>
      <c r="CG43" s="21">
        <f t="shared" si="109"/>
        <v>132.74355554090963</v>
      </c>
      <c r="CH43" s="21">
        <f t="shared" si="109"/>
        <v>122.76031178292335</v>
      </c>
      <c r="CI43" s="248">
        <f t="shared" si="109"/>
        <v>153.89067629647266</v>
      </c>
      <c r="CJ43" s="21">
        <f t="shared" si="109"/>
        <v>131.08605270985075</v>
      </c>
      <c r="CK43" s="21">
        <f t="shared" si="109"/>
        <v>116.8651509448059</v>
      </c>
      <c r="CL43" s="21">
        <f t="shared" si="109"/>
        <v>118.07829445188105</v>
      </c>
      <c r="CM43" s="21">
        <f t="shared" si="109"/>
        <v>99.518970042029665</v>
      </c>
      <c r="CN43" s="21">
        <f t="shared" ref="CN43:DS43" si="110">+AVERAGE(CI93:CN93)/CN17</f>
        <v>91.174750173501408</v>
      </c>
      <c r="CO43" s="21">
        <f t="shared" si="110"/>
        <v>104.36124237666809</v>
      </c>
      <c r="CP43" s="21">
        <f t="shared" si="110"/>
        <v>113.69784678117936</v>
      </c>
      <c r="CQ43" s="21">
        <f t="shared" si="110"/>
        <v>122.19100820700481</v>
      </c>
      <c r="CR43" s="21">
        <f t="shared" si="110"/>
        <v>155.46271504565254</v>
      </c>
      <c r="CS43" s="21">
        <f t="shared" si="110"/>
        <v>138.12309162591191</v>
      </c>
      <c r="CT43" s="21">
        <f t="shared" si="110"/>
        <v>128.08352274038296</v>
      </c>
      <c r="CU43" s="248">
        <f t="shared" si="110"/>
        <v>160.44213386550464</v>
      </c>
      <c r="CV43" s="21">
        <f t="shared" si="110"/>
        <v>136.98342751693133</v>
      </c>
      <c r="CW43" s="21">
        <f t="shared" si="110"/>
        <v>122.80002419435233</v>
      </c>
      <c r="CX43" s="21">
        <f t="shared" si="110"/>
        <v>122.73725583037049</v>
      </c>
      <c r="CY43" s="21">
        <f t="shared" si="110"/>
        <v>103.68958031927195</v>
      </c>
      <c r="CZ43" s="21">
        <f t="shared" si="110"/>
        <v>95.526290487524676</v>
      </c>
      <c r="DA43" s="21">
        <f t="shared" si="110"/>
        <v>108.12960500579183</v>
      </c>
      <c r="DB43" s="21">
        <f t="shared" si="110"/>
        <v>119.17342031256904</v>
      </c>
      <c r="DC43" s="21">
        <f t="shared" si="110"/>
        <v>127.03841187101744</v>
      </c>
      <c r="DD43" s="21">
        <f t="shared" si="110"/>
        <v>163.23328709877572</v>
      </c>
      <c r="DE43" s="21">
        <f t="shared" si="110"/>
        <v>144.51207135680099</v>
      </c>
      <c r="DF43" s="21">
        <f t="shared" si="110"/>
        <v>133.43968948613369</v>
      </c>
      <c r="DG43" s="22">
        <f t="shared" si="110"/>
        <v>169.70069882003688</v>
      </c>
    </row>
    <row r="44" spans="1:111" ht="18.75" customHeight="1" x14ac:dyDescent="0.25">
      <c r="A44" s="30"/>
      <c r="B44" s="30"/>
      <c r="C44" s="571" t="s">
        <v>110</v>
      </c>
      <c r="D44" s="687"/>
      <c r="E44" s="687"/>
      <c r="F44" s="687"/>
      <c r="G44" s="687"/>
      <c r="H44" s="687"/>
      <c r="I44" s="687"/>
      <c r="J44" s="687"/>
      <c r="K44" s="688"/>
      <c r="L44" s="688" t="e">
        <f t="shared" ref="L44:U44" si="111">+L42/L43</f>
        <v>#DIV/0!</v>
      </c>
      <c r="M44" s="688" t="e">
        <f t="shared" si="111"/>
        <v>#DIV/0!</v>
      </c>
      <c r="N44" s="688" t="e">
        <f t="shared" si="111"/>
        <v>#DIV/0!</v>
      </c>
      <c r="O44" s="688" t="e">
        <f t="shared" si="111"/>
        <v>#DIV/0!</v>
      </c>
      <c r="P44" s="688" t="e">
        <f t="shared" si="111"/>
        <v>#DIV/0!</v>
      </c>
      <c r="Q44" s="688" t="e">
        <f t="shared" si="111"/>
        <v>#DIV/0!</v>
      </c>
      <c r="R44" s="688" t="e">
        <f t="shared" si="111"/>
        <v>#DIV/0!</v>
      </c>
      <c r="S44" s="688" t="e">
        <f t="shared" si="111"/>
        <v>#DIV/0!</v>
      </c>
      <c r="T44" s="688" t="e">
        <f t="shared" si="111"/>
        <v>#DIV/0!</v>
      </c>
      <c r="U44" s="689" t="e">
        <f t="shared" si="111"/>
        <v>#DIV/0!</v>
      </c>
      <c r="V44" s="690">
        <v>0</v>
      </c>
      <c r="W44" s="689" t="e">
        <f t="shared" ref="W44:BB44" si="112">+W42/W43</f>
        <v>#DIV/0!</v>
      </c>
      <c r="X44" s="689" t="e">
        <f t="shared" si="112"/>
        <v>#DIV/0!</v>
      </c>
      <c r="Y44" s="689" t="e">
        <f t="shared" si="112"/>
        <v>#DIV/0!</v>
      </c>
      <c r="Z44" s="689" t="e">
        <f t="shared" si="112"/>
        <v>#DIV/0!</v>
      </c>
      <c r="AA44" s="689" t="e">
        <f t="shared" si="112"/>
        <v>#DIV/0!</v>
      </c>
      <c r="AB44" s="689">
        <f t="shared" si="112"/>
        <v>0</v>
      </c>
      <c r="AC44" s="689">
        <f t="shared" si="112"/>
        <v>0</v>
      </c>
      <c r="AD44" s="689">
        <f t="shared" si="112"/>
        <v>0</v>
      </c>
      <c r="AE44" s="689">
        <f t="shared" si="112"/>
        <v>0</v>
      </c>
      <c r="AF44" s="689">
        <f t="shared" si="112"/>
        <v>0</v>
      </c>
      <c r="AG44" s="689">
        <f t="shared" si="112"/>
        <v>8.2731347648445137</v>
      </c>
      <c r="AH44" s="689">
        <f t="shared" si="112"/>
        <v>6.2295087664778732</v>
      </c>
      <c r="AI44" s="689">
        <f t="shared" si="112"/>
        <v>5.6901245812089352</v>
      </c>
      <c r="AJ44" s="689">
        <f t="shared" si="112"/>
        <v>5.0028957759829353</v>
      </c>
      <c r="AK44" s="689">
        <f t="shared" si="112"/>
        <v>2.9492249522304106</v>
      </c>
      <c r="AL44" s="689">
        <f t="shared" si="112"/>
        <v>2.5104733603418881</v>
      </c>
      <c r="AM44" s="689">
        <f t="shared" si="112"/>
        <v>2.0484542822562806</v>
      </c>
      <c r="AN44" s="689">
        <f t="shared" si="112"/>
        <v>2.7251243020794615</v>
      </c>
      <c r="AO44" s="689">
        <f t="shared" si="112"/>
        <v>2.6348986994353729</v>
      </c>
      <c r="AP44" s="689">
        <f t="shared" si="112"/>
        <v>2.4817937794373051</v>
      </c>
      <c r="AQ44" s="689">
        <f t="shared" si="112"/>
        <v>2.587869487827791</v>
      </c>
      <c r="AR44" s="689">
        <f t="shared" si="112"/>
        <v>3.3140311598671013</v>
      </c>
      <c r="AS44" s="689">
        <f t="shared" si="112"/>
        <v>3.4723848982939445</v>
      </c>
      <c r="AT44" s="689">
        <f t="shared" si="112"/>
        <v>3.1354948134717286</v>
      </c>
      <c r="AU44" s="689">
        <f t="shared" si="112"/>
        <v>2.9987279557816326</v>
      </c>
      <c r="AV44" s="689">
        <f t="shared" si="112"/>
        <v>3.295561506715821</v>
      </c>
      <c r="AW44" s="689">
        <f t="shared" si="112"/>
        <v>2.9725759438895412</v>
      </c>
      <c r="AX44" s="609">
        <f t="shared" si="112"/>
        <v>2.8647650038580639</v>
      </c>
      <c r="AY44" s="713">
        <f t="shared" si="112"/>
        <v>2.1444120171614069</v>
      </c>
      <c r="AZ44" s="170">
        <f t="shared" si="112"/>
        <v>2.6444774329034626</v>
      </c>
      <c r="BA44" s="169">
        <f t="shared" si="112"/>
        <v>2.7502194157047168</v>
      </c>
      <c r="BB44" s="169">
        <f t="shared" si="112"/>
        <v>2.7521441726537179</v>
      </c>
      <c r="BC44" s="169">
        <f t="shared" ref="BC44:CH44" si="113">+BC42/BC43</f>
        <v>3.0973533693304898</v>
      </c>
      <c r="BD44" s="169">
        <f t="shared" si="113"/>
        <v>3.2039125448951773</v>
      </c>
      <c r="BE44" s="169">
        <f t="shared" si="113"/>
        <v>2.6629874294220297</v>
      </c>
      <c r="BF44" s="169">
        <f t="shared" si="113"/>
        <v>2.445524386372997</v>
      </c>
      <c r="BG44" s="169">
        <f t="shared" si="113"/>
        <v>2.3501870553303421</v>
      </c>
      <c r="BH44" s="169">
        <f t="shared" si="113"/>
        <v>1.8990086401441666</v>
      </c>
      <c r="BI44" s="169">
        <f t="shared" si="113"/>
        <v>2.1315148146329572</v>
      </c>
      <c r="BJ44" s="169">
        <f t="shared" si="113"/>
        <v>2.3383886435123031</v>
      </c>
      <c r="BK44" s="253">
        <f t="shared" si="113"/>
        <v>1.9813441386543087</v>
      </c>
      <c r="BL44" s="169">
        <f t="shared" si="113"/>
        <v>2.339284518529865</v>
      </c>
      <c r="BM44" s="169">
        <f t="shared" si="113"/>
        <v>2.5255301979457503</v>
      </c>
      <c r="BN44" s="169">
        <f t="shared" si="113"/>
        <v>2.5028772199688585</v>
      </c>
      <c r="BO44" s="169">
        <f t="shared" si="113"/>
        <v>2.8999333704274863</v>
      </c>
      <c r="BP44" s="169">
        <f t="shared" si="113"/>
        <v>3.0674393710025369</v>
      </c>
      <c r="BQ44" s="169">
        <f t="shared" si="113"/>
        <v>2.6221057343941951</v>
      </c>
      <c r="BR44" s="169">
        <f t="shared" si="113"/>
        <v>2.4147893505258682</v>
      </c>
      <c r="BS44" s="169">
        <f t="shared" si="113"/>
        <v>2.314726231792402</v>
      </c>
      <c r="BT44" s="169">
        <f t="shared" si="113"/>
        <v>1.838243010367085</v>
      </c>
      <c r="BU44" s="169">
        <f t="shared" si="113"/>
        <v>2.0899939386891284</v>
      </c>
      <c r="BV44" s="169">
        <f t="shared" si="113"/>
        <v>2.2897941325825473</v>
      </c>
      <c r="BW44" s="253">
        <f t="shared" si="113"/>
        <v>1.8995371582944911</v>
      </c>
      <c r="BX44" s="169">
        <f t="shared" si="113"/>
        <v>2.2387544078900747</v>
      </c>
      <c r="BY44" s="169">
        <f t="shared" si="113"/>
        <v>2.4479694734372064</v>
      </c>
      <c r="BZ44" s="169">
        <f t="shared" si="113"/>
        <v>2.4282383980240581</v>
      </c>
      <c r="CA44" s="169">
        <f t="shared" si="113"/>
        <v>2.8438624903133034</v>
      </c>
      <c r="CB44" s="169">
        <f t="shared" si="113"/>
        <v>3.0151013877083859</v>
      </c>
      <c r="CC44" s="169">
        <f t="shared" si="113"/>
        <v>2.5558216372529006</v>
      </c>
      <c r="CD44" s="169">
        <f t="shared" si="113"/>
        <v>2.3335577619383083</v>
      </c>
      <c r="CE44" s="169">
        <f t="shared" si="113"/>
        <v>2.24579137451886</v>
      </c>
      <c r="CF44" s="169">
        <f t="shared" si="113"/>
        <v>1.7681774909538865</v>
      </c>
      <c r="CG44" s="169">
        <f t="shared" si="113"/>
        <v>2.0138765857066634</v>
      </c>
      <c r="CH44" s="169">
        <f t="shared" si="113"/>
        <v>2.2395606711495355</v>
      </c>
      <c r="CI44" s="253">
        <f t="shared" ref="CI44:DN44" si="114">+CI42/CI43</f>
        <v>1.8364954973281515</v>
      </c>
      <c r="CJ44" s="169">
        <f t="shared" si="114"/>
        <v>2.1843172676240052</v>
      </c>
      <c r="CK44" s="169">
        <f t="shared" si="114"/>
        <v>2.3762587190959863</v>
      </c>
      <c r="CL44" s="169">
        <f t="shared" si="114"/>
        <v>2.3573986865627545</v>
      </c>
      <c r="CM44" s="169">
        <f t="shared" si="114"/>
        <v>2.7667503663263453</v>
      </c>
      <c r="CN44" s="169">
        <f t="shared" si="114"/>
        <v>2.9484830747842605</v>
      </c>
      <c r="CO44" s="169">
        <f t="shared" si="114"/>
        <v>2.4991608588379899</v>
      </c>
      <c r="CP44" s="169">
        <f t="shared" si="114"/>
        <v>2.2852484538363163</v>
      </c>
      <c r="CQ44" s="169">
        <f t="shared" si="114"/>
        <v>2.2121923304130009</v>
      </c>
      <c r="CR44" s="169">
        <f t="shared" si="114"/>
        <v>1.7306713958688213</v>
      </c>
      <c r="CS44" s="169">
        <f t="shared" si="114"/>
        <v>1.9933561994916771</v>
      </c>
      <c r="CT44" s="169">
        <f t="shared" si="114"/>
        <v>2.2137026415906411</v>
      </c>
      <c r="CU44" s="253">
        <f t="shared" si="114"/>
        <v>1.8273738854174655</v>
      </c>
      <c r="CV44" s="169">
        <f t="shared" si="114"/>
        <v>2.1591255560720479</v>
      </c>
      <c r="CW44" s="169">
        <f t="shared" si="114"/>
        <v>2.3388450282230444</v>
      </c>
      <c r="CX44" s="169">
        <f t="shared" si="114"/>
        <v>2.350040240502032</v>
      </c>
      <c r="CY44" s="169">
        <f t="shared" si="114"/>
        <v>2.7610366741536354</v>
      </c>
      <c r="CZ44" s="169">
        <f t="shared" si="114"/>
        <v>2.9333704132395795</v>
      </c>
      <c r="DA44" s="169">
        <f t="shared" si="114"/>
        <v>2.5029815095178036</v>
      </c>
      <c r="DB44" s="169">
        <f t="shared" si="114"/>
        <v>2.2819909463175292</v>
      </c>
      <c r="DC44" s="169">
        <f t="shared" si="114"/>
        <v>2.21043953631338</v>
      </c>
      <c r="DD44" s="169">
        <f t="shared" si="114"/>
        <v>1.7353347638701659</v>
      </c>
      <c r="DE44" s="169">
        <f t="shared" si="114"/>
        <v>1.9914807392589224</v>
      </c>
      <c r="DF44" s="169">
        <f t="shared" si="114"/>
        <v>2.2028413567689502</v>
      </c>
      <c r="DG44" s="170">
        <f t="shared" si="114"/>
        <v>1.8138580474260837</v>
      </c>
    </row>
    <row r="45" spans="1:111" x14ac:dyDescent="0.25">
      <c r="A45" s="29"/>
      <c r="B45" s="29"/>
      <c r="C45" s="571" t="s">
        <v>111</v>
      </c>
      <c r="D45" s="687"/>
      <c r="E45" s="687"/>
      <c r="F45" s="687"/>
      <c r="G45" s="687"/>
      <c r="H45" s="687"/>
      <c r="I45" s="687"/>
      <c r="J45" s="687"/>
      <c r="K45" s="690"/>
      <c r="L45" s="690" t="e">
        <f t="shared" ref="L45:U45" si="115">+L43/(L38*L40)</f>
        <v>#DIV/0!</v>
      </c>
      <c r="M45" s="690" t="e">
        <f t="shared" si="115"/>
        <v>#DIV/0!</v>
      </c>
      <c r="N45" s="690" t="e">
        <f t="shared" si="115"/>
        <v>#DIV/0!</v>
      </c>
      <c r="O45" s="690" t="e">
        <f t="shared" si="115"/>
        <v>#DIV/0!</v>
      </c>
      <c r="P45" s="690" t="e">
        <f t="shared" si="115"/>
        <v>#DIV/0!</v>
      </c>
      <c r="Q45" s="690" t="e">
        <f t="shared" si="115"/>
        <v>#DIV/0!</v>
      </c>
      <c r="R45" s="690" t="e">
        <f t="shared" si="115"/>
        <v>#DIV/0!</v>
      </c>
      <c r="S45" s="690" t="e">
        <f t="shared" si="115"/>
        <v>#DIV/0!</v>
      </c>
      <c r="T45" s="690" t="e">
        <f t="shared" si="115"/>
        <v>#DIV/0!</v>
      </c>
      <c r="U45" s="690" t="e">
        <f t="shared" si="115"/>
        <v>#DIV/0!</v>
      </c>
      <c r="V45" s="690">
        <v>0</v>
      </c>
      <c r="W45" s="690" t="e">
        <f t="shared" ref="W45:BB45" si="116">+W43/(W38*W40)</f>
        <v>#DIV/0!</v>
      </c>
      <c r="X45" s="690" t="e">
        <f t="shared" si="116"/>
        <v>#DIV/0!</v>
      </c>
      <c r="Y45" s="690" t="e">
        <f t="shared" si="116"/>
        <v>#DIV/0!</v>
      </c>
      <c r="Z45" s="690" t="e">
        <f t="shared" si="116"/>
        <v>#DIV/0!</v>
      </c>
      <c r="AA45" s="690" t="e">
        <f t="shared" si="116"/>
        <v>#DIV/0!</v>
      </c>
      <c r="AB45" s="690">
        <f t="shared" si="116"/>
        <v>4.4001566293998137E-2</v>
      </c>
      <c r="AC45" s="690">
        <f t="shared" si="116"/>
        <v>0.10588367049743171</v>
      </c>
      <c r="AD45" s="690">
        <f t="shared" si="116"/>
        <v>0.14476770096046318</v>
      </c>
      <c r="AE45" s="690">
        <f t="shared" si="116"/>
        <v>0.25654834637969715</v>
      </c>
      <c r="AF45" s="690">
        <f t="shared" si="116"/>
        <v>0.33176145541469537</v>
      </c>
      <c r="AG45" s="690">
        <f t="shared" si="116"/>
        <v>0.51925365075164298</v>
      </c>
      <c r="AH45" s="690">
        <f t="shared" si="116"/>
        <v>0.52961324770108154</v>
      </c>
      <c r="AI45" s="690">
        <f t="shared" si="116"/>
        <v>0.55200912660635715</v>
      </c>
      <c r="AJ45" s="690">
        <f t="shared" si="116"/>
        <v>0.54792758917192852</v>
      </c>
      <c r="AK45" s="690">
        <f t="shared" si="116"/>
        <v>0.75833149671192412</v>
      </c>
      <c r="AL45" s="690">
        <f t="shared" si="116"/>
        <v>0.99067582289524925</v>
      </c>
      <c r="AM45" s="690">
        <f t="shared" si="116"/>
        <v>1.0179627969473362</v>
      </c>
      <c r="AN45" s="690">
        <f t="shared" si="116"/>
        <v>0.63659219001648093</v>
      </c>
      <c r="AO45" s="690">
        <f t="shared" si="116"/>
        <v>0.6965148641193204</v>
      </c>
      <c r="AP45" s="690">
        <f t="shared" si="116"/>
        <v>0.83150900486068446</v>
      </c>
      <c r="AQ45" s="690">
        <f t="shared" si="116"/>
        <v>0.70523070512828701</v>
      </c>
      <c r="AR45" s="690">
        <f t="shared" si="116"/>
        <v>0.81999669367013817</v>
      </c>
      <c r="AS45" s="690">
        <f t="shared" si="116"/>
        <v>0.5982084711928688</v>
      </c>
      <c r="AT45" s="690">
        <f t="shared" si="116"/>
        <v>0.69493865803228494</v>
      </c>
      <c r="AU45" s="690">
        <f t="shared" si="116"/>
        <v>0.62246825725084176</v>
      </c>
      <c r="AV45" s="690">
        <f t="shared" si="116"/>
        <v>0.70825386350169695</v>
      </c>
      <c r="AW45" s="690">
        <f t="shared" si="116"/>
        <v>0.63727238132380215</v>
      </c>
      <c r="AX45" s="538">
        <f t="shared" si="116"/>
        <v>0.88914747304703912</v>
      </c>
      <c r="AY45" s="714">
        <f t="shared" si="116"/>
        <v>0.90458630939974682</v>
      </c>
      <c r="AZ45" s="172">
        <f t="shared" si="116"/>
        <v>0.86986399906084066</v>
      </c>
      <c r="BA45" s="171">
        <f t="shared" si="116"/>
        <v>0.75008879321107602</v>
      </c>
      <c r="BB45" s="171">
        <f t="shared" si="116"/>
        <v>0.79489761410157</v>
      </c>
      <c r="BC45" s="171">
        <f t="shared" ref="BC45:CH45" si="117">+BC43/(BC38*BC40)</f>
        <v>0.68768461009136239</v>
      </c>
      <c r="BD45" s="171">
        <f t="shared" si="117"/>
        <v>0.87865325626038115</v>
      </c>
      <c r="BE45" s="171">
        <f t="shared" si="117"/>
        <v>0.85597385992811703</v>
      </c>
      <c r="BF45" s="171">
        <f t="shared" si="117"/>
        <v>0.96584089608048496</v>
      </c>
      <c r="BG45" s="171">
        <f t="shared" si="117"/>
        <v>0.88370633858656256</v>
      </c>
      <c r="BH45" s="171">
        <f t="shared" si="117"/>
        <v>1.2049452596478365</v>
      </c>
      <c r="BI45" s="171">
        <f t="shared" si="117"/>
        <v>1.0236008537584751</v>
      </c>
      <c r="BJ45" s="171">
        <f t="shared" si="117"/>
        <v>1.0308927977418136</v>
      </c>
      <c r="BK45" s="254">
        <f t="shared" si="117"/>
        <v>1.0084640264420346</v>
      </c>
      <c r="BL45" s="171">
        <f t="shared" si="117"/>
        <v>1.1096741367873399</v>
      </c>
      <c r="BM45" s="171">
        <f t="shared" si="117"/>
        <v>0.88530133997363525</v>
      </c>
      <c r="BN45" s="171">
        <f t="shared" si="117"/>
        <v>0.89503809006562951</v>
      </c>
      <c r="BO45" s="171">
        <f t="shared" si="117"/>
        <v>0.77905580330891666</v>
      </c>
      <c r="BP45" s="171">
        <f t="shared" si="117"/>
        <v>0.94930061926543063</v>
      </c>
      <c r="BQ45" s="171">
        <f t="shared" si="117"/>
        <v>0.88534798284189797</v>
      </c>
      <c r="BR45" s="171">
        <f t="shared" si="117"/>
        <v>1.0219654415397719</v>
      </c>
      <c r="BS45" s="171">
        <f t="shared" si="117"/>
        <v>0.86409669778289899</v>
      </c>
      <c r="BT45" s="171">
        <f t="shared" si="117"/>
        <v>1.2307048349961796</v>
      </c>
      <c r="BU45" s="171">
        <f t="shared" si="117"/>
        <v>1.0625379039252352</v>
      </c>
      <c r="BV45" s="171">
        <f t="shared" si="117"/>
        <v>0.99252664460205364</v>
      </c>
      <c r="BW45" s="254">
        <f t="shared" si="117"/>
        <v>1.024087429842248</v>
      </c>
      <c r="BX45" s="171">
        <f t="shared" si="117"/>
        <v>1.1347788905315932</v>
      </c>
      <c r="BY45" s="171">
        <f t="shared" si="117"/>
        <v>0.85539260958050212</v>
      </c>
      <c r="BZ45" s="171">
        <f t="shared" si="117"/>
        <v>0.89843777049415163</v>
      </c>
      <c r="CA45" s="171">
        <f t="shared" si="117"/>
        <v>0.83416507653774385</v>
      </c>
      <c r="CB45" s="171">
        <f t="shared" si="117"/>
        <v>0.86654288940707014</v>
      </c>
      <c r="CC45" s="171">
        <f t="shared" si="117"/>
        <v>0.88099125967443015</v>
      </c>
      <c r="CD45" s="171">
        <f t="shared" si="117"/>
        <v>1.0604896761138312</v>
      </c>
      <c r="CE45" s="171">
        <f t="shared" si="117"/>
        <v>0.82617186611665339</v>
      </c>
      <c r="CF45" s="171">
        <f t="shared" si="117"/>
        <v>1.2798457238608878</v>
      </c>
      <c r="CG45" s="171">
        <f t="shared" si="117"/>
        <v>1.0414777780955868</v>
      </c>
      <c r="CH45" s="171">
        <f t="shared" si="117"/>
        <v>0.98431937644361178</v>
      </c>
      <c r="CI45" s="254">
        <f t="shared" ref="CI45:DG45" si="118">+CI43/(CI38*CI40)</f>
        <v>1.0928902941384926</v>
      </c>
      <c r="CJ45" s="171">
        <f t="shared" si="118"/>
        <v>1.0518906778753636</v>
      </c>
      <c r="CK45" s="171">
        <f t="shared" si="118"/>
        <v>0.87982096518614739</v>
      </c>
      <c r="CL45" s="171">
        <f t="shared" si="118"/>
        <v>0.91990034628951323</v>
      </c>
      <c r="CM45" s="171">
        <f t="shared" si="118"/>
        <v>0.78589849400736522</v>
      </c>
      <c r="CN45" s="171">
        <f t="shared" si="118"/>
        <v>0.84795412843129536</v>
      </c>
      <c r="CO45" s="171">
        <f t="shared" si="118"/>
        <v>0.90755124663312148</v>
      </c>
      <c r="CP45" s="171">
        <f t="shared" si="118"/>
        <v>1.0040523285155927</v>
      </c>
      <c r="CQ45" s="171">
        <f t="shared" si="118"/>
        <v>0.81561590646439364</v>
      </c>
      <c r="CR45" s="171">
        <f t="shared" si="118"/>
        <v>1.3318456755844172</v>
      </c>
      <c r="CS45" s="171">
        <f t="shared" si="118"/>
        <v>0.99111175531894147</v>
      </c>
      <c r="CT45" s="171">
        <f t="shared" si="118"/>
        <v>0.97336743552644744</v>
      </c>
      <c r="CU45" s="254">
        <f t="shared" si="118"/>
        <v>1.0852976175351028</v>
      </c>
      <c r="CV45" s="171">
        <f t="shared" si="118"/>
        <v>1.0454756512513081</v>
      </c>
      <c r="CW45" s="171">
        <f t="shared" si="118"/>
        <v>0.87757148215604763</v>
      </c>
      <c r="CX45" s="171">
        <f t="shared" si="118"/>
        <v>0.9455446224116606</v>
      </c>
      <c r="CY45" s="171">
        <f t="shared" si="118"/>
        <v>0.7441928505680373</v>
      </c>
      <c r="CZ45" s="171">
        <f t="shared" si="118"/>
        <v>0.84058554224728943</v>
      </c>
      <c r="DA45" s="171">
        <f t="shared" si="118"/>
        <v>0.93092427377480125</v>
      </c>
      <c r="DB45" s="171">
        <f t="shared" si="118"/>
        <v>0.95925731389097657</v>
      </c>
      <c r="DC45" s="171">
        <f t="shared" si="118"/>
        <v>0.83496756972012565</v>
      </c>
      <c r="DD45" s="171">
        <f t="shared" si="118"/>
        <v>1.2795444644234233</v>
      </c>
      <c r="DE45" s="171">
        <f t="shared" si="118"/>
        <v>0.98400376859917338</v>
      </c>
      <c r="DF45" s="171">
        <f t="shared" si="118"/>
        <v>1.0009284975014636</v>
      </c>
      <c r="DG45" s="172">
        <f t="shared" si="118"/>
        <v>1.0473522781291706</v>
      </c>
    </row>
    <row r="46" spans="1:111" s="3" customFormat="1" ht="15.75" customHeight="1" thickBot="1" x14ac:dyDescent="0.3">
      <c r="A46" s="130"/>
      <c r="B46" s="130"/>
      <c r="C46" s="572" t="s">
        <v>112</v>
      </c>
      <c r="D46" s="131"/>
      <c r="E46" s="132">
        <f t="shared" ref="E46:AJ46" si="119">+E29/8</f>
        <v>5.4824561403508769E-4</v>
      </c>
      <c r="F46" s="132">
        <f t="shared" si="119"/>
        <v>6.793478260869565E-4</v>
      </c>
      <c r="G46" s="132">
        <f t="shared" si="119"/>
        <v>8.5034013605442174E-4</v>
      </c>
      <c r="H46" s="132">
        <f t="shared" si="119"/>
        <v>5.9523809523809518E-4</v>
      </c>
      <c r="I46" s="132">
        <f t="shared" si="119"/>
        <v>4.3706293706293706E-4</v>
      </c>
      <c r="J46" s="132">
        <f t="shared" si="119"/>
        <v>5.6818181818181826E-4</v>
      </c>
      <c r="K46" s="132">
        <f t="shared" si="119"/>
        <v>8.152173913043478E-3</v>
      </c>
      <c r="L46" s="132">
        <f t="shared" si="119"/>
        <v>1.3558201058201057E-2</v>
      </c>
      <c r="M46" s="132">
        <f t="shared" si="119"/>
        <v>2.0045518207282915E-2</v>
      </c>
      <c r="N46" s="132">
        <f t="shared" si="119"/>
        <v>1.6774891774891776E-2</v>
      </c>
      <c r="O46" s="132">
        <f t="shared" si="119"/>
        <v>1.2755102040816327E-2</v>
      </c>
      <c r="P46" s="132">
        <f t="shared" si="119"/>
        <v>1.3060515873015871E-2</v>
      </c>
      <c r="Q46" s="132">
        <f t="shared" si="119"/>
        <v>1.3980263157894737E-2</v>
      </c>
      <c r="R46" s="132">
        <f t="shared" si="119"/>
        <v>1.0733695652173914E-2</v>
      </c>
      <c r="S46" s="132">
        <f t="shared" si="119"/>
        <v>1.6294642857142858E-2</v>
      </c>
      <c r="T46" s="132">
        <f t="shared" si="119"/>
        <v>2.6041666666666668E-2</v>
      </c>
      <c r="U46" s="132">
        <f t="shared" si="119"/>
        <v>1.9649621212121212E-2</v>
      </c>
      <c r="V46" s="132">
        <f t="shared" si="119"/>
        <v>2.6875000000000002E-3</v>
      </c>
      <c r="W46" s="132">
        <f t="shared" si="119"/>
        <v>3.5387496929501351E-3</v>
      </c>
      <c r="X46" s="132">
        <f t="shared" si="119"/>
        <v>4.0330497382198953E-3</v>
      </c>
      <c r="Y46" s="132">
        <f t="shared" si="119"/>
        <v>3.6034688995215313E-3</v>
      </c>
      <c r="Z46" s="132">
        <f t="shared" si="119"/>
        <v>4.0309175531914893E-3</v>
      </c>
      <c r="AA46" s="132">
        <f t="shared" si="119"/>
        <v>4.1158148995677603E-3</v>
      </c>
      <c r="AB46" s="132">
        <f t="shared" si="119"/>
        <v>1.1406037991858888E-2</v>
      </c>
      <c r="AC46" s="132">
        <f t="shared" si="119"/>
        <v>1.2467824967824968E-2</v>
      </c>
      <c r="AD46" s="132">
        <f t="shared" si="119"/>
        <v>1.4204545454545454E-2</v>
      </c>
      <c r="AE46" s="132">
        <f t="shared" si="119"/>
        <v>1.2875145687645686E-2</v>
      </c>
      <c r="AF46" s="132">
        <f t="shared" si="119"/>
        <v>1.193001060445387E-2</v>
      </c>
      <c r="AG46" s="132">
        <f t="shared" si="119"/>
        <v>1.3125E-2</v>
      </c>
      <c r="AH46" s="132">
        <f t="shared" si="119"/>
        <v>1.231060606060606E-2</v>
      </c>
      <c r="AI46" s="132">
        <f t="shared" si="119"/>
        <v>1.2707309582309582E-2</v>
      </c>
      <c r="AJ46" s="132">
        <f t="shared" si="119"/>
        <v>1.1501736111111112E-2</v>
      </c>
      <c r="AK46" s="132">
        <f t="shared" ref="AK46:BP46" si="120">+AK29/8</f>
        <v>1.1909554482018251E-2</v>
      </c>
      <c r="AL46" s="132">
        <f t="shared" si="120"/>
        <v>1.4868421052631579E-2</v>
      </c>
      <c r="AM46" s="132">
        <f t="shared" si="120"/>
        <v>1.4559965487489215E-2</v>
      </c>
      <c r="AN46" s="132">
        <f t="shared" si="120"/>
        <v>1.1404808959156784E-2</v>
      </c>
      <c r="AO46" s="132">
        <f t="shared" si="120"/>
        <v>1.3020833333333334E-2</v>
      </c>
      <c r="AP46" s="132">
        <f t="shared" si="120"/>
        <v>1.3611694677871149E-2</v>
      </c>
      <c r="AQ46" s="132">
        <f t="shared" si="120"/>
        <v>1.1831347006651885E-2</v>
      </c>
      <c r="AR46" s="132">
        <f t="shared" si="120"/>
        <v>1.1551889375684557E-2</v>
      </c>
      <c r="AS46" s="132">
        <f t="shared" si="120"/>
        <v>1.1160714285714286E-2</v>
      </c>
      <c r="AT46" s="132">
        <f t="shared" si="120"/>
        <v>1.0915071770334928E-2</v>
      </c>
      <c r="AU46" s="132">
        <f t="shared" si="120"/>
        <v>1.2300228310502282E-2</v>
      </c>
      <c r="AV46" s="132">
        <f t="shared" si="120"/>
        <v>1.1363636363636364E-2</v>
      </c>
      <c r="AW46" s="132">
        <f t="shared" si="120"/>
        <v>1.0567632850241546E-2</v>
      </c>
      <c r="AX46" s="231">
        <f t="shared" si="120"/>
        <v>1.3066520467836257E-2</v>
      </c>
      <c r="AY46" s="132">
        <f t="shared" si="120"/>
        <v>1.4559965487489215E-2</v>
      </c>
      <c r="AZ46" s="133">
        <f t="shared" si="120"/>
        <v>1.1404808959156784E-2</v>
      </c>
      <c r="BA46" s="132">
        <f t="shared" si="120"/>
        <v>1.3020833333333334E-2</v>
      </c>
      <c r="BB46" s="132">
        <f t="shared" si="120"/>
        <v>1.3611694677871149E-2</v>
      </c>
      <c r="BC46" s="132">
        <f t="shared" si="120"/>
        <v>1.1831347006651885E-2</v>
      </c>
      <c r="BD46" s="132">
        <f t="shared" si="120"/>
        <v>1.1551889375684557E-2</v>
      </c>
      <c r="BE46" s="132">
        <f t="shared" si="120"/>
        <v>1.1160714285714286E-2</v>
      </c>
      <c r="BF46" s="132">
        <f t="shared" si="120"/>
        <v>1.0915071770334928E-2</v>
      </c>
      <c r="BG46" s="132">
        <f t="shared" si="120"/>
        <v>1.2300228310502282E-2</v>
      </c>
      <c r="BH46" s="132">
        <f t="shared" si="120"/>
        <v>1.1363636363636364E-2</v>
      </c>
      <c r="BI46" s="132">
        <f t="shared" si="120"/>
        <v>1.0567632850241546E-2</v>
      </c>
      <c r="BJ46" s="132">
        <f t="shared" si="120"/>
        <v>1.3066520467836257E-2</v>
      </c>
      <c r="BK46" s="231">
        <f t="shared" si="120"/>
        <v>1.4559965487489215E-2</v>
      </c>
      <c r="BL46" s="132">
        <f t="shared" si="120"/>
        <v>1.1404808959156784E-2</v>
      </c>
      <c r="BM46" s="132">
        <f t="shared" si="120"/>
        <v>1.3020833333333334E-2</v>
      </c>
      <c r="BN46" s="132">
        <f t="shared" si="120"/>
        <v>1.3611694677871149E-2</v>
      </c>
      <c r="BO46" s="132">
        <f t="shared" si="120"/>
        <v>1.1831347006651885E-2</v>
      </c>
      <c r="BP46" s="132">
        <f t="shared" si="120"/>
        <v>1.1551889375684557E-2</v>
      </c>
      <c r="BQ46" s="132">
        <f t="shared" ref="BQ46:CV46" si="121">+BQ29/8</f>
        <v>1.1160714285714286E-2</v>
      </c>
      <c r="BR46" s="132">
        <f t="shared" si="121"/>
        <v>1.0915071770334928E-2</v>
      </c>
      <c r="BS46" s="132">
        <f t="shared" si="121"/>
        <v>1.2300228310502282E-2</v>
      </c>
      <c r="BT46" s="132">
        <f t="shared" si="121"/>
        <v>1.1363636363636364E-2</v>
      </c>
      <c r="BU46" s="132">
        <f t="shared" si="121"/>
        <v>1.0567632850241546E-2</v>
      </c>
      <c r="BV46" s="132">
        <f t="shared" si="121"/>
        <v>1.3066520467836257E-2</v>
      </c>
      <c r="BW46" s="231">
        <f t="shared" si="121"/>
        <v>1.4559965487489215E-2</v>
      </c>
      <c r="BX46" s="132">
        <f t="shared" si="121"/>
        <v>1.1404808959156784E-2</v>
      </c>
      <c r="BY46" s="132">
        <f t="shared" si="121"/>
        <v>1.3020833333333334E-2</v>
      </c>
      <c r="BZ46" s="132">
        <f t="shared" si="121"/>
        <v>1.3611694677871149E-2</v>
      </c>
      <c r="CA46" s="132">
        <f t="shared" si="121"/>
        <v>1.1831347006651885E-2</v>
      </c>
      <c r="CB46" s="132">
        <f t="shared" si="121"/>
        <v>1.1551889375684557E-2</v>
      </c>
      <c r="CC46" s="132">
        <f t="shared" si="121"/>
        <v>1.1160714285714286E-2</v>
      </c>
      <c r="CD46" s="132">
        <f t="shared" si="121"/>
        <v>1.0915071770334928E-2</v>
      </c>
      <c r="CE46" s="132">
        <f t="shared" si="121"/>
        <v>1.2300228310502282E-2</v>
      </c>
      <c r="CF46" s="132">
        <f t="shared" si="121"/>
        <v>1.1363636363636364E-2</v>
      </c>
      <c r="CG46" s="132">
        <f t="shared" si="121"/>
        <v>1.0567632850241546E-2</v>
      </c>
      <c r="CH46" s="132">
        <f t="shared" si="121"/>
        <v>1.3066520467836257E-2</v>
      </c>
      <c r="CI46" s="231">
        <f t="shared" si="121"/>
        <v>1.4559965487489215E-2</v>
      </c>
      <c r="CJ46" s="132">
        <f t="shared" si="121"/>
        <v>1.1404808959156784E-2</v>
      </c>
      <c r="CK46" s="132">
        <f t="shared" si="121"/>
        <v>1.3020833333333334E-2</v>
      </c>
      <c r="CL46" s="132">
        <f t="shared" si="121"/>
        <v>1.3611694677871149E-2</v>
      </c>
      <c r="CM46" s="132">
        <f t="shared" si="121"/>
        <v>1.1831347006651885E-2</v>
      </c>
      <c r="CN46" s="132">
        <f t="shared" si="121"/>
        <v>1.1551889375684557E-2</v>
      </c>
      <c r="CO46" s="132">
        <f t="shared" si="121"/>
        <v>1.1160714285714286E-2</v>
      </c>
      <c r="CP46" s="132">
        <f t="shared" si="121"/>
        <v>1.0915071770334928E-2</v>
      </c>
      <c r="CQ46" s="132">
        <f t="shared" si="121"/>
        <v>1.2300228310502282E-2</v>
      </c>
      <c r="CR46" s="132">
        <f t="shared" si="121"/>
        <v>1.1363636363636364E-2</v>
      </c>
      <c r="CS46" s="132">
        <f t="shared" si="121"/>
        <v>1.0567632850241546E-2</v>
      </c>
      <c r="CT46" s="132">
        <f t="shared" si="121"/>
        <v>1.3066520467836257E-2</v>
      </c>
      <c r="CU46" s="231">
        <f t="shared" si="121"/>
        <v>1.4559965487489215E-2</v>
      </c>
      <c r="CV46" s="132">
        <f t="shared" si="121"/>
        <v>1.1404808959156784E-2</v>
      </c>
      <c r="CW46" s="132">
        <f t="shared" ref="CW46:DG46" si="122">+CW29/8</f>
        <v>1.3020833333333334E-2</v>
      </c>
      <c r="CX46" s="132">
        <f t="shared" si="122"/>
        <v>1.3611694677871149E-2</v>
      </c>
      <c r="CY46" s="132">
        <f t="shared" si="122"/>
        <v>1.1831347006651885E-2</v>
      </c>
      <c r="CZ46" s="132">
        <f t="shared" si="122"/>
        <v>1.1551889375684557E-2</v>
      </c>
      <c r="DA46" s="132">
        <f t="shared" si="122"/>
        <v>1.1160714285714286E-2</v>
      </c>
      <c r="DB46" s="132">
        <f t="shared" si="122"/>
        <v>1.0915071770334928E-2</v>
      </c>
      <c r="DC46" s="132">
        <f t="shared" si="122"/>
        <v>1.2300228310502282E-2</v>
      </c>
      <c r="DD46" s="132">
        <f t="shared" si="122"/>
        <v>1.1363636363636364E-2</v>
      </c>
      <c r="DE46" s="132">
        <f t="shared" si="122"/>
        <v>1.0567632850241546E-2</v>
      </c>
      <c r="DF46" s="132">
        <f t="shared" si="122"/>
        <v>1.3066520467836257E-2</v>
      </c>
      <c r="DG46" s="133">
        <f t="shared" si="122"/>
        <v>1.4559965487489215E-2</v>
      </c>
    </row>
    <row r="47" spans="1:111" x14ac:dyDescent="0.25">
      <c r="B47" s="1"/>
      <c r="C47" s="1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230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230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230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230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230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</row>
    <row r="48" spans="1:111" hidden="1" x14ac:dyDescent="0.25">
      <c r="B48" s="1"/>
      <c r="C48" s="1"/>
      <c r="D48" s="49"/>
      <c r="F48">
        <v>2022</v>
      </c>
      <c r="G48">
        <v>2023</v>
      </c>
      <c r="H48">
        <v>2024</v>
      </c>
      <c r="I48">
        <v>2025</v>
      </c>
      <c r="J48">
        <v>2026</v>
      </c>
      <c r="K48">
        <v>2027</v>
      </c>
      <c r="L48">
        <v>2028</v>
      </c>
      <c r="M48">
        <v>2029</v>
      </c>
      <c r="N48">
        <v>2030</v>
      </c>
      <c r="O48" s="49"/>
      <c r="Q48">
        <v>2022</v>
      </c>
      <c r="R48">
        <v>2023</v>
      </c>
      <c r="S48">
        <v>2024</v>
      </c>
      <c r="T48">
        <v>2025</v>
      </c>
      <c r="U48">
        <v>2026</v>
      </c>
      <c r="V48">
        <v>2027</v>
      </c>
      <c r="W48">
        <v>2028</v>
      </c>
      <c r="X48">
        <v>2028</v>
      </c>
      <c r="Y48">
        <v>2028</v>
      </c>
      <c r="Z48">
        <v>2028</v>
      </c>
      <c r="AA48">
        <v>2028</v>
      </c>
      <c r="AB48">
        <v>2028</v>
      </c>
      <c r="AC48">
        <v>2028</v>
      </c>
      <c r="AD48">
        <v>2028</v>
      </c>
      <c r="AE48">
        <v>2028</v>
      </c>
      <c r="AF48">
        <v>2029</v>
      </c>
      <c r="AG48">
        <v>2029</v>
      </c>
      <c r="AH48">
        <v>2029</v>
      </c>
      <c r="AI48">
        <v>2029</v>
      </c>
      <c r="AJ48">
        <v>2029</v>
      </c>
      <c r="AK48">
        <v>2029</v>
      </c>
      <c r="AL48">
        <v>2029</v>
      </c>
      <c r="AM48">
        <v>2029</v>
      </c>
      <c r="AN48">
        <v>2029</v>
      </c>
      <c r="AO48">
        <v>2029</v>
      </c>
      <c r="AP48">
        <v>2029</v>
      </c>
      <c r="AQ48">
        <v>2029</v>
      </c>
      <c r="AR48">
        <v>2029</v>
      </c>
      <c r="AS48">
        <v>2029</v>
      </c>
      <c r="AT48">
        <v>2029</v>
      </c>
      <c r="AU48">
        <v>2029</v>
      </c>
      <c r="AV48">
        <v>2029</v>
      </c>
      <c r="AW48" s="585">
        <v>2029</v>
      </c>
      <c r="AX48" s="604">
        <v>2029</v>
      </c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230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230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230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230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</row>
    <row r="49" spans="1:111" hidden="1" x14ac:dyDescent="0.25">
      <c r="B49" s="1"/>
      <c r="C49" s="1"/>
      <c r="D49" s="49"/>
      <c r="E49" t="s">
        <v>113</v>
      </c>
      <c r="F49">
        <f t="shared" ref="F49:N49" si="123">ROUNDUP(AVERAGE(F50:F52), 0)</f>
        <v>10</v>
      </c>
      <c r="G49">
        <f t="shared" si="123"/>
        <v>20</v>
      </c>
      <c r="H49">
        <f t="shared" si="123"/>
        <v>28</v>
      </c>
      <c r="I49">
        <f t="shared" si="123"/>
        <v>30</v>
      </c>
      <c r="J49">
        <f t="shared" si="123"/>
        <v>32</v>
      </c>
      <c r="K49">
        <f t="shared" si="123"/>
        <v>34</v>
      </c>
      <c r="L49">
        <f t="shared" si="123"/>
        <v>36</v>
      </c>
      <c r="M49">
        <f t="shared" si="123"/>
        <v>38</v>
      </c>
      <c r="N49">
        <f t="shared" si="123"/>
        <v>40</v>
      </c>
      <c r="O49" s="49"/>
      <c r="P49" t="s">
        <v>113</v>
      </c>
      <c r="Q49">
        <f t="shared" ref="Q49:AX49" si="124">ROUNDUP(AVERAGE(Q50:Q52), 0)</f>
        <v>1</v>
      </c>
      <c r="R49">
        <f t="shared" si="124"/>
        <v>1</v>
      </c>
      <c r="S49">
        <f t="shared" si="124"/>
        <v>1</v>
      </c>
      <c r="T49">
        <f t="shared" si="124"/>
        <v>1</v>
      </c>
      <c r="U49">
        <f t="shared" si="124"/>
        <v>1</v>
      </c>
      <c r="V49">
        <f t="shared" si="124"/>
        <v>1</v>
      </c>
      <c r="W49">
        <f t="shared" si="124"/>
        <v>1</v>
      </c>
      <c r="X49">
        <f t="shared" si="124"/>
        <v>1</v>
      </c>
      <c r="Y49">
        <f t="shared" si="124"/>
        <v>1</v>
      </c>
      <c r="Z49">
        <f t="shared" si="124"/>
        <v>1</v>
      </c>
      <c r="AA49">
        <f t="shared" si="124"/>
        <v>1</v>
      </c>
      <c r="AB49">
        <f t="shared" si="124"/>
        <v>1</v>
      </c>
      <c r="AC49">
        <f t="shared" si="124"/>
        <v>1</v>
      </c>
      <c r="AD49">
        <f t="shared" si="124"/>
        <v>1</v>
      </c>
      <c r="AE49">
        <f t="shared" si="124"/>
        <v>1</v>
      </c>
      <c r="AF49">
        <f t="shared" si="124"/>
        <v>1</v>
      </c>
      <c r="AG49">
        <f t="shared" si="124"/>
        <v>1</v>
      </c>
      <c r="AH49">
        <f t="shared" si="124"/>
        <v>1</v>
      </c>
      <c r="AI49">
        <f t="shared" si="124"/>
        <v>1</v>
      </c>
      <c r="AJ49">
        <f t="shared" si="124"/>
        <v>1</v>
      </c>
      <c r="AK49">
        <f t="shared" si="124"/>
        <v>1</v>
      </c>
      <c r="AL49">
        <f t="shared" si="124"/>
        <v>1</v>
      </c>
      <c r="AM49">
        <f t="shared" si="124"/>
        <v>1</v>
      </c>
      <c r="AN49">
        <f t="shared" si="124"/>
        <v>1</v>
      </c>
      <c r="AO49">
        <f t="shared" si="124"/>
        <v>1</v>
      </c>
      <c r="AP49">
        <f t="shared" si="124"/>
        <v>1</v>
      </c>
      <c r="AQ49">
        <f t="shared" si="124"/>
        <v>1</v>
      </c>
      <c r="AR49">
        <f t="shared" si="124"/>
        <v>1</v>
      </c>
      <c r="AS49">
        <f t="shared" si="124"/>
        <v>1</v>
      </c>
      <c r="AT49">
        <f t="shared" si="124"/>
        <v>1</v>
      </c>
      <c r="AU49">
        <f t="shared" si="124"/>
        <v>1</v>
      </c>
      <c r="AV49">
        <f t="shared" si="124"/>
        <v>1</v>
      </c>
      <c r="AW49" s="585">
        <f t="shared" si="124"/>
        <v>1</v>
      </c>
      <c r="AX49" s="604" t="e">
        <f t="shared" si="124"/>
        <v>#DIV/0!</v>
      </c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230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230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230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230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</row>
    <row r="50" spans="1:111" hidden="1" x14ac:dyDescent="0.25">
      <c r="B50" s="1"/>
      <c r="C50" s="1"/>
      <c r="D50" s="49"/>
      <c r="E50" t="s">
        <v>71</v>
      </c>
      <c r="F50">
        <f>ROUNDUP(AVERAGEIFS($E$15:$DG$15, $H$2:$DJ$2,$E$50, $H$1:$DJ$1, F48), 0)</f>
        <v>12</v>
      </c>
      <c r="G50">
        <f t="shared" ref="G50:H52" si="125">ROUNDUP(AVERAGEIFS($H$19:$DJ$19, $H$2:$DJ$2,$E50, $H$1:$DJ$1, G$48), 0)</f>
        <v>36</v>
      </c>
      <c r="H50">
        <f t="shared" si="125"/>
        <v>42</v>
      </c>
      <c r="I50" s="188">
        <f t="shared" ref="I50:N50" si="126">+H50+3</f>
        <v>45</v>
      </c>
      <c r="J50" s="188">
        <f t="shared" si="126"/>
        <v>48</v>
      </c>
      <c r="K50" s="188">
        <f t="shared" si="126"/>
        <v>51</v>
      </c>
      <c r="L50" s="188">
        <f t="shared" si="126"/>
        <v>54</v>
      </c>
      <c r="M50" s="188">
        <f t="shared" si="126"/>
        <v>57</v>
      </c>
      <c r="N50" s="188">
        <f t="shared" si="126"/>
        <v>60</v>
      </c>
      <c r="O50" s="49"/>
      <c r="P50" t="s">
        <v>71</v>
      </c>
      <c r="Q50" s="164">
        <f t="shared" ref="Q50:AW50" si="127">AVERAGEIFS($E$29:$DG$29, $H$2:$DJ$2,$E$50, $H$1:$DJ$1, Q48)</f>
        <v>4.3859649122807015E-3</v>
      </c>
      <c r="R50" s="164">
        <f t="shared" si="127"/>
        <v>0.10532123165918518</v>
      </c>
      <c r="S50" s="164">
        <f t="shared" si="127"/>
        <v>0.10154242243794483</v>
      </c>
      <c r="T50" s="164">
        <f t="shared" si="127"/>
        <v>9.7702569169960479E-2</v>
      </c>
      <c r="U50" s="164">
        <f t="shared" si="127"/>
        <v>9.7702569169960479E-2</v>
      </c>
      <c r="V50" s="164">
        <f t="shared" si="127"/>
        <v>9.7702569169960479E-2</v>
      </c>
      <c r="W50" s="164">
        <f t="shared" si="127"/>
        <v>9.7702569169960479E-2</v>
      </c>
      <c r="X50" s="164">
        <f t="shared" si="127"/>
        <v>9.7702569169960479E-2</v>
      </c>
      <c r="Y50" s="164">
        <f t="shared" si="127"/>
        <v>9.7702569169960479E-2</v>
      </c>
      <c r="Z50" s="164">
        <f t="shared" si="127"/>
        <v>9.7702569169960479E-2</v>
      </c>
      <c r="AA50" s="164">
        <f t="shared" si="127"/>
        <v>9.7702569169960479E-2</v>
      </c>
      <c r="AB50" s="164">
        <f t="shared" si="127"/>
        <v>9.7702569169960479E-2</v>
      </c>
      <c r="AC50" s="164">
        <f t="shared" si="127"/>
        <v>9.7702569169960479E-2</v>
      </c>
      <c r="AD50" s="164">
        <f t="shared" si="127"/>
        <v>9.7702569169960479E-2</v>
      </c>
      <c r="AE50" s="164">
        <f t="shared" si="127"/>
        <v>9.7702569169960479E-2</v>
      </c>
      <c r="AF50" s="164">
        <f t="shared" si="127"/>
        <v>9.7702569169960479E-2</v>
      </c>
      <c r="AG50" s="164">
        <f t="shared" si="127"/>
        <v>9.7702569169960479E-2</v>
      </c>
      <c r="AH50" s="164">
        <f t="shared" si="127"/>
        <v>9.7702569169960479E-2</v>
      </c>
      <c r="AI50" s="164">
        <f t="shared" si="127"/>
        <v>9.7702569169960479E-2</v>
      </c>
      <c r="AJ50" s="164">
        <f t="shared" si="127"/>
        <v>9.7702569169960479E-2</v>
      </c>
      <c r="AK50" s="164">
        <f t="shared" si="127"/>
        <v>9.7702569169960479E-2</v>
      </c>
      <c r="AL50" s="164">
        <f t="shared" si="127"/>
        <v>9.7702569169960479E-2</v>
      </c>
      <c r="AM50" s="164">
        <f t="shared" si="127"/>
        <v>9.7702569169960479E-2</v>
      </c>
      <c r="AN50" s="164">
        <f t="shared" si="127"/>
        <v>9.7702569169960479E-2</v>
      </c>
      <c r="AO50" s="164">
        <f t="shared" si="127"/>
        <v>9.7702569169960479E-2</v>
      </c>
      <c r="AP50" s="164">
        <f t="shared" si="127"/>
        <v>9.7702569169960479E-2</v>
      </c>
      <c r="AQ50" s="164">
        <f t="shared" si="127"/>
        <v>9.7702569169960479E-2</v>
      </c>
      <c r="AR50" s="164">
        <f t="shared" si="127"/>
        <v>9.7702569169960479E-2</v>
      </c>
      <c r="AS50" s="164">
        <f t="shared" si="127"/>
        <v>9.7702569169960479E-2</v>
      </c>
      <c r="AT50" s="164">
        <f t="shared" si="127"/>
        <v>9.7702569169960479E-2</v>
      </c>
      <c r="AU50" s="164">
        <f t="shared" si="127"/>
        <v>9.7702569169960479E-2</v>
      </c>
      <c r="AV50" s="164">
        <f t="shared" si="127"/>
        <v>9.7702569169960479E-2</v>
      </c>
      <c r="AW50" s="612">
        <f t="shared" si="127"/>
        <v>9.7702569169960479E-2</v>
      </c>
      <c r="AX50" s="613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230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230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230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230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</row>
    <row r="51" spans="1:111" hidden="1" x14ac:dyDescent="0.25">
      <c r="B51" s="1"/>
      <c r="C51" s="1"/>
      <c r="D51" s="49"/>
      <c r="E51" t="s">
        <v>72</v>
      </c>
      <c r="F51">
        <f>ROUNDUP(AVERAGEIFS($E$15:$DG$15, $H$2:$DJ$2,$E$51, $H$1:$DJ$1, F48), 0)</f>
        <v>10</v>
      </c>
      <c r="G51">
        <f t="shared" si="125"/>
        <v>21</v>
      </c>
      <c r="H51" s="486">
        <f t="shared" si="125"/>
        <v>29</v>
      </c>
      <c r="I51" s="188">
        <f t="shared" ref="I51:N51" si="128">+H51+2</f>
        <v>31</v>
      </c>
      <c r="J51" s="188">
        <f t="shared" si="128"/>
        <v>33</v>
      </c>
      <c r="K51" s="188">
        <f t="shared" si="128"/>
        <v>35</v>
      </c>
      <c r="L51" s="188">
        <f t="shared" si="128"/>
        <v>37</v>
      </c>
      <c r="M51" s="188">
        <f t="shared" si="128"/>
        <v>39</v>
      </c>
      <c r="N51" s="188">
        <f t="shared" si="128"/>
        <v>41</v>
      </c>
      <c r="O51" s="49"/>
      <c r="P51" t="s">
        <v>72</v>
      </c>
      <c r="Q51" s="164">
        <f t="shared" ref="Q51:AW51" si="129">+AVERAGEIFS($E$29:$DG$29, $H$2:$DJ$2,$E$51, $H$1:$DJ$1, Q48)</f>
        <v>2.5749014040939506E-2</v>
      </c>
      <c r="R51" s="164">
        <f t="shared" si="129"/>
        <v>0.10712702819575362</v>
      </c>
      <c r="S51" s="164">
        <f t="shared" si="129"/>
        <v>6.8991656932682874E-2</v>
      </c>
      <c r="T51" s="164">
        <f t="shared" si="129"/>
        <v>0.10154817216318386</v>
      </c>
      <c r="U51" s="164">
        <f t="shared" si="129"/>
        <v>9.8404349946611833E-2</v>
      </c>
      <c r="V51" s="164">
        <f t="shared" si="129"/>
        <v>9.8404349946611833E-2</v>
      </c>
      <c r="W51" s="164">
        <f t="shared" si="129"/>
        <v>9.8404349946611833E-2</v>
      </c>
      <c r="X51" s="164">
        <f t="shared" si="129"/>
        <v>9.8404349946611833E-2</v>
      </c>
      <c r="Y51" s="164">
        <f t="shared" si="129"/>
        <v>9.8404349946611833E-2</v>
      </c>
      <c r="Z51" s="164">
        <f t="shared" si="129"/>
        <v>9.8404349946611833E-2</v>
      </c>
      <c r="AA51" s="164">
        <f t="shared" si="129"/>
        <v>9.8404349946611833E-2</v>
      </c>
      <c r="AB51" s="164">
        <f t="shared" si="129"/>
        <v>9.8404349946611833E-2</v>
      </c>
      <c r="AC51" s="164">
        <f t="shared" si="129"/>
        <v>9.8404349946611833E-2</v>
      </c>
      <c r="AD51" s="164">
        <f t="shared" si="129"/>
        <v>9.8404349946611833E-2</v>
      </c>
      <c r="AE51" s="164">
        <f t="shared" si="129"/>
        <v>9.8404349946611833E-2</v>
      </c>
      <c r="AF51" s="164">
        <f t="shared" si="129"/>
        <v>9.8404349946611833E-2</v>
      </c>
      <c r="AG51" s="164">
        <f t="shared" si="129"/>
        <v>9.8404349946611833E-2</v>
      </c>
      <c r="AH51" s="164">
        <f t="shared" si="129"/>
        <v>9.8404349946611833E-2</v>
      </c>
      <c r="AI51" s="164">
        <f t="shared" si="129"/>
        <v>9.8404349946611833E-2</v>
      </c>
      <c r="AJ51" s="164">
        <f t="shared" si="129"/>
        <v>9.8404349946611833E-2</v>
      </c>
      <c r="AK51" s="164">
        <f t="shared" si="129"/>
        <v>9.8404349946611833E-2</v>
      </c>
      <c r="AL51" s="164">
        <f t="shared" si="129"/>
        <v>9.8404349946611833E-2</v>
      </c>
      <c r="AM51" s="164">
        <f t="shared" si="129"/>
        <v>9.8404349946611833E-2</v>
      </c>
      <c r="AN51" s="164">
        <f t="shared" si="129"/>
        <v>9.8404349946611833E-2</v>
      </c>
      <c r="AO51" s="164">
        <f t="shared" si="129"/>
        <v>9.8404349946611833E-2</v>
      </c>
      <c r="AP51" s="164">
        <f t="shared" si="129"/>
        <v>9.8404349946611833E-2</v>
      </c>
      <c r="AQ51" s="164">
        <f t="shared" si="129"/>
        <v>9.8404349946611833E-2</v>
      </c>
      <c r="AR51" s="164">
        <f t="shared" si="129"/>
        <v>9.8404349946611833E-2</v>
      </c>
      <c r="AS51" s="164">
        <f t="shared" si="129"/>
        <v>9.8404349946611833E-2</v>
      </c>
      <c r="AT51" s="164">
        <f t="shared" si="129"/>
        <v>9.8404349946611833E-2</v>
      </c>
      <c r="AU51" s="164">
        <f t="shared" si="129"/>
        <v>9.8404349946611833E-2</v>
      </c>
      <c r="AV51" s="164">
        <f t="shared" si="129"/>
        <v>9.8404349946611833E-2</v>
      </c>
      <c r="AW51" s="612">
        <f t="shared" si="129"/>
        <v>9.8404349946611833E-2</v>
      </c>
      <c r="AX51" s="613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230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230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230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230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</row>
    <row r="52" spans="1:111" hidden="1" x14ac:dyDescent="0.25">
      <c r="B52" s="1"/>
      <c r="C52" s="1"/>
      <c r="D52" s="49"/>
      <c r="E52" t="s">
        <v>73</v>
      </c>
      <c r="F52">
        <f>ROUNDUP(AVERAGEIFS($E$15:$DG$15, $H$2:$DJ$2,$E$52, $H$1:$DJ$1, F48), 0)</f>
        <v>8</v>
      </c>
      <c r="G52">
        <f t="shared" si="125"/>
        <v>1</v>
      </c>
      <c r="H52" s="486">
        <f t="shared" si="125"/>
        <v>13</v>
      </c>
      <c r="I52" s="188">
        <f t="shared" ref="I52:N52" si="130">+H52+1</f>
        <v>14</v>
      </c>
      <c r="J52" s="188">
        <f t="shared" si="130"/>
        <v>15</v>
      </c>
      <c r="K52" s="188">
        <f t="shared" si="130"/>
        <v>16</v>
      </c>
      <c r="L52" s="188">
        <f t="shared" si="130"/>
        <v>17</v>
      </c>
      <c r="M52" s="188">
        <f t="shared" si="130"/>
        <v>18</v>
      </c>
      <c r="N52" s="188">
        <f t="shared" si="130"/>
        <v>19</v>
      </c>
      <c r="O52" s="49"/>
      <c r="P52" t="s">
        <v>73</v>
      </c>
      <c r="Q52" s="164">
        <f t="shared" ref="Q52:AW52" si="131">AVERAGEIFS($E$29:$DG$29, $H$2:$DJ$2,$E$52, $H$1:$DJ$1, Q48)</f>
        <v>3.4989648033126292E-2</v>
      </c>
      <c r="R52" s="164">
        <f t="shared" si="131"/>
        <v>0.10816311612364243</v>
      </c>
      <c r="S52" s="164">
        <f t="shared" si="131"/>
        <v>0.10332923832923832</v>
      </c>
      <c r="T52" s="164">
        <f t="shared" si="131"/>
        <v>9.0097402597402593E-2</v>
      </c>
      <c r="U52" s="164">
        <f t="shared" si="131"/>
        <v>9.0097402597402593E-2</v>
      </c>
      <c r="V52" s="164">
        <f t="shared" si="131"/>
        <v>9.0097402597402593E-2</v>
      </c>
      <c r="W52" s="164">
        <f t="shared" si="131"/>
        <v>9.0097402597402593E-2</v>
      </c>
      <c r="X52" s="164">
        <f t="shared" si="131"/>
        <v>9.0097402597402593E-2</v>
      </c>
      <c r="Y52" s="164">
        <f t="shared" si="131"/>
        <v>9.0097402597402593E-2</v>
      </c>
      <c r="Z52" s="164">
        <f t="shared" si="131"/>
        <v>9.0097402597402593E-2</v>
      </c>
      <c r="AA52" s="164">
        <f t="shared" si="131"/>
        <v>9.0097402597402593E-2</v>
      </c>
      <c r="AB52" s="164">
        <f t="shared" si="131"/>
        <v>9.0097402597402593E-2</v>
      </c>
      <c r="AC52" s="164">
        <f t="shared" si="131"/>
        <v>9.0097402597402593E-2</v>
      </c>
      <c r="AD52" s="164">
        <f t="shared" si="131"/>
        <v>9.0097402597402593E-2</v>
      </c>
      <c r="AE52" s="164">
        <f t="shared" si="131"/>
        <v>9.0097402597402593E-2</v>
      </c>
      <c r="AF52" s="164">
        <f t="shared" si="131"/>
        <v>9.0097402597402593E-2</v>
      </c>
      <c r="AG52" s="164">
        <f t="shared" si="131"/>
        <v>9.0097402597402593E-2</v>
      </c>
      <c r="AH52" s="164">
        <f t="shared" si="131"/>
        <v>9.0097402597402593E-2</v>
      </c>
      <c r="AI52" s="164">
        <f t="shared" si="131"/>
        <v>9.0097402597402593E-2</v>
      </c>
      <c r="AJ52" s="164">
        <f t="shared" si="131"/>
        <v>9.0097402597402593E-2</v>
      </c>
      <c r="AK52" s="164">
        <f t="shared" si="131"/>
        <v>9.0097402597402593E-2</v>
      </c>
      <c r="AL52" s="164">
        <f t="shared" si="131"/>
        <v>9.0097402597402593E-2</v>
      </c>
      <c r="AM52" s="164">
        <f t="shared" si="131"/>
        <v>9.0097402597402593E-2</v>
      </c>
      <c r="AN52" s="164">
        <f t="shared" si="131"/>
        <v>9.0097402597402593E-2</v>
      </c>
      <c r="AO52" s="164">
        <f t="shared" si="131"/>
        <v>9.0097402597402593E-2</v>
      </c>
      <c r="AP52" s="164">
        <f t="shared" si="131"/>
        <v>9.0097402597402593E-2</v>
      </c>
      <c r="AQ52" s="164">
        <f t="shared" si="131"/>
        <v>9.0097402597402593E-2</v>
      </c>
      <c r="AR52" s="164">
        <f t="shared" si="131"/>
        <v>9.0097402597402593E-2</v>
      </c>
      <c r="AS52" s="164">
        <f t="shared" si="131"/>
        <v>9.0097402597402593E-2</v>
      </c>
      <c r="AT52" s="164">
        <f t="shared" si="131"/>
        <v>9.0097402597402593E-2</v>
      </c>
      <c r="AU52" s="164">
        <f t="shared" si="131"/>
        <v>9.0097402597402593E-2</v>
      </c>
      <c r="AV52" s="164">
        <f t="shared" si="131"/>
        <v>9.0097402597402593E-2</v>
      </c>
      <c r="AW52" s="612">
        <f t="shared" si="131"/>
        <v>9.0097402597402593E-2</v>
      </c>
      <c r="AX52" s="613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230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230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230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230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</row>
    <row r="53" spans="1:111" hidden="1" x14ac:dyDescent="0.25">
      <c r="B53" s="1"/>
      <c r="C53" s="1"/>
      <c r="D53" s="49"/>
      <c r="E53" t="s">
        <v>73</v>
      </c>
      <c r="F53" s="121">
        <f t="shared" ref="F53:N53" si="132">F52/F49-1</f>
        <v>-0.19999999999999996</v>
      </c>
      <c r="G53" s="121">
        <f t="shared" si="132"/>
        <v>-0.95</v>
      </c>
      <c r="H53" s="121">
        <f t="shared" si="132"/>
        <v>-0.5357142857142857</v>
      </c>
      <c r="I53" s="121">
        <f t="shared" si="132"/>
        <v>-0.53333333333333333</v>
      </c>
      <c r="J53" s="121">
        <f t="shared" si="132"/>
        <v>-0.53125</v>
      </c>
      <c r="K53" s="121">
        <f t="shared" si="132"/>
        <v>-0.52941176470588236</v>
      </c>
      <c r="L53" s="121">
        <f t="shared" si="132"/>
        <v>-0.52777777777777779</v>
      </c>
      <c r="M53" s="121">
        <f t="shared" si="132"/>
        <v>-0.52631578947368429</v>
      </c>
      <c r="N53" s="121">
        <f t="shared" si="132"/>
        <v>-0.52500000000000002</v>
      </c>
      <c r="O53" s="49"/>
      <c r="P53" t="s">
        <v>73</v>
      </c>
      <c r="Q53" s="163">
        <f t="shared" ref="Q53:AX53" si="133">Q52/Q49-1</f>
        <v>-0.96501035196687368</v>
      </c>
      <c r="R53" s="163">
        <f t="shared" si="133"/>
        <v>-0.89183688387635751</v>
      </c>
      <c r="S53" s="163">
        <f t="shared" si="133"/>
        <v>-0.89667076167076165</v>
      </c>
      <c r="T53" s="163">
        <f t="shared" si="133"/>
        <v>-0.90990259740259738</v>
      </c>
      <c r="U53" s="163">
        <f t="shared" si="133"/>
        <v>-0.90990259740259738</v>
      </c>
      <c r="V53" s="163">
        <f t="shared" si="133"/>
        <v>-0.90990259740259738</v>
      </c>
      <c r="W53" s="163">
        <f t="shared" si="133"/>
        <v>-0.90990259740259738</v>
      </c>
      <c r="X53" s="163">
        <f t="shared" si="133"/>
        <v>-0.90990259740259738</v>
      </c>
      <c r="Y53" s="163">
        <f t="shared" si="133"/>
        <v>-0.90990259740259738</v>
      </c>
      <c r="Z53" s="163">
        <f t="shared" si="133"/>
        <v>-0.90990259740259738</v>
      </c>
      <c r="AA53" s="163">
        <f t="shared" si="133"/>
        <v>-0.90990259740259738</v>
      </c>
      <c r="AB53" s="163">
        <f t="shared" si="133"/>
        <v>-0.90990259740259738</v>
      </c>
      <c r="AC53" s="163">
        <f t="shared" si="133"/>
        <v>-0.90990259740259738</v>
      </c>
      <c r="AD53" s="163">
        <f t="shared" si="133"/>
        <v>-0.90990259740259738</v>
      </c>
      <c r="AE53" s="163">
        <f t="shared" si="133"/>
        <v>-0.90990259740259738</v>
      </c>
      <c r="AF53" s="163">
        <f t="shared" si="133"/>
        <v>-0.90990259740259738</v>
      </c>
      <c r="AG53" s="163">
        <f t="shared" si="133"/>
        <v>-0.90990259740259738</v>
      </c>
      <c r="AH53" s="163">
        <f t="shared" si="133"/>
        <v>-0.90990259740259738</v>
      </c>
      <c r="AI53" s="163">
        <f t="shared" si="133"/>
        <v>-0.90990259740259738</v>
      </c>
      <c r="AJ53" s="163">
        <f t="shared" si="133"/>
        <v>-0.90990259740259738</v>
      </c>
      <c r="AK53" s="163">
        <f t="shared" si="133"/>
        <v>-0.90990259740259738</v>
      </c>
      <c r="AL53" s="163">
        <f t="shared" si="133"/>
        <v>-0.90990259740259738</v>
      </c>
      <c r="AM53" s="163">
        <f t="shared" si="133"/>
        <v>-0.90990259740259738</v>
      </c>
      <c r="AN53" s="163">
        <f t="shared" si="133"/>
        <v>-0.90990259740259738</v>
      </c>
      <c r="AO53" s="163">
        <f t="shared" si="133"/>
        <v>-0.90990259740259738</v>
      </c>
      <c r="AP53" s="163">
        <f t="shared" si="133"/>
        <v>-0.90990259740259738</v>
      </c>
      <c r="AQ53" s="163">
        <f t="shared" si="133"/>
        <v>-0.90990259740259738</v>
      </c>
      <c r="AR53" s="163">
        <f t="shared" si="133"/>
        <v>-0.90990259740259738</v>
      </c>
      <c r="AS53" s="163">
        <f t="shared" si="133"/>
        <v>-0.90990259740259738</v>
      </c>
      <c r="AT53" s="163">
        <f t="shared" si="133"/>
        <v>-0.90990259740259738</v>
      </c>
      <c r="AU53" s="163">
        <f t="shared" si="133"/>
        <v>-0.90990259740259738</v>
      </c>
      <c r="AV53" s="163">
        <f t="shared" si="133"/>
        <v>-0.90990259740259738</v>
      </c>
      <c r="AW53" s="614">
        <f t="shared" si="133"/>
        <v>-0.90990259740259738</v>
      </c>
      <c r="AX53" s="615" t="e">
        <f t="shared" si="133"/>
        <v>#DIV/0!</v>
      </c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230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230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230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230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</row>
    <row r="54" spans="1:111" hidden="1" x14ac:dyDescent="0.25">
      <c r="B54" s="1"/>
      <c r="C54" s="1"/>
      <c r="D54" s="49"/>
      <c r="E54" t="s">
        <v>72</v>
      </c>
      <c r="F54" s="121">
        <f t="shared" ref="F54:N54" si="134">F51/F49-1</f>
        <v>0</v>
      </c>
      <c r="G54" s="121">
        <f t="shared" si="134"/>
        <v>5.0000000000000044E-2</v>
      </c>
      <c r="H54" s="121">
        <f t="shared" si="134"/>
        <v>3.5714285714285809E-2</v>
      </c>
      <c r="I54" s="121">
        <f t="shared" si="134"/>
        <v>3.3333333333333437E-2</v>
      </c>
      <c r="J54" s="121">
        <f t="shared" si="134"/>
        <v>3.125E-2</v>
      </c>
      <c r="K54" s="121">
        <f t="shared" si="134"/>
        <v>2.9411764705882248E-2</v>
      </c>
      <c r="L54" s="121">
        <f t="shared" si="134"/>
        <v>2.7777777777777679E-2</v>
      </c>
      <c r="M54" s="121">
        <f t="shared" si="134"/>
        <v>2.6315789473684292E-2</v>
      </c>
      <c r="N54" s="121">
        <f t="shared" si="134"/>
        <v>2.4999999999999911E-2</v>
      </c>
      <c r="O54" s="49"/>
      <c r="P54" t="s">
        <v>72</v>
      </c>
      <c r="Q54" s="163">
        <f t="shared" ref="Q54:AX54" si="135">Q51/Q49-1</f>
        <v>-0.97425098595906046</v>
      </c>
      <c r="R54" s="163">
        <f t="shared" si="135"/>
        <v>-0.89287297180424641</v>
      </c>
      <c r="S54" s="163">
        <f t="shared" si="135"/>
        <v>-0.93100834306731717</v>
      </c>
      <c r="T54" s="163">
        <f t="shared" si="135"/>
        <v>-0.8984518278368161</v>
      </c>
      <c r="U54" s="163">
        <f t="shared" si="135"/>
        <v>-0.90159565005338815</v>
      </c>
      <c r="V54" s="163">
        <f t="shared" si="135"/>
        <v>-0.90159565005338815</v>
      </c>
      <c r="W54" s="163">
        <f t="shared" si="135"/>
        <v>-0.90159565005338815</v>
      </c>
      <c r="X54" s="163">
        <f t="shared" si="135"/>
        <v>-0.90159565005338815</v>
      </c>
      <c r="Y54" s="163">
        <f t="shared" si="135"/>
        <v>-0.90159565005338815</v>
      </c>
      <c r="Z54" s="163">
        <f t="shared" si="135"/>
        <v>-0.90159565005338815</v>
      </c>
      <c r="AA54" s="163">
        <f t="shared" si="135"/>
        <v>-0.90159565005338815</v>
      </c>
      <c r="AB54" s="163">
        <f t="shared" si="135"/>
        <v>-0.90159565005338815</v>
      </c>
      <c r="AC54" s="163">
        <f t="shared" si="135"/>
        <v>-0.90159565005338815</v>
      </c>
      <c r="AD54" s="163">
        <f t="shared" si="135"/>
        <v>-0.90159565005338815</v>
      </c>
      <c r="AE54" s="163">
        <f t="shared" si="135"/>
        <v>-0.90159565005338815</v>
      </c>
      <c r="AF54" s="163">
        <f t="shared" si="135"/>
        <v>-0.90159565005338815</v>
      </c>
      <c r="AG54" s="163">
        <f t="shared" si="135"/>
        <v>-0.90159565005338815</v>
      </c>
      <c r="AH54" s="163">
        <f t="shared" si="135"/>
        <v>-0.90159565005338815</v>
      </c>
      <c r="AI54" s="163">
        <f t="shared" si="135"/>
        <v>-0.90159565005338815</v>
      </c>
      <c r="AJ54" s="163">
        <f t="shared" si="135"/>
        <v>-0.90159565005338815</v>
      </c>
      <c r="AK54" s="163">
        <f t="shared" si="135"/>
        <v>-0.90159565005338815</v>
      </c>
      <c r="AL54" s="163">
        <f t="shared" si="135"/>
        <v>-0.90159565005338815</v>
      </c>
      <c r="AM54" s="163">
        <f t="shared" si="135"/>
        <v>-0.90159565005338815</v>
      </c>
      <c r="AN54" s="163">
        <f t="shared" si="135"/>
        <v>-0.90159565005338815</v>
      </c>
      <c r="AO54" s="163">
        <f t="shared" si="135"/>
        <v>-0.90159565005338815</v>
      </c>
      <c r="AP54" s="163">
        <f t="shared" si="135"/>
        <v>-0.90159565005338815</v>
      </c>
      <c r="AQ54" s="163">
        <f t="shared" si="135"/>
        <v>-0.90159565005338815</v>
      </c>
      <c r="AR54" s="163">
        <f t="shared" si="135"/>
        <v>-0.90159565005338815</v>
      </c>
      <c r="AS54" s="163">
        <f t="shared" si="135"/>
        <v>-0.90159565005338815</v>
      </c>
      <c r="AT54" s="163">
        <f t="shared" si="135"/>
        <v>-0.90159565005338815</v>
      </c>
      <c r="AU54" s="163">
        <f t="shared" si="135"/>
        <v>-0.90159565005338815</v>
      </c>
      <c r="AV54" s="163">
        <f t="shared" si="135"/>
        <v>-0.90159565005338815</v>
      </c>
      <c r="AW54" s="614">
        <f t="shared" si="135"/>
        <v>-0.90159565005338815</v>
      </c>
      <c r="AX54" s="615" t="e">
        <f t="shared" si="135"/>
        <v>#DIV/0!</v>
      </c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230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230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230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230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</row>
    <row r="55" spans="1:111" hidden="1" x14ac:dyDescent="0.25">
      <c r="B55" s="1"/>
      <c r="C55" s="1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230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230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230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230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230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</row>
    <row r="56" spans="1:111" x14ac:dyDescent="0.25">
      <c r="B56" s="1"/>
      <c r="C56" s="1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230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230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230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230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230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</row>
    <row r="57" spans="1:111" s="104" customFormat="1" x14ac:dyDescent="0.25">
      <c r="B57" s="1" t="s">
        <v>114</v>
      </c>
      <c r="C57" s="1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AW57" s="608"/>
      <c r="AX57" s="616"/>
      <c r="AY57" s="608"/>
      <c r="BK57" s="228"/>
      <c r="BW57" s="228"/>
      <c r="CI57" s="228"/>
      <c r="CU57" s="228"/>
    </row>
    <row r="58" spans="1:111" s="104" customFormat="1" x14ac:dyDescent="0.25">
      <c r="B58" s="1" t="s">
        <v>115</v>
      </c>
      <c r="C58" s="1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AB58" s="104">
        <v>144.34</v>
      </c>
      <c r="AC58" s="104">
        <v>195.79</v>
      </c>
      <c r="AD58" s="104">
        <v>210.1</v>
      </c>
      <c r="AE58" s="104">
        <v>193.92</v>
      </c>
      <c r="AF58" s="104">
        <v>192.8</v>
      </c>
      <c r="AG58" s="104">
        <v>204.71</v>
      </c>
      <c r="AH58" s="104">
        <v>174.91</v>
      </c>
      <c r="AI58" s="104">
        <v>191.38</v>
      </c>
      <c r="AJ58" s="104">
        <v>128.31</v>
      </c>
      <c r="AK58" s="104">
        <v>231.31</v>
      </c>
      <c r="AL58" s="104">
        <v>160.15</v>
      </c>
      <c r="AM58" s="104">
        <v>171.4</v>
      </c>
      <c r="AN58" s="104">
        <v>197.3</v>
      </c>
      <c r="AO58" s="104">
        <v>202.11</v>
      </c>
      <c r="AP58" s="104">
        <v>214.54</v>
      </c>
      <c r="AQ58" s="104">
        <v>247.79</v>
      </c>
      <c r="AR58" s="104">
        <v>240.23</v>
      </c>
      <c r="AS58" s="104">
        <v>182.1</v>
      </c>
      <c r="AT58" s="104">
        <v>216.6</v>
      </c>
      <c r="AU58" s="104">
        <v>205.55</v>
      </c>
      <c r="AV58" s="104">
        <v>222.12</v>
      </c>
      <c r="AW58" s="605">
        <v>282</v>
      </c>
      <c r="AX58" s="607">
        <v>248.07</v>
      </c>
      <c r="AY58" s="605">
        <f t="shared" ref="AY58:CD58" si="136">+AY62*AY9</f>
        <v>191.16696823100645</v>
      </c>
      <c r="AZ58" s="104">
        <f t="shared" si="136"/>
        <v>214.83199372973863</v>
      </c>
      <c r="BA58" s="104">
        <f t="shared" si="136"/>
        <v>271.9624742852335</v>
      </c>
      <c r="BB58" s="104">
        <f t="shared" si="136"/>
        <v>311.54065970805772</v>
      </c>
      <c r="BC58" s="104">
        <f t="shared" si="136"/>
        <v>381.45513603011318</v>
      </c>
      <c r="BD58" s="104">
        <f t="shared" si="136"/>
        <v>365.89660952026702</v>
      </c>
      <c r="BE58" s="104">
        <f t="shared" si="136"/>
        <v>375.87289258800337</v>
      </c>
      <c r="BF58" s="104">
        <f t="shared" si="136"/>
        <v>359.24092621029416</v>
      </c>
      <c r="BG58" s="104">
        <f t="shared" si="136"/>
        <v>387.54836521618722</v>
      </c>
      <c r="BH58" s="104">
        <f t="shared" si="136"/>
        <v>276.66194802486973</v>
      </c>
      <c r="BI58" s="104">
        <f t="shared" si="136"/>
        <v>298.62787201672228</v>
      </c>
      <c r="BJ58" s="104">
        <f t="shared" si="136"/>
        <v>330.36961648457549</v>
      </c>
      <c r="BK58" s="228">
        <f t="shared" si="136"/>
        <v>321.72001970584017</v>
      </c>
      <c r="BL58" s="104">
        <f t="shared" si="136"/>
        <v>275.13142833342664</v>
      </c>
      <c r="BM58" s="104">
        <f t="shared" si="136"/>
        <v>335.42038495178798</v>
      </c>
      <c r="BN58" s="104">
        <f t="shared" si="136"/>
        <v>387.2496214974056</v>
      </c>
      <c r="BO58" s="104">
        <f t="shared" si="136"/>
        <v>437.35804389659529</v>
      </c>
      <c r="BP58" s="104">
        <f t="shared" si="136"/>
        <v>411.08484079602005</v>
      </c>
      <c r="BQ58" s="104">
        <f t="shared" si="136"/>
        <v>420.12889445723607</v>
      </c>
      <c r="BR58" s="104">
        <f t="shared" si="136"/>
        <v>381.07266593699688</v>
      </c>
      <c r="BS58" s="104">
        <f t="shared" si="136"/>
        <v>445.90334894414178</v>
      </c>
      <c r="BT58" s="104">
        <f t="shared" si="136"/>
        <v>299.03901735041075</v>
      </c>
      <c r="BU58" s="104">
        <f t="shared" si="136"/>
        <v>311.60684179677656</v>
      </c>
      <c r="BV58" s="104">
        <f t="shared" si="136"/>
        <v>377.75157463828435</v>
      </c>
      <c r="BW58" s="228">
        <f t="shared" si="136"/>
        <v>343.43612103598434</v>
      </c>
      <c r="BX58" s="104">
        <f t="shared" si="136"/>
        <v>293.07478235517181</v>
      </c>
      <c r="BY58" s="104">
        <f t="shared" si="136"/>
        <v>379.79559533932866</v>
      </c>
      <c r="BZ58" s="104">
        <f t="shared" si="136"/>
        <v>417.17345588584152</v>
      </c>
      <c r="CA58" s="104">
        <f t="shared" si="136"/>
        <v>430.66165279387235</v>
      </c>
      <c r="CB58" s="104">
        <f t="shared" si="136"/>
        <v>490.42037315525209</v>
      </c>
      <c r="CC58" s="104">
        <f t="shared" si="136"/>
        <v>454.50307673100997</v>
      </c>
      <c r="CD58" s="104">
        <f t="shared" si="136"/>
        <v>390.06509635175792</v>
      </c>
      <c r="CE58" s="104">
        <f t="shared" ref="CE58:DG58" si="137">+CE62*CE9</f>
        <v>500.23807520534234</v>
      </c>
      <c r="CF58" s="104">
        <f t="shared" si="137"/>
        <v>304.00034650190617</v>
      </c>
      <c r="CG58" s="104">
        <f t="shared" si="137"/>
        <v>347.2776250024603</v>
      </c>
      <c r="CH58" s="104">
        <f t="shared" si="137"/>
        <v>406.68065092387445</v>
      </c>
      <c r="CI58" s="228">
        <f t="shared" si="137"/>
        <v>334.64826875858461</v>
      </c>
      <c r="CJ58" s="104">
        <f t="shared" si="137"/>
        <v>346.66559970011758</v>
      </c>
      <c r="CK58" s="104">
        <f t="shared" si="137"/>
        <v>389.79021626931097</v>
      </c>
      <c r="CL58" s="104">
        <f t="shared" si="137"/>
        <v>429.59452576114364</v>
      </c>
      <c r="CM58" s="104">
        <f t="shared" si="137"/>
        <v>489.33930298703757</v>
      </c>
      <c r="CN58" s="104">
        <f t="shared" si="137"/>
        <v>533.49783836483493</v>
      </c>
      <c r="CO58" s="104">
        <f t="shared" si="137"/>
        <v>468.93415704165358</v>
      </c>
      <c r="CP58" s="104">
        <f t="shared" si="137"/>
        <v>442.4800936740254</v>
      </c>
      <c r="CQ58" s="104">
        <f t="shared" si="137"/>
        <v>542.19352667417752</v>
      </c>
      <c r="CR58" s="104">
        <f t="shared" si="137"/>
        <v>312.5637365442135</v>
      </c>
      <c r="CS58" s="104">
        <f t="shared" si="137"/>
        <v>396.06869628379764</v>
      </c>
      <c r="CT58" s="104">
        <f t="shared" si="137"/>
        <v>442.83004211710778</v>
      </c>
      <c r="CU58" s="228">
        <f t="shared" si="137"/>
        <v>368.3829732705388</v>
      </c>
      <c r="CV58" s="104">
        <f t="shared" si="137"/>
        <v>379.16549967200359</v>
      </c>
      <c r="CW58" s="104">
        <f t="shared" si="137"/>
        <v>425.02125504749864</v>
      </c>
      <c r="CX58" s="104">
        <f t="shared" si="137"/>
        <v>451.83363631190997</v>
      </c>
      <c r="CY58" s="104">
        <f t="shared" si="137"/>
        <v>564.92042305236214</v>
      </c>
      <c r="CZ58" s="104">
        <f t="shared" si="137"/>
        <v>584.52806638234085</v>
      </c>
      <c r="DA58" s="104">
        <f t="shared" si="137"/>
        <v>491.26435499601797</v>
      </c>
      <c r="DB58" s="104">
        <f t="shared" si="137"/>
        <v>505.34761662509385</v>
      </c>
      <c r="DC58" s="104">
        <f t="shared" si="137"/>
        <v>567.24051024336495</v>
      </c>
      <c r="DD58" s="104">
        <f t="shared" si="137"/>
        <v>358.76322582246092</v>
      </c>
      <c r="DE58" s="104">
        <f t="shared" si="137"/>
        <v>431.46733601416213</v>
      </c>
      <c r="DF58" s="104">
        <f t="shared" si="137"/>
        <v>459.68777667497494</v>
      </c>
      <c r="DG58" s="104">
        <f t="shared" si="137"/>
        <v>417.68961738521079</v>
      </c>
    </row>
    <row r="59" spans="1:111" s="104" customFormat="1" x14ac:dyDescent="0.25">
      <c r="B59" s="1" t="s">
        <v>116</v>
      </c>
      <c r="C59" s="1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AB59" s="104">
        <v>359.46</v>
      </c>
      <c r="AC59" s="104">
        <v>458.1</v>
      </c>
      <c r="AD59" s="104">
        <v>321.74</v>
      </c>
      <c r="AE59" s="104">
        <v>142.87</v>
      </c>
      <c r="AF59" s="104">
        <v>753.32</v>
      </c>
      <c r="AG59" s="104">
        <v>314.89999999999998</v>
      </c>
      <c r="AH59" s="104">
        <v>165.74</v>
      </c>
      <c r="AI59" s="104">
        <v>38.46</v>
      </c>
      <c r="AJ59" s="104">
        <v>28.36</v>
      </c>
      <c r="AK59" s="104">
        <v>357.18</v>
      </c>
      <c r="AL59" s="104">
        <v>356.29</v>
      </c>
      <c r="AM59" s="104">
        <v>589.19000000000005</v>
      </c>
      <c r="AN59" s="104">
        <v>249.98</v>
      </c>
      <c r="AO59" s="104">
        <v>497.5</v>
      </c>
      <c r="AP59" s="104">
        <v>810.15</v>
      </c>
      <c r="AQ59" s="104">
        <v>352.78</v>
      </c>
      <c r="AR59" s="104">
        <v>754.25</v>
      </c>
      <c r="AS59" s="104">
        <v>503.73</v>
      </c>
      <c r="AT59" s="104">
        <v>588.11</v>
      </c>
      <c r="AU59" s="104">
        <v>768.16</v>
      </c>
      <c r="AV59" s="104">
        <v>893.43</v>
      </c>
      <c r="AW59" s="605">
        <v>578.51</v>
      </c>
      <c r="AX59" s="607">
        <v>528.58000000000004</v>
      </c>
      <c r="AY59" s="605">
        <f t="shared" ref="AY59:CD59" si="138">+AY63*AY9</f>
        <v>539.06512710740492</v>
      </c>
      <c r="AZ59" s="104">
        <f t="shared" si="138"/>
        <v>605.7973146632512</v>
      </c>
      <c r="BA59" s="104">
        <f t="shared" si="138"/>
        <v>766.89758238910531</v>
      </c>
      <c r="BB59" s="104">
        <f t="shared" si="138"/>
        <v>878.50273966634836</v>
      </c>
      <c r="BC59" s="104">
        <f t="shared" si="138"/>
        <v>1075.6521552476722</v>
      </c>
      <c r="BD59" s="104">
        <f t="shared" si="138"/>
        <v>1031.7792040352056</v>
      </c>
      <c r="BE59" s="104">
        <f t="shared" si="138"/>
        <v>1059.9109798840025</v>
      </c>
      <c r="BF59" s="104">
        <f t="shared" si="138"/>
        <v>1013.0110726855385</v>
      </c>
      <c r="BG59" s="104">
        <f t="shared" si="138"/>
        <v>1092.834241651409</v>
      </c>
      <c r="BH59" s="104">
        <f t="shared" si="138"/>
        <v>780.14946597672201</v>
      </c>
      <c r="BI59" s="104">
        <f t="shared" si="138"/>
        <v>842.09041591317157</v>
      </c>
      <c r="BJ59" s="104">
        <f t="shared" si="138"/>
        <v>931.59786416384031</v>
      </c>
      <c r="BK59" s="228">
        <f t="shared" si="138"/>
        <v>907.20716513197431</v>
      </c>
      <c r="BL59" s="104">
        <f t="shared" si="138"/>
        <v>775.8336063925957</v>
      </c>
      <c r="BM59" s="104">
        <f t="shared" si="138"/>
        <v>945.84035161322981</v>
      </c>
      <c r="BN59" s="104">
        <f t="shared" si="138"/>
        <v>1091.9918245632073</v>
      </c>
      <c r="BO59" s="104">
        <f t="shared" si="138"/>
        <v>1233.2908331719002</v>
      </c>
      <c r="BP59" s="104">
        <f t="shared" si="138"/>
        <v>1159.2039357335536</v>
      </c>
      <c r="BQ59" s="104">
        <f t="shared" si="138"/>
        <v>1184.7069500961511</v>
      </c>
      <c r="BR59" s="104">
        <f t="shared" si="138"/>
        <v>1074.5736410500137</v>
      </c>
      <c r="BS59" s="104">
        <f t="shared" si="138"/>
        <v>1257.3874435552418</v>
      </c>
      <c r="BT59" s="104">
        <f t="shared" si="138"/>
        <v>843.24979043072176</v>
      </c>
      <c r="BU59" s="104">
        <f t="shared" si="138"/>
        <v>878.68936425111622</v>
      </c>
      <c r="BV59" s="104">
        <f t="shared" si="138"/>
        <v>1065.208610471549</v>
      </c>
      <c r="BW59" s="228">
        <f t="shared" si="138"/>
        <v>968.44364877838245</v>
      </c>
      <c r="BX59" s="104">
        <f t="shared" si="138"/>
        <v>826.43145028776496</v>
      </c>
      <c r="BY59" s="104">
        <f t="shared" si="138"/>
        <v>1070.9724738063858</v>
      </c>
      <c r="BZ59" s="104">
        <f t="shared" si="138"/>
        <v>1176.3730110067279</v>
      </c>
      <c r="CA59" s="104">
        <f t="shared" si="138"/>
        <v>1214.4079113242924</v>
      </c>
      <c r="CB59" s="104">
        <f t="shared" si="138"/>
        <v>1382.9194616484874</v>
      </c>
      <c r="CC59" s="104">
        <f t="shared" si="138"/>
        <v>1281.6375187403819</v>
      </c>
      <c r="CD59" s="104">
        <f t="shared" si="138"/>
        <v>1099.9310848039991</v>
      </c>
      <c r="CE59" s="104">
        <f t="shared" ref="CE59:DG59" si="139">+CE63*CE9</f>
        <v>1410.6040603660817</v>
      </c>
      <c r="CF59" s="104">
        <f t="shared" si="139"/>
        <v>857.24007104468592</v>
      </c>
      <c r="CG59" s="104">
        <f t="shared" si="139"/>
        <v>979.27617305354681</v>
      </c>
      <c r="CH59" s="104">
        <f t="shared" si="139"/>
        <v>1146.7847129190536</v>
      </c>
      <c r="CI59" s="228">
        <f t="shared" si="139"/>
        <v>943.66308784385376</v>
      </c>
      <c r="CJ59" s="104">
        <f t="shared" si="139"/>
        <v>977.55034405467063</v>
      </c>
      <c r="CK59" s="104">
        <f t="shared" si="139"/>
        <v>1099.1559599591853</v>
      </c>
      <c r="CL59" s="104">
        <f t="shared" si="139"/>
        <v>1211.3987566839232</v>
      </c>
      <c r="CM59" s="104">
        <f t="shared" si="139"/>
        <v>1379.8709892422276</v>
      </c>
      <c r="CN59" s="104">
        <f t="shared" si="139"/>
        <v>1504.3921170635567</v>
      </c>
      <c r="CO59" s="104">
        <f t="shared" si="139"/>
        <v>1322.3312233795316</v>
      </c>
      <c r="CP59" s="104">
        <f t="shared" si="139"/>
        <v>1247.7343243245364</v>
      </c>
      <c r="CQ59" s="104">
        <f t="shared" si="139"/>
        <v>1528.9127880096885</v>
      </c>
      <c r="CR59" s="104">
        <f t="shared" si="139"/>
        <v>881.38767867974786</v>
      </c>
      <c r="CS59" s="104">
        <f t="shared" si="139"/>
        <v>1116.8604287718135</v>
      </c>
      <c r="CT59" s="104">
        <f t="shared" si="139"/>
        <v>1248.7211318451918</v>
      </c>
      <c r="CU59" s="228">
        <f t="shared" si="139"/>
        <v>1038.7904152474682</v>
      </c>
      <c r="CV59" s="104">
        <f t="shared" si="139"/>
        <v>1069.1956888097959</v>
      </c>
      <c r="CW59" s="104">
        <f t="shared" si="139"/>
        <v>1198.5027486478039</v>
      </c>
      <c r="CX59" s="104">
        <f t="shared" si="139"/>
        <v>1274.1100559567021</v>
      </c>
      <c r="CY59" s="104">
        <f t="shared" si="139"/>
        <v>1592.9995776796407</v>
      </c>
      <c r="CZ59" s="104">
        <f t="shared" si="139"/>
        <v>1648.2904934783319</v>
      </c>
      <c r="DA59" s="104">
        <f t="shared" si="139"/>
        <v>1385.2993768737947</v>
      </c>
      <c r="DB59" s="104">
        <f t="shared" si="139"/>
        <v>1425.0122796331807</v>
      </c>
      <c r="DC59" s="104">
        <f t="shared" si="139"/>
        <v>1599.5419113688317</v>
      </c>
      <c r="DD59" s="104">
        <f t="shared" si="139"/>
        <v>1011.6640218709051</v>
      </c>
      <c r="DE59" s="104">
        <f t="shared" si="139"/>
        <v>1216.6798295932947</v>
      </c>
      <c r="DF59" s="104">
        <f t="shared" si="139"/>
        <v>1296.2576749324803</v>
      </c>
      <c r="DG59" s="104">
        <f t="shared" si="139"/>
        <v>1177.8285169805906</v>
      </c>
    </row>
    <row r="60" spans="1:111" x14ac:dyDescent="0.25">
      <c r="B60" s="1" t="s">
        <v>117</v>
      </c>
      <c r="C60" s="1"/>
      <c r="D60" s="104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5"/>
      <c r="AC60" s="255"/>
      <c r="AD60" s="255"/>
      <c r="AE60" s="255"/>
      <c r="AF60" s="255">
        <v>475</v>
      </c>
      <c r="AG60" s="255">
        <v>765</v>
      </c>
      <c r="AH60" s="255">
        <v>394</v>
      </c>
      <c r="AI60" s="255">
        <v>610</v>
      </c>
      <c r="AJ60" s="255">
        <v>210</v>
      </c>
      <c r="AK60" s="255">
        <v>770</v>
      </c>
      <c r="AL60" s="255">
        <v>432</v>
      </c>
      <c r="AM60" s="255">
        <v>470</v>
      </c>
      <c r="AN60" s="255">
        <v>50</v>
      </c>
      <c r="AO60" s="255">
        <v>45</v>
      </c>
      <c r="AP60" s="255"/>
      <c r="AQ60" s="255"/>
      <c r="AR60" s="255">
        <v>629</v>
      </c>
      <c r="AS60" s="255"/>
      <c r="AT60" s="255"/>
      <c r="AU60" s="255"/>
      <c r="AV60" s="402">
        <v>30</v>
      </c>
      <c r="AW60" s="402"/>
      <c r="AX60" s="616"/>
      <c r="AY60" s="617">
        <f>+'People Plan'!Z13</f>
        <v>333.46155334820799</v>
      </c>
      <c r="AZ60" s="255">
        <f>+'People Plan'!AA13</f>
        <v>506.50184203603476</v>
      </c>
      <c r="BA60" s="255">
        <f>+'People Plan'!AB13</f>
        <v>964.30249735376265</v>
      </c>
      <c r="BB60" s="255">
        <f>+'People Plan'!AC13</f>
        <v>1281.4522753125755</v>
      </c>
      <c r="BC60" s="255">
        <f>+'People Plan'!AD13</f>
        <v>1871.6942471150387</v>
      </c>
      <c r="BD60" s="255">
        <f>+'People Plan'!AE13</f>
        <v>1747.0199303102461</v>
      </c>
      <c r="BE60" s="255">
        <f>+'People Plan'!AF13</f>
        <v>1796.962351267277</v>
      </c>
      <c r="BF60" s="255">
        <f>+'People Plan'!AG13</f>
        <v>1663.686295597807</v>
      </c>
      <c r="BG60" s="255">
        <f>+'People Plan'!AH13</f>
        <v>1890.5207979730546</v>
      </c>
      <c r="BH60" s="255">
        <f>+'People Plan'!AI13</f>
        <v>941.96054147898383</v>
      </c>
      <c r="BI60" s="255">
        <f>+'People Plan'!AJ13</f>
        <v>1177.9789173153536</v>
      </c>
      <c r="BJ60" s="255">
        <f>+'People Plan'!AK13</f>
        <v>1432.333357834993</v>
      </c>
      <c r="BK60" s="256">
        <f>+'People Plan'!AL13</f>
        <v>1303.0220018821453</v>
      </c>
      <c r="BL60" s="255">
        <f>+'People Plan'!AM13</f>
        <v>884.71058005910277</v>
      </c>
      <c r="BM60" s="255">
        <f>+'People Plan'!AN13</f>
        <v>1344.8156318123561</v>
      </c>
      <c r="BN60" s="255">
        <f>+'People Plan'!AO13</f>
        <v>1740.3589435685635</v>
      </c>
      <c r="BO60" s="255">
        <f>+'People Plan'!AP13</f>
        <v>2152.7695801830878</v>
      </c>
      <c r="BP60" s="255">
        <f>+'People Plan'!AQ13</f>
        <v>1952.2613254319635</v>
      </c>
      <c r="BQ60" s="255">
        <f>+'People Plan'!AR13</f>
        <v>1991.2825029619398</v>
      </c>
      <c r="BR60" s="255">
        <f>+'People Plan'!AS13</f>
        <v>1693.2184950152737</v>
      </c>
      <c r="BS60" s="255">
        <f>+'People Plan'!AT13</f>
        <v>2187.984475939822</v>
      </c>
      <c r="BT60" s="255">
        <f>+'People Plan'!AU13</f>
        <v>1007.1652632871894</v>
      </c>
      <c r="BU60" s="255">
        <f>+'People Plan'!AV13</f>
        <v>1163.0786749908489</v>
      </c>
      <c r="BV60" s="255">
        <f>+'People Plan'!AW13</f>
        <v>1667.8730425546476</v>
      </c>
      <c r="BW60" s="256">
        <f>+'People Plan'!AX13</f>
        <v>1345.9890352468474</v>
      </c>
      <c r="BX60" s="255">
        <f>+'People Plan'!AY13</f>
        <v>915.14116817590138</v>
      </c>
      <c r="BY60" s="255">
        <f>+'People Plan'!AZ13</f>
        <v>1545.4498299814327</v>
      </c>
      <c r="BZ60" s="255">
        <f>+'People Plan'!BA13</f>
        <v>1817.1215135313832</v>
      </c>
      <c r="CA60" s="255">
        <f>+'People Plan'!BB13</f>
        <v>1945.1571182578241</v>
      </c>
      <c r="CB60" s="255">
        <f>+'People Plan'!BC13</f>
        <v>2379.498515277171</v>
      </c>
      <c r="CC60" s="255">
        <f>+'People Plan'!BD13</f>
        <v>2088.4425788092713</v>
      </c>
      <c r="CD60" s="255">
        <f>+'People Plan'!BE13</f>
        <v>1620.0911440767859</v>
      </c>
      <c r="CE60" s="255">
        <f>+'People Plan'!BF13</f>
        <v>2420.8560409766633</v>
      </c>
      <c r="CF60" s="255">
        <f>+'People Plan'!BG13</f>
        <v>934.55091400077879</v>
      </c>
      <c r="CG60" s="255">
        <f>+'People Plan'!BH13</f>
        <v>1309.101049770989</v>
      </c>
      <c r="CH60" s="255">
        <f>+'People Plan'!BI13</f>
        <v>1740.8571702142583</v>
      </c>
      <c r="CI60" s="256">
        <f>+'People Plan'!BJ13</f>
        <v>1157.307714819241</v>
      </c>
      <c r="CJ60" s="255">
        <f>+'People Plan'!BK13</f>
        <v>1184.6692343532604</v>
      </c>
      <c r="CK60" s="255">
        <f>+'People Plan'!BL13</f>
        <v>1483.1840443427536</v>
      </c>
      <c r="CL60" s="255">
        <f>+'People Plan'!BM13</f>
        <v>1758.7152102988027</v>
      </c>
      <c r="CM60" s="255">
        <f>+'People Plan'!BN13</f>
        <v>2202.2771672575745</v>
      </c>
      <c r="CN60" s="255">
        <f>+'People Plan'!BO13</f>
        <v>2507.9489122240952</v>
      </c>
      <c r="CO60" s="255">
        <f>+'People Plan'!BP13</f>
        <v>2031.0298067176664</v>
      </c>
      <c r="CP60" s="255">
        <f>+'People Plan'!BQ13</f>
        <v>1847.9109681543846</v>
      </c>
      <c r="CQ60" s="255">
        <f>+'People Plan'!BR13</f>
        <v>2538.1417197178457</v>
      </c>
      <c r="CR60" s="255">
        <f>+'People Plan'!BS13</f>
        <v>888.61122363590709</v>
      </c>
      <c r="CS60" s="255">
        <f>+'People Plan'!BT13</f>
        <v>1526.6445877087483</v>
      </c>
      <c r="CT60" s="255">
        <f>+'People Plan'!BU13</f>
        <v>1850.3333617036758</v>
      </c>
      <c r="CU60" s="256">
        <f>+'People Plan'!BV13</f>
        <v>1275.0000236008175</v>
      </c>
      <c r="CV60" s="255">
        <f>+'People Plan'!BW13</f>
        <v>1284.6554524513128</v>
      </c>
      <c r="CW60" s="255">
        <f>+'People Plan'!BX13</f>
        <v>1586.9603537405519</v>
      </c>
      <c r="CX60" s="255">
        <f>+'People Plan'!BY13</f>
        <v>1763.7214648615957</v>
      </c>
      <c r="CY60" s="255">
        <f>+'People Plan'!BZ13</f>
        <v>2539.2481631516562</v>
      </c>
      <c r="CZ60" s="255">
        <f>+'People Plan'!CA13</f>
        <v>2668.5119084077514</v>
      </c>
      <c r="DA60" s="255">
        <f>+'People Plan'!CB13</f>
        <v>2023.6691949110502</v>
      </c>
      <c r="DB60" s="255">
        <f>+'People Plan'!CC13</f>
        <v>2116.5133533322942</v>
      </c>
      <c r="DC60" s="255">
        <f>+'People Plan'!CD13</f>
        <v>2524.5433801536506</v>
      </c>
      <c r="DD60" s="255">
        <f>+'People Plan'!CE13</f>
        <v>1090.1530910430874</v>
      </c>
      <c r="DE60" s="255">
        <f>+'People Plan'!CF13</f>
        <v>1629.4562597478266</v>
      </c>
      <c r="DF60" s="255">
        <f>+'People Plan'!CG13</f>
        <v>1815.5000280479519</v>
      </c>
      <c r="DG60" s="255">
        <f>+'People Plan'!CH13</f>
        <v>1478.6263991117985</v>
      </c>
    </row>
    <row r="61" spans="1:111" s="47" customFormat="1" x14ac:dyDescent="0.25">
      <c r="A61" s="3"/>
      <c r="B61" s="4" t="s">
        <v>118</v>
      </c>
      <c r="C61" s="4"/>
      <c r="V61" s="47">
        <f t="shared" ref="V61:AA61" si="140">+SUM(V58:V59)</f>
        <v>0</v>
      </c>
      <c r="W61" s="47">
        <f t="shared" si="140"/>
        <v>0</v>
      </c>
      <c r="X61" s="47">
        <f t="shared" si="140"/>
        <v>0</v>
      </c>
      <c r="Y61" s="47">
        <f t="shared" si="140"/>
        <v>0</v>
      </c>
      <c r="Z61" s="47">
        <f t="shared" si="140"/>
        <v>0</v>
      </c>
      <c r="AA61" s="47">
        <f t="shared" si="140"/>
        <v>0</v>
      </c>
      <c r="AB61" s="47">
        <f t="shared" ref="AB61:BG61" si="141">SUM(AB58:AB60)</f>
        <v>503.79999999999995</v>
      </c>
      <c r="AC61" s="47">
        <f t="shared" si="141"/>
        <v>653.89</v>
      </c>
      <c r="AD61" s="47">
        <f t="shared" si="141"/>
        <v>531.84</v>
      </c>
      <c r="AE61" s="47">
        <f t="shared" si="141"/>
        <v>336.78999999999996</v>
      </c>
      <c r="AF61" s="47">
        <f t="shared" si="141"/>
        <v>1421.1200000000001</v>
      </c>
      <c r="AG61" s="47">
        <f t="shared" si="141"/>
        <v>1284.6100000000001</v>
      </c>
      <c r="AH61" s="47">
        <f t="shared" si="141"/>
        <v>734.65</v>
      </c>
      <c r="AI61" s="47">
        <f t="shared" si="141"/>
        <v>839.84</v>
      </c>
      <c r="AJ61" s="47">
        <f t="shared" si="141"/>
        <v>366.67</v>
      </c>
      <c r="AK61" s="47">
        <f t="shared" si="141"/>
        <v>1358.49</v>
      </c>
      <c r="AL61" s="47">
        <f t="shared" si="141"/>
        <v>948.44</v>
      </c>
      <c r="AM61" s="47">
        <f t="shared" si="141"/>
        <v>1230.5900000000001</v>
      </c>
      <c r="AN61" s="47">
        <f t="shared" si="141"/>
        <v>497.28</v>
      </c>
      <c r="AO61" s="47">
        <f t="shared" si="141"/>
        <v>744.61</v>
      </c>
      <c r="AP61" s="47">
        <f t="shared" si="141"/>
        <v>1024.69</v>
      </c>
      <c r="AQ61" s="47">
        <f t="shared" si="141"/>
        <v>600.56999999999994</v>
      </c>
      <c r="AR61" s="47">
        <f t="shared" si="141"/>
        <v>1623.48</v>
      </c>
      <c r="AS61" s="47">
        <f t="shared" si="141"/>
        <v>685.83</v>
      </c>
      <c r="AT61" s="47">
        <f t="shared" si="141"/>
        <v>804.71</v>
      </c>
      <c r="AU61" s="47">
        <f t="shared" si="141"/>
        <v>973.71</v>
      </c>
      <c r="AV61" s="47">
        <f t="shared" si="141"/>
        <v>1145.55</v>
      </c>
      <c r="AW61" s="47">
        <f t="shared" si="141"/>
        <v>860.51</v>
      </c>
      <c r="AX61" s="229">
        <f t="shared" si="141"/>
        <v>776.65000000000009</v>
      </c>
      <c r="AY61" s="47">
        <f t="shared" si="141"/>
        <v>1063.6936486866193</v>
      </c>
      <c r="AZ61" s="47">
        <f t="shared" si="141"/>
        <v>1327.1311504290247</v>
      </c>
      <c r="BA61" s="47">
        <f t="shared" si="141"/>
        <v>2003.1625540281016</v>
      </c>
      <c r="BB61" s="47">
        <f t="shared" si="141"/>
        <v>2471.4956746869816</v>
      </c>
      <c r="BC61" s="47">
        <f t="shared" si="141"/>
        <v>3328.8015383928241</v>
      </c>
      <c r="BD61" s="47">
        <f t="shared" si="141"/>
        <v>3144.6957438657187</v>
      </c>
      <c r="BE61" s="47">
        <f t="shared" si="141"/>
        <v>3232.7462237392829</v>
      </c>
      <c r="BF61" s="47">
        <f t="shared" si="141"/>
        <v>3035.9382944936397</v>
      </c>
      <c r="BG61" s="47">
        <f t="shared" si="141"/>
        <v>3370.9034048406511</v>
      </c>
      <c r="BH61" s="47">
        <f t="shared" ref="BH61:CM61" si="142">SUM(BH58:BH60)</f>
        <v>1998.7719554805758</v>
      </c>
      <c r="BI61" s="47">
        <f t="shared" si="142"/>
        <v>2318.6972052452475</v>
      </c>
      <c r="BJ61" s="47">
        <f t="shared" si="142"/>
        <v>2694.3008384834088</v>
      </c>
      <c r="BK61" s="229">
        <f t="shared" si="142"/>
        <v>2531.9491867199595</v>
      </c>
      <c r="BL61" s="47">
        <f t="shared" si="142"/>
        <v>1935.6756147851252</v>
      </c>
      <c r="BM61" s="47">
        <f t="shared" si="142"/>
        <v>2626.0763683773739</v>
      </c>
      <c r="BN61" s="47">
        <f t="shared" si="142"/>
        <v>3219.6003896291763</v>
      </c>
      <c r="BO61" s="47">
        <f t="shared" si="142"/>
        <v>3823.4184572515833</v>
      </c>
      <c r="BP61" s="47">
        <f t="shared" si="142"/>
        <v>3522.5501019615372</v>
      </c>
      <c r="BQ61" s="47">
        <f t="shared" si="142"/>
        <v>3596.1183475153271</v>
      </c>
      <c r="BR61" s="47">
        <f t="shared" si="142"/>
        <v>3148.8648020022843</v>
      </c>
      <c r="BS61" s="47">
        <f t="shared" si="142"/>
        <v>3891.2752684392053</v>
      </c>
      <c r="BT61" s="47">
        <f t="shared" si="142"/>
        <v>2149.4540710683223</v>
      </c>
      <c r="BU61" s="47">
        <f t="shared" si="142"/>
        <v>2353.3748810387415</v>
      </c>
      <c r="BV61" s="47">
        <f t="shared" si="142"/>
        <v>3110.833227664481</v>
      </c>
      <c r="BW61" s="229">
        <f t="shared" si="142"/>
        <v>2657.8688050612141</v>
      </c>
      <c r="BX61" s="47">
        <f t="shared" si="142"/>
        <v>2034.6474008188382</v>
      </c>
      <c r="BY61" s="47">
        <f t="shared" si="142"/>
        <v>2996.2178991271471</v>
      </c>
      <c r="BZ61" s="47">
        <f t="shared" si="142"/>
        <v>3410.6679804239529</v>
      </c>
      <c r="CA61" s="47">
        <f t="shared" si="142"/>
        <v>3590.2266823759887</v>
      </c>
      <c r="CB61" s="47">
        <f t="shared" si="142"/>
        <v>4252.8383500809105</v>
      </c>
      <c r="CC61" s="47">
        <f t="shared" si="142"/>
        <v>3824.5831742806631</v>
      </c>
      <c r="CD61" s="47">
        <f t="shared" si="142"/>
        <v>3110.0873252325428</v>
      </c>
      <c r="CE61" s="47">
        <f t="shared" si="142"/>
        <v>4331.6981765480868</v>
      </c>
      <c r="CF61" s="47">
        <f t="shared" si="142"/>
        <v>2095.7913315473711</v>
      </c>
      <c r="CG61" s="47">
        <f t="shared" si="142"/>
        <v>2635.654847826996</v>
      </c>
      <c r="CH61" s="47">
        <f t="shared" si="142"/>
        <v>3294.3225340571862</v>
      </c>
      <c r="CI61" s="229">
        <f t="shared" si="142"/>
        <v>2435.6190714216791</v>
      </c>
      <c r="CJ61" s="47">
        <f t="shared" si="142"/>
        <v>2508.8851781080484</v>
      </c>
      <c r="CK61" s="47">
        <f t="shared" si="142"/>
        <v>2972.13022057125</v>
      </c>
      <c r="CL61" s="47">
        <f t="shared" si="142"/>
        <v>3399.7084927438696</v>
      </c>
      <c r="CM61" s="47">
        <f t="shared" si="142"/>
        <v>4071.4874594868397</v>
      </c>
      <c r="CN61" s="47">
        <f t="shared" ref="CN61:DS61" si="143">SUM(CN58:CN60)</f>
        <v>4545.8388676524864</v>
      </c>
      <c r="CO61" s="47">
        <f t="shared" si="143"/>
        <v>3822.2951871388514</v>
      </c>
      <c r="CP61" s="47">
        <f t="shared" si="143"/>
        <v>3538.1253861529462</v>
      </c>
      <c r="CQ61" s="47">
        <f t="shared" si="143"/>
        <v>4609.2480344017113</v>
      </c>
      <c r="CR61" s="47">
        <f t="shared" si="143"/>
        <v>2082.5626388598685</v>
      </c>
      <c r="CS61" s="47">
        <f t="shared" si="143"/>
        <v>3039.5737127643597</v>
      </c>
      <c r="CT61" s="47">
        <f t="shared" si="143"/>
        <v>3541.8845356659754</v>
      </c>
      <c r="CU61" s="229">
        <f t="shared" si="143"/>
        <v>2682.1734121188247</v>
      </c>
      <c r="CV61" s="47">
        <f t="shared" si="143"/>
        <v>2733.0166409331123</v>
      </c>
      <c r="CW61" s="47">
        <f t="shared" si="143"/>
        <v>3210.4843574358547</v>
      </c>
      <c r="CX61" s="47">
        <f t="shared" si="143"/>
        <v>3489.6651571302077</v>
      </c>
      <c r="CY61" s="47">
        <f t="shared" si="143"/>
        <v>4697.168163883659</v>
      </c>
      <c r="CZ61" s="47">
        <f t="shared" si="143"/>
        <v>4901.3304682684247</v>
      </c>
      <c r="DA61" s="47">
        <f t="shared" si="143"/>
        <v>3900.2329267808627</v>
      </c>
      <c r="DB61" s="47">
        <f t="shared" si="143"/>
        <v>4046.8732495905688</v>
      </c>
      <c r="DC61" s="47">
        <f t="shared" si="143"/>
        <v>4691.3258017658472</v>
      </c>
      <c r="DD61" s="47">
        <f t="shared" si="143"/>
        <v>2460.5803387364535</v>
      </c>
      <c r="DE61" s="47">
        <f t="shared" si="143"/>
        <v>3277.6034253552834</v>
      </c>
      <c r="DF61" s="47">
        <f t="shared" si="143"/>
        <v>3571.4454796554073</v>
      </c>
      <c r="DG61" s="47">
        <f t="shared" si="143"/>
        <v>3074.1445334775999</v>
      </c>
    </row>
    <row r="62" spans="1:111" s="444" customFormat="1" x14ac:dyDescent="0.25">
      <c r="A62" s="442"/>
      <c r="B62" s="443"/>
      <c r="C62" s="443" t="s">
        <v>119</v>
      </c>
      <c r="W62" s="445" t="e">
        <f t="shared" ref="W62:AX62" si="144">+W58/W13</f>
        <v>#DIV/0!</v>
      </c>
      <c r="X62" s="445" t="e">
        <f t="shared" si="144"/>
        <v>#DIV/0!</v>
      </c>
      <c r="Y62" s="445" t="e">
        <f t="shared" si="144"/>
        <v>#DIV/0!</v>
      </c>
      <c r="Z62" s="445" t="e">
        <f t="shared" si="144"/>
        <v>#DIV/0!</v>
      </c>
      <c r="AA62" s="445" t="e">
        <f t="shared" si="144"/>
        <v>#DIV/0!</v>
      </c>
      <c r="AB62" s="445">
        <f t="shared" si="144"/>
        <v>2.5196822903028715E-2</v>
      </c>
      <c r="AC62" s="445">
        <f t="shared" si="144"/>
        <v>2.9022049286640726E-2</v>
      </c>
      <c r="AD62" s="445">
        <f t="shared" si="144"/>
        <v>2.7502699872369668E-2</v>
      </c>
      <c r="AE62" s="445">
        <f t="shared" si="144"/>
        <v>2.4807470896763464E-2</v>
      </c>
      <c r="AF62" s="445">
        <f t="shared" si="144"/>
        <v>2.3956262425447319E-2</v>
      </c>
      <c r="AG62" s="445">
        <f t="shared" si="144"/>
        <v>2.8614760972882305E-2</v>
      </c>
      <c r="AH62" s="445">
        <f t="shared" si="144"/>
        <v>2.9076552240046547E-2</v>
      </c>
      <c r="AI62" s="445">
        <f t="shared" si="144"/>
        <v>2.6234407128169979E-2</v>
      </c>
      <c r="AJ62" s="445">
        <f t="shared" si="144"/>
        <v>2.8274570295284268E-2</v>
      </c>
      <c r="AK62" s="445">
        <f t="shared" si="144"/>
        <v>3.0051968299337404E-2</v>
      </c>
      <c r="AL62" s="445">
        <f t="shared" si="144"/>
        <v>3.2427233611743864E-2</v>
      </c>
      <c r="AM62" s="445">
        <f t="shared" si="144"/>
        <v>2.7860858257477243E-2</v>
      </c>
      <c r="AN62" s="445">
        <f t="shared" si="144"/>
        <v>2.9355532245705657E-2</v>
      </c>
      <c r="AO62" s="445">
        <f t="shared" si="144"/>
        <v>3.1088393727869267E-2</v>
      </c>
      <c r="AP62" s="445">
        <f t="shared" si="144"/>
        <v>3.0180769501301257E-2</v>
      </c>
      <c r="AQ62" s="445">
        <f t="shared" si="144"/>
        <v>3.1518427830953669E-2</v>
      </c>
      <c r="AR62" s="445">
        <f t="shared" si="144"/>
        <v>3.0495251103759766E-2</v>
      </c>
      <c r="AS62" s="445">
        <f t="shared" si="144"/>
        <v>2.6439393389425695E-2</v>
      </c>
      <c r="AT62" s="445">
        <f t="shared" si="144"/>
        <v>2.9197080291970802E-2</v>
      </c>
      <c r="AU62" s="445">
        <f t="shared" si="144"/>
        <v>2.685751990958208E-2</v>
      </c>
      <c r="AV62" s="445">
        <f t="shared" si="144"/>
        <v>3.599737458370135E-2</v>
      </c>
      <c r="AW62" s="445">
        <f t="shared" si="144"/>
        <v>4.0295788232772481E-2</v>
      </c>
      <c r="AX62" s="446">
        <f t="shared" si="144"/>
        <v>4.7134714041421243E-2</v>
      </c>
      <c r="AY62" s="496">
        <f>+AVERAGE(AS62:AX62)</f>
        <v>3.4320311741478947E-2</v>
      </c>
      <c r="AZ62" s="445">
        <f t="shared" ref="AZ62:CE62" si="145">+AY62</f>
        <v>3.4320311741478947E-2</v>
      </c>
      <c r="BA62" s="445">
        <f t="shared" si="145"/>
        <v>3.4320311741478947E-2</v>
      </c>
      <c r="BB62" s="445">
        <f t="shared" si="145"/>
        <v>3.4320311741478947E-2</v>
      </c>
      <c r="BC62" s="445">
        <f t="shared" si="145"/>
        <v>3.4320311741478947E-2</v>
      </c>
      <c r="BD62" s="445">
        <f t="shared" si="145"/>
        <v>3.4320311741478947E-2</v>
      </c>
      <c r="BE62" s="445">
        <f t="shared" si="145"/>
        <v>3.4320311741478947E-2</v>
      </c>
      <c r="BF62" s="445">
        <f t="shared" si="145"/>
        <v>3.4320311741478947E-2</v>
      </c>
      <c r="BG62" s="445">
        <f t="shared" si="145"/>
        <v>3.4320311741478947E-2</v>
      </c>
      <c r="BH62" s="445">
        <f t="shared" si="145"/>
        <v>3.4320311741478947E-2</v>
      </c>
      <c r="BI62" s="445">
        <f t="shared" si="145"/>
        <v>3.4320311741478947E-2</v>
      </c>
      <c r="BJ62" s="445">
        <f t="shared" si="145"/>
        <v>3.4320311741478947E-2</v>
      </c>
      <c r="BK62" s="446">
        <f t="shared" si="145"/>
        <v>3.4320311741478947E-2</v>
      </c>
      <c r="BL62" s="445">
        <f t="shared" si="145"/>
        <v>3.4320311741478947E-2</v>
      </c>
      <c r="BM62" s="445">
        <f t="shared" si="145"/>
        <v>3.4320311741478947E-2</v>
      </c>
      <c r="BN62" s="445">
        <f t="shared" si="145"/>
        <v>3.4320311741478947E-2</v>
      </c>
      <c r="BO62" s="445">
        <f t="shared" si="145"/>
        <v>3.4320311741478947E-2</v>
      </c>
      <c r="BP62" s="445">
        <f t="shared" si="145"/>
        <v>3.4320311741478947E-2</v>
      </c>
      <c r="BQ62" s="445">
        <f t="shared" si="145"/>
        <v>3.4320311741478947E-2</v>
      </c>
      <c r="BR62" s="445">
        <f t="shared" si="145"/>
        <v>3.4320311741478947E-2</v>
      </c>
      <c r="BS62" s="445">
        <f t="shared" si="145"/>
        <v>3.4320311741478947E-2</v>
      </c>
      <c r="BT62" s="445">
        <f t="shared" si="145"/>
        <v>3.4320311741478947E-2</v>
      </c>
      <c r="BU62" s="445">
        <f t="shared" si="145"/>
        <v>3.4320311741478947E-2</v>
      </c>
      <c r="BV62" s="445">
        <f t="shared" si="145"/>
        <v>3.4320311741478947E-2</v>
      </c>
      <c r="BW62" s="446">
        <f t="shared" si="145"/>
        <v>3.4320311741478947E-2</v>
      </c>
      <c r="BX62" s="445">
        <f t="shared" si="145"/>
        <v>3.4320311741478947E-2</v>
      </c>
      <c r="BY62" s="445">
        <f t="shared" si="145"/>
        <v>3.4320311741478947E-2</v>
      </c>
      <c r="BZ62" s="445">
        <f t="shared" si="145"/>
        <v>3.4320311741478947E-2</v>
      </c>
      <c r="CA62" s="445">
        <f t="shared" si="145"/>
        <v>3.4320311741478947E-2</v>
      </c>
      <c r="CB62" s="445">
        <f t="shared" si="145"/>
        <v>3.4320311741478947E-2</v>
      </c>
      <c r="CC62" s="445">
        <f t="shared" si="145"/>
        <v>3.4320311741478947E-2</v>
      </c>
      <c r="CD62" s="445">
        <f t="shared" si="145"/>
        <v>3.4320311741478947E-2</v>
      </c>
      <c r="CE62" s="445">
        <f t="shared" si="145"/>
        <v>3.4320311741478947E-2</v>
      </c>
      <c r="CF62" s="445">
        <f t="shared" ref="CF62:DG62" si="146">+CE62</f>
        <v>3.4320311741478947E-2</v>
      </c>
      <c r="CG62" s="445">
        <f t="shared" si="146"/>
        <v>3.4320311741478947E-2</v>
      </c>
      <c r="CH62" s="445">
        <f t="shared" si="146"/>
        <v>3.4320311741478947E-2</v>
      </c>
      <c r="CI62" s="446">
        <f t="shared" si="146"/>
        <v>3.4320311741478947E-2</v>
      </c>
      <c r="CJ62" s="445">
        <f t="shared" si="146"/>
        <v>3.4320311741478947E-2</v>
      </c>
      <c r="CK62" s="445">
        <f t="shared" si="146"/>
        <v>3.4320311741478947E-2</v>
      </c>
      <c r="CL62" s="445">
        <f t="shared" si="146"/>
        <v>3.4320311741478947E-2</v>
      </c>
      <c r="CM62" s="445">
        <f t="shared" si="146"/>
        <v>3.4320311741478947E-2</v>
      </c>
      <c r="CN62" s="445">
        <f t="shared" si="146"/>
        <v>3.4320311741478947E-2</v>
      </c>
      <c r="CO62" s="445">
        <f t="shared" si="146"/>
        <v>3.4320311741478947E-2</v>
      </c>
      <c r="CP62" s="445">
        <f t="shared" si="146"/>
        <v>3.4320311741478947E-2</v>
      </c>
      <c r="CQ62" s="445">
        <f t="shared" si="146"/>
        <v>3.4320311741478947E-2</v>
      </c>
      <c r="CR62" s="445">
        <f t="shared" si="146"/>
        <v>3.4320311741478947E-2</v>
      </c>
      <c r="CS62" s="445">
        <f t="shared" si="146"/>
        <v>3.4320311741478947E-2</v>
      </c>
      <c r="CT62" s="445">
        <f t="shared" si="146"/>
        <v>3.4320311741478947E-2</v>
      </c>
      <c r="CU62" s="446">
        <f t="shared" si="146"/>
        <v>3.4320311741478947E-2</v>
      </c>
      <c r="CV62" s="445">
        <f t="shared" si="146"/>
        <v>3.4320311741478947E-2</v>
      </c>
      <c r="CW62" s="445">
        <f t="shared" si="146"/>
        <v>3.4320311741478947E-2</v>
      </c>
      <c r="CX62" s="445">
        <f t="shared" si="146"/>
        <v>3.4320311741478947E-2</v>
      </c>
      <c r="CY62" s="445">
        <f t="shared" si="146"/>
        <v>3.4320311741478947E-2</v>
      </c>
      <c r="CZ62" s="445">
        <f t="shared" si="146"/>
        <v>3.4320311741478947E-2</v>
      </c>
      <c r="DA62" s="445">
        <f t="shared" si="146"/>
        <v>3.4320311741478947E-2</v>
      </c>
      <c r="DB62" s="445">
        <f t="shared" si="146"/>
        <v>3.4320311741478947E-2</v>
      </c>
      <c r="DC62" s="445">
        <f t="shared" si="146"/>
        <v>3.4320311741478947E-2</v>
      </c>
      <c r="DD62" s="445">
        <f t="shared" si="146"/>
        <v>3.4320311741478947E-2</v>
      </c>
      <c r="DE62" s="445">
        <f t="shared" si="146"/>
        <v>3.4320311741478947E-2</v>
      </c>
      <c r="DF62" s="445">
        <f t="shared" si="146"/>
        <v>3.4320311741478947E-2</v>
      </c>
      <c r="DG62" s="445">
        <f t="shared" si="146"/>
        <v>3.4320311741478947E-2</v>
      </c>
    </row>
    <row r="63" spans="1:111" s="444" customFormat="1" x14ac:dyDescent="0.25">
      <c r="A63" s="442"/>
      <c r="B63" s="443"/>
      <c r="C63" s="443" t="s">
        <v>120</v>
      </c>
      <c r="W63" s="445" t="e">
        <f t="shared" ref="W63:AX63" si="147">+W59/W13</f>
        <v>#DIV/0!</v>
      </c>
      <c r="X63" s="445" t="e">
        <f t="shared" si="147"/>
        <v>#DIV/0!</v>
      </c>
      <c r="Y63" s="445" t="e">
        <f t="shared" si="147"/>
        <v>#DIV/0!</v>
      </c>
      <c r="Z63" s="445" t="e">
        <f t="shared" si="147"/>
        <v>#DIV/0!</v>
      </c>
      <c r="AA63" s="445" t="e">
        <f t="shared" si="147"/>
        <v>#DIV/0!</v>
      </c>
      <c r="AB63" s="445">
        <f t="shared" si="147"/>
        <v>6.2749410840534162E-2</v>
      </c>
      <c r="AC63" s="445">
        <f t="shared" si="147"/>
        <v>6.7904391328515848E-2</v>
      </c>
      <c r="AD63" s="445">
        <f t="shared" si="147"/>
        <v>4.211669993782112E-2</v>
      </c>
      <c r="AE63" s="445">
        <f t="shared" si="147"/>
        <v>1.8276832544454395E-2</v>
      </c>
      <c r="AF63" s="445">
        <f t="shared" si="147"/>
        <v>9.3603379721669988E-2</v>
      </c>
      <c r="AG63" s="445">
        <f t="shared" si="147"/>
        <v>4.4017332960581489E-2</v>
      </c>
      <c r="AH63" s="445">
        <f t="shared" si="147"/>
        <v>2.7552156927936167E-2</v>
      </c>
      <c r="AI63" s="445">
        <f t="shared" si="147"/>
        <v>5.2721041809458535E-3</v>
      </c>
      <c r="AJ63" s="445">
        <f t="shared" si="147"/>
        <v>6.2494490965182897E-3</v>
      </c>
      <c r="AK63" s="445">
        <f t="shared" si="147"/>
        <v>4.6405092893335068E-2</v>
      </c>
      <c r="AL63" s="445">
        <f t="shared" si="147"/>
        <v>7.2141736269298914E-2</v>
      </c>
      <c r="AM63" s="445">
        <f t="shared" si="147"/>
        <v>9.5772106631989609E-2</v>
      </c>
      <c r="AN63" s="445">
        <f t="shared" si="147"/>
        <v>3.7193593262957424E-2</v>
      </c>
      <c r="AO63" s="445">
        <f t="shared" si="147"/>
        <v>7.6525040223714605E-2</v>
      </c>
      <c r="AP63" s="445">
        <f t="shared" si="147"/>
        <v>0.11396919181261869</v>
      </c>
      <c r="AQ63" s="445">
        <f t="shared" si="147"/>
        <v>4.4872960854771514E-2</v>
      </c>
      <c r="AR63" s="445">
        <f t="shared" si="147"/>
        <v>9.5745923261086469E-2</v>
      </c>
      <c r="AS63" s="445">
        <f t="shared" si="147"/>
        <v>7.3137373048080212E-2</v>
      </c>
      <c r="AT63" s="445">
        <f t="shared" si="147"/>
        <v>7.9275599679182587E-2</v>
      </c>
      <c r="AU63" s="445">
        <f t="shared" si="147"/>
        <v>0.10036911940522776</v>
      </c>
      <c r="AV63" s="445">
        <f t="shared" si="147"/>
        <v>0.14479170887050377</v>
      </c>
      <c r="AW63" s="445">
        <f t="shared" si="147"/>
        <v>8.2664951952273788E-2</v>
      </c>
      <c r="AX63" s="446">
        <f t="shared" si="147"/>
        <v>0.1004332129963899</v>
      </c>
      <c r="AY63" s="496">
        <f>+AVERAGE(AS63:AX63)</f>
        <v>9.6778660991943002E-2</v>
      </c>
      <c r="AZ63" s="445">
        <f t="shared" ref="AZ63:CE63" si="148">+AY63</f>
        <v>9.6778660991943002E-2</v>
      </c>
      <c r="BA63" s="445">
        <f t="shared" si="148"/>
        <v>9.6778660991943002E-2</v>
      </c>
      <c r="BB63" s="445">
        <f t="shared" si="148"/>
        <v>9.6778660991943002E-2</v>
      </c>
      <c r="BC63" s="445">
        <f t="shared" si="148"/>
        <v>9.6778660991943002E-2</v>
      </c>
      <c r="BD63" s="445">
        <f t="shared" si="148"/>
        <v>9.6778660991943002E-2</v>
      </c>
      <c r="BE63" s="445">
        <f t="shared" si="148"/>
        <v>9.6778660991943002E-2</v>
      </c>
      <c r="BF63" s="445">
        <f t="shared" si="148"/>
        <v>9.6778660991943002E-2</v>
      </c>
      <c r="BG63" s="445">
        <f t="shared" si="148"/>
        <v>9.6778660991943002E-2</v>
      </c>
      <c r="BH63" s="445">
        <f t="shared" si="148"/>
        <v>9.6778660991943002E-2</v>
      </c>
      <c r="BI63" s="445">
        <f t="shared" si="148"/>
        <v>9.6778660991943002E-2</v>
      </c>
      <c r="BJ63" s="445">
        <f t="shared" si="148"/>
        <v>9.6778660991943002E-2</v>
      </c>
      <c r="BK63" s="446">
        <f t="shared" si="148"/>
        <v>9.6778660991943002E-2</v>
      </c>
      <c r="BL63" s="445">
        <f t="shared" si="148"/>
        <v>9.6778660991943002E-2</v>
      </c>
      <c r="BM63" s="445">
        <f t="shared" si="148"/>
        <v>9.6778660991943002E-2</v>
      </c>
      <c r="BN63" s="445">
        <f t="shared" si="148"/>
        <v>9.6778660991943002E-2</v>
      </c>
      <c r="BO63" s="445">
        <f t="shared" si="148"/>
        <v>9.6778660991943002E-2</v>
      </c>
      <c r="BP63" s="445">
        <f t="shared" si="148"/>
        <v>9.6778660991943002E-2</v>
      </c>
      <c r="BQ63" s="445">
        <f t="shared" si="148"/>
        <v>9.6778660991943002E-2</v>
      </c>
      <c r="BR63" s="445">
        <f t="shared" si="148"/>
        <v>9.6778660991943002E-2</v>
      </c>
      <c r="BS63" s="445">
        <f t="shared" si="148"/>
        <v>9.6778660991943002E-2</v>
      </c>
      <c r="BT63" s="445">
        <f t="shared" si="148"/>
        <v>9.6778660991943002E-2</v>
      </c>
      <c r="BU63" s="445">
        <f t="shared" si="148"/>
        <v>9.6778660991943002E-2</v>
      </c>
      <c r="BV63" s="445">
        <f t="shared" si="148"/>
        <v>9.6778660991943002E-2</v>
      </c>
      <c r="BW63" s="446">
        <f t="shared" si="148"/>
        <v>9.6778660991943002E-2</v>
      </c>
      <c r="BX63" s="445">
        <f t="shared" si="148"/>
        <v>9.6778660991943002E-2</v>
      </c>
      <c r="BY63" s="445">
        <f t="shared" si="148"/>
        <v>9.6778660991943002E-2</v>
      </c>
      <c r="BZ63" s="445">
        <f t="shared" si="148"/>
        <v>9.6778660991943002E-2</v>
      </c>
      <c r="CA63" s="445">
        <f t="shared" si="148"/>
        <v>9.6778660991943002E-2</v>
      </c>
      <c r="CB63" s="445">
        <f t="shared" si="148"/>
        <v>9.6778660991943002E-2</v>
      </c>
      <c r="CC63" s="445">
        <f t="shared" si="148"/>
        <v>9.6778660991943002E-2</v>
      </c>
      <c r="CD63" s="445">
        <f t="shared" si="148"/>
        <v>9.6778660991943002E-2</v>
      </c>
      <c r="CE63" s="445">
        <f t="shared" si="148"/>
        <v>9.6778660991943002E-2</v>
      </c>
      <c r="CF63" s="445">
        <f t="shared" ref="CF63:DG63" si="149">+CE63</f>
        <v>9.6778660991943002E-2</v>
      </c>
      <c r="CG63" s="445">
        <f t="shared" si="149"/>
        <v>9.6778660991943002E-2</v>
      </c>
      <c r="CH63" s="445">
        <f t="shared" si="149"/>
        <v>9.6778660991943002E-2</v>
      </c>
      <c r="CI63" s="446">
        <f t="shared" si="149"/>
        <v>9.6778660991943002E-2</v>
      </c>
      <c r="CJ63" s="445">
        <f t="shared" si="149"/>
        <v>9.6778660991943002E-2</v>
      </c>
      <c r="CK63" s="445">
        <f t="shared" si="149"/>
        <v>9.6778660991943002E-2</v>
      </c>
      <c r="CL63" s="445">
        <f t="shared" si="149"/>
        <v>9.6778660991943002E-2</v>
      </c>
      <c r="CM63" s="445">
        <f t="shared" si="149"/>
        <v>9.6778660991943002E-2</v>
      </c>
      <c r="CN63" s="445">
        <f t="shared" si="149"/>
        <v>9.6778660991943002E-2</v>
      </c>
      <c r="CO63" s="445">
        <f t="shared" si="149"/>
        <v>9.6778660991943002E-2</v>
      </c>
      <c r="CP63" s="445">
        <f t="shared" si="149"/>
        <v>9.6778660991943002E-2</v>
      </c>
      <c r="CQ63" s="445">
        <f t="shared" si="149"/>
        <v>9.6778660991943002E-2</v>
      </c>
      <c r="CR63" s="445">
        <f t="shared" si="149"/>
        <v>9.6778660991943002E-2</v>
      </c>
      <c r="CS63" s="445">
        <f t="shared" si="149"/>
        <v>9.6778660991943002E-2</v>
      </c>
      <c r="CT63" s="445">
        <f t="shared" si="149"/>
        <v>9.6778660991943002E-2</v>
      </c>
      <c r="CU63" s="446">
        <f t="shared" si="149"/>
        <v>9.6778660991943002E-2</v>
      </c>
      <c r="CV63" s="445">
        <f t="shared" si="149"/>
        <v>9.6778660991943002E-2</v>
      </c>
      <c r="CW63" s="445">
        <f t="shared" si="149"/>
        <v>9.6778660991943002E-2</v>
      </c>
      <c r="CX63" s="445">
        <f t="shared" si="149"/>
        <v>9.6778660991943002E-2</v>
      </c>
      <c r="CY63" s="445">
        <f t="shared" si="149"/>
        <v>9.6778660991943002E-2</v>
      </c>
      <c r="CZ63" s="445">
        <f t="shared" si="149"/>
        <v>9.6778660991943002E-2</v>
      </c>
      <c r="DA63" s="445">
        <f t="shared" si="149"/>
        <v>9.6778660991943002E-2</v>
      </c>
      <c r="DB63" s="445">
        <f t="shared" si="149"/>
        <v>9.6778660991943002E-2</v>
      </c>
      <c r="DC63" s="445">
        <f t="shared" si="149"/>
        <v>9.6778660991943002E-2</v>
      </c>
      <c r="DD63" s="445">
        <f t="shared" si="149"/>
        <v>9.6778660991943002E-2</v>
      </c>
      <c r="DE63" s="445">
        <f t="shared" si="149"/>
        <v>9.6778660991943002E-2</v>
      </c>
      <c r="DF63" s="445">
        <f t="shared" si="149"/>
        <v>9.6778660991943002E-2</v>
      </c>
      <c r="DG63" s="445">
        <f t="shared" si="149"/>
        <v>9.6778660991943002E-2</v>
      </c>
    </row>
    <row r="64" spans="1:111" x14ac:dyDescent="0.25">
      <c r="B64" s="1"/>
      <c r="C64" s="1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230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230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230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230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230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</row>
    <row r="65" spans="1:111" s="47" customFormat="1" x14ac:dyDescent="0.25">
      <c r="A65" s="3"/>
      <c r="B65" s="4" t="s">
        <v>121</v>
      </c>
      <c r="C65" s="4"/>
      <c r="D65" s="47">
        <f t="shared" ref="D65:J65" si="150">(D13)-(0)</f>
        <v>0</v>
      </c>
      <c r="E65" s="47">
        <f t="shared" si="150"/>
        <v>0</v>
      </c>
      <c r="F65" s="47">
        <f t="shared" si="150"/>
        <v>0</v>
      </c>
      <c r="G65" s="47">
        <f t="shared" si="150"/>
        <v>0</v>
      </c>
      <c r="H65" s="47">
        <f t="shared" si="150"/>
        <v>0</v>
      </c>
      <c r="I65" s="47">
        <f t="shared" si="150"/>
        <v>0</v>
      </c>
      <c r="J65" s="47">
        <f t="shared" si="150"/>
        <v>0</v>
      </c>
      <c r="K65" s="47">
        <f t="shared" ref="K65:U65" si="151">K13</f>
        <v>0</v>
      </c>
      <c r="L65" s="47">
        <f t="shared" si="151"/>
        <v>0</v>
      </c>
      <c r="M65" s="47">
        <f t="shared" si="151"/>
        <v>0</v>
      </c>
      <c r="N65" s="47">
        <f t="shared" si="151"/>
        <v>0</v>
      </c>
      <c r="O65" s="47">
        <f t="shared" si="151"/>
        <v>0</v>
      </c>
      <c r="P65" s="47">
        <f t="shared" si="151"/>
        <v>0</v>
      </c>
      <c r="Q65" s="47">
        <f t="shared" si="151"/>
        <v>0</v>
      </c>
      <c r="R65" s="47">
        <f t="shared" si="151"/>
        <v>0</v>
      </c>
      <c r="S65" s="47">
        <f t="shared" si="151"/>
        <v>0</v>
      </c>
      <c r="T65" s="47">
        <f t="shared" si="151"/>
        <v>0</v>
      </c>
      <c r="U65" s="47">
        <f t="shared" si="151"/>
        <v>0</v>
      </c>
      <c r="V65" s="47">
        <f t="shared" ref="V65:BA65" si="152">V13-V61</f>
        <v>0</v>
      </c>
      <c r="W65" s="47">
        <f t="shared" si="152"/>
        <v>0</v>
      </c>
      <c r="X65" s="47">
        <f t="shared" si="152"/>
        <v>0</v>
      </c>
      <c r="Y65" s="47">
        <f t="shared" si="152"/>
        <v>0</v>
      </c>
      <c r="Z65" s="47">
        <f t="shared" si="152"/>
        <v>0</v>
      </c>
      <c r="AA65" s="47">
        <f t="shared" si="152"/>
        <v>0</v>
      </c>
      <c r="AB65" s="47">
        <f t="shared" si="152"/>
        <v>5224.7</v>
      </c>
      <c r="AC65" s="47">
        <f t="shared" si="152"/>
        <v>6092.36</v>
      </c>
      <c r="AD65" s="47">
        <f t="shared" si="152"/>
        <v>7107.41</v>
      </c>
      <c r="AE65" s="47">
        <f t="shared" si="152"/>
        <v>7480.21</v>
      </c>
      <c r="AF65" s="47">
        <f t="shared" si="152"/>
        <v>6626.88</v>
      </c>
      <c r="AG65" s="47">
        <f t="shared" si="152"/>
        <v>5869.3899999999994</v>
      </c>
      <c r="AH65" s="47">
        <f t="shared" si="152"/>
        <v>5280.85</v>
      </c>
      <c r="AI65" s="47">
        <f t="shared" si="152"/>
        <v>6455.16</v>
      </c>
      <c r="AJ65" s="47">
        <f t="shared" si="152"/>
        <v>4171.33</v>
      </c>
      <c r="AK65" s="47">
        <f t="shared" si="152"/>
        <v>6338.51</v>
      </c>
      <c r="AL65" s="47">
        <f t="shared" si="152"/>
        <v>3990.31</v>
      </c>
      <c r="AM65" s="47">
        <f t="shared" si="152"/>
        <v>4921.41</v>
      </c>
      <c r="AN65" s="47">
        <f t="shared" si="152"/>
        <v>6223.77</v>
      </c>
      <c r="AO65" s="47">
        <f t="shared" si="152"/>
        <v>5756.5300000000007</v>
      </c>
      <c r="AP65" s="47">
        <f t="shared" si="152"/>
        <v>6083.8099999999995</v>
      </c>
      <c r="AQ65" s="47">
        <f t="shared" si="152"/>
        <v>7261.18</v>
      </c>
      <c r="AR65" s="47">
        <f t="shared" si="152"/>
        <v>6254.1399999999994</v>
      </c>
      <c r="AS65" s="47">
        <f t="shared" si="152"/>
        <v>6201.62</v>
      </c>
      <c r="AT65" s="47">
        <f t="shared" si="152"/>
        <v>6613.84</v>
      </c>
      <c r="AU65" s="47">
        <f t="shared" si="152"/>
        <v>6679.64</v>
      </c>
      <c r="AV65" s="47">
        <f t="shared" si="152"/>
        <v>5024.8999999999996</v>
      </c>
      <c r="AW65" s="47">
        <f t="shared" si="152"/>
        <v>6137.74</v>
      </c>
      <c r="AX65" s="229">
        <f t="shared" si="152"/>
        <v>4486.3500000000004</v>
      </c>
      <c r="AY65" s="47">
        <f t="shared" si="152"/>
        <v>4506.3888631212576</v>
      </c>
      <c r="AZ65" s="47">
        <f t="shared" si="152"/>
        <v>4932.485468090681</v>
      </c>
      <c r="BA65" s="47">
        <f t="shared" si="152"/>
        <v>5921.0799858945247</v>
      </c>
      <c r="BB65" s="47">
        <f t="shared" ref="BB65:CG65" si="153">BB13-BB61</f>
        <v>6605.946921253515</v>
      </c>
      <c r="BC65" s="47">
        <f t="shared" si="153"/>
        <v>7785.7576446198682</v>
      </c>
      <c r="BD65" s="47">
        <f t="shared" si="153"/>
        <v>7516.5305374227046</v>
      </c>
      <c r="BE65" s="47">
        <f t="shared" si="153"/>
        <v>7719.1616557491707</v>
      </c>
      <c r="BF65" s="47">
        <f t="shared" si="153"/>
        <v>7431.3595819449847</v>
      </c>
      <c r="BG65" s="47">
        <f t="shared" si="153"/>
        <v>7921.195808459991</v>
      </c>
      <c r="BH65" s="47">
        <f t="shared" si="153"/>
        <v>6062.4003936767549</v>
      </c>
      <c r="BI65" s="47">
        <f t="shared" si="153"/>
        <v>6382.5020806518478</v>
      </c>
      <c r="BJ65" s="47">
        <f t="shared" si="153"/>
        <v>6931.7660508011777</v>
      </c>
      <c r="BK65" s="229">
        <f t="shared" si="153"/>
        <v>6842.092113639641</v>
      </c>
      <c r="BL65" s="47">
        <f t="shared" si="153"/>
        <v>6080.9015773418178</v>
      </c>
      <c r="BM65" s="47">
        <f t="shared" si="153"/>
        <v>7147.1560975271996</v>
      </c>
      <c r="BN65" s="47">
        <f t="shared" si="153"/>
        <v>8063.7942489277411</v>
      </c>
      <c r="BO65" s="47">
        <f t="shared" si="153"/>
        <v>8919.9985370646937</v>
      </c>
      <c r="BP65" s="47">
        <f t="shared" si="153"/>
        <v>8455.3376250660094</v>
      </c>
      <c r="BQ65" s="47">
        <f t="shared" si="153"/>
        <v>8645.2883629451553</v>
      </c>
      <c r="BR65" s="47">
        <f t="shared" si="153"/>
        <v>7954.5502487543472</v>
      </c>
      <c r="BS65" s="47">
        <f t="shared" si="153"/>
        <v>9101.1285390480843</v>
      </c>
      <c r="BT65" s="47">
        <f t="shared" si="153"/>
        <v>6563.7248651532054</v>
      </c>
      <c r="BU65" s="47">
        <f t="shared" si="153"/>
        <v>6725.9960799241171</v>
      </c>
      <c r="BV65" s="47">
        <f t="shared" si="153"/>
        <v>7895.8143075832886</v>
      </c>
      <c r="BW65" s="229">
        <f t="shared" si="153"/>
        <v>7348.9202830726572</v>
      </c>
      <c r="BX65" s="47">
        <f t="shared" si="153"/>
        <v>6504.750042968557</v>
      </c>
      <c r="BY65" s="47">
        <f t="shared" si="153"/>
        <v>8069.9868078748041</v>
      </c>
      <c r="BZ65" s="47">
        <f t="shared" si="153"/>
        <v>8744.6253347487291</v>
      </c>
      <c r="CA65" s="47">
        <f t="shared" si="153"/>
        <v>8958.0757933670266</v>
      </c>
      <c r="CB65" s="47">
        <f t="shared" si="153"/>
        <v>10036.669765387001</v>
      </c>
      <c r="CC65" s="47">
        <f t="shared" si="153"/>
        <v>9418.3931761265885</v>
      </c>
      <c r="CD65" s="47">
        <f t="shared" si="153"/>
        <v>8255.3425487721215</v>
      </c>
      <c r="CE65" s="47">
        <f t="shared" si="153"/>
        <v>10243.870920068337</v>
      </c>
      <c r="CF65" s="47">
        <f t="shared" si="153"/>
        <v>6761.9471642978315</v>
      </c>
      <c r="CG65" s="47">
        <f t="shared" si="153"/>
        <v>7483.0651573513496</v>
      </c>
      <c r="CH65" s="47">
        <f t="shared" ref="CH65:DG65" si="154">CH13-CH61</f>
        <v>8555.2391478772788</v>
      </c>
      <c r="CI65" s="229">
        <f t="shared" si="154"/>
        <v>7315.1160407578063</v>
      </c>
      <c r="CJ65" s="47">
        <f t="shared" si="154"/>
        <v>7592.0020839719</v>
      </c>
      <c r="CK65" s="47">
        <f t="shared" si="154"/>
        <v>8385.2903997728572</v>
      </c>
      <c r="CL65" s="47">
        <f t="shared" si="154"/>
        <v>9117.5008204204678</v>
      </c>
      <c r="CM65" s="47">
        <f t="shared" si="154"/>
        <v>10186.521228576165</v>
      </c>
      <c r="CN65" s="47">
        <f t="shared" si="154"/>
        <v>10998.828744444359</v>
      </c>
      <c r="CO65" s="47">
        <f t="shared" si="154"/>
        <v>9841.1633669076655</v>
      </c>
      <c r="CP65" s="47">
        <f t="shared" si="154"/>
        <v>9354.5341271710968</v>
      </c>
      <c r="CQ65" s="47">
        <f t="shared" si="154"/>
        <v>11188.788147737379</v>
      </c>
      <c r="CR65" s="47">
        <f t="shared" si="154"/>
        <v>7024.6896174316807</v>
      </c>
      <c r="CS65" s="47">
        <f t="shared" si="154"/>
        <v>8500.7846402489595</v>
      </c>
      <c r="CT65" s="47">
        <f t="shared" si="154"/>
        <v>9360.9715179960003</v>
      </c>
      <c r="CU65" s="229">
        <f t="shared" si="154"/>
        <v>8051.4987073368202</v>
      </c>
      <c r="CV65" s="47">
        <f t="shared" si="154"/>
        <v>8314.8288019668307</v>
      </c>
      <c r="CW65" s="47">
        <f t="shared" si="154"/>
        <v>9173.4723574393538</v>
      </c>
      <c r="CX65" s="47">
        <f t="shared" si="154"/>
        <v>9675.5310017913762</v>
      </c>
      <c r="CY65" s="47">
        <f t="shared" si="154"/>
        <v>11763.067608672241</v>
      </c>
      <c r="CZ65" s="47">
        <f t="shared" si="154"/>
        <v>12130.218393681163</v>
      </c>
      <c r="DA65" s="47">
        <f t="shared" si="154"/>
        <v>10413.866510791675</v>
      </c>
      <c r="DB65" s="47">
        <f t="shared" si="154"/>
        <v>10677.573906707818</v>
      </c>
      <c r="DC65" s="47">
        <f t="shared" si="154"/>
        <v>11836.510964874233</v>
      </c>
      <c r="DD65" s="47">
        <f t="shared" si="154"/>
        <v>7992.7986551631202</v>
      </c>
      <c r="DE65" s="47">
        <f t="shared" si="154"/>
        <v>9294.1744554586039</v>
      </c>
      <c r="DF65" s="47">
        <f t="shared" si="154"/>
        <v>9822.5988442311991</v>
      </c>
      <c r="DG65" s="47">
        <f t="shared" si="154"/>
        <v>9096.1883158128749</v>
      </c>
    </row>
    <row r="66" spans="1:111" s="222" customFormat="1" x14ac:dyDescent="0.25">
      <c r="A66" s="220"/>
      <c r="B66" s="221"/>
      <c r="C66" s="221" t="s">
        <v>122</v>
      </c>
      <c r="W66" s="223"/>
      <c r="X66" s="223"/>
      <c r="Y66" s="223"/>
      <c r="Z66" s="223"/>
      <c r="AA66" s="223"/>
      <c r="AB66" s="223">
        <f t="shared" ref="AB66:BG66" si="155">+AB65/AB13</f>
        <v>0.91205376625643708</v>
      </c>
      <c r="AC66" s="223">
        <f t="shared" si="155"/>
        <v>0.90307355938484335</v>
      </c>
      <c r="AD66" s="223">
        <f t="shared" si="155"/>
        <v>0.93038060018980917</v>
      </c>
      <c r="AE66" s="223">
        <f t="shared" si="155"/>
        <v>0.95691569655878217</v>
      </c>
      <c r="AF66" s="223">
        <f t="shared" si="155"/>
        <v>0.82341948310139168</v>
      </c>
      <c r="AG66" s="223">
        <f t="shared" si="155"/>
        <v>0.82043472183393895</v>
      </c>
      <c r="AH66" s="223">
        <f t="shared" si="155"/>
        <v>0.87787382594963015</v>
      </c>
      <c r="AI66" s="223">
        <f t="shared" si="155"/>
        <v>0.88487457162440031</v>
      </c>
      <c r="AJ66" s="223">
        <f t="shared" si="155"/>
        <v>0.919200088144557</v>
      </c>
      <c r="AK66" s="223">
        <f t="shared" si="155"/>
        <v>0.82350396258282454</v>
      </c>
      <c r="AL66" s="223">
        <f t="shared" si="155"/>
        <v>0.80795950392305749</v>
      </c>
      <c r="AM66" s="223">
        <f t="shared" si="155"/>
        <v>0.7999691157347204</v>
      </c>
      <c r="AN66" s="223">
        <f t="shared" si="155"/>
        <v>0.92601156069364166</v>
      </c>
      <c r="AO66" s="223">
        <f t="shared" si="155"/>
        <v>0.88546470311360781</v>
      </c>
      <c r="AP66" s="223">
        <f t="shared" si="155"/>
        <v>0.85585003868608001</v>
      </c>
      <c r="AQ66" s="223">
        <f t="shared" si="155"/>
        <v>0.92360861131427485</v>
      </c>
      <c r="AR66" s="223">
        <f t="shared" si="155"/>
        <v>0.79391237454967356</v>
      </c>
      <c r="AS66" s="223">
        <f t="shared" si="155"/>
        <v>0.9004232335624941</v>
      </c>
      <c r="AT66" s="223">
        <f t="shared" si="155"/>
        <v>0.8915273200288466</v>
      </c>
      <c r="AU66" s="223">
        <f t="shared" si="155"/>
        <v>0.87277336068519018</v>
      </c>
      <c r="AV66" s="223">
        <f t="shared" si="155"/>
        <v>0.81434903451125928</v>
      </c>
      <c r="AW66" s="223">
        <f t="shared" si="155"/>
        <v>0.87703925981495368</v>
      </c>
      <c r="AX66" s="232">
        <f t="shared" si="155"/>
        <v>0.85243207296218892</v>
      </c>
      <c r="AY66" s="497">
        <f t="shared" si="155"/>
        <v>0.80903448980661907</v>
      </c>
      <c r="AZ66" s="223">
        <f t="shared" si="155"/>
        <v>0.78798523435084278</v>
      </c>
      <c r="BA66" s="223">
        <f t="shared" si="155"/>
        <v>0.74721084773262614</v>
      </c>
      <c r="BB66" s="223">
        <f t="shared" si="155"/>
        <v>0.7277321615019352</v>
      </c>
      <c r="BC66" s="223">
        <f t="shared" si="155"/>
        <v>0.70050080407322779</v>
      </c>
      <c r="BD66" s="223">
        <f t="shared" si="155"/>
        <v>0.705034330864453</v>
      </c>
      <c r="BE66" s="223">
        <f t="shared" si="155"/>
        <v>0.70482346461352086</v>
      </c>
      <c r="BF66" s="223">
        <f t="shared" si="155"/>
        <v>0.70995969252700941</v>
      </c>
      <c r="BG66" s="223">
        <f t="shared" si="155"/>
        <v>0.70148124443768967</v>
      </c>
      <c r="BH66" s="223">
        <f t="shared" ref="BH66:CM66" si="156">+BH65/BH13</f>
        <v>0.75204947011342393</v>
      </c>
      <c r="BI66" s="223">
        <f t="shared" si="156"/>
        <v>0.73351981387170473</v>
      </c>
      <c r="BJ66" s="223">
        <f t="shared" si="156"/>
        <v>0.72010366544589322</v>
      </c>
      <c r="BK66" s="232">
        <f t="shared" si="156"/>
        <v>0.72989779908236263</v>
      </c>
      <c r="BL66" s="223">
        <f t="shared" si="156"/>
        <v>0.75854088741437597</v>
      </c>
      <c r="BM66" s="223">
        <f t="shared" si="156"/>
        <v>0.7312990990914372</v>
      </c>
      <c r="BN66" s="223">
        <f t="shared" si="156"/>
        <v>0.71466030456584784</v>
      </c>
      <c r="BO66" s="223">
        <f t="shared" si="156"/>
        <v>0.69996913237973168</v>
      </c>
      <c r="BP66" s="223">
        <f t="shared" si="156"/>
        <v>0.70591224577827139</v>
      </c>
      <c r="BQ66" s="223">
        <f t="shared" si="156"/>
        <v>0.70623324323973447</v>
      </c>
      <c r="BR66" s="223">
        <f t="shared" si="156"/>
        <v>0.71640573754939407</v>
      </c>
      <c r="BS66" s="223">
        <f t="shared" si="156"/>
        <v>0.70049612634447733</v>
      </c>
      <c r="BT66" s="223">
        <f t="shared" si="156"/>
        <v>0.75331000467202236</v>
      </c>
      <c r="BU66" s="223">
        <f t="shared" si="156"/>
        <v>0.74079978765520471</v>
      </c>
      <c r="BV66" s="223">
        <f t="shared" si="156"/>
        <v>0.71736777999819423</v>
      </c>
      <c r="BW66" s="232">
        <f t="shared" si="156"/>
        <v>0.73439344212691204</v>
      </c>
      <c r="BX66" s="223">
        <f t="shared" si="156"/>
        <v>0.76173407852106823</v>
      </c>
      <c r="BY66" s="223">
        <f t="shared" si="156"/>
        <v>0.72924611658129357</v>
      </c>
      <c r="BZ66" s="223">
        <f t="shared" si="156"/>
        <v>0.71940882938903405</v>
      </c>
      <c r="CA66" s="223">
        <f t="shared" si="156"/>
        <v>0.713887460928184</v>
      </c>
      <c r="CB66" s="223">
        <f t="shared" si="156"/>
        <v>0.70238035377317465</v>
      </c>
      <c r="CC66" s="223">
        <f t="shared" si="156"/>
        <v>0.71119912374055949</v>
      </c>
      <c r="CD66" s="223">
        <f t="shared" si="156"/>
        <v>0.72635550439266494</v>
      </c>
      <c r="CE66" s="223">
        <f t="shared" si="156"/>
        <v>0.70281104306564279</v>
      </c>
      <c r="CF66" s="223">
        <f t="shared" si="156"/>
        <v>0.76339430967278843</v>
      </c>
      <c r="CG66" s="223">
        <f t="shared" si="156"/>
        <v>0.73952685255860662</v>
      </c>
      <c r="CH66" s="223">
        <f t="shared" si="156"/>
        <v>0.72198781503626208</v>
      </c>
      <c r="CI66" s="232">
        <f t="shared" si="156"/>
        <v>0.75021174881682651</v>
      </c>
      <c r="CJ66" s="223">
        <f t="shared" si="156"/>
        <v>0.75161734677242353</v>
      </c>
      <c r="CK66" s="223">
        <f t="shared" si="156"/>
        <v>0.73830939964947773</v>
      </c>
      <c r="CL66" s="223">
        <f t="shared" si="156"/>
        <v>0.72839724832527974</v>
      </c>
      <c r="CM66" s="223">
        <f t="shared" si="156"/>
        <v>0.71444206911617725</v>
      </c>
      <c r="CN66" s="223">
        <f t="shared" ref="CN66:DS66" si="157">+CN65/CN13</f>
        <v>0.70756281310801916</v>
      </c>
      <c r="CO66" s="223">
        <f t="shared" si="157"/>
        <v>0.72025419684045844</v>
      </c>
      <c r="CP66" s="223">
        <f t="shared" si="157"/>
        <v>0.72557055567189721</v>
      </c>
      <c r="CQ66" s="223">
        <f t="shared" si="157"/>
        <v>0.708239177245788</v>
      </c>
      <c r="CR66" s="223">
        <f t="shared" si="157"/>
        <v>0.77132920223866919</v>
      </c>
      <c r="CS66" s="223">
        <f t="shared" si="157"/>
        <v>0.73661357647783166</v>
      </c>
      <c r="CT66" s="223">
        <f t="shared" si="157"/>
        <v>0.72549608234521468</v>
      </c>
      <c r="CU66" s="232">
        <f t="shared" si="157"/>
        <v>0.75011595451502855</v>
      </c>
      <c r="CV66" s="223">
        <f t="shared" si="157"/>
        <v>0.75261994249842401</v>
      </c>
      <c r="CW66" s="223">
        <f t="shared" si="157"/>
        <v>0.74075455596679174</v>
      </c>
      <c r="CX66" s="223">
        <f t="shared" si="157"/>
        <v>0.73493253613502851</v>
      </c>
      <c r="CY66" s="223">
        <f t="shared" si="157"/>
        <v>0.71463542632146049</v>
      </c>
      <c r="CZ66" s="223">
        <f t="shared" si="157"/>
        <v>0.71222050865740383</v>
      </c>
      <c r="DA66" s="223">
        <f t="shared" si="157"/>
        <v>0.72752509204013982</v>
      </c>
      <c r="DB66" s="223">
        <f t="shared" si="157"/>
        <v>0.72515957939653319</v>
      </c>
      <c r="DC66" s="223">
        <f t="shared" si="157"/>
        <v>0.71615609060014085</v>
      </c>
      <c r="DD66" s="223">
        <f t="shared" si="157"/>
        <v>0.76461387842415263</v>
      </c>
      <c r="DE66" s="223">
        <f t="shared" si="157"/>
        <v>0.73928878982523882</v>
      </c>
      <c r="DF66" s="223">
        <f t="shared" si="157"/>
        <v>0.73335570696252061</v>
      </c>
      <c r="DG66" s="223">
        <f t="shared" si="157"/>
        <v>0.74740670024839784</v>
      </c>
    </row>
    <row r="67" spans="1:111" s="47" customFormat="1" x14ac:dyDescent="0.25">
      <c r="B67" s="1" t="s">
        <v>123</v>
      </c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539"/>
      <c r="AY67" s="585"/>
      <c r="BK67" s="227"/>
      <c r="BW67" s="227"/>
      <c r="CI67" s="227"/>
      <c r="CU67" s="227"/>
    </row>
    <row r="68" spans="1:111" x14ac:dyDescent="0.25">
      <c r="B68" s="1" t="s">
        <v>124</v>
      </c>
      <c r="C68" s="1"/>
      <c r="D68" s="104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5"/>
      <c r="T68" s="255"/>
      <c r="U68" s="255"/>
      <c r="V68" s="255"/>
      <c r="W68" s="255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  <c r="AJ68" s="255"/>
      <c r="AK68" s="255"/>
      <c r="AL68" s="255"/>
      <c r="AM68" s="255"/>
      <c r="AN68" s="255"/>
      <c r="AO68" s="255">
        <v>1300</v>
      </c>
      <c r="AP68" s="255">
        <v>1430</v>
      </c>
      <c r="AQ68" s="255">
        <v>1950</v>
      </c>
      <c r="AR68" s="255">
        <v>1365</v>
      </c>
      <c r="AS68" s="255">
        <v>650</v>
      </c>
      <c r="AT68" s="255">
        <v>650</v>
      </c>
      <c r="AU68" s="255">
        <v>715</v>
      </c>
      <c r="AV68" s="255">
        <v>438.75</v>
      </c>
      <c r="AW68" s="255">
        <v>650</v>
      </c>
      <c r="AX68" s="618">
        <v>390</v>
      </c>
      <c r="AY68" s="617">
        <f>+'People Plan'!Z18</f>
        <v>1950</v>
      </c>
      <c r="AZ68" s="255">
        <f>+'People Plan'!AA18</f>
        <v>2047.5</v>
      </c>
      <c r="BA68" s="255">
        <f>+'People Plan'!AB18</f>
        <v>2047.5</v>
      </c>
      <c r="BB68" s="255">
        <f>+'People Plan'!AC18</f>
        <v>2047.5</v>
      </c>
      <c r="BC68" s="255">
        <f>+'People Plan'!AD18</f>
        <v>2047.5</v>
      </c>
      <c r="BD68" s="255">
        <f>+'People Plan'!AE18</f>
        <v>2047.5</v>
      </c>
      <c r="BE68" s="255">
        <f>+'People Plan'!AF18</f>
        <v>2047.5</v>
      </c>
      <c r="BF68" s="255">
        <f>+'People Plan'!AG18</f>
        <v>2047.5</v>
      </c>
      <c r="BG68" s="255">
        <f>+'People Plan'!AH18</f>
        <v>2047.5</v>
      </c>
      <c r="BH68" s="255">
        <f>+'People Plan'!AI18</f>
        <v>2047.5</v>
      </c>
      <c r="BI68" s="255">
        <f>+'People Plan'!AJ18</f>
        <v>2047.5</v>
      </c>
      <c r="BJ68" s="255">
        <f>+'People Plan'!AK18</f>
        <v>2047.5</v>
      </c>
      <c r="BK68" s="256">
        <f>+'People Plan'!AL18</f>
        <v>2047.5</v>
      </c>
      <c r="BL68" s="255">
        <f>+'People Plan'!AM18</f>
        <v>2149.875</v>
      </c>
      <c r="BM68" s="255">
        <f>+'People Plan'!AN18</f>
        <v>2149.875</v>
      </c>
      <c r="BN68" s="255">
        <f>+'People Plan'!AO18</f>
        <v>2149.875</v>
      </c>
      <c r="BO68" s="255">
        <f>+'People Plan'!AP18</f>
        <v>2149.875</v>
      </c>
      <c r="BP68" s="255">
        <f>+'People Plan'!AQ18</f>
        <v>2149.875</v>
      </c>
      <c r="BQ68" s="255">
        <f>+'People Plan'!AR18</f>
        <v>2149.875</v>
      </c>
      <c r="BR68" s="255">
        <f>+'People Plan'!AS18</f>
        <v>2149.875</v>
      </c>
      <c r="BS68" s="255">
        <f>+'People Plan'!AT18</f>
        <v>2149.875</v>
      </c>
      <c r="BT68" s="255">
        <f>+'People Plan'!AU18</f>
        <v>2149.875</v>
      </c>
      <c r="BU68" s="255">
        <f>+'People Plan'!AV18</f>
        <v>2149.875</v>
      </c>
      <c r="BV68" s="255">
        <f>+'People Plan'!AW18</f>
        <v>2149.875</v>
      </c>
      <c r="BW68" s="256">
        <f>+'People Plan'!AX18</f>
        <v>2149.875</v>
      </c>
      <c r="BX68" s="255">
        <f>+'People Plan'!AY18</f>
        <v>2257.3687500000001</v>
      </c>
      <c r="BY68" s="255">
        <f>+'People Plan'!AZ18</f>
        <v>2257.3687500000001</v>
      </c>
      <c r="BZ68" s="255">
        <f>+'People Plan'!BA18</f>
        <v>2257.3687500000001</v>
      </c>
      <c r="CA68" s="255">
        <f>+'People Plan'!BB18</f>
        <v>2257.3687500000001</v>
      </c>
      <c r="CB68" s="255">
        <f>+'People Plan'!BC18</f>
        <v>2257.3687500000001</v>
      </c>
      <c r="CC68" s="255">
        <f>+'People Plan'!BD18</f>
        <v>2257.3687500000001</v>
      </c>
      <c r="CD68" s="255">
        <f>+'People Plan'!BE18</f>
        <v>2257.3687500000001</v>
      </c>
      <c r="CE68" s="255">
        <f>+'People Plan'!BF18</f>
        <v>2257.3687500000001</v>
      </c>
      <c r="CF68" s="255">
        <f>+'People Plan'!BG18</f>
        <v>2257.3687500000001</v>
      </c>
      <c r="CG68" s="255">
        <f>+'People Plan'!BH18</f>
        <v>2257.3687500000001</v>
      </c>
      <c r="CH68" s="255">
        <f>+'People Plan'!BI18</f>
        <v>2257.3687500000001</v>
      </c>
      <c r="CI68" s="256">
        <f>+'People Plan'!BJ18</f>
        <v>2257.3687500000001</v>
      </c>
      <c r="CJ68" s="255">
        <f>+'People Plan'!BK18</f>
        <v>2370.2371875000003</v>
      </c>
      <c r="CK68" s="255">
        <f>+'People Plan'!BL18</f>
        <v>2370.2371875000003</v>
      </c>
      <c r="CL68" s="255">
        <f>+'People Plan'!BM18</f>
        <v>2370.2371875000003</v>
      </c>
      <c r="CM68" s="255">
        <f>+'People Plan'!BN18</f>
        <v>2370.2371875000003</v>
      </c>
      <c r="CN68" s="255">
        <f>+'People Plan'!BO18</f>
        <v>2370.2371875000003</v>
      </c>
      <c r="CO68" s="255">
        <f>+'People Plan'!BP18</f>
        <v>2370.2371875000003</v>
      </c>
      <c r="CP68" s="255">
        <f>+'People Plan'!BQ18</f>
        <v>2370.2371875000003</v>
      </c>
      <c r="CQ68" s="255">
        <f>+'People Plan'!BR18</f>
        <v>2370.2371875000003</v>
      </c>
      <c r="CR68" s="255">
        <f>+'People Plan'!BS18</f>
        <v>2370.2371875000003</v>
      </c>
      <c r="CS68" s="255">
        <f>+'People Plan'!BT18</f>
        <v>2370.2371875000003</v>
      </c>
      <c r="CT68" s="255">
        <f>+'People Plan'!BU18</f>
        <v>2370.2371875000003</v>
      </c>
      <c r="CU68" s="256">
        <f>+'People Plan'!BV18</f>
        <v>2370.2371875000003</v>
      </c>
      <c r="CV68" s="255">
        <f>+'People Plan'!BW18</f>
        <v>2488.7490468750007</v>
      </c>
      <c r="CW68" s="255">
        <f>+'People Plan'!BX18</f>
        <v>2488.7490468750007</v>
      </c>
      <c r="CX68" s="255">
        <f>+'People Plan'!BY18</f>
        <v>2488.7490468750007</v>
      </c>
      <c r="CY68" s="255">
        <f>+'People Plan'!BZ18</f>
        <v>2488.7490468750007</v>
      </c>
      <c r="CZ68" s="255">
        <f>+'People Plan'!CA18</f>
        <v>2488.7490468750007</v>
      </c>
      <c r="DA68" s="255">
        <f>+'People Plan'!CB18</f>
        <v>2488.7490468750007</v>
      </c>
      <c r="DB68" s="255">
        <f>+'People Plan'!CC18</f>
        <v>2488.7490468750007</v>
      </c>
      <c r="DC68" s="255">
        <f>+'People Plan'!CD18</f>
        <v>2488.7490468750007</v>
      </c>
      <c r="DD68" s="255">
        <f>+'People Plan'!CE18</f>
        <v>2488.7490468750007</v>
      </c>
      <c r="DE68" s="255">
        <f>+'People Plan'!CF18</f>
        <v>2488.7490468750007</v>
      </c>
      <c r="DF68" s="255">
        <f>+'People Plan'!CG18</f>
        <v>2488.7490468750007</v>
      </c>
      <c r="DG68" s="255">
        <f>+'People Plan'!CH18</f>
        <v>2488.7490468750007</v>
      </c>
    </row>
    <row r="69" spans="1:111" x14ac:dyDescent="0.25">
      <c r="B69" s="1" t="s">
        <v>125</v>
      </c>
      <c r="C69" s="1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>
        <v>117.31</v>
      </c>
      <c r="AP69" s="104">
        <v>90.58</v>
      </c>
      <c r="AQ69" s="104">
        <v>146.47</v>
      </c>
      <c r="AR69" s="104">
        <v>85.27</v>
      </c>
      <c r="AS69" s="104">
        <v>15.88</v>
      </c>
      <c r="AT69" s="104">
        <v>65.98</v>
      </c>
      <c r="AU69" s="104">
        <v>61.61</v>
      </c>
      <c r="AV69" s="104">
        <v>33.57</v>
      </c>
      <c r="AW69" s="605">
        <v>49.73</v>
      </c>
      <c r="AX69" s="616">
        <v>29.84</v>
      </c>
      <c r="AY69" s="619">
        <f t="shared" ref="AY69:CD69" si="158">+AY68*AY72</f>
        <v>149.19666666666666</v>
      </c>
      <c r="AZ69" s="104">
        <f t="shared" si="158"/>
        <v>156.65649999999999</v>
      </c>
      <c r="BA69" s="104">
        <f t="shared" si="158"/>
        <v>156.65649999999999</v>
      </c>
      <c r="BB69" s="104">
        <f t="shared" si="158"/>
        <v>156.65649999999999</v>
      </c>
      <c r="BC69" s="104">
        <f t="shared" si="158"/>
        <v>156.65649999999999</v>
      </c>
      <c r="BD69" s="104">
        <f t="shared" si="158"/>
        <v>156.65649999999999</v>
      </c>
      <c r="BE69" s="104">
        <f t="shared" si="158"/>
        <v>156.65649999999999</v>
      </c>
      <c r="BF69" s="104">
        <f t="shared" si="158"/>
        <v>156.65649999999999</v>
      </c>
      <c r="BG69" s="104">
        <f t="shared" si="158"/>
        <v>156.65649999999999</v>
      </c>
      <c r="BH69" s="104">
        <f t="shared" si="158"/>
        <v>156.65649999999999</v>
      </c>
      <c r="BI69" s="104">
        <f t="shared" si="158"/>
        <v>156.65649999999999</v>
      </c>
      <c r="BJ69" s="104">
        <f t="shared" si="158"/>
        <v>156.65649999999999</v>
      </c>
      <c r="BK69" s="228">
        <f t="shared" si="158"/>
        <v>156.65649999999999</v>
      </c>
      <c r="BL69" s="104">
        <f t="shared" si="158"/>
        <v>164.48932500000001</v>
      </c>
      <c r="BM69" s="104">
        <f t="shared" si="158"/>
        <v>164.48932500000001</v>
      </c>
      <c r="BN69" s="104">
        <f t="shared" si="158"/>
        <v>164.48932500000001</v>
      </c>
      <c r="BO69" s="104">
        <f t="shared" si="158"/>
        <v>164.48932500000001</v>
      </c>
      <c r="BP69" s="104">
        <f t="shared" si="158"/>
        <v>164.48932500000001</v>
      </c>
      <c r="BQ69" s="104">
        <f t="shared" si="158"/>
        <v>164.48932500000001</v>
      </c>
      <c r="BR69" s="104">
        <f t="shared" si="158"/>
        <v>164.48932500000001</v>
      </c>
      <c r="BS69" s="104">
        <f t="shared" si="158"/>
        <v>164.48932500000001</v>
      </c>
      <c r="BT69" s="104">
        <f t="shared" si="158"/>
        <v>164.48932500000001</v>
      </c>
      <c r="BU69" s="104">
        <f t="shared" si="158"/>
        <v>164.48932500000001</v>
      </c>
      <c r="BV69" s="104">
        <f t="shared" si="158"/>
        <v>164.48932500000001</v>
      </c>
      <c r="BW69" s="228">
        <f t="shared" si="158"/>
        <v>164.48932500000001</v>
      </c>
      <c r="BX69" s="104">
        <f t="shared" si="158"/>
        <v>172.71379125000001</v>
      </c>
      <c r="BY69" s="104">
        <f t="shared" si="158"/>
        <v>172.71379125000001</v>
      </c>
      <c r="BZ69" s="104">
        <f t="shared" si="158"/>
        <v>172.71379125000001</v>
      </c>
      <c r="CA69" s="104">
        <f t="shared" si="158"/>
        <v>172.71379125000001</v>
      </c>
      <c r="CB69" s="104">
        <f t="shared" si="158"/>
        <v>172.71379125000001</v>
      </c>
      <c r="CC69" s="104">
        <f t="shared" si="158"/>
        <v>172.71379125000001</v>
      </c>
      <c r="CD69" s="104">
        <f t="shared" si="158"/>
        <v>172.71379125000001</v>
      </c>
      <c r="CE69" s="104">
        <f t="shared" ref="CE69:DJ69" si="159">+CE68*CE72</f>
        <v>172.71379125000001</v>
      </c>
      <c r="CF69" s="104">
        <f t="shared" si="159"/>
        <v>172.71379125000001</v>
      </c>
      <c r="CG69" s="104">
        <f t="shared" si="159"/>
        <v>172.71379125000001</v>
      </c>
      <c r="CH69" s="104">
        <f t="shared" si="159"/>
        <v>172.71379125000001</v>
      </c>
      <c r="CI69" s="228">
        <f t="shared" si="159"/>
        <v>172.71379125000001</v>
      </c>
      <c r="CJ69" s="104">
        <f t="shared" si="159"/>
        <v>181.34948081250002</v>
      </c>
      <c r="CK69" s="104">
        <f t="shared" si="159"/>
        <v>181.34948081250002</v>
      </c>
      <c r="CL69" s="104">
        <f t="shared" si="159"/>
        <v>181.34948081250002</v>
      </c>
      <c r="CM69" s="104">
        <f t="shared" si="159"/>
        <v>181.34948081250002</v>
      </c>
      <c r="CN69" s="104">
        <f t="shared" si="159"/>
        <v>181.34948081250002</v>
      </c>
      <c r="CO69" s="104">
        <f t="shared" si="159"/>
        <v>181.34948081250002</v>
      </c>
      <c r="CP69" s="104">
        <f t="shared" si="159"/>
        <v>181.34948081250002</v>
      </c>
      <c r="CQ69" s="104">
        <f t="shared" si="159"/>
        <v>181.34948081250002</v>
      </c>
      <c r="CR69" s="104">
        <f t="shared" si="159"/>
        <v>181.34948081250002</v>
      </c>
      <c r="CS69" s="104">
        <f t="shared" si="159"/>
        <v>181.34948081250002</v>
      </c>
      <c r="CT69" s="104">
        <f t="shared" si="159"/>
        <v>181.34948081250002</v>
      </c>
      <c r="CU69" s="228">
        <f t="shared" si="159"/>
        <v>181.34948081250002</v>
      </c>
      <c r="CV69" s="104">
        <f t="shared" si="159"/>
        <v>190.41695485312505</v>
      </c>
      <c r="CW69" s="104">
        <f t="shared" si="159"/>
        <v>190.41695485312505</v>
      </c>
      <c r="CX69" s="104">
        <f t="shared" si="159"/>
        <v>190.41695485312505</v>
      </c>
      <c r="CY69" s="104">
        <f t="shared" si="159"/>
        <v>190.41695485312505</v>
      </c>
      <c r="CZ69" s="104">
        <f t="shared" si="159"/>
        <v>190.41695485312505</v>
      </c>
      <c r="DA69" s="104">
        <f t="shared" si="159"/>
        <v>190.41695485312505</v>
      </c>
      <c r="DB69" s="104">
        <f t="shared" si="159"/>
        <v>190.41695485312505</v>
      </c>
      <c r="DC69" s="104">
        <f t="shared" si="159"/>
        <v>190.41695485312505</v>
      </c>
      <c r="DD69" s="104">
        <f t="shared" si="159"/>
        <v>190.41695485312505</v>
      </c>
      <c r="DE69" s="104">
        <f t="shared" si="159"/>
        <v>190.41695485312505</v>
      </c>
      <c r="DF69" s="104">
        <f t="shared" si="159"/>
        <v>190.41695485312505</v>
      </c>
      <c r="DG69" s="104">
        <f t="shared" si="159"/>
        <v>190.41695485312505</v>
      </c>
    </row>
    <row r="70" spans="1:111" x14ac:dyDescent="0.25">
      <c r="B70" s="1" t="s">
        <v>126</v>
      </c>
      <c r="C70" s="1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>
        <v>500</v>
      </c>
      <c r="AR70" s="104">
        <v>500</v>
      </c>
      <c r="AS70" s="104">
        <v>500</v>
      </c>
      <c r="AT70" s="104">
        <v>500</v>
      </c>
      <c r="AU70" s="104">
        <v>500</v>
      </c>
      <c r="AV70" s="104">
        <v>500</v>
      </c>
      <c r="AW70" s="605">
        <v>500</v>
      </c>
      <c r="AX70" s="616">
        <v>500</v>
      </c>
      <c r="AY70" s="619">
        <f t="shared" ref="AY70:CD70" si="160">+AX70</f>
        <v>500</v>
      </c>
      <c r="AZ70" s="104">
        <f t="shared" si="160"/>
        <v>500</v>
      </c>
      <c r="BA70" s="104">
        <f t="shared" si="160"/>
        <v>500</v>
      </c>
      <c r="BB70" s="104">
        <f t="shared" si="160"/>
        <v>500</v>
      </c>
      <c r="BC70" s="104">
        <f t="shared" si="160"/>
        <v>500</v>
      </c>
      <c r="BD70" s="104">
        <f t="shared" si="160"/>
        <v>500</v>
      </c>
      <c r="BE70" s="104">
        <f t="shared" si="160"/>
        <v>500</v>
      </c>
      <c r="BF70" s="104">
        <f t="shared" si="160"/>
        <v>500</v>
      </c>
      <c r="BG70" s="104">
        <f t="shared" si="160"/>
        <v>500</v>
      </c>
      <c r="BH70" s="104">
        <f t="shared" si="160"/>
        <v>500</v>
      </c>
      <c r="BI70" s="104">
        <f t="shared" si="160"/>
        <v>500</v>
      </c>
      <c r="BJ70" s="104">
        <f t="shared" si="160"/>
        <v>500</v>
      </c>
      <c r="BK70" s="228">
        <f t="shared" si="160"/>
        <v>500</v>
      </c>
      <c r="BL70" s="104">
        <f t="shared" si="160"/>
        <v>500</v>
      </c>
      <c r="BM70" s="104">
        <f t="shared" si="160"/>
        <v>500</v>
      </c>
      <c r="BN70" s="104">
        <f t="shared" si="160"/>
        <v>500</v>
      </c>
      <c r="BO70" s="104">
        <f t="shared" si="160"/>
        <v>500</v>
      </c>
      <c r="BP70" s="104">
        <f t="shared" si="160"/>
        <v>500</v>
      </c>
      <c r="BQ70" s="104">
        <f t="shared" si="160"/>
        <v>500</v>
      </c>
      <c r="BR70" s="104">
        <f t="shared" si="160"/>
        <v>500</v>
      </c>
      <c r="BS70" s="104">
        <f t="shared" si="160"/>
        <v>500</v>
      </c>
      <c r="BT70" s="104">
        <f t="shared" si="160"/>
        <v>500</v>
      </c>
      <c r="BU70" s="104">
        <f t="shared" si="160"/>
        <v>500</v>
      </c>
      <c r="BV70" s="104">
        <f t="shared" si="160"/>
        <v>500</v>
      </c>
      <c r="BW70" s="228">
        <f t="shared" si="160"/>
        <v>500</v>
      </c>
      <c r="BX70" s="104">
        <f t="shared" si="160"/>
        <v>500</v>
      </c>
      <c r="BY70" s="104">
        <f t="shared" si="160"/>
        <v>500</v>
      </c>
      <c r="BZ70" s="104">
        <f t="shared" si="160"/>
        <v>500</v>
      </c>
      <c r="CA70" s="104">
        <f t="shared" si="160"/>
        <v>500</v>
      </c>
      <c r="CB70" s="104">
        <f t="shared" si="160"/>
        <v>500</v>
      </c>
      <c r="CC70" s="104">
        <f t="shared" si="160"/>
        <v>500</v>
      </c>
      <c r="CD70" s="104">
        <f t="shared" si="160"/>
        <v>500</v>
      </c>
      <c r="CE70" s="104">
        <f t="shared" ref="CE70:DG70" si="161">+CD70</f>
        <v>500</v>
      </c>
      <c r="CF70" s="104">
        <f t="shared" si="161"/>
        <v>500</v>
      </c>
      <c r="CG70" s="104">
        <f t="shared" si="161"/>
        <v>500</v>
      </c>
      <c r="CH70" s="104">
        <f t="shared" si="161"/>
        <v>500</v>
      </c>
      <c r="CI70" s="228">
        <f t="shared" si="161"/>
        <v>500</v>
      </c>
      <c r="CJ70" s="104">
        <f t="shared" si="161"/>
        <v>500</v>
      </c>
      <c r="CK70" s="104">
        <f t="shared" si="161"/>
        <v>500</v>
      </c>
      <c r="CL70" s="104">
        <f t="shared" si="161"/>
        <v>500</v>
      </c>
      <c r="CM70" s="104">
        <f t="shared" si="161"/>
        <v>500</v>
      </c>
      <c r="CN70" s="104">
        <f t="shared" si="161"/>
        <v>500</v>
      </c>
      <c r="CO70" s="104">
        <f t="shared" si="161"/>
        <v>500</v>
      </c>
      <c r="CP70" s="104">
        <f t="shared" si="161"/>
        <v>500</v>
      </c>
      <c r="CQ70" s="104">
        <f t="shared" si="161"/>
        <v>500</v>
      </c>
      <c r="CR70" s="104">
        <f t="shared" si="161"/>
        <v>500</v>
      </c>
      <c r="CS70" s="104">
        <f t="shared" si="161"/>
        <v>500</v>
      </c>
      <c r="CT70" s="104">
        <f t="shared" si="161"/>
        <v>500</v>
      </c>
      <c r="CU70" s="228">
        <f t="shared" si="161"/>
        <v>500</v>
      </c>
      <c r="CV70" s="104">
        <f t="shared" si="161"/>
        <v>500</v>
      </c>
      <c r="CW70" s="104">
        <f t="shared" si="161"/>
        <v>500</v>
      </c>
      <c r="CX70" s="104">
        <f t="shared" si="161"/>
        <v>500</v>
      </c>
      <c r="CY70" s="104">
        <f t="shared" si="161"/>
        <v>500</v>
      </c>
      <c r="CZ70" s="104">
        <f t="shared" si="161"/>
        <v>500</v>
      </c>
      <c r="DA70" s="104">
        <f t="shared" si="161"/>
        <v>500</v>
      </c>
      <c r="DB70" s="104">
        <f t="shared" si="161"/>
        <v>500</v>
      </c>
      <c r="DC70" s="104">
        <f t="shared" si="161"/>
        <v>500</v>
      </c>
      <c r="DD70" s="104">
        <f t="shared" si="161"/>
        <v>500</v>
      </c>
      <c r="DE70" s="104">
        <f t="shared" si="161"/>
        <v>500</v>
      </c>
      <c r="DF70" s="104">
        <f t="shared" si="161"/>
        <v>500</v>
      </c>
      <c r="DG70" s="104">
        <f t="shared" si="161"/>
        <v>500</v>
      </c>
    </row>
    <row r="71" spans="1:111" s="47" customFormat="1" x14ac:dyDescent="0.25">
      <c r="A71" s="3"/>
      <c r="B71" s="4" t="s">
        <v>127</v>
      </c>
      <c r="C71" s="4"/>
      <c r="T71" s="47">
        <f t="shared" ref="T71:AY71" si="162">SUM(T68:T70)</f>
        <v>0</v>
      </c>
      <c r="U71" s="47">
        <f t="shared" si="162"/>
        <v>0</v>
      </c>
      <c r="V71" s="47">
        <f t="shared" si="162"/>
        <v>0</v>
      </c>
      <c r="W71" s="47">
        <f t="shared" si="162"/>
        <v>0</v>
      </c>
      <c r="X71" s="47">
        <f t="shared" si="162"/>
        <v>0</v>
      </c>
      <c r="Y71" s="47">
        <f t="shared" si="162"/>
        <v>0</v>
      </c>
      <c r="Z71" s="47">
        <f t="shared" si="162"/>
        <v>0</v>
      </c>
      <c r="AA71" s="47">
        <f t="shared" si="162"/>
        <v>0</v>
      </c>
      <c r="AB71" s="47">
        <f t="shared" si="162"/>
        <v>0</v>
      </c>
      <c r="AC71" s="47">
        <f t="shared" si="162"/>
        <v>0</v>
      </c>
      <c r="AD71" s="47">
        <f t="shared" si="162"/>
        <v>0</v>
      </c>
      <c r="AE71" s="47">
        <f t="shared" si="162"/>
        <v>0</v>
      </c>
      <c r="AF71" s="47">
        <f t="shared" si="162"/>
        <v>0</v>
      </c>
      <c r="AG71" s="47">
        <f t="shared" si="162"/>
        <v>0</v>
      </c>
      <c r="AH71" s="47">
        <f t="shared" si="162"/>
        <v>0</v>
      </c>
      <c r="AI71" s="47">
        <f t="shared" si="162"/>
        <v>0</v>
      </c>
      <c r="AJ71" s="47">
        <f t="shared" si="162"/>
        <v>0</v>
      </c>
      <c r="AK71" s="47">
        <f t="shared" si="162"/>
        <v>0</v>
      </c>
      <c r="AL71" s="47">
        <f t="shared" si="162"/>
        <v>0</v>
      </c>
      <c r="AM71" s="47">
        <f t="shared" si="162"/>
        <v>0</v>
      </c>
      <c r="AN71" s="47">
        <f t="shared" si="162"/>
        <v>0</v>
      </c>
      <c r="AO71" s="47">
        <f t="shared" si="162"/>
        <v>1417.31</v>
      </c>
      <c r="AP71" s="47">
        <f t="shared" si="162"/>
        <v>1520.58</v>
      </c>
      <c r="AQ71" s="47">
        <f t="shared" si="162"/>
        <v>2596.4699999999998</v>
      </c>
      <c r="AR71" s="47">
        <f t="shared" si="162"/>
        <v>1950.27</v>
      </c>
      <c r="AS71" s="47">
        <f t="shared" si="162"/>
        <v>1165.8800000000001</v>
      </c>
      <c r="AT71" s="47">
        <f t="shared" si="162"/>
        <v>1215.98</v>
      </c>
      <c r="AU71" s="47">
        <f t="shared" si="162"/>
        <v>1276.6100000000001</v>
      </c>
      <c r="AV71" s="47">
        <f t="shared" si="162"/>
        <v>972.31999999999994</v>
      </c>
      <c r="AW71" s="47">
        <f t="shared" si="162"/>
        <v>1199.73</v>
      </c>
      <c r="AX71" s="229">
        <f t="shared" si="162"/>
        <v>919.83999999999992</v>
      </c>
      <c r="AY71" s="47">
        <f t="shared" si="162"/>
        <v>2599.1966666666667</v>
      </c>
      <c r="AZ71" s="47">
        <f t="shared" ref="AZ71:CE71" si="163">SUM(AZ68:AZ70)</f>
        <v>2704.1565000000001</v>
      </c>
      <c r="BA71" s="47">
        <f t="shared" si="163"/>
        <v>2704.1565000000001</v>
      </c>
      <c r="BB71" s="47">
        <f t="shared" si="163"/>
        <v>2704.1565000000001</v>
      </c>
      <c r="BC71" s="47">
        <f t="shared" si="163"/>
        <v>2704.1565000000001</v>
      </c>
      <c r="BD71" s="47">
        <f t="shared" si="163"/>
        <v>2704.1565000000001</v>
      </c>
      <c r="BE71" s="47">
        <f t="shared" si="163"/>
        <v>2704.1565000000001</v>
      </c>
      <c r="BF71" s="47">
        <f t="shared" si="163"/>
        <v>2704.1565000000001</v>
      </c>
      <c r="BG71" s="47">
        <f t="shared" si="163"/>
        <v>2704.1565000000001</v>
      </c>
      <c r="BH71" s="47">
        <f t="shared" si="163"/>
        <v>2704.1565000000001</v>
      </c>
      <c r="BI71" s="47">
        <f t="shared" si="163"/>
        <v>2704.1565000000001</v>
      </c>
      <c r="BJ71" s="47">
        <f t="shared" si="163"/>
        <v>2704.1565000000001</v>
      </c>
      <c r="BK71" s="229">
        <f t="shared" si="163"/>
        <v>2704.1565000000001</v>
      </c>
      <c r="BL71" s="47">
        <f t="shared" si="163"/>
        <v>2814.364325</v>
      </c>
      <c r="BM71" s="47">
        <f t="shared" si="163"/>
        <v>2814.364325</v>
      </c>
      <c r="BN71" s="47">
        <f t="shared" si="163"/>
        <v>2814.364325</v>
      </c>
      <c r="BO71" s="47">
        <f t="shared" si="163"/>
        <v>2814.364325</v>
      </c>
      <c r="BP71" s="47">
        <f t="shared" si="163"/>
        <v>2814.364325</v>
      </c>
      <c r="BQ71" s="47">
        <f t="shared" si="163"/>
        <v>2814.364325</v>
      </c>
      <c r="BR71" s="47">
        <f t="shared" si="163"/>
        <v>2814.364325</v>
      </c>
      <c r="BS71" s="47">
        <f t="shared" si="163"/>
        <v>2814.364325</v>
      </c>
      <c r="BT71" s="47">
        <f t="shared" si="163"/>
        <v>2814.364325</v>
      </c>
      <c r="BU71" s="47">
        <f t="shared" si="163"/>
        <v>2814.364325</v>
      </c>
      <c r="BV71" s="47">
        <f t="shared" si="163"/>
        <v>2814.364325</v>
      </c>
      <c r="BW71" s="229">
        <f t="shared" si="163"/>
        <v>2814.364325</v>
      </c>
      <c r="BX71" s="47">
        <f t="shared" si="163"/>
        <v>2930.0825412500003</v>
      </c>
      <c r="BY71" s="47">
        <f t="shared" si="163"/>
        <v>2930.0825412500003</v>
      </c>
      <c r="BZ71" s="47">
        <f t="shared" si="163"/>
        <v>2930.0825412500003</v>
      </c>
      <c r="CA71" s="47">
        <f t="shared" si="163"/>
        <v>2930.0825412500003</v>
      </c>
      <c r="CB71" s="47">
        <f t="shared" si="163"/>
        <v>2930.0825412500003</v>
      </c>
      <c r="CC71" s="47">
        <f t="shared" si="163"/>
        <v>2930.0825412500003</v>
      </c>
      <c r="CD71" s="47">
        <f t="shared" si="163"/>
        <v>2930.0825412500003</v>
      </c>
      <c r="CE71" s="47">
        <f t="shared" si="163"/>
        <v>2930.0825412500003</v>
      </c>
      <c r="CF71" s="47">
        <f t="shared" ref="CF71:DK71" si="164">SUM(CF68:CF70)</f>
        <v>2930.0825412500003</v>
      </c>
      <c r="CG71" s="47">
        <f t="shared" si="164"/>
        <v>2930.0825412500003</v>
      </c>
      <c r="CH71" s="47">
        <f t="shared" si="164"/>
        <v>2930.0825412500003</v>
      </c>
      <c r="CI71" s="229">
        <f t="shared" si="164"/>
        <v>2930.0825412500003</v>
      </c>
      <c r="CJ71" s="47">
        <f t="shared" si="164"/>
        <v>3051.5866683125005</v>
      </c>
      <c r="CK71" s="47">
        <f t="shared" si="164"/>
        <v>3051.5866683125005</v>
      </c>
      <c r="CL71" s="47">
        <f t="shared" si="164"/>
        <v>3051.5866683125005</v>
      </c>
      <c r="CM71" s="47">
        <f t="shared" si="164"/>
        <v>3051.5866683125005</v>
      </c>
      <c r="CN71" s="47">
        <f t="shared" si="164"/>
        <v>3051.5866683125005</v>
      </c>
      <c r="CO71" s="47">
        <f t="shared" si="164"/>
        <v>3051.5866683125005</v>
      </c>
      <c r="CP71" s="47">
        <f t="shared" si="164"/>
        <v>3051.5866683125005</v>
      </c>
      <c r="CQ71" s="47">
        <f t="shared" si="164"/>
        <v>3051.5866683125005</v>
      </c>
      <c r="CR71" s="47">
        <f t="shared" si="164"/>
        <v>3051.5866683125005</v>
      </c>
      <c r="CS71" s="47">
        <f t="shared" si="164"/>
        <v>3051.5866683125005</v>
      </c>
      <c r="CT71" s="47">
        <f t="shared" si="164"/>
        <v>3051.5866683125005</v>
      </c>
      <c r="CU71" s="229">
        <f t="shared" si="164"/>
        <v>3051.5866683125005</v>
      </c>
      <c r="CV71" s="47">
        <f t="shared" si="164"/>
        <v>3179.1660017281256</v>
      </c>
      <c r="CW71" s="47">
        <f t="shared" si="164"/>
        <v>3179.1660017281256</v>
      </c>
      <c r="CX71" s="47">
        <f t="shared" si="164"/>
        <v>3179.1660017281256</v>
      </c>
      <c r="CY71" s="47">
        <f t="shared" si="164"/>
        <v>3179.1660017281256</v>
      </c>
      <c r="CZ71" s="47">
        <f t="shared" si="164"/>
        <v>3179.1660017281256</v>
      </c>
      <c r="DA71" s="47">
        <f t="shared" si="164"/>
        <v>3179.1660017281256</v>
      </c>
      <c r="DB71" s="47">
        <f t="shared" si="164"/>
        <v>3179.1660017281256</v>
      </c>
      <c r="DC71" s="47">
        <f t="shared" si="164"/>
        <v>3179.1660017281256</v>
      </c>
      <c r="DD71" s="47">
        <f t="shared" si="164"/>
        <v>3179.1660017281256</v>
      </c>
      <c r="DE71" s="47">
        <f t="shared" si="164"/>
        <v>3179.1660017281256</v>
      </c>
      <c r="DF71" s="47">
        <f t="shared" si="164"/>
        <v>3179.1660017281256</v>
      </c>
      <c r="DG71" s="47">
        <f t="shared" si="164"/>
        <v>3179.1660017281256</v>
      </c>
    </row>
    <row r="72" spans="1:111" s="444" customFormat="1" x14ac:dyDescent="0.25">
      <c r="A72" s="442"/>
      <c r="B72" s="443"/>
      <c r="C72" s="443" t="s">
        <v>128</v>
      </c>
      <c r="W72" s="445"/>
      <c r="X72" s="445"/>
      <c r="Y72" s="445"/>
      <c r="Z72" s="445"/>
      <c r="AA72" s="445"/>
      <c r="AB72" s="445"/>
      <c r="AC72" s="445"/>
      <c r="AD72" s="445"/>
      <c r="AE72" s="445"/>
      <c r="AF72" s="445"/>
      <c r="AG72" s="445"/>
      <c r="AH72" s="445"/>
      <c r="AI72" s="445"/>
      <c r="AJ72" s="445"/>
      <c r="AK72" s="445"/>
      <c r="AL72" s="445"/>
      <c r="AM72" s="445"/>
      <c r="AN72" s="445"/>
      <c r="AO72" s="445">
        <f t="shared" ref="AO72:AX72" si="165">+AO69/AO68</f>
        <v>9.0238461538461545E-2</v>
      </c>
      <c r="AP72" s="445">
        <f t="shared" si="165"/>
        <v>6.3342657342657344E-2</v>
      </c>
      <c r="AQ72" s="445">
        <f t="shared" si="165"/>
        <v>7.5112820512820519E-2</v>
      </c>
      <c r="AR72" s="445">
        <f t="shared" si="165"/>
        <v>6.2468864468864467E-2</v>
      </c>
      <c r="AS72" s="445">
        <f t="shared" si="165"/>
        <v>2.4430769230769232E-2</v>
      </c>
      <c r="AT72" s="445">
        <f t="shared" si="165"/>
        <v>0.10150769230769231</v>
      </c>
      <c r="AU72" s="445">
        <f t="shared" si="165"/>
        <v>8.6167832167832165E-2</v>
      </c>
      <c r="AV72" s="445">
        <f t="shared" si="165"/>
        <v>7.6512820512820517E-2</v>
      </c>
      <c r="AW72" s="445">
        <f t="shared" si="165"/>
        <v>7.6507692307692304E-2</v>
      </c>
      <c r="AX72" s="446">
        <f t="shared" si="165"/>
        <v>7.6512820512820517E-2</v>
      </c>
      <c r="AY72" s="496">
        <f>+AVERAGE(AV72:AX72)</f>
        <v>7.6511111111111113E-2</v>
      </c>
      <c r="AZ72" s="445">
        <f t="shared" ref="AZ72:CE72" si="166">+AY72</f>
        <v>7.6511111111111113E-2</v>
      </c>
      <c r="BA72" s="445">
        <f t="shared" si="166"/>
        <v>7.6511111111111113E-2</v>
      </c>
      <c r="BB72" s="445">
        <f t="shared" si="166"/>
        <v>7.6511111111111113E-2</v>
      </c>
      <c r="BC72" s="445">
        <f t="shared" si="166"/>
        <v>7.6511111111111113E-2</v>
      </c>
      <c r="BD72" s="445">
        <f t="shared" si="166"/>
        <v>7.6511111111111113E-2</v>
      </c>
      <c r="BE72" s="445">
        <f t="shared" si="166"/>
        <v>7.6511111111111113E-2</v>
      </c>
      <c r="BF72" s="445">
        <f t="shared" si="166"/>
        <v>7.6511111111111113E-2</v>
      </c>
      <c r="BG72" s="445">
        <f t="shared" si="166"/>
        <v>7.6511111111111113E-2</v>
      </c>
      <c r="BH72" s="445">
        <f t="shared" si="166"/>
        <v>7.6511111111111113E-2</v>
      </c>
      <c r="BI72" s="445">
        <f t="shared" si="166"/>
        <v>7.6511111111111113E-2</v>
      </c>
      <c r="BJ72" s="445">
        <f t="shared" si="166"/>
        <v>7.6511111111111113E-2</v>
      </c>
      <c r="BK72" s="446">
        <f t="shared" si="166"/>
        <v>7.6511111111111113E-2</v>
      </c>
      <c r="BL72" s="445">
        <f t="shared" si="166"/>
        <v>7.6511111111111113E-2</v>
      </c>
      <c r="BM72" s="445">
        <f t="shared" si="166"/>
        <v>7.6511111111111113E-2</v>
      </c>
      <c r="BN72" s="445">
        <f t="shared" si="166"/>
        <v>7.6511111111111113E-2</v>
      </c>
      <c r="BO72" s="445">
        <f t="shared" si="166"/>
        <v>7.6511111111111113E-2</v>
      </c>
      <c r="BP72" s="445">
        <f t="shared" si="166"/>
        <v>7.6511111111111113E-2</v>
      </c>
      <c r="BQ72" s="445">
        <f t="shared" si="166"/>
        <v>7.6511111111111113E-2</v>
      </c>
      <c r="BR72" s="445">
        <f t="shared" si="166"/>
        <v>7.6511111111111113E-2</v>
      </c>
      <c r="BS72" s="445">
        <f t="shared" si="166"/>
        <v>7.6511111111111113E-2</v>
      </c>
      <c r="BT72" s="445">
        <f t="shared" si="166"/>
        <v>7.6511111111111113E-2</v>
      </c>
      <c r="BU72" s="445">
        <f t="shared" si="166"/>
        <v>7.6511111111111113E-2</v>
      </c>
      <c r="BV72" s="445">
        <f t="shared" si="166"/>
        <v>7.6511111111111113E-2</v>
      </c>
      <c r="BW72" s="446">
        <f t="shared" si="166"/>
        <v>7.6511111111111113E-2</v>
      </c>
      <c r="BX72" s="445">
        <f t="shared" si="166"/>
        <v>7.6511111111111113E-2</v>
      </c>
      <c r="BY72" s="445">
        <f t="shared" si="166"/>
        <v>7.6511111111111113E-2</v>
      </c>
      <c r="BZ72" s="445">
        <f t="shared" si="166"/>
        <v>7.6511111111111113E-2</v>
      </c>
      <c r="CA72" s="445">
        <f t="shared" si="166"/>
        <v>7.6511111111111113E-2</v>
      </c>
      <c r="CB72" s="445">
        <f t="shared" si="166"/>
        <v>7.6511111111111113E-2</v>
      </c>
      <c r="CC72" s="445">
        <f t="shared" si="166"/>
        <v>7.6511111111111113E-2</v>
      </c>
      <c r="CD72" s="445">
        <f t="shared" si="166"/>
        <v>7.6511111111111113E-2</v>
      </c>
      <c r="CE72" s="445">
        <f t="shared" si="166"/>
        <v>7.6511111111111113E-2</v>
      </c>
      <c r="CF72" s="445">
        <f t="shared" ref="CF72:DG72" si="167">+CE72</f>
        <v>7.6511111111111113E-2</v>
      </c>
      <c r="CG72" s="445">
        <f t="shared" si="167"/>
        <v>7.6511111111111113E-2</v>
      </c>
      <c r="CH72" s="445">
        <f t="shared" si="167"/>
        <v>7.6511111111111113E-2</v>
      </c>
      <c r="CI72" s="446">
        <f t="shared" si="167"/>
        <v>7.6511111111111113E-2</v>
      </c>
      <c r="CJ72" s="445">
        <f t="shared" si="167"/>
        <v>7.6511111111111113E-2</v>
      </c>
      <c r="CK72" s="445">
        <f t="shared" si="167"/>
        <v>7.6511111111111113E-2</v>
      </c>
      <c r="CL72" s="445">
        <f t="shared" si="167"/>
        <v>7.6511111111111113E-2</v>
      </c>
      <c r="CM72" s="445">
        <f t="shared" si="167"/>
        <v>7.6511111111111113E-2</v>
      </c>
      <c r="CN72" s="445">
        <f t="shared" si="167"/>
        <v>7.6511111111111113E-2</v>
      </c>
      <c r="CO72" s="445">
        <f t="shared" si="167"/>
        <v>7.6511111111111113E-2</v>
      </c>
      <c r="CP72" s="445">
        <f t="shared" si="167"/>
        <v>7.6511111111111113E-2</v>
      </c>
      <c r="CQ72" s="445">
        <f t="shared" si="167"/>
        <v>7.6511111111111113E-2</v>
      </c>
      <c r="CR72" s="445">
        <f t="shared" si="167"/>
        <v>7.6511111111111113E-2</v>
      </c>
      <c r="CS72" s="445">
        <f t="shared" si="167"/>
        <v>7.6511111111111113E-2</v>
      </c>
      <c r="CT72" s="445">
        <f t="shared" si="167"/>
        <v>7.6511111111111113E-2</v>
      </c>
      <c r="CU72" s="446">
        <f t="shared" si="167"/>
        <v>7.6511111111111113E-2</v>
      </c>
      <c r="CV72" s="445">
        <f t="shared" si="167"/>
        <v>7.6511111111111113E-2</v>
      </c>
      <c r="CW72" s="445">
        <f t="shared" si="167"/>
        <v>7.6511111111111113E-2</v>
      </c>
      <c r="CX72" s="445">
        <f t="shared" si="167"/>
        <v>7.6511111111111113E-2</v>
      </c>
      <c r="CY72" s="445">
        <f t="shared" si="167"/>
        <v>7.6511111111111113E-2</v>
      </c>
      <c r="CZ72" s="445">
        <f t="shared" si="167"/>
        <v>7.6511111111111113E-2</v>
      </c>
      <c r="DA72" s="445">
        <f t="shared" si="167"/>
        <v>7.6511111111111113E-2</v>
      </c>
      <c r="DB72" s="445">
        <f t="shared" si="167"/>
        <v>7.6511111111111113E-2</v>
      </c>
      <c r="DC72" s="445">
        <f t="shared" si="167"/>
        <v>7.6511111111111113E-2</v>
      </c>
      <c r="DD72" s="445">
        <f t="shared" si="167"/>
        <v>7.6511111111111113E-2</v>
      </c>
      <c r="DE72" s="445">
        <f t="shared" si="167"/>
        <v>7.6511111111111113E-2</v>
      </c>
      <c r="DF72" s="445">
        <f t="shared" si="167"/>
        <v>7.6511111111111113E-2</v>
      </c>
      <c r="DG72" s="445">
        <f t="shared" si="167"/>
        <v>7.6511111111111113E-2</v>
      </c>
    </row>
    <row r="73" spans="1:111" s="444" customFormat="1" x14ac:dyDescent="0.25">
      <c r="A73" s="442"/>
      <c r="B73" s="443"/>
      <c r="C73" s="443" t="s">
        <v>129</v>
      </c>
      <c r="W73" s="445"/>
      <c r="X73" s="445"/>
      <c r="Y73" s="445"/>
      <c r="Z73" s="445"/>
      <c r="AA73" s="445"/>
      <c r="AB73" s="445"/>
      <c r="AC73" s="445"/>
      <c r="AD73" s="445"/>
      <c r="AE73" s="445"/>
      <c r="AF73" s="445"/>
      <c r="AG73" s="445"/>
      <c r="AH73" s="445"/>
      <c r="AI73" s="445"/>
      <c r="AJ73" s="445"/>
      <c r="AK73" s="445"/>
      <c r="AL73" s="445"/>
      <c r="AM73" s="445"/>
      <c r="AN73" s="445"/>
      <c r="AO73" s="445"/>
      <c r="AP73" s="445"/>
      <c r="AQ73" s="445"/>
      <c r="AR73" s="445"/>
      <c r="AS73" s="445"/>
      <c r="AT73" s="445"/>
      <c r="AU73" s="445"/>
      <c r="AV73" s="445"/>
      <c r="AW73" s="445"/>
      <c r="AX73" s="446"/>
      <c r="AY73" s="496">
        <v>4.4999999999999998E-2</v>
      </c>
      <c r="AZ73" s="445">
        <f t="shared" ref="AZ73:BV73" si="168">+AY73</f>
        <v>4.4999999999999998E-2</v>
      </c>
      <c r="BA73" s="445">
        <f t="shared" si="168"/>
        <v>4.4999999999999998E-2</v>
      </c>
      <c r="BB73" s="445">
        <f t="shared" si="168"/>
        <v>4.4999999999999998E-2</v>
      </c>
      <c r="BC73" s="445">
        <f t="shared" si="168"/>
        <v>4.4999999999999998E-2</v>
      </c>
      <c r="BD73" s="445">
        <f t="shared" si="168"/>
        <v>4.4999999999999998E-2</v>
      </c>
      <c r="BE73" s="445">
        <f t="shared" si="168"/>
        <v>4.4999999999999998E-2</v>
      </c>
      <c r="BF73" s="445">
        <f t="shared" si="168"/>
        <v>4.4999999999999998E-2</v>
      </c>
      <c r="BG73" s="445">
        <f t="shared" si="168"/>
        <v>4.4999999999999998E-2</v>
      </c>
      <c r="BH73" s="445">
        <f t="shared" si="168"/>
        <v>4.4999999999999998E-2</v>
      </c>
      <c r="BI73" s="445">
        <f t="shared" si="168"/>
        <v>4.4999999999999998E-2</v>
      </c>
      <c r="BJ73" s="445">
        <f t="shared" si="168"/>
        <v>4.4999999999999998E-2</v>
      </c>
      <c r="BK73" s="446">
        <f t="shared" si="168"/>
        <v>4.4999999999999998E-2</v>
      </c>
      <c r="BL73" s="445">
        <f t="shared" si="168"/>
        <v>4.4999999999999998E-2</v>
      </c>
      <c r="BM73" s="445">
        <f t="shared" si="168"/>
        <v>4.4999999999999998E-2</v>
      </c>
      <c r="BN73" s="445">
        <f t="shared" si="168"/>
        <v>4.4999999999999998E-2</v>
      </c>
      <c r="BO73" s="445">
        <f t="shared" si="168"/>
        <v>4.4999999999999998E-2</v>
      </c>
      <c r="BP73" s="445">
        <f t="shared" si="168"/>
        <v>4.4999999999999998E-2</v>
      </c>
      <c r="BQ73" s="445">
        <f t="shared" si="168"/>
        <v>4.4999999999999998E-2</v>
      </c>
      <c r="BR73" s="445">
        <f t="shared" si="168"/>
        <v>4.4999999999999998E-2</v>
      </c>
      <c r="BS73" s="445">
        <f t="shared" si="168"/>
        <v>4.4999999999999998E-2</v>
      </c>
      <c r="BT73" s="445">
        <f t="shared" si="168"/>
        <v>4.4999999999999998E-2</v>
      </c>
      <c r="BU73" s="445">
        <f t="shared" si="168"/>
        <v>4.4999999999999998E-2</v>
      </c>
      <c r="BV73" s="445">
        <f t="shared" si="168"/>
        <v>4.4999999999999998E-2</v>
      </c>
      <c r="BW73" s="446">
        <v>0.15</v>
      </c>
      <c r="BX73" s="445">
        <f t="shared" ref="BX73:CH73" si="169">+BW73</f>
        <v>0.15</v>
      </c>
      <c r="BY73" s="445">
        <f t="shared" si="169"/>
        <v>0.15</v>
      </c>
      <c r="BZ73" s="445">
        <f t="shared" si="169"/>
        <v>0.15</v>
      </c>
      <c r="CA73" s="445">
        <f t="shared" si="169"/>
        <v>0.15</v>
      </c>
      <c r="CB73" s="445">
        <f t="shared" si="169"/>
        <v>0.15</v>
      </c>
      <c r="CC73" s="445">
        <f t="shared" si="169"/>
        <v>0.15</v>
      </c>
      <c r="CD73" s="445">
        <f t="shared" si="169"/>
        <v>0.15</v>
      </c>
      <c r="CE73" s="445">
        <f t="shared" si="169"/>
        <v>0.15</v>
      </c>
      <c r="CF73" s="445">
        <f t="shared" si="169"/>
        <v>0.15</v>
      </c>
      <c r="CG73" s="445">
        <f t="shared" si="169"/>
        <v>0.15</v>
      </c>
      <c r="CH73" s="445">
        <f t="shared" si="169"/>
        <v>0.15</v>
      </c>
      <c r="CI73" s="446">
        <v>0.2</v>
      </c>
      <c r="CJ73" s="445">
        <f t="shared" ref="CJ73:DG73" si="170">+CI73</f>
        <v>0.2</v>
      </c>
      <c r="CK73" s="445">
        <f t="shared" si="170"/>
        <v>0.2</v>
      </c>
      <c r="CL73" s="445">
        <f t="shared" si="170"/>
        <v>0.2</v>
      </c>
      <c r="CM73" s="445">
        <f t="shared" si="170"/>
        <v>0.2</v>
      </c>
      <c r="CN73" s="445">
        <f t="shared" si="170"/>
        <v>0.2</v>
      </c>
      <c r="CO73" s="445">
        <f t="shared" si="170"/>
        <v>0.2</v>
      </c>
      <c r="CP73" s="445">
        <f t="shared" si="170"/>
        <v>0.2</v>
      </c>
      <c r="CQ73" s="445">
        <f t="shared" si="170"/>
        <v>0.2</v>
      </c>
      <c r="CR73" s="445">
        <f t="shared" si="170"/>
        <v>0.2</v>
      </c>
      <c r="CS73" s="445">
        <f t="shared" si="170"/>
        <v>0.2</v>
      </c>
      <c r="CT73" s="445">
        <f t="shared" si="170"/>
        <v>0.2</v>
      </c>
      <c r="CU73" s="446">
        <f t="shared" si="170"/>
        <v>0.2</v>
      </c>
      <c r="CV73" s="445">
        <f t="shared" si="170"/>
        <v>0.2</v>
      </c>
      <c r="CW73" s="445">
        <f t="shared" si="170"/>
        <v>0.2</v>
      </c>
      <c r="CX73" s="445">
        <f t="shared" si="170"/>
        <v>0.2</v>
      </c>
      <c r="CY73" s="445">
        <f t="shared" si="170"/>
        <v>0.2</v>
      </c>
      <c r="CZ73" s="445">
        <f t="shared" si="170"/>
        <v>0.2</v>
      </c>
      <c r="DA73" s="445">
        <f t="shared" si="170"/>
        <v>0.2</v>
      </c>
      <c r="DB73" s="445">
        <f t="shared" si="170"/>
        <v>0.2</v>
      </c>
      <c r="DC73" s="445">
        <f t="shared" si="170"/>
        <v>0.2</v>
      </c>
      <c r="DD73" s="445">
        <f t="shared" si="170"/>
        <v>0.2</v>
      </c>
      <c r="DE73" s="445">
        <f t="shared" si="170"/>
        <v>0.2</v>
      </c>
      <c r="DF73" s="445">
        <f t="shared" si="170"/>
        <v>0.2</v>
      </c>
      <c r="DG73" s="445">
        <f t="shared" si="170"/>
        <v>0.2</v>
      </c>
    </row>
    <row r="74" spans="1:111" x14ac:dyDescent="0.25">
      <c r="B74" s="1" t="s">
        <v>130</v>
      </c>
      <c r="C74" s="1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>
        <v>0</v>
      </c>
      <c r="AO74" s="104">
        <v>0</v>
      </c>
      <c r="AP74" s="104">
        <v>0</v>
      </c>
      <c r="AQ74" s="104">
        <v>0</v>
      </c>
      <c r="AR74" s="104">
        <v>0</v>
      </c>
      <c r="AS74" s="104">
        <v>0</v>
      </c>
      <c r="AT74" s="104">
        <v>0</v>
      </c>
      <c r="AU74" s="104">
        <v>0</v>
      </c>
      <c r="AV74" s="104">
        <v>0</v>
      </c>
      <c r="AW74" s="605">
        <v>0</v>
      </c>
      <c r="AX74" s="616">
        <v>0</v>
      </c>
      <c r="AY74" s="619">
        <f>+AVERAGE(AV74:AX74)</f>
        <v>0</v>
      </c>
      <c r="AZ74" s="104">
        <f t="shared" ref="AZ74:CE74" si="171">AY74</f>
        <v>0</v>
      </c>
      <c r="BA74" s="104">
        <f t="shared" si="171"/>
        <v>0</v>
      </c>
      <c r="BB74" s="104">
        <f t="shared" si="171"/>
        <v>0</v>
      </c>
      <c r="BC74" s="104">
        <f t="shared" si="171"/>
        <v>0</v>
      </c>
      <c r="BD74" s="104">
        <f t="shared" si="171"/>
        <v>0</v>
      </c>
      <c r="BE74" s="104">
        <f t="shared" si="171"/>
        <v>0</v>
      </c>
      <c r="BF74" s="104">
        <f t="shared" si="171"/>
        <v>0</v>
      </c>
      <c r="BG74" s="104">
        <f t="shared" si="171"/>
        <v>0</v>
      </c>
      <c r="BH74" s="104">
        <f t="shared" si="171"/>
        <v>0</v>
      </c>
      <c r="BI74" s="104">
        <f t="shared" si="171"/>
        <v>0</v>
      </c>
      <c r="BJ74" s="104">
        <f t="shared" si="171"/>
        <v>0</v>
      </c>
      <c r="BK74" s="228">
        <f t="shared" si="171"/>
        <v>0</v>
      </c>
      <c r="BL74" s="104">
        <f t="shared" si="171"/>
        <v>0</v>
      </c>
      <c r="BM74" s="104">
        <f t="shared" si="171"/>
        <v>0</v>
      </c>
      <c r="BN74" s="104">
        <f t="shared" si="171"/>
        <v>0</v>
      </c>
      <c r="BO74" s="104">
        <f t="shared" si="171"/>
        <v>0</v>
      </c>
      <c r="BP74" s="104">
        <f t="shared" si="171"/>
        <v>0</v>
      </c>
      <c r="BQ74" s="104">
        <f t="shared" si="171"/>
        <v>0</v>
      </c>
      <c r="BR74" s="104">
        <f t="shared" si="171"/>
        <v>0</v>
      </c>
      <c r="BS74" s="104">
        <f t="shared" si="171"/>
        <v>0</v>
      </c>
      <c r="BT74" s="104">
        <f t="shared" si="171"/>
        <v>0</v>
      </c>
      <c r="BU74" s="104">
        <f t="shared" si="171"/>
        <v>0</v>
      </c>
      <c r="BV74" s="104">
        <f t="shared" si="171"/>
        <v>0</v>
      </c>
      <c r="BW74" s="228">
        <f t="shared" si="171"/>
        <v>0</v>
      </c>
      <c r="BX74" s="104">
        <f t="shared" si="171"/>
        <v>0</v>
      </c>
      <c r="BY74" s="104">
        <f t="shared" si="171"/>
        <v>0</v>
      </c>
      <c r="BZ74" s="104">
        <f t="shared" si="171"/>
        <v>0</v>
      </c>
      <c r="CA74" s="104">
        <f t="shared" si="171"/>
        <v>0</v>
      </c>
      <c r="CB74" s="104">
        <f t="shared" si="171"/>
        <v>0</v>
      </c>
      <c r="CC74" s="104">
        <f t="shared" si="171"/>
        <v>0</v>
      </c>
      <c r="CD74" s="104">
        <f t="shared" si="171"/>
        <v>0</v>
      </c>
      <c r="CE74" s="104">
        <f t="shared" si="171"/>
        <v>0</v>
      </c>
      <c r="CF74" s="104">
        <f t="shared" ref="CF74:DG74" si="172">CE74</f>
        <v>0</v>
      </c>
      <c r="CG74" s="104">
        <f t="shared" si="172"/>
        <v>0</v>
      </c>
      <c r="CH74" s="104">
        <f t="shared" si="172"/>
        <v>0</v>
      </c>
      <c r="CI74" s="228">
        <f t="shared" si="172"/>
        <v>0</v>
      </c>
      <c r="CJ74" s="104">
        <f t="shared" si="172"/>
        <v>0</v>
      </c>
      <c r="CK74" s="104">
        <f t="shared" si="172"/>
        <v>0</v>
      </c>
      <c r="CL74" s="104">
        <f t="shared" si="172"/>
        <v>0</v>
      </c>
      <c r="CM74" s="104">
        <f t="shared" si="172"/>
        <v>0</v>
      </c>
      <c r="CN74" s="104">
        <f t="shared" si="172"/>
        <v>0</v>
      </c>
      <c r="CO74" s="104">
        <f t="shared" si="172"/>
        <v>0</v>
      </c>
      <c r="CP74" s="104">
        <f t="shared" si="172"/>
        <v>0</v>
      </c>
      <c r="CQ74" s="104">
        <f t="shared" si="172"/>
        <v>0</v>
      </c>
      <c r="CR74" s="104">
        <f t="shared" si="172"/>
        <v>0</v>
      </c>
      <c r="CS74" s="104">
        <f t="shared" si="172"/>
        <v>0</v>
      </c>
      <c r="CT74" s="104">
        <f t="shared" si="172"/>
        <v>0</v>
      </c>
      <c r="CU74" s="228">
        <f t="shared" si="172"/>
        <v>0</v>
      </c>
      <c r="CV74" s="104">
        <f t="shared" si="172"/>
        <v>0</v>
      </c>
      <c r="CW74" s="104">
        <f t="shared" si="172"/>
        <v>0</v>
      </c>
      <c r="CX74" s="104">
        <f t="shared" si="172"/>
        <v>0</v>
      </c>
      <c r="CY74" s="104">
        <f t="shared" si="172"/>
        <v>0</v>
      </c>
      <c r="CZ74" s="104">
        <f t="shared" si="172"/>
        <v>0</v>
      </c>
      <c r="DA74" s="104">
        <f t="shared" si="172"/>
        <v>0</v>
      </c>
      <c r="DB74" s="104">
        <f t="shared" si="172"/>
        <v>0</v>
      </c>
      <c r="DC74" s="104">
        <f t="shared" si="172"/>
        <v>0</v>
      </c>
      <c r="DD74" s="104">
        <f t="shared" si="172"/>
        <v>0</v>
      </c>
      <c r="DE74" s="104">
        <f t="shared" si="172"/>
        <v>0</v>
      </c>
      <c r="DF74" s="104">
        <f t="shared" si="172"/>
        <v>0</v>
      </c>
      <c r="DG74" s="104">
        <f t="shared" si="172"/>
        <v>0</v>
      </c>
    </row>
    <row r="75" spans="1:111" x14ac:dyDescent="0.25">
      <c r="B75" s="1" t="s">
        <v>131</v>
      </c>
      <c r="C75" s="1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>
        <v>264.52999999999997</v>
      </c>
      <c r="AC75" s="104"/>
      <c r="AD75" s="104"/>
      <c r="AE75" s="104">
        <v>238.31</v>
      </c>
      <c r="AF75" s="104"/>
      <c r="AG75" s="104"/>
      <c r="AH75" s="104"/>
      <c r="AI75" s="104">
        <v>8</v>
      </c>
      <c r="AJ75" s="104"/>
      <c r="AK75" s="104"/>
      <c r="AL75" s="104">
        <v>168.97</v>
      </c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605"/>
      <c r="AX75" s="616"/>
      <c r="AY75" s="619">
        <v>50</v>
      </c>
      <c r="AZ75" s="104">
        <f t="shared" ref="AZ75:CE75" si="173">AY75</f>
        <v>50</v>
      </c>
      <c r="BA75" s="104">
        <f t="shared" si="173"/>
        <v>50</v>
      </c>
      <c r="BB75" s="104">
        <f t="shared" si="173"/>
        <v>50</v>
      </c>
      <c r="BC75" s="104">
        <f t="shared" si="173"/>
        <v>50</v>
      </c>
      <c r="BD75" s="104">
        <f t="shared" si="173"/>
        <v>50</v>
      </c>
      <c r="BE75" s="104">
        <f t="shared" si="173"/>
        <v>50</v>
      </c>
      <c r="BF75" s="104">
        <f t="shared" si="173"/>
        <v>50</v>
      </c>
      <c r="BG75" s="104">
        <f t="shared" si="173"/>
        <v>50</v>
      </c>
      <c r="BH75" s="104">
        <f t="shared" si="173"/>
        <v>50</v>
      </c>
      <c r="BI75" s="104">
        <f t="shared" si="173"/>
        <v>50</v>
      </c>
      <c r="BJ75" s="104">
        <f t="shared" si="173"/>
        <v>50</v>
      </c>
      <c r="BK75" s="228">
        <f t="shared" si="173"/>
        <v>50</v>
      </c>
      <c r="BL75" s="104">
        <f t="shared" si="173"/>
        <v>50</v>
      </c>
      <c r="BM75" s="104">
        <f t="shared" si="173"/>
        <v>50</v>
      </c>
      <c r="BN75" s="104">
        <f t="shared" si="173"/>
        <v>50</v>
      </c>
      <c r="BO75" s="104">
        <f t="shared" si="173"/>
        <v>50</v>
      </c>
      <c r="BP75" s="104">
        <f t="shared" si="173"/>
        <v>50</v>
      </c>
      <c r="BQ75" s="104">
        <f t="shared" si="173"/>
        <v>50</v>
      </c>
      <c r="BR75" s="104">
        <f t="shared" si="173"/>
        <v>50</v>
      </c>
      <c r="BS75" s="104">
        <f t="shared" si="173"/>
        <v>50</v>
      </c>
      <c r="BT75" s="104">
        <f t="shared" si="173"/>
        <v>50</v>
      </c>
      <c r="BU75" s="104">
        <f t="shared" si="173"/>
        <v>50</v>
      </c>
      <c r="BV75" s="104">
        <f t="shared" si="173"/>
        <v>50</v>
      </c>
      <c r="BW75" s="228">
        <f t="shared" si="173"/>
        <v>50</v>
      </c>
      <c r="BX75" s="104">
        <f t="shared" si="173"/>
        <v>50</v>
      </c>
      <c r="BY75" s="104">
        <f t="shared" si="173"/>
        <v>50</v>
      </c>
      <c r="BZ75" s="104">
        <f t="shared" si="173"/>
        <v>50</v>
      </c>
      <c r="CA75" s="104">
        <f t="shared" si="173"/>
        <v>50</v>
      </c>
      <c r="CB75" s="104">
        <f t="shared" si="173"/>
        <v>50</v>
      </c>
      <c r="CC75" s="104">
        <f t="shared" si="173"/>
        <v>50</v>
      </c>
      <c r="CD75" s="104">
        <f t="shared" si="173"/>
        <v>50</v>
      </c>
      <c r="CE75" s="104">
        <f t="shared" si="173"/>
        <v>50</v>
      </c>
      <c r="CF75" s="104">
        <f t="shared" ref="CF75:DG75" si="174">CE75</f>
        <v>50</v>
      </c>
      <c r="CG75" s="104">
        <f t="shared" si="174"/>
        <v>50</v>
      </c>
      <c r="CH75" s="104">
        <f t="shared" si="174"/>
        <v>50</v>
      </c>
      <c r="CI75" s="228">
        <f t="shared" si="174"/>
        <v>50</v>
      </c>
      <c r="CJ75" s="104">
        <f t="shared" si="174"/>
        <v>50</v>
      </c>
      <c r="CK75" s="104">
        <f t="shared" si="174"/>
        <v>50</v>
      </c>
      <c r="CL75" s="104">
        <f t="shared" si="174"/>
        <v>50</v>
      </c>
      <c r="CM75" s="104">
        <f t="shared" si="174"/>
        <v>50</v>
      </c>
      <c r="CN75" s="104">
        <f t="shared" si="174"/>
        <v>50</v>
      </c>
      <c r="CO75" s="104">
        <f t="shared" si="174"/>
        <v>50</v>
      </c>
      <c r="CP75" s="104">
        <f t="shared" si="174"/>
        <v>50</v>
      </c>
      <c r="CQ75" s="104">
        <f t="shared" si="174"/>
        <v>50</v>
      </c>
      <c r="CR75" s="104">
        <f t="shared" si="174"/>
        <v>50</v>
      </c>
      <c r="CS75" s="104">
        <f t="shared" si="174"/>
        <v>50</v>
      </c>
      <c r="CT75" s="104">
        <f t="shared" si="174"/>
        <v>50</v>
      </c>
      <c r="CU75" s="228">
        <f t="shared" si="174"/>
        <v>50</v>
      </c>
      <c r="CV75" s="104">
        <f t="shared" si="174"/>
        <v>50</v>
      </c>
      <c r="CW75" s="104">
        <f t="shared" si="174"/>
        <v>50</v>
      </c>
      <c r="CX75" s="104">
        <f t="shared" si="174"/>
        <v>50</v>
      </c>
      <c r="CY75" s="104">
        <f t="shared" si="174"/>
        <v>50</v>
      </c>
      <c r="CZ75" s="104">
        <f t="shared" si="174"/>
        <v>50</v>
      </c>
      <c r="DA75" s="104">
        <f t="shared" si="174"/>
        <v>50</v>
      </c>
      <c r="DB75" s="104">
        <f t="shared" si="174"/>
        <v>50</v>
      </c>
      <c r="DC75" s="104">
        <f t="shared" si="174"/>
        <v>50</v>
      </c>
      <c r="DD75" s="104">
        <f t="shared" si="174"/>
        <v>50</v>
      </c>
      <c r="DE75" s="104">
        <f t="shared" si="174"/>
        <v>50</v>
      </c>
      <c r="DF75" s="104">
        <f t="shared" si="174"/>
        <v>50</v>
      </c>
      <c r="DG75" s="104">
        <f t="shared" si="174"/>
        <v>50</v>
      </c>
    </row>
    <row r="76" spans="1:111" s="5" customFormat="1" x14ac:dyDescent="0.25">
      <c r="B76" s="1" t="s">
        <v>132</v>
      </c>
      <c r="C76" s="1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>
        <v>23.82</v>
      </c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>
        <v>26.9</v>
      </c>
      <c r="AQ76" s="104">
        <v>0</v>
      </c>
      <c r="AR76" s="104">
        <v>0</v>
      </c>
      <c r="AS76" s="104">
        <v>0</v>
      </c>
      <c r="AT76" s="104">
        <v>5</v>
      </c>
      <c r="AU76" s="104">
        <v>0</v>
      </c>
      <c r="AV76" s="104">
        <v>0</v>
      </c>
      <c r="AW76" s="605">
        <v>0</v>
      </c>
      <c r="AX76" s="616">
        <v>0</v>
      </c>
      <c r="AY76" s="619">
        <f t="shared" ref="AY76:CD76" si="175">+IF(AY1&lt;&gt;AX1, AX76*1.1, AX76)</f>
        <v>0</v>
      </c>
      <c r="AZ76" s="104">
        <f t="shared" si="175"/>
        <v>0</v>
      </c>
      <c r="BA76" s="104">
        <f t="shared" si="175"/>
        <v>0</v>
      </c>
      <c r="BB76" s="104">
        <f t="shared" si="175"/>
        <v>0</v>
      </c>
      <c r="BC76" s="104">
        <f t="shared" si="175"/>
        <v>0</v>
      </c>
      <c r="BD76" s="104">
        <f t="shared" si="175"/>
        <v>0</v>
      </c>
      <c r="BE76" s="104">
        <f t="shared" si="175"/>
        <v>0</v>
      </c>
      <c r="BF76" s="104">
        <f t="shared" si="175"/>
        <v>0</v>
      </c>
      <c r="BG76" s="104">
        <f t="shared" si="175"/>
        <v>0</v>
      </c>
      <c r="BH76" s="104">
        <f t="shared" si="175"/>
        <v>0</v>
      </c>
      <c r="BI76" s="104">
        <f t="shared" si="175"/>
        <v>0</v>
      </c>
      <c r="BJ76" s="104">
        <f t="shared" si="175"/>
        <v>0</v>
      </c>
      <c r="BK76" s="228">
        <f t="shared" si="175"/>
        <v>0</v>
      </c>
      <c r="BL76" s="104">
        <f t="shared" si="175"/>
        <v>0</v>
      </c>
      <c r="BM76" s="104">
        <f t="shared" si="175"/>
        <v>0</v>
      </c>
      <c r="BN76" s="104">
        <f t="shared" si="175"/>
        <v>0</v>
      </c>
      <c r="BO76" s="104">
        <f t="shared" si="175"/>
        <v>0</v>
      </c>
      <c r="BP76" s="104">
        <f t="shared" si="175"/>
        <v>0</v>
      </c>
      <c r="BQ76" s="104">
        <f t="shared" si="175"/>
        <v>0</v>
      </c>
      <c r="BR76" s="104">
        <f t="shared" si="175"/>
        <v>0</v>
      </c>
      <c r="BS76" s="104">
        <f t="shared" si="175"/>
        <v>0</v>
      </c>
      <c r="BT76" s="104">
        <f t="shared" si="175"/>
        <v>0</v>
      </c>
      <c r="BU76" s="104">
        <f t="shared" si="175"/>
        <v>0</v>
      </c>
      <c r="BV76" s="104">
        <f t="shared" si="175"/>
        <v>0</v>
      </c>
      <c r="BW76" s="228">
        <f t="shared" si="175"/>
        <v>0</v>
      </c>
      <c r="BX76" s="104">
        <f t="shared" si="175"/>
        <v>0</v>
      </c>
      <c r="BY76" s="104">
        <f t="shared" si="175"/>
        <v>0</v>
      </c>
      <c r="BZ76" s="104">
        <f t="shared" si="175"/>
        <v>0</v>
      </c>
      <c r="CA76" s="104">
        <f t="shared" si="175"/>
        <v>0</v>
      </c>
      <c r="CB76" s="104">
        <f t="shared" si="175"/>
        <v>0</v>
      </c>
      <c r="CC76" s="104">
        <f t="shared" si="175"/>
        <v>0</v>
      </c>
      <c r="CD76" s="104">
        <f t="shared" si="175"/>
        <v>0</v>
      </c>
      <c r="CE76" s="104">
        <f t="shared" ref="CE76:DG76" si="176">+IF(CE1&lt;&gt;CD1, CD76*1.1, CD76)</f>
        <v>0</v>
      </c>
      <c r="CF76" s="104">
        <f t="shared" si="176"/>
        <v>0</v>
      </c>
      <c r="CG76" s="104">
        <f t="shared" si="176"/>
        <v>0</v>
      </c>
      <c r="CH76" s="104">
        <f t="shared" si="176"/>
        <v>0</v>
      </c>
      <c r="CI76" s="228">
        <f t="shared" si="176"/>
        <v>0</v>
      </c>
      <c r="CJ76" s="104">
        <f t="shared" si="176"/>
        <v>0</v>
      </c>
      <c r="CK76" s="104">
        <f t="shared" si="176"/>
        <v>0</v>
      </c>
      <c r="CL76" s="104">
        <f t="shared" si="176"/>
        <v>0</v>
      </c>
      <c r="CM76" s="104">
        <f t="shared" si="176"/>
        <v>0</v>
      </c>
      <c r="CN76" s="104">
        <f t="shared" si="176"/>
        <v>0</v>
      </c>
      <c r="CO76" s="104">
        <f t="shared" si="176"/>
        <v>0</v>
      </c>
      <c r="CP76" s="104">
        <f t="shared" si="176"/>
        <v>0</v>
      </c>
      <c r="CQ76" s="104">
        <f t="shared" si="176"/>
        <v>0</v>
      </c>
      <c r="CR76" s="104">
        <f t="shared" si="176"/>
        <v>0</v>
      </c>
      <c r="CS76" s="104">
        <f t="shared" si="176"/>
        <v>0</v>
      </c>
      <c r="CT76" s="104">
        <f t="shared" si="176"/>
        <v>0</v>
      </c>
      <c r="CU76" s="228">
        <f t="shared" si="176"/>
        <v>0</v>
      </c>
      <c r="CV76" s="104">
        <f t="shared" si="176"/>
        <v>0</v>
      </c>
      <c r="CW76" s="104">
        <f t="shared" si="176"/>
        <v>0</v>
      </c>
      <c r="CX76" s="104">
        <f t="shared" si="176"/>
        <v>0</v>
      </c>
      <c r="CY76" s="104">
        <f t="shared" si="176"/>
        <v>0</v>
      </c>
      <c r="CZ76" s="104">
        <f t="shared" si="176"/>
        <v>0</v>
      </c>
      <c r="DA76" s="104">
        <f t="shared" si="176"/>
        <v>0</v>
      </c>
      <c r="DB76" s="104">
        <f t="shared" si="176"/>
        <v>0</v>
      </c>
      <c r="DC76" s="104">
        <f t="shared" si="176"/>
        <v>0</v>
      </c>
      <c r="DD76" s="104">
        <f t="shared" si="176"/>
        <v>0</v>
      </c>
      <c r="DE76" s="104">
        <f t="shared" si="176"/>
        <v>0</v>
      </c>
      <c r="DF76" s="104">
        <f t="shared" si="176"/>
        <v>0</v>
      </c>
      <c r="DG76" s="104">
        <f t="shared" si="176"/>
        <v>0</v>
      </c>
    </row>
    <row r="77" spans="1:111" s="5" customFormat="1" x14ac:dyDescent="0.25">
      <c r="B77" s="1" t="s">
        <v>133</v>
      </c>
      <c r="C77" s="1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>
        <v>90.45</v>
      </c>
      <c r="AE77" s="104">
        <v>25.46</v>
      </c>
      <c r="AF77" s="104">
        <v>25.46</v>
      </c>
      <c r="AG77" s="104">
        <v>25.46</v>
      </c>
      <c r="AH77" s="104">
        <v>42.22</v>
      </c>
      <c r="AI77" s="104">
        <v>29.48</v>
      </c>
      <c r="AJ77" s="104">
        <v>14.41</v>
      </c>
      <c r="AK77" s="104">
        <v>43.23</v>
      </c>
      <c r="AL77" s="104">
        <v>14.41</v>
      </c>
      <c r="AM77" s="104">
        <v>28.82</v>
      </c>
      <c r="AN77" s="104">
        <v>14.41</v>
      </c>
      <c r="AO77" s="104">
        <v>14.41</v>
      </c>
      <c r="AP77" s="104">
        <v>14.41</v>
      </c>
      <c r="AQ77" s="104">
        <v>14.41</v>
      </c>
      <c r="AR77" s="104">
        <v>28.82</v>
      </c>
      <c r="AS77" s="104">
        <v>14.41</v>
      </c>
      <c r="AT77" s="104">
        <v>28.82</v>
      </c>
      <c r="AU77" s="104">
        <v>28.82</v>
      </c>
      <c r="AV77" s="104">
        <v>14.41</v>
      </c>
      <c r="AW77" s="605">
        <v>28.82</v>
      </c>
      <c r="AX77" s="616">
        <v>28.82</v>
      </c>
      <c r="AY77" s="619">
        <f t="shared" ref="AY77:CD77" si="177">+IF(AY1&lt;&gt;AX1, AX77*1.1, AX77)</f>
        <v>28.82</v>
      </c>
      <c r="AZ77" s="104">
        <f t="shared" si="177"/>
        <v>31.702000000000002</v>
      </c>
      <c r="BA77" s="104">
        <f t="shared" si="177"/>
        <v>31.702000000000002</v>
      </c>
      <c r="BB77" s="104">
        <f t="shared" si="177"/>
        <v>31.702000000000002</v>
      </c>
      <c r="BC77" s="104">
        <f t="shared" si="177"/>
        <v>31.702000000000002</v>
      </c>
      <c r="BD77" s="104">
        <f t="shared" si="177"/>
        <v>31.702000000000002</v>
      </c>
      <c r="BE77" s="104">
        <f t="shared" si="177"/>
        <v>31.702000000000002</v>
      </c>
      <c r="BF77" s="104">
        <f t="shared" si="177"/>
        <v>31.702000000000002</v>
      </c>
      <c r="BG77" s="104">
        <f t="shared" si="177"/>
        <v>31.702000000000002</v>
      </c>
      <c r="BH77" s="104">
        <f t="shared" si="177"/>
        <v>31.702000000000002</v>
      </c>
      <c r="BI77" s="104">
        <f t="shared" si="177"/>
        <v>31.702000000000002</v>
      </c>
      <c r="BJ77" s="104">
        <f t="shared" si="177"/>
        <v>31.702000000000002</v>
      </c>
      <c r="BK77" s="228">
        <f t="shared" si="177"/>
        <v>31.702000000000002</v>
      </c>
      <c r="BL77" s="104">
        <f t="shared" si="177"/>
        <v>34.872200000000007</v>
      </c>
      <c r="BM77" s="104">
        <f t="shared" si="177"/>
        <v>34.872200000000007</v>
      </c>
      <c r="BN77" s="104">
        <f t="shared" si="177"/>
        <v>34.872200000000007</v>
      </c>
      <c r="BO77" s="104">
        <f t="shared" si="177"/>
        <v>34.872200000000007</v>
      </c>
      <c r="BP77" s="104">
        <f t="shared" si="177"/>
        <v>34.872200000000007</v>
      </c>
      <c r="BQ77" s="104">
        <f t="shared" si="177"/>
        <v>34.872200000000007</v>
      </c>
      <c r="BR77" s="104">
        <f t="shared" si="177"/>
        <v>34.872200000000007</v>
      </c>
      <c r="BS77" s="104">
        <f t="shared" si="177"/>
        <v>34.872200000000007</v>
      </c>
      <c r="BT77" s="104">
        <f t="shared" si="177"/>
        <v>34.872200000000007</v>
      </c>
      <c r="BU77" s="104">
        <f t="shared" si="177"/>
        <v>34.872200000000007</v>
      </c>
      <c r="BV77" s="104">
        <f t="shared" si="177"/>
        <v>34.872200000000007</v>
      </c>
      <c r="BW77" s="228">
        <f t="shared" si="177"/>
        <v>34.872200000000007</v>
      </c>
      <c r="BX77" s="104">
        <f t="shared" si="177"/>
        <v>38.359420000000007</v>
      </c>
      <c r="BY77" s="104">
        <f t="shared" si="177"/>
        <v>38.359420000000007</v>
      </c>
      <c r="BZ77" s="104">
        <f t="shared" si="177"/>
        <v>38.359420000000007</v>
      </c>
      <c r="CA77" s="104">
        <f t="shared" si="177"/>
        <v>38.359420000000007</v>
      </c>
      <c r="CB77" s="104">
        <f t="shared" si="177"/>
        <v>38.359420000000007</v>
      </c>
      <c r="CC77" s="104">
        <f t="shared" si="177"/>
        <v>38.359420000000007</v>
      </c>
      <c r="CD77" s="104">
        <f t="shared" si="177"/>
        <v>38.359420000000007</v>
      </c>
      <c r="CE77" s="104">
        <f t="shared" ref="CE77:DG77" si="178">+IF(CE1&lt;&gt;CD1, CD77*1.1, CD77)</f>
        <v>38.359420000000007</v>
      </c>
      <c r="CF77" s="104">
        <f t="shared" si="178"/>
        <v>38.359420000000007</v>
      </c>
      <c r="CG77" s="104">
        <f t="shared" si="178"/>
        <v>38.359420000000007</v>
      </c>
      <c r="CH77" s="104">
        <f t="shared" si="178"/>
        <v>38.359420000000007</v>
      </c>
      <c r="CI77" s="228">
        <f t="shared" si="178"/>
        <v>38.359420000000007</v>
      </c>
      <c r="CJ77" s="104">
        <f t="shared" si="178"/>
        <v>42.19536200000001</v>
      </c>
      <c r="CK77" s="104">
        <f t="shared" si="178"/>
        <v>42.19536200000001</v>
      </c>
      <c r="CL77" s="104">
        <f t="shared" si="178"/>
        <v>42.19536200000001</v>
      </c>
      <c r="CM77" s="104">
        <f t="shared" si="178"/>
        <v>42.19536200000001</v>
      </c>
      <c r="CN77" s="104">
        <f t="shared" si="178"/>
        <v>42.19536200000001</v>
      </c>
      <c r="CO77" s="104">
        <f t="shared" si="178"/>
        <v>42.19536200000001</v>
      </c>
      <c r="CP77" s="104">
        <f t="shared" si="178"/>
        <v>42.19536200000001</v>
      </c>
      <c r="CQ77" s="104">
        <f t="shared" si="178"/>
        <v>42.19536200000001</v>
      </c>
      <c r="CR77" s="104">
        <f t="shared" si="178"/>
        <v>42.19536200000001</v>
      </c>
      <c r="CS77" s="104">
        <f t="shared" si="178"/>
        <v>42.19536200000001</v>
      </c>
      <c r="CT77" s="104">
        <f t="shared" si="178"/>
        <v>42.19536200000001</v>
      </c>
      <c r="CU77" s="228">
        <f t="shared" si="178"/>
        <v>42.19536200000001</v>
      </c>
      <c r="CV77" s="104">
        <f t="shared" si="178"/>
        <v>46.414898200000017</v>
      </c>
      <c r="CW77" s="104">
        <f t="shared" si="178"/>
        <v>46.414898200000017</v>
      </c>
      <c r="CX77" s="104">
        <f t="shared" si="178"/>
        <v>46.414898200000017</v>
      </c>
      <c r="CY77" s="104">
        <f t="shared" si="178"/>
        <v>46.414898200000017</v>
      </c>
      <c r="CZ77" s="104">
        <f t="shared" si="178"/>
        <v>46.414898200000017</v>
      </c>
      <c r="DA77" s="104">
        <f t="shared" si="178"/>
        <v>46.414898200000017</v>
      </c>
      <c r="DB77" s="104">
        <f t="shared" si="178"/>
        <v>46.414898200000017</v>
      </c>
      <c r="DC77" s="104">
        <f t="shared" si="178"/>
        <v>46.414898200000017</v>
      </c>
      <c r="DD77" s="104">
        <f t="shared" si="178"/>
        <v>46.414898200000017</v>
      </c>
      <c r="DE77" s="104">
        <f t="shared" si="178"/>
        <v>46.414898200000017</v>
      </c>
      <c r="DF77" s="104">
        <f t="shared" si="178"/>
        <v>46.414898200000017</v>
      </c>
      <c r="DG77" s="104">
        <f t="shared" si="178"/>
        <v>46.414898200000017</v>
      </c>
    </row>
    <row r="78" spans="1:111" x14ac:dyDescent="0.25">
      <c r="B78" s="4" t="s">
        <v>134</v>
      </c>
      <c r="C78" s="4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>
        <f t="shared" ref="AB78:BG78" si="179">SUM(AB75:AB77)</f>
        <v>264.52999999999997</v>
      </c>
      <c r="AC78" s="47">
        <f t="shared" si="179"/>
        <v>0</v>
      </c>
      <c r="AD78" s="47">
        <f t="shared" si="179"/>
        <v>90.45</v>
      </c>
      <c r="AE78" s="47">
        <f t="shared" si="179"/>
        <v>287.58999999999997</v>
      </c>
      <c r="AF78" s="47">
        <f t="shared" si="179"/>
        <v>25.46</v>
      </c>
      <c r="AG78" s="47">
        <f t="shared" si="179"/>
        <v>25.46</v>
      </c>
      <c r="AH78" s="47">
        <f t="shared" si="179"/>
        <v>42.22</v>
      </c>
      <c r="AI78" s="47">
        <f t="shared" si="179"/>
        <v>37.480000000000004</v>
      </c>
      <c r="AJ78" s="47">
        <f t="shared" si="179"/>
        <v>14.41</v>
      </c>
      <c r="AK78" s="47">
        <f t="shared" si="179"/>
        <v>43.23</v>
      </c>
      <c r="AL78" s="47">
        <f t="shared" si="179"/>
        <v>183.38</v>
      </c>
      <c r="AM78" s="47">
        <f t="shared" si="179"/>
        <v>28.82</v>
      </c>
      <c r="AN78" s="47">
        <f t="shared" si="179"/>
        <v>14.41</v>
      </c>
      <c r="AO78" s="47">
        <f t="shared" si="179"/>
        <v>14.41</v>
      </c>
      <c r="AP78" s="47">
        <f t="shared" si="179"/>
        <v>41.31</v>
      </c>
      <c r="AQ78" s="47">
        <f t="shared" si="179"/>
        <v>14.41</v>
      </c>
      <c r="AR78" s="47">
        <f t="shared" si="179"/>
        <v>28.82</v>
      </c>
      <c r="AS78" s="47">
        <f t="shared" si="179"/>
        <v>14.41</v>
      </c>
      <c r="AT78" s="47">
        <f t="shared" si="179"/>
        <v>33.82</v>
      </c>
      <c r="AU78" s="47">
        <f t="shared" si="179"/>
        <v>28.82</v>
      </c>
      <c r="AV78" s="47">
        <f t="shared" si="179"/>
        <v>14.41</v>
      </c>
      <c r="AW78" s="47">
        <f t="shared" si="179"/>
        <v>28.82</v>
      </c>
      <c r="AX78" s="229">
        <f t="shared" si="179"/>
        <v>28.82</v>
      </c>
      <c r="AY78" s="47">
        <f t="shared" si="179"/>
        <v>78.819999999999993</v>
      </c>
      <c r="AZ78" s="47">
        <f t="shared" si="179"/>
        <v>81.701999999999998</v>
      </c>
      <c r="BA78" s="47">
        <f t="shared" si="179"/>
        <v>81.701999999999998</v>
      </c>
      <c r="BB78" s="47">
        <f t="shared" si="179"/>
        <v>81.701999999999998</v>
      </c>
      <c r="BC78" s="47">
        <f t="shared" si="179"/>
        <v>81.701999999999998</v>
      </c>
      <c r="BD78" s="47">
        <f t="shared" si="179"/>
        <v>81.701999999999998</v>
      </c>
      <c r="BE78" s="47">
        <f t="shared" si="179"/>
        <v>81.701999999999998</v>
      </c>
      <c r="BF78" s="47">
        <f t="shared" si="179"/>
        <v>81.701999999999998</v>
      </c>
      <c r="BG78" s="47">
        <f t="shared" si="179"/>
        <v>81.701999999999998</v>
      </c>
      <c r="BH78" s="47">
        <f t="shared" ref="BH78:CM78" si="180">SUM(BH75:BH77)</f>
        <v>81.701999999999998</v>
      </c>
      <c r="BI78" s="47">
        <f t="shared" si="180"/>
        <v>81.701999999999998</v>
      </c>
      <c r="BJ78" s="47">
        <f t="shared" si="180"/>
        <v>81.701999999999998</v>
      </c>
      <c r="BK78" s="229">
        <f t="shared" si="180"/>
        <v>81.701999999999998</v>
      </c>
      <c r="BL78" s="47">
        <f t="shared" si="180"/>
        <v>84.872200000000007</v>
      </c>
      <c r="BM78" s="47">
        <f t="shared" si="180"/>
        <v>84.872200000000007</v>
      </c>
      <c r="BN78" s="47">
        <f t="shared" si="180"/>
        <v>84.872200000000007</v>
      </c>
      <c r="BO78" s="47">
        <f t="shared" si="180"/>
        <v>84.872200000000007</v>
      </c>
      <c r="BP78" s="47">
        <f t="shared" si="180"/>
        <v>84.872200000000007</v>
      </c>
      <c r="BQ78" s="47">
        <f t="shared" si="180"/>
        <v>84.872200000000007</v>
      </c>
      <c r="BR78" s="47">
        <f t="shared" si="180"/>
        <v>84.872200000000007</v>
      </c>
      <c r="BS78" s="47">
        <f t="shared" si="180"/>
        <v>84.872200000000007</v>
      </c>
      <c r="BT78" s="47">
        <f t="shared" si="180"/>
        <v>84.872200000000007</v>
      </c>
      <c r="BU78" s="47">
        <f t="shared" si="180"/>
        <v>84.872200000000007</v>
      </c>
      <c r="BV78" s="47">
        <f t="shared" si="180"/>
        <v>84.872200000000007</v>
      </c>
      <c r="BW78" s="229">
        <f t="shared" si="180"/>
        <v>84.872200000000007</v>
      </c>
      <c r="BX78" s="47">
        <f t="shared" si="180"/>
        <v>88.35942</v>
      </c>
      <c r="BY78" s="47">
        <f t="shared" si="180"/>
        <v>88.35942</v>
      </c>
      <c r="BZ78" s="47">
        <f t="shared" si="180"/>
        <v>88.35942</v>
      </c>
      <c r="CA78" s="47">
        <f t="shared" si="180"/>
        <v>88.35942</v>
      </c>
      <c r="CB78" s="47">
        <f t="shared" si="180"/>
        <v>88.35942</v>
      </c>
      <c r="CC78" s="47">
        <f t="shared" si="180"/>
        <v>88.35942</v>
      </c>
      <c r="CD78" s="47">
        <f t="shared" si="180"/>
        <v>88.35942</v>
      </c>
      <c r="CE78" s="47">
        <f t="shared" si="180"/>
        <v>88.35942</v>
      </c>
      <c r="CF78" s="47">
        <f t="shared" si="180"/>
        <v>88.35942</v>
      </c>
      <c r="CG78" s="47">
        <f t="shared" si="180"/>
        <v>88.35942</v>
      </c>
      <c r="CH78" s="47">
        <f t="shared" si="180"/>
        <v>88.35942</v>
      </c>
      <c r="CI78" s="229">
        <f t="shared" si="180"/>
        <v>88.35942</v>
      </c>
      <c r="CJ78" s="47">
        <f t="shared" si="180"/>
        <v>92.195362000000017</v>
      </c>
      <c r="CK78" s="47">
        <f t="shared" si="180"/>
        <v>92.195362000000017</v>
      </c>
      <c r="CL78" s="47">
        <f t="shared" si="180"/>
        <v>92.195362000000017</v>
      </c>
      <c r="CM78" s="47">
        <f t="shared" si="180"/>
        <v>92.195362000000017</v>
      </c>
      <c r="CN78" s="47">
        <f t="shared" ref="CN78:DS78" si="181">SUM(CN75:CN77)</f>
        <v>92.195362000000017</v>
      </c>
      <c r="CO78" s="47">
        <f t="shared" si="181"/>
        <v>92.195362000000017</v>
      </c>
      <c r="CP78" s="47">
        <f t="shared" si="181"/>
        <v>92.195362000000017</v>
      </c>
      <c r="CQ78" s="47">
        <f t="shared" si="181"/>
        <v>92.195362000000017</v>
      </c>
      <c r="CR78" s="47">
        <f t="shared" si="181"/>
        <v>92.195362000000017</v>
      </c>
      <c r="CS78" s="47">
        <f t="shared" si="181"/>
        <v>92.195362000000017</v>
      </c>
      <c r="CT78" s="47">
        <f t="shared" si="181"/>
        <v>92.195362000000017</v>
      </c>
      <c r="CU78" s="229">
        <f t="shared" si="181"/>
        <v>92.195362000000017</v>
      </c>
      <c r="CV78" s="47">
        <f t="shared" si="181"/>
        <v>96.41489820000001</v>
      </c>
      <c r="CW78" s="47">
        <f t="shared" si="181"/>
        <v>96.41489820000001</v>
      </c>
      <c r="CX78" s="47">
        <f t="shared" si="181"/>
        <v>96.41489820000001</v>
      </c>
      <c r="CY78" s="47">
        <f t="shared" si="181"/>
        <v>96.41489820000001</v>
      </c>
      <c r="CZ78" s="47">
        <f t="shared" si="181"/>
        <v>96.41489820000001</v>
      </c>
      <c r="DA78" s="47">
        <f t="shared" si="181"/>
        <v>96.41489820000001</v>
      </c>
      <c r="DB78" s="47">
        <f t="shared" si="181"/>
        <v>96.41489820000001</v>
      </c>
      <c r="DC78" s="47">
        <f t="shared" si="181"/>
        <v>96.41489820000001</v>
      </c>
      <c r="DD78" s="47">
        <f t="shared" si="181"/>
        <v>96.41489820000001</v>
      </c>
      <c r="DE78" s="47">
        <f t="shared" si="181"/>
        <v>96.41489820000001</v>
      </c>
      <c r="DF78" s="47">
        <f t="shared" si="181"/>
        <v>96.41489820000001</v>
      </c>
      <c r="DG78" s="47">
        <f t="shared" si="181"/>
        <v>96.41489820000001</v>
      </c>
    </row>
    <row r="79" spans="1:111" x14ac:dyDescent="0.25">
      <c r="B79" s="1" t="s">
        <v>135</v>
      </c>
      <c r="C79" s="1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230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230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230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230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230"/>
      <c r="CV79" s="49"/>
      <c r="CW79" s="49"/>
      <c r="CX79" s="49"/>
      <c r="CY79" s="49"/>
      <c r="CZ79" s="49"/>
      <c r="DA79" s="49"/>
      <c r="DB79" s="49"/>
      <c r="DC79" s="49"/>
      <c r="DD79" s="49"/>
      <c r="DE79" s="49"/>
      <c r="DF79" s="49"/>
      <c r="DG79" s="49"/>
    </row>
    <row r="80" spans="1:111" x14ac:dyDescent="0.25">
      <c r="B80" s="1" t="s">
        <v>136</v>
      </c>
      <c r="C80" s="1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104">
        <v>400</v>
      </c>
      <c r="AK80" s="104">
        <v>284.47000000000003</v>
      </c>
      <c r="AL80" s="104">
        <v>330.08</v>
      </c>
      <c r="AM80" s="104">
        <v>280.5</v>
      </c>
      <c r="AN80" s="104">
        <v>211.67</v>
      </c>
      <c r="AO80" s="104">
        <v>368.33</v>
      </c>
      <c r="AP80" s="104">
        <v>353.33</v>
      </c>
      <c r="AQ80" s="104">
        <v>330</v>
      </c>
      <c r="AR80" s="104">
        <v>297.5</v>
      </c>
      <c r="AS80" s="104">
        <v>276.25</v>
      </c>
      <c r="AT80" s="104">
        <v>382.5</v>
      </c>
      <c r="AU80" s="104">
        <v>297.5</v>
      </c>
      <c r="AV80" s="104">
        <v>318.75</v>
      </c>
      <c r="AW80" s="605">
        <v>383.75</v>
      </c>
      <c r="AX80" s="616">
        <v>300</v>
      </c>
      <c r="AY80" s="619">
        <v>350</v>
      </c>
      <c r="AZ80" s="104">
        <f t="shared" ref="AZ80:CE80" si="182">+IF(AY$1&lt;&gt;AZ$1, AY80*1.1, AY80)</f>
        <v>385.00000000000006</v>
      </c>
      <c r="BA80" s="104">
        <f t="shared" si="182"/>
        <v>385.00000000000006</v>
      </c>
      <c r="BB80" s="104">
        <f t="shared" si="182"/>
        <v>385.00000000000006</v>
      </c>
      <c r="BC80" s="104">
        <f t="shared" si="182"/>
        <v>385.00000000000006</v>
      </c>
      <c r="BD80" s="104">
        <f t="shared" si="182"/>
        <v>385.00000000000006</v>
      </c>
      <c r="BE80" s="104">
        <f t="shared" si="182"/>
        <v>385.00000000000006</v>
      </c>
      <c r="BF80" s="104">
        <f t="shared" si="182"/>
        <v>385.00000000000006</v>
      </c>
      <c r="BG80" s="104">
        <f t="shared" si="182"/>
        <v>385.00000000000006</v>
      </c>
      <c r="BH80" s="104">
        <f t="shared" si="182"/>
        <v>385.00000000000006</v>
      </c>
      <c r="BI80" s="104">
        <f t="shared" si="182"/>
        <v>385.00000000000006</v>
      </c>
      <c r="BJ80" s="104">
        <f t="shared" si="182"/>
        <v>385.00000000000006</v>
      </c>
      <c r="BK80" s="228">
        <f t="shared" si="182"/>
        <v>385.00000000000006</v>
      </c>
      <c r="BL80" s="104">
        <f t="shared" si="182"/>
        <v>423.50000000000011</v>
      </c>
      <c r="BM80" s="104">
        <f t="shared" si="182"/>
        <v>423.50000000000011</v>
      </c>
      <c r="BN80" s="104">
        <f t="shared" si="182"/>
        <v>423.50000000000011</v>
      </c>
      <c r="BO80" s="104">
        <f t="shared" si="182"/>
        <v>423.50000000000011</v>
      </c>
      <c r="BP80" s="104">
        <f t="shared" si="182"/>
        <v>423.50000000000011</v>
      </c>
      <c r="BQ80" s="104">
        <f t="shared" si="182"/>
        <v>423.50000000000011</v>
      </c>
      <c r="BR80" s="104">
        <f t="shared" si="182"/>
        <v>423.50000000000011</v>
      </c>
      <c r="BS80" s="104">
        <f t="shared" si="182"/>
        <v>423.50000000000011</v>
      </c>
      <c r="BT80" s="104">
        <f t="shared" si="182"/>
        <v>423.50000000000011</v>
      </c>
      <c r="BU80" s="104">
        <f t="shared" si="182"/>
        <v>423.50000000000011</v>
      </c>
      <c r="BV80" s="104">
        <f t="shared" si="182"/>
        <v>423.50000000000011</v>
      </c>
      <c r="BW80" s="228">
        <f t="shared" si="182"/>
        <v>423.50000000000011</v>
      </c>
      <c r="BX80" s="104">
        <f t="shared" si="182"/>
        <v>465.85000000000014</v>
      </c>
      <c r="BY80" s="104">
        <f t="shared" si="182"/>
        <v>465.85000000000014</v>
      </c>
      <c r="BZ80" s="104">
        <f t="shared" si="182"/>
        <v>465.85000000000014</v>
      </c>
      <c r="CA80" s="104">
        <f t="shared" si="182"/>
        <v>465.85000000000014</v>
      </c>
      <c r="CB80" s="104">
        <f t="shared" si="182"/>
        <v>465.85000000000014</v>
      </c>
      <c r="CC80" s="104">
        <f t="shared" si="182"/>
        <v>465.85000000000014</v>
      </c>
      <c r="CD80" s="104">
        <f t="shared" si="182"/>
        <v>465.85000000000014</v>
      </c>
      <c r="CE80" s="104">
        <f t="shared" si="182"/>
        <v>465.85000000000014</v>
      </c>
      <c r="CF80" s="104">
        <f t="shared" ref="CF80:DG80" si="183">+IF(CE$1&lt;&gt;CF$1, CE80*1.1, CE80)</f>
        <v>465.85000000000014</v>
      </c>
      <c r="CG80" s="104">
        <f t="shared" si="183"/>
        <v>465.85000000000014</v>
      </c>
      <c r="CH80" s="104">
        <f t="shared" si="183"/>
        <v>465.85000000000014</v>
      </c>
      <c r="CI80" s="228">
        <f t="shared" si="183"/>
        <v>465.85000000000014</v>
      </c>
      <c r="CJ80" s="104">
        <f t="shared" si="183"/>
        <v>512.43500000000017</v>
      </c>
      <c r="CK80" s="104">
        <f t="shared" si="183"/>
        <v>512.43500000000017</v>
      </c>
      <c r="CL80" s="104">
        <f t="shared" si="183"/>
        <v>512.43500000000017</v>
      </c>
      <c r="CM80" s="104">
        <f t="shared" si="183"/>
        <v>512.43500000000017</v>
      </c>
      <c r="CN80" s="104">
        <f t="shared" si="183"/>
        <v>512.43500000000017</v>
      </c>
      <c r="CO80" s="104">
        <f t="shared" si="183"/>
        <v>512.43500000000017</v>
      </c>
      <c r="CP80" s="104">
        <f t="shared" si="183"/>
        <v>512.43500000000017</v>
      </c>
      <c r="CQ80" s="104">
        <f t="shared" si="183"/>
        <v>512.43500000000017</v>
      </c>
      <c r="CR80" s="104">
        <f t="shared" si="183"/>
        <v>512.43500000000017</v>
      </c>
      <c r="CS80" s="104">
        <f t="shared" si="183"/>
        <v>512.43500000000017</v>
      </c>
      <c r="CT80" s="104">
        <f t="shared" si="183"/>
        <v>512.43500000000017</v>
      </c>
      <c r="CU80" s="228">
        <f t="shared" si="183"/>
        <v>512.43500000000017</v>
      </c>
      <c r="CV80" s="104">
        <f t="shared" si="183"/>
        <v>563.67850000000021</v>
      </c>
      <c r="CW80" s="104">
        <f t="shared" si="183"/>
        <v>563.67850000000021</v>
      </c>
      <c r="CX80" s="104">
        <f t="shared" si="183"/>
        <v>563.67850000000021</v>
      </c>
      <c r="CY80" s="104">
        <f t="shared" si="183"/>
        <v>563.67850000000021</v>
      </c>
      <c r="CZ80" s="104">
        <f t="shared" si="183"/>
        <v>563.67850000000021</v>
      </c>
      <c r="DA80" s="104">
        <f t="shared" si="183"/>
        <v>563.67850000000021</v>
      </c>
      <c r="DB80" s="104">
        <f t="shared" si="183"/>
        <v>563.67850000000021</v>
      </c>
      <c r="DC80" s="104">
        <f t="shared" si="183"/>
        <v>563.67850000000021</v>
      </c>
      <c r="DD80" s="104">
        <f t="shared" si="183"/>
        <v>563.67850000000021</v>
      </c>
      <c r="DE80" s="104">
        <f t="shared" si="183"/>
        <v>563.67850000000021</v>
      </c>
      <c r="DF80" s="104">
        <f t="shared" si="183"/>
        <v>563.67850000000021</v>
      </c>
      <c r="DG80" s="104">
        <f t="shared" si="183"/>
        <v>563.67850000000021</v>
      </c>
    </row>
    <row r="81" spans="1:111" x14ac:dyDescent="0.25">
      <c r="B81" s="1" t="s">
        <v>137</v>
      </c>
      <c r="C81" s="1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104"/>
      <c r="AK81" s="104"/>
      <c r="AL81" s="104"/>
      <c r="AM81" s="104"/>
      <c r="AN81" s="104"/>
      <c r="AO81" s="104"/>
      <c r="AP81" s="104"/>
      <c r="AQ81" s="104"/>
      <c r="AR81" s="104">
        <v>75.510000000000005</v>
      </c>
      <c r="AS81" s="104">
        <v>0</v>
      </c>
      <c r="AT81" s="104">
        <v>0</v>
      </c>
      <c r="AU81" s="104">
        <v>0</v>
      </c>
      <c r="AV81" s="104">
        <v>0</v>
      </c>
      <c r="AW81" s="605">
        <v>0</v>
      </c>
      <c r="AX81" s="616">
        <v>0</v>
      </c>
      <c r="AY81" s="619">
        <f t="shared" ref="AY81:CD81" si="184">+AM81</f>
        <v>0</v>
      </c>
      <c r="AZ81" s="104">
        <f t="shared" si="184"/>
        <v>0</v>
      </c>
      <c r="BA81" s="104">
        <f t="shared" si="184"/>
        <v>0</v>
      </c>
      <c r="BB81" s="104">
        <f t="shared" si="184"/>
        <v>0</v>
      </c>
      <c r="BC81" s="104">
        <f t="shared" si="184"/>
        <v>0</v>
      </c>
      <c r="BD81" s="104">
        <f t="shared" si="184"/>
        <v>75.510000000000005</v>
      </c>
      <c r="BE81" s="104">
        <f t="shared" si="184"/>
        <v>0</v>
      </c>
      <c r="BF81" s="104">
        <f t="shared" si="184"/>
        <v>0</v>
      </c>
      <c r="BG81" s="104">
        <f t="shared" si="184"/>
        <v>0</v>
      </c>
      <c r="BH81" s="104">
        <f t="shared" si="184"/>
        <v>0</v>
      </c>
      <c r="BI81" s="104">
        <f t="shared" si="184"/>
        <v>0</v>
      </c>
      <c r="BJ81" s="104">
        <f t="shared" si="184"/>
        <v>0</v>
      </c>
      <c r="BK81" s="228">
        <f t="shared" si="184"/>
        <v>0</v>
      </c>
      <c r="BL81" s="104">
        <f t="shared" si="184"/>
        <v>0</v>
      </c>
      <c r="BM81" s="104">
        <f t="shared" si="184"/>
        <v>0</v>
      </c>
      <c r="BN81" s="104">
        <f t="shared" si="184"/>
        <v>0</v>
      </c>
      <c r="BO81" s="104">
        <f t="shared" si="184"/>
        <v>0</v>
      </c>
      <c r="BP81" s="104">
        <f t="shared" si="184"/>
        <v>75.510000000000005</v>
      </c>
      <c r="BQ81" s="104">
        <f t="shared" si="184"/>
        <v>0</v>
      </c>
      <c r="BR81" s="104">
        <f t="shared" si="184"/>
        <v>0</v>
      </c>
      <c r="BS81" s="104">
        <f t="shared" si="184"/>
        <v>0</v>
      </c>
      <c r="BT81" s="104">
        <f t="shared" si="184"/>
        <v>0</v>
      </c>
      <c r="BU81" s="104">
        <f t="shared" si="184"/>
        <v>0</v>
      </c>
      <c r="BV81" s="104">
        <f t="shared" si="184"/>
        <v>0</v>
      </c>
      <c r="BW81" s="228">
        <f t="shared" si="184"/>
        <v>0</v>
      </c>
      <c r="BX81" s="104">
        <f t="shared" si="184"/>
        <v>0</v>
      </c>
      <c r="BY81" s="104">
        <f t="shared" si="184"/>
        <v>0</v>
      </c>
      <c r="BZ81" s="104">
        <f t="shared" si="184"/>
        <v>0</v>
      </c>
      <c r="CA81" s="104">
        <f t="shared" si="184"/>
        <v>0</v>
      </c>
      <c r="CB81" s="104">
        <f t="shared" si="184"/>
        <v>75.510000000000005</v>
      </c>
      <c r="CC81" s="104">
        <f t="shared" si="184"/>
        <v>0</v>
      </c>
      <c r="CD81" s="104">
        <f t="shared" si="184"/>
        <v>0</v>
      </c>
      <c r="CE81" s="104">
        <f t="shared" ref="CE81:DJ81" si="185">+BS81</f>
        <v>0</v>
      </c>
      <c r="CF81" s="104">
        <f t="shared" si="185"/>
        <v>0</v>
      </c>
      <c r="CG81" s="104">
        <f t="shared" si="185"/>
        <v>0</v>
      </c>
      <c r="CH81" s="104">
        <f t="shared" si="185"/>
        <v>0</v>
      </c>
      <c r="CI81" s="228">
        <f t="shared" si="185"/>
        <v>0</v>
      </c>
      <c r="CJ81" s="104">
        <f t="shared" si="185"/>
        <v>0</v>
      </c>
      <c r="CK81" s="104">
        <f t="shared" si="185"/>
        <v>0</v>
      </c>
      <c r="CL81" s="104">
        <f t="shared" si="185"/>
        <v>0</v>
      </c>
      <c r="CM81" s="104">
        <f t="shared" si="185"/>
        <v>0</v>
      </c>
      <c r="CN81" s="104">
        <f t="shared" si="185"/>
        <v>75.510000000000005</v>
      </c>
      <c r="CO81" s="104">
        <f t="shared" si="185"/>
        <v>0</v>
      </c>
      <c r="CP81" s="104">
        <f t="shared" si="185"/>
        <v>0</v>
      </c>
      <c r="CQ81" s="104">
        <f t="shared" si="185"/>
        <v>0</v>
      </c>
      <c r="CR81" s="104">
        <f t="shared" si="185"/>
        <v>0</v>
      </c>
      <c r="CS81" s="104">
        <f t="shared" si="185"/>
        <v>0</v>
      </c>
      <c r="CT81" s="104">
        <f t="shared" si="185"/>
        <v>0</v>
      </c>
      <c r="CU81" s="228">
        <f t="shared" si="185"/>
        <v>0</v>
      </c>
      <c r="CV81" s="104">
        <f t="shared" si="185"/>
        <v>0</v>
      </c>
      <c r="CW81" s="104">
        <f t="shared" si="185"/>
        <v>0</v>
      </c>
      <c r="CX81" s="104">
        <f t="shared" si="185"/>
        <v>0</v>
      </c>
      <c r="CY81" s="104">
        <f t="shared" si="185"/>
        <v>0</v>
      </c>
      <c r="CZ81" s="104">
        <f t="shared" si="185"/>
        <v>75.510000000000005</v>
      </c>
      <c r="DA81" s="104">
        <f t="shared" si="185"/>
        <v>0</v>
      </c>
      <c r="DB81" s="104">
        <f t="shared" si="185"/>
        <v>0</v>
      </c>
      <c r="DC81" s="104">
        <f t="shared" si="185"/>
        <v>0</v>
      </c>
      <c r="DD81" s="104">
        <f t="shared" si="185"/>
        <v>0</v>
      </c>
      <c r="DE81" s="104">
        <f t="shared" si="185"/>
        <v>0</v>
      </c>
      <c r="DF81" s="104">
        <f t="shared" si="185"/>
        <v>0</v>
      </c>
      <c r="DG81" s="104">
        <f t="shared" si="185"/>
        <v>0</v>
      </c>
    </row>
    <row r="82" spans="1:111" x14ac:dyDescent="0.25">
      <c r="B82" s="4" t="s">
        <v>138</v>
      </c>
      <c r="C82" s="4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>
        <f t="shared" ref="AB82:AM82" si="186">SUM(AB79:AB80)</f>
        <v>0</v>
      </c>
      <c r="AC82" s="47">
        <f t="shared" si="186"/>
        <v>0</v>
      </c>
      <c r="AD82" s="47">
        <f t="shared" si="186"/>
        <v>0</v>
      </c>
      <c r="AE82" s="47">
        <f t="shared" si="186"/>
        <v>0</v>
      </c>
      <c r="AF82" s="47">
        <f t="shared" si="186"/>
        <v>0</v>
      </c>
      <c r="AG82" s="47">
        <f t="shared" si="186"/>
        <v>0</v>
      </c>
      <c r="AH82" s="47">
        <f t="shared" si="186"/>
        <v>0</v>
      </c>
      <c r="AI82" s="47">
        <f t="shared" si="186"/>
        <v>0</v>
      </c>
      <c r="AJ82" s="47">
        <f t="shared" si="186"/>
        <v>400</v>
      </c>
      <c r="AK82" s="47">
        <f t="shared" si="186"/>
        <v>284.47000000000003</v>
      </c>
      <c r="AL82" s="47">
        <f t="shared" si="186"/>
        <v>330.08</v>
      </c>
      <c r="AM82" s="47">
        <f t="shared" si="186"/>
        <v>280.5</v>
      </c>
      <c r="AN82" s="47">
        <f t="shared" ref="AN82:BS82" si="187">SUM(AN79:AN81)</f>
        <v>211.67</v>
      </c>
      <c r="AO82" s="47">
        <f t="shared" si="187"/>
        <v>368.33</v>
      </c>
      <c r="AP82" s="47">
        <f t="shared" si="187"/>
        <v>353.33</v>
      </c>
      <c r="AQ82" s="47">
        <f t="shared" si="187"/>
        <v>330</v>
      </c>
      <c r="AR82" s="47">
        <f t="shared" si="187"/>
        <v>373.01</v>
      </c>
      <c r="AS82" s="47">
        <f t="shared" si="187"/>
        <v>276.25</v>
      </c>
      <c r="AT82" s="47">
        <f t="shared" si="187"/>
        <v>382.5</v>
      </c>
      <c r="AU82" s="47">
        <f t="shared" si="187"/>
        <v>297.5</v>
      </c>
      <c r="AV82" s="47">
        <f t="shared" si="187"/>
        <v>318.75</v>
      </c>
      <c r="AW82" s="47">
        <f t="shared" si="187"/>
        <v>383.75</v>
      </c>
      <c r="AX82" s="229">
        <f t="shared" si="187"/>
        <v>300</v>
      </c>
      <c r="AY82" s="47">
        <f t="shared" si="187"/>
        <v>350</v>
      </c>
      <c r="AZ82" s="47">
        <f t="shared" si="187"/>
        <v>385.00000000000006</v>
      </c>
      <c r="BA82" s="47">
        <f t="shared" si="187"/>
        <v>385.00000000000006</v>
      </c>
      <c r="BB82" s="47">
        <f t="shared" si="187"/>
        <v>385.00000000000006</v>
      </c>
      <c r="BC82" s="47">
        <f t="shared" si="187"/>
        <v>385.00000000000006</v>
      </c>
      <c r="BD82" s="47">
        <f t="shared" si="187"/>
        <v>460.51000000000005</v>
      </c>
      <c r="BE82" s="47">
        <f t="shared" si="187"/>
        <v>385.00000000000006</v>
      </c>
      <c r="BF82" s="47">
        <f t="shared" si="187"/>
        <v>385.00000000000006</v>
      </c>
      <c r="BG82" s="47">
        <f t="shared" si="187"/>
        <v>385.00000000000006</v>
      </c>
      <c r="BH82" s="47">
        <f t="shared" si="187"/>
        <v>385.00000000000006</v>
      </c>
      <c r="BI82" s="47">
        <f t="shared" si="187"/>
        <v>385.00000000000006</v>
      </c>
      <c r="BJ82" s="47">
        <f t="shared" si="187"/>
        <v>385.00000000000006</v>
      </c>
      <c r="BK82" s="229">
        <f t="shared" si="187"/>
        <v>385.00000000000006</v>
      </c>
      <c r="BL82" s="47">
        <f t="shared" si="187"/>
        <v>423.50000000000011</v>
      </c>
      <c r="BM82" s="47">
        <f t="shared" si="187"/>
        <v>423.50000000000011</v>
      </c>
      <c r="BN82" s="47">
        <f t="shared" si="187"/>
        <v>423.50000000000011</v>
      </c>
      <c r="BO82" s="47">
        <f t="shared" si="187"/>
        <v>423.50000000000011</v>
      </c>
      <c r="BP82" s="47">
        <f t="shared" si="187"/>
        <v>499.0100000000001</v>
      </c>
      <c r="BQ82" s="47">
        <f t="shared" si="187"/>
        <v>423.50000000000011</v>
      </c>
      <c r="BR82" s="47">
        <f t="shared" si="187"/>
        <v>423.50000000000011</v>
      </c>
      <c r="BS82" s="47">
        <f t="shared" si="187"/>
        <v>423.50000000000011</v>
      </c>
      <c r="BT82" s="47">
        <f t="shared" ref="BT82:CY82" si="188">SUM(BT79:BT81)</f>
        <v>423.50000000000011</v>
      </c>
      <c r="BU82" s="47">
        <f t="shared" si="188"/>
        <v>423.50000000000011</v>
      </c>
      <c r="BV82" s="47">
        <f t="shared" si="188"/>
        <v>423.50000000000011</v>
      </c>
      <c r="BW82" s="229">
        <f t="shared" si="188"/>
        <v>423.50000000000011</v>
      </c>
      <c r="BX82" s="47">
        <f t="shared" si="188"/>
        <v>465.85000000000014</v>
      </c>
      <c r="BY82" s="47">
        <f t="shared" si="188"/>
        <v>465.85000000000014</v>
      </c>
      <c r="BZ82" s="47">
        <f t="shared" si="188"/>
        <v>465.85000000000014</v>
      </c>
      <c r="CA82" s="47">
        <f t="shared" si="188"/>
        <v>465.85000000000014</v>
      </c>
      <c r="CB82" s="47">
        <f t="shared" si="188"/>
        <v>541.36000000000013</v>
      </c>
      <c r="CC82" s="47">
        <f t="shared" si="188"/>
        <v>465.85000000000014</v>
      </c>
      <c r="CD82" s="47">
        <f t="shared" si="188"/>
        <v>465.85000000000014</v>
      </c>
      <c r="CE82" s="47">
        <f t="shared" si="188"/>
        <v>465.85000000000014</v>
      </c>
      <c r="CF82" s="47">
        <f t="shared" si="188"/>
        <v>465.85000000000014</v>
      </c>
      <c r="CG82" s="47">
        <f t="shared" si="188"/>
        <v>465.85000000000014</v>
      </c>
      <c r="CH82" s="47">
        <f t="shared" si="188"/>
        <v>465.85000000000014</v>
      </c>
      <c r="CI82" s="229">
        <f t="shared" si="188"/>
        <v>465.85000000000014</v>
      </c>
      <c r="CJ82" s="47">
        <f t="shared" si="188"/>
        <v>512.43500000000017</v>
      </c>
      <c r="CK82" s="47">
        <f t="shared" si="188"/>
        <v>512.43500000000017</v>
      </c>
      <c r="CL82" s="47">
        <f t="shared" si="188"/>
        <v>512.43500000000017</v>
      </c>
      <c r="CM82" s="47">
        <f t="shared" si="188"/>
        <v>512.43500000000017</v>
      </c>
      <c r="CN82" s="47">
        <f t="shared" si="188"/>
        <v>587.94500000000016</v>
      </c>
      <c r="CO82" s="47">
        <f t="shared" si="188"/>
        <v>512.43500000000017</v>
      </c>
      <c r="CP82" s="47">
        <f t="shared" si="188"/>
        <v>512.43500000000017</v>
      </c>
      <c r="CQ82" s="47">
        <f t="shared" si="188"/>
        <v>512.43500000000017</v>
      </c>
      <c r="CR82" s="47">
        <f t="shared" si="188"/>
        <v>512.43500000000017</v>
      </c>
      <c r="CS82" s="47">
        <f t="shared" si="188"/>
        <v>512.43500000000017</v>
      </c>
      <c r="CT82" s="47">
        <f t="shared" si="188"/>
        <v>512.43500000000017</v>
      </c>
      <c r="CU82" s="229">
        <f t="shared" si="188"/>
        <v>512.43500000000017</v>
      </c>
      <c r="CV82" s="47">
        <f t="shared" si="188"/>
        <v>563.67850000000021</v>
      </c>
      <c r="CW82" s="47">
        <f t="shared" si="188"/>
        <v>563.67850000000021</v>
      </c>
      <c r="CX82" s="47">
        <f t="shared" si="188"/>
        <v>563.67850000000021</v>
      </c>
      <c r="CY82" s="47">
        <f t="shared" si="188"/>
        <v>563.67850000000021</v>
      </c>
      <c r="CZ82" s="47">
        <f t="shared" ref="CZ82:EE82" si="189">SUM(CZ79:CZ81)</f>
        <v>639.1885000000002</v>
      </c>
      <c r="DA82" s="47">
        <f t="shared" si="189"/>
        <v>563.67850000000021</v>
      </c>
      <c r="DB82" s="47">
        <f t="shared" si="189"/>
        <v>563.67850000000021</v>
      </c>
      <c r="DC82" s="47">
        <f t="shared" si="189"/>
        <v>563.67850000000021</v>
      </c>
      <c r="DD82" s="47">
        <f t="shared" si="189"/>
        <v>563.67850000000021</v>
      </c>
      <c r="DE82" s="47">
        <f t="shared" si="189"/>
        <v>563.67850000000021</v>
      </c>
      <c r="DF82" s="47">
        <f t="shared" si="189"/>
        <v>563.67850000000021</v>
      </c>
      <c r="DG82" s="47">
        <f t="shared" si="189"/>
        <v>563.67850000000021</v>
      </c>
    </row>
    <row r="83" spans="1:111" x14ac:dyDescent="0.25">
      <c r="B83" s="1" t="s">
        <v>139</v>
      </c>
      <c r="C83" s="1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>
        <v>547.22</v>
      </c>
      <c r="AC83" s="104">
        <v>375.07</v>
      </c>
      <c r="AD83" s="104">
        <v>593.53</v>
      </c>
      <c r="AE83" s="104">
        <v>398.74</v>
      </c>
      <c r="AF83" s="104">
        <v>1137.21</v>
      </c>
      <c r="AG83" s="104">
        <v>529.98</v>
      </c>
      <c r="AH83" s="104">
        <v>364.08</v>
      </c>
      <c r="AI83" s="104">
        <v>622.52</v>
      </c>
      <c r="AJ83" s="104">
        <v>373.8</v>
      </c>
      <c r="AK83" s="104">
        <v>181.44</v>
      </c>
      <c r="AL83" s="104">
        <v>265.57</v>
      </c>
      <c r="AM83" s="104">
        <v>123</v>
      </c>
      <c r="AN83" s="104">
        <v>174.52</v>
      </c>
      <c r="AO83" s="104">
        <v>221.82</v>
      </c>
      <c r="AP83" s="104">
        <v>103.99</v>
      </c>
      <c r="AQ83" s="104">
        <v>171.41</v>
      </c>
      <c r="AR83" s="104">
        <v>149.99</v>
      </c>
      <c r="AS83" s="104">
        <v>149.99</v>
      </c>
      <c r="AT83" s="104">
        <v>165.59</v>
      </c>
      <c r="AU83" s="104">
        <v>277.13</v>
      </c>
      <c r="AV83" s="104">
        <v>159.99</v>
      </c>
      <c r="AW83" s="605">
        <v>205.51</v>
      </c>
      <c r="AX83" s="616">
        <v>231.65</v>
      </c>
      <c r="AY83" s="619">
        <f t="shared" ref="AY83:CD83" si="190">+IF(AY1&lt;&gt;AX1, AX83*1.1, AX83)</f>
        <v>231.65</v>
      </c>
      <c r="AZ83" s="104">
        <f t="shared" si="190"/>
        <v>254.81500000000003</v>
      </c>
      <c r="BA83" s="104">
        <f t="shared" si="190"/>
        <v>254.81500000000003</v>
      </c>
      <c r="BB83" s="104">
        <f t="shared" si="190"/>
        <v>254.81500000000003</v>
      </c>
      <c r="BC83" s="104">
        <f t="shared" si="190"/>
        <v>254.81500000000003</v>
      </c>
      <c r="BD83" s="104">
        <f t="shared" si="190"/>
        <v>254.81500000000003</v>
      </c>
      <c r="BE83" s="104">
        <f t="shared" si="190"/>
        <v>254.81500000000003</v>
      </c>
      <c r="BF83" s="104">
        <f t="shared" si="190"/>
        <v>254.81500000000003</v>
      </c>
      <c r="BG83" s="104">
        <f t="shared" si="190"/>
        <v>254.81500000000003</v>
      </c>
      <c r="BH83" s="104">
        <f t="shared" si="190"/>
        <v>254.81500000000003</v>
      </c>
      <c r="BI83" s="104">
        <f t="shared" si="190"/>
        <v>254.81500000000003</v>
      </c>
      <c r="BJ83" s="104">
        <f t="shared" si="190"/>
        <v>254.81500000000003</v>
      </c>
      <c r="BK83" s="228">
        <f t="shared" si="190"/>
        <v>254.81500000000003</v>
      </c>
      <c r="BL83" s="104">
        <f t="shared" si="190"/>
        <v>280.29650000000004</v>
      </c>
      <c r="BM83" s="104">
        <f t="shared" si="190"/>
        <v>280.29650000000004</v>
      </c>
      <c r="BN83" s="104">
        <f t="shared" si="190"/>
        <v>280.29650000000004</v>
      </c>
      <c r="BO83" s="104">
        <f t="shared" si="190"/>
        <v>280.29650000000004</v>
      </c>
      <c r="BP83" s="104">
        <f t="shared" si="190"/>
        <v>280.29650000000004</v>
      </c>
      <c r="BQ83" s="104">
        <f t="shared" si="190"/>
        <v>280.29650000000004</v>
      </c>
      <c r="BR83" s="104">
        <f t="shared" si="190"/>
        <v>280.29650000000004</v>
      </c>
      <c r="BS83" s="104">
        <f t="shared" si="190"/>
        <v>280.29650000000004</v>
      </c>
      <c r="BT83" s="104">
        <f t="shared" si="190"/>
        <v>280.29650000000004</v>
      </c>
      <c r="BU83" s="104">
        <f t="shared" si="190"/>
        <v>280.29650000000004</v>
      </c>
      <c r="BV83" s="104">
        <f t="shared" si="190"/>
        <v>280.29650000000004</v>
      </c>
      <c r="BW83" s="228">
        <f t="shared" si="190"/>
        <v>280.29650000000004</v>
      </c>
      <c r="BX83" s="104">
        <f t="shared" si="190"/>
        <v>308.32615000000004</v>
      </c>
      <c r="BY83" s="104">
        <f t="shared" si="190"/>
        <v>308.32615000000004</v>
      </c>
      <c r="BZ83" s="104">
        <f t="shared" si="190"/>
        <v>308.32615000000004</v>
      </c>
      <c r="CA83" s="104">
        <f t="shared" si="190"/>
        <v>308.32615000000004</v>
      </c>
      <c r="CB83" s="104">
        <f t="shared" si="190"/>
        <v>308.32615000000004</v>
      </c>
      <c r="CC83" s="104">
        <f t="shared" si="190"/>
        <v>308.32615000000004</v>
      </c>
      <c r="CD83" s="104">
        <f t="shared" si="190"/>
        <v>308.32615000000004</v>
      </c>
      <c r="CE83" s="104">
        <f t="shared" ref="CE83:DG83" si="191">+IF(CE1&lt;&gt;CD1, CD83*1.1, CD83)</f>
        <v>308.32615000000004</v>
      </c>
      <c r="CF83" s="104">
        <f t="shared" si="191"/>
        <v>308.32615000000004</v>
      </c>
      <c r="CG83" s="104">
        <f t="shared" si="191"/>
        <v>308.32615000000004</v>
      </c>
      <c r="CH83" s="104">
        <f t="shared" si="191"/>
        <v>308.32615000000004</v>
      </c>
      <c r="CI83" s="228">
        <f t="shared" si="191"/>
        <v>308.32615000000004</v>
      </c>
      <c r="CJ83" s="104">
        <f t="shared" si="191"/>
        <v>339.15876500000007</v>
      </c>
      <c r="CK83" s="104">
        <f t="shared" si="191"/>
        <v>339.15876500000007</v>
      </c>
      <c r="CL83" s="104">
        <f t="shared" si="191"/>
        <v>339.15876500000007</v>
      </c>
      <c r="CM83" s="104">
        <f t="shared" si="191"/>
        <v>339.15876500000007</v>
      </c>
      <c r="CN83" s="104">
        <f t="shared" si="191"/>
        <v>339.15876500000007</v>
      </c>
      <c r="CO83" s="104">
        <f t="shared" si="191"/>
        <v>339.15876500000007</v>
      </c>
      <c r="CP83" s="104">
        <f t="shared" si="191"/>
        <v>339.15876500000007</v>
      </c>
      <c r="CQ83" s="104">
        <f t="shared" si="191"/>
        <v>339.15876500000007</v>
      </c>
      <c r="CR83" s="104">
        <f t="shared" si="191"/>
        <v>339.15876500000007</v>
      </c>
      <c r="CS83" s="104">
        <f t="shared" si="191"/>
        <v>339.15876500000007</v>
      </c>
      <c r="CT83" s="104">
        <f t="shared" si="191"/>
        <v>339.15876500000007</v>
      </c>
      <c r="CU83" s="228">
        <f t="shared" si="191"/>
        <v>339.15876500000007</v>
      </c>
      <c r="CV83" s="104">
        <f t="shared" si="191"/>
        <v>373.0746415000001</v>
      </c>
      <c r="CW83" s="104">
        <f t="shared" si="191"/>
        <v>373.0746415000001</v>
      </c>
      <c r="CX83" s="104">
        <f t="shared" si="191"/>
        <v>373.0746415000001</v>
      </c>
      <c r="CY83" s="104">
        <f t="shared" si="191"/>
        <v>373.0746415000001</v>
      </c>
      <c r="CZ83" s="104">
        <f t="shared" si="191"/>
        <v>373.0746415000001</v>
      </c>
      <c r="DA83" s="104">
        <f t="shared" si="191"/>
        <v>373.0746415000001</v>
      </c>
      <c r="DB83" s="104">
        <f t="shared" si="191"/>
        <v>373.0746415000001</v>
      </c>
      <c r="DC83" s="104">
        <f t="shared" si="191"/>
        <v>373.0746415000001</v>
      </c>
      <c r="DD83" s="104">
        <f t="shared" si="191"/>
        <v>373.0746415000001</v>
      </c>
      <c r="DE83" s="104">
        <f t="shared" si="191"/>
        <v>373.0746415000001</v>
      </c>
      <c r="DF83" s="104">
        <f t="shared" si="191"/>
        <v>373.0746415000001</v>
      </c>
      <c r="DG83" s="104">
        <f t="shared" si="191"/>
        <v>373.0746415000001</v>
      </c>
    </row>
    <row r="84" spans="1:111" x14ac:dyDescent="0.25">
      <c r="B84" s="1" t="s">
        <v>140</v>
      </c>
      <c r="C84" s="1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>
        <v>5</v>
      </c>
      <c r="AF84" s="104">
        <v>10</v>
      </c>
      <c r="AG84" s="104">
        <v>10</v>
      </c>
      <c r="AH84" s="104">
        <v>10</v>
      </c>
      <c r="AI84" s="104">
        <v>70</v>
      </c>
      <c r="AJ84" s="104">
        <v>20</v>
      </c>
      <c r="AK84" s="104">
        <v>15.31</v>
      </c>
      <c r="AL84" s="104">
        <v>25.99</v>
      </c>
      <c r="AM84" s="104">
        <v>171</v>
      </c>
      <c r="AN84" s="104">
        <v>25</v>
      </c>
      <c r="AO84" s="104">
        <v>25</v>
      </c>
      <c r="AP84" s="104">
        <v>25</v>
      </c>
      <c r="AQ84" s="104">
        <v>25</v>
      </c>
      <c r="AR84" s="104">
        <v>25</v>
      </c>
      <c r="AS84" s="104">
        <v>25</v>
      </c>
      <c r="AT84" s="104">
        <v>25</v>
      </c>
      <c r="AU84" s="104">
        <v>25</v>
      </c>
      <c r="AV84" s="104">
        <v>15</v>
      </c>
      <c r="AW84" s="605">
        <v>30</v>
      </c>
      <c r="AX84" s="616">
        <v>30</v>
      </c>
      <c r="AY84" s="619">
        <f t="shared" ref="AY84:CD84" si="192">+IF(AY1&lt;&gt;AX1, AX84*1.1, AX84)</f>
        <v>30</v>
      </c>
      <c r="AZ84" s="104">
        <f t="shared" si="192"/>
        <v>33</v>
      </c>
      <c r="BA84" s="104">
        <f t="shared" si="192"/>
        <v>33</v>
      </c>
      <c r="BB84" s="104">
        <f t="shared" si="192"/>
        <v>33</v>
      </c>
      <c r="BC84" s="104">
        <f t="shared" si="192"/>
        <v>33</v>
      </c>
      <c r="BD84" s="104">
        <f t="shared" si="192"/>
        <v>33</v>
      </c>
      <c r="BE84" s="104">
        <f t="shared" si="192"/>
        <v>33</v>
      </c>
      <c r="BF84" s="104">
        <f t="shared" si="192"/>
        <v>33</v>
      </c>
      <c r="BG84" s="104">
        <f t="shared" si="192"/>
        <v>33</v>
      </c>
      <c r="BH84" s="104">
        <f t="shared" si="192"/>
        <v>33</v>
      </c>
      <c r="BI84" s="104">
        <f t="shared" si="192"/>
        <v>33</v>
      </c>
      <c r="BJ84" s="104">
        <f t="shared" si="192"/>
        <v>33</v>
      </c>
      <c r="BK84" s="228">
        <f t="shared" si="192"/>
        <v>33</v>
      </c>
      <c r="BL84" s="104">
        <f t="shared" si="192"/>
        <v>36.300000000000004</v>
      </c>
      <c r="BM84" s="104">
        <f t="shared" si="192"/>
        <v>36.300000000000004</v>
      </c>
      <c r="BN84" s="104">
        <f t="shared" si="192"/>
        <v>36.300000000000004</v>
      </c>
      <c r="BO84" s="104">
        <f t="shared" si="192"/>
        <v>36.300000000000004</v>
      </c>
      <c r="BP84" s="104">
        <f t="shared" si="192"/>
        <v>36.300000000000004</v>
      </c>
      <c r="BQ84" s="104">
        <f t="shared" si="192"/>
        <v>36.300000000000004</v>
      </c>
      <c r="BR84" s="104">
        <f t="shared" si="192"/>
        <v>36.300000000000004</v>
      </c>
      <c r="BS84" s="104">
        <f t="shared" si="192"/>
        <v>36.300000000000004</v>
      </c>
      <c r="BT84" s="104">
        <f t="shared" si="192"/>
        <v>36.300000000000004</v>
      </c>
      <c r="BU84" s="104">
        <f t="shared" si="192"/>
        <v>36.300000000000004</v>
      </c>
      <c r="BV84" s="104">
        <f t="shared" si="192"/>
        <v>36.300000000000004</v>
      </c>
      <c r="BW84" s="228">
        <f t="shared" si="192"/>
        <v>36.300000000000004</v>
      </c>
      <c r="BX84" s="104">
        <f t="shared" si="192"/>
        <v>39.930000000000007</v>
      </c>
      <c r="BY84" s="104">
        <f t="shared" si="192"/>
        <v>39.930000000000007</v>
      </c>
      <c r="BZ84" s="104">
        <f t="shared" si="192"/>
        <v>39.930000000000007</v>
      </c>
      <c r="CA84" s="104">
        <f t="shared" si="192"/>
        <v>39.930000000000007</v>
      </c>
      <c r="CB84" s="104">
        <f t="shared" si="192"/>
        <v>39.930000000000007</v>
      </c>
      <c r="CC84" s="104">
        <f t="shared" si="192"/>
        <v>39.930000000000007</v>
      </c>
      <c r="CD84" s="104">
        <f t="shared" si="192"/>
        <v>39.930000000000007</v>
      </c>
      <c r="CE84" s="104">
        <f t="shared" ref="CE84:DG84" si="193">+IF(CE1&lt;&gt;CD1, CD84*1.1, CD84)</f>
        <v>39.930000000000007</v>
      </c>
      <c r="CF84" s="104">
        <f t="shared" si="193"/>
        <v>39.930000000000007</v>
      </c>
      <c r="CG84" s="104">
        <f t="shared" si="193"/>
        <v>39.930000000000007</v>
      </c>
      <c r="CH84" s="104">
        <f t="shared" si="193"/>
        <v>39.930000000000007</v>
      </c>
      <c r="CI84" s="228">
        <f t="shared" si="193"/>
        <v>39.930000000000007</v>
      </c>
      <c r="CJ84" s="104">
        <f t="shared" si="193"/>
        <v>43.923000000000009</v>
      </c>
      <c r="CK84" s="104">
        <f t="shared" si="193"/>
        <v>43.923000000000009</v>
      </c>
      <c r="CL84" s="104">
        <f t="shared" si="193"/>
        <v>43.923000000000009</v>
      </c>
      <c r="CM84" s="104">
        <f t="shared" si="193"/>
        <v>43.923000000000009</v>
      </c>
      <c r="CN84" s="104">
        <f t="shared" si="193"/>
        <v>43.923000000000009</v>
      </c>
      <c r="CO84" s="104">
        <f t="shared" si="193"/>
        <v>43.923000000000009</v>
      </c>
      <c r="CP84" s="104">
        <f t="shared" si="193"/>
        <v>43.923000000000009</v>
      </c>
      <c r="CQ84" s="104">
        <f t="shared" si="193"/>
        <v>43.923000000000009</v>
      </c>
      <c r="CR84" s="104">
        <f t="shared" si="193"/>
        <v>43.923000000000009</v>
      </c>
      <c r="CS84" s="104">
        <f t="shared" si="193"/>
        <v>43.923000000000009</v>
      </c>
      <c r="CT84" s="104">
        <f t="shared" si="193"/>
        <v>43.923000000000009</v>
      </c>
      <c r="CU84" s="228">
        <f t="shared" si="193"/>
        <v>43.923000000000009</v>
      </c>
      <c r="CV84" s="104">
        <f t="shared" si="193"/>
        <v>48.315300000000015</v>
      </c>
      <c r="CW84" s="104">
        <f t="shared" si="193"/>
        <v>48.315300000000015</v>
      </c>
      <c r="CX84" s="104">
        <f t="shared" si="193"/>
        <v>48.315300000000015</v>
      </c>
      <c r="CY84" s="104">
        <f t="shared" si="193"/>
        <v>48.315300000000015</v>
      </c>
      <c r="CZ84" s="104">
        <f t="shared" si="193"/>
        <v>48.315300000000015</v>
      </c>
      <c r="DA84" s="104">
        <f t="shared" si="193"/>
        <v>48.315300000000015</v>
      </c>
      <c r="DB84" s="104">
        <f t="shared" si="193"/>
        <v>48.315300000000015</v>
      </c>
      <c r="DC84" s="104">
        <f t="shared" si="193"/>
        <v>48.315300000000015</v>
      </c>
      <c r="DD84" s="104">
        <f t="shared" si="193"/>
        <v>48.315300000000015</v>
      </c>
      <c r="DE84" s="104">
        <f t="shared" si="193"/>
        <v>48.315300000000015</v>
      </c>
      <c r="DF84" s="104">
        <f t="shared" si="193"/>
        <v>48.315300000000015</v>
      </c>
      <c r="DG84" s="104">
        <f t="shared" si="193"/>
        <v>48.315300000000015</v>
      </c>
    </row>
    <row r="85" spans="1:111" x14ac:dyDescent="0.25">
      <c r="B85" s="1" t="s">
        <v>141</v>
      </c>
      <c r="C85" s="1"/>
      <c r="D85" s="104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5"/>
      <c r="T85" s="255"/>
      <c r="U85" s="255"/>
      <c r="V85" s="255"/>
      <c r="W85" s="255"/>
      <c r="X85" s="255"/>
      <c r="Y85" s="255"/>
      <c r="Z85" s="255"/>
      <c r="AA85" s="255"/>
      <c r="AB85" s="104">
        <v>108</v>
      </c>
      <c r="AC85" s="104">
        <v>108</v>
      </c>
      <c r="AD85" s="104">
        <v>108</v>
      </c>
      <c r="AE85" s="104">
        <v>108</v>
      </c>
      <c r="AF85" s="104">
        <v>1408.55</v>
      </c>
      <c r="AG85" s="104">
        <v>1372.64</v>
      </c>
      <c r="AH85" s="104">
        <v>1372.64</v>
      </c>
      <c r="AI85" s="104">
        <v>1682.55</v>
      </c>
      <c r="AJ85" s="104">
        <v>1372.64</v>
      </c>
      <c r="AK85" s="104">
        <v>1372.64</v>
      </c>
      <c r="AL85" s="104">
        <v>1711.17</v>
      </c>
      <c r="AM85" s="104">
        <v>1414.26</v>
      </c>
      <c r="AN85" s="104">
        <v>1684.72</v>
      </c>
      <c r="AO85" s="104">
        <v>1374.5</v>
      </c>
      <c r="AP85" s="104">
        <v>1373.88</v>
      </c>
      <c r="AQ85" s="104">
        <v>1635.01</v>
      </c>
      <c r="AR85" s="104">
        <v>1411.37</v>
      </c>
      <c r="AS85" s="104">
        <v>1507.24</v>
      </c>
      <c r="AT85" s="104">
        <v>1680.57</v>
      </c>
      <c r="AU85" s="104">
        <v>1424.48</v>
      </c>
      <c r="AV85" s="104">
        <v>1441.35</v>
      </c>
      <c r="AW85" s="605">
        <v>1761.79</v>
      </c>
      <c r="AX85" s="616">
        <v>1794.39</v>
      </c>
      <c r="AY85" s="619">
        <f>+AVERAGE(AS85:AX85)</f>
        <v>1601.6366666666665</v>
      </c>
      <c r="AZ85" s="402">
        <f t="shared" ref="AZ85:CE85" si="194">IF(AZ1&lt;&gt;AY1, AY85*1.1,AY85)</f>
        <v>1761.8003333333334</v>
      </c>
      <c r="BA85" s="402">
        <f t="shared" si="194"/>
        <v>1761.8003333333334</v>
      </c>
      <c r="BB85" s="402">
        <f t="shared" si="194"/>
        <v>1761.8003333333334</v>
      </c>
      <c r="BC85" s="402">
        <f t="shared" si="194"/>
        <v>1761.8003333333334</v>
      </c>
      <c r="BD85" s="402">
        <f t="shared" si="194"/>
        <v>1761.8003333333334</v>
      </c>
      <c r="BE85" s="402">
        <f t="shared" si="194"/>
        <v>1761.8003333333334</v>
      </c>
      <c r="BF85" s="402">
        <f t="shared" si="194"/>
        <v>1761.8003333333334</v>
      </c>
      <c r="BG85" s="402">
        <f t="shared" si="194"/>
        <v>1761.8003333333334</v>
      </c>
      <c r="BH85" s="402">
        <f t="shared" si="194"/>
        <v>1761.8003333333334</v>
      </c>
      <c r="BI85" s="402">
        <f t="shared" si="194"/>
        <v>1761.8003333333334</v>
      </c>
      <c r="BJ85" s="402">
        <f t="shared" si="194"/>
        <v>1761.8003333333334</v>
      </c>
      <c r="BK85" s="403">
        <f t="shared" si="194"/>
        <v>1761.8003333333334</v>
      </c>
      <c r="BL85" s="402">
        <f t="shared" si="194"/>
        <v>1937.9803666666669</v>
      </c>
      <c r="BM85" s="402">
        <f t="shared" si="194"/>
        <v>1937.9803666666669</v>
      </c>
      <c r="BN85" s="402">
        <f t="shared" si="194"/>
        <v>1937.9803666666669</v>
      </c>
      <c r="BO85" s="402">
        <f t="shared" si="194"/>
        <v>1937.9803666666669</v>
      </c>
      <c r="BP85" s="402">
        <f t="shared" si="194"/>
        <v>1937.9803666666669</v>
      </c>
      <c r="BQ85" s="402">
        <f t="shared" si="194"/>
        <v>1937.9803666666669</v>
      </c>
      <c r="BR85" s="402">
        <f t="shared" si="194"/>
        <v>1937.9803666666669</v>
      </c>
      <c r="BS85" s="402">
        <f t="shared" si="194"/>
        <v>1937.9803666666669</v>
      </c>
      <c r="BT85" s="402">
        <f t="shared" si="194"/>
        <v>1937.9803666666669</v>
      </c>
      <c r="BU85" s="402">
        <f t="shared" si="194"/>
        <v>1937.9803666666669</v>
      </c>
      <c r="BV85" s="402">
        <f t="shared" si="194"/>
        <v>1937.9803666666669</v>
      </c>
      <c r="BW85" s="403">
        <f t="shared" si="194"/>
        <v>1937.9803666666669</v>
      </c>
      <c r="BX85" s="402">
        <f t="shared" si="194"/>
        <v>2131.7784033333337</v>
      </c>
      <c r="BY85" s="402">
        <f t="shared" si="194"/>
        <v>2131.7784033333337</v>
      </c>
      <c r="BZ85" s="402">
        <f t="shared" si="194"/>
        <v>2131.7784033333337</v>
      </c>
      <c r="CA85" s="402">
        <f t="shared" si="194"/>
        <v>2131.7784033333337</v>
      </c>
      <c r="CB85" s="402">
        <f t="shared" si="194"/>
        <v>2131.7784033333337</v>
      </c>
      <c r="CC85" s="402">
        <f t="shared" si="194"/>
        <v>2131.7784033333337</v>
      </c>
      <c r="CD85" s="402">
        <f t="shared" si="194"/>
        <v>2131.7784033333337</v>
      </c>
      <c r="CE85" s="402">
        <f t="shared" si="194"/>
        <v>2131.7784033333337</v>
      </c>
      <c r="CF85" s="402">
        <f t="shared" ref="CF85:DG85" si="195">IF(CF1&lt;&gt;CE1, CE85*1.1,CE85)</f>
        <v>2131.7784033333337</v>
      </c>
      <c r="CG85" s="402">
        <f t="shared" si="195"/>
        <v>2131.7784033333337</v>
      </c>
      <c r="CH85" s="402">
        <f t="shared" si="195"/>
        <v>2131.7784033333337</v>
      </c>
      <c r="CI85" s="403">
        <f t="shared" si="195"/>
        <v>2131.7784033333337</v>
      </c>
      <c r="CJ85" s="402">
        <f t="shared" si="195"/>
        <v>2344.9562436666674</v>
      </c>
      <c r="CK85" s="402">
        <f t="shared" si="195"/>
        <v>2344.9562436666674</v>
      </c>
      <c r="CL85" s="402">
        <f t="shared" si="195"/>
        <v>2344.9562436666674</v>
      </c>
      <c r="CM85" s="402">
        <f t="shared" si="195"/>
        <v>2344.9562436666674</v>
      </c>
      <c r="CN85" s="402">
        <f t="shared" si="195"/>
        <v>2344.9562436666674</v>
      </c>
      <c r="CO85" s="402">
        <f t="shared" si="195"/>
        <v>2344.9562436666674</v>
      </c>
      <c r="CP85" s="402">
        <f t="shared" si="195"/>
        <v>2344.9562436666674</v>
      </c>
      <c r="CQ85" s="402">
        <f t="shared" si="195"/>
        <v>2344.9562436666674</v>
      </c>
      <c r="CR85" s="402">
        <f t="shared" si="195"/>
        <v>2344.9562436666674</v>
      </c>
      <c r="CS85" s="402">
        <f t="shared" si="195"/>
        <v>2344.9562436666674</v>
      </c>
      <c r="CT85" s="402">
        <f t="shared" si="195"/>
        <v>2344.9562436666674</v>
      </c>
      <c r="CU85" s="403">
        <f t="shared" si="195"/>
        <v>2344.9562436666674</v>
      </c>
      <c r="CV85" s="402">
        <f t="shared" si="195"/>
        <v>2579.4518680333344</v>
      </c>
      <c r="CW85" s="402">
        <f t="shared" si="195"/>
        <v>2579.4518680333344</v>
      </c>
      <c r="CX85" s="402">
        <f t="shared" si="195"/>
        <v>2579.4518680333344</v>
      </c>
      <c r="CY85" s="402">
        <f t="shared" si="195"/>
        <v>2579.4518680333344</v>
      </c>
      <c r="CZ85" s="402">
        <f t="shared" si="195"/>
        <v>2579.4518680333344</v>
      </c>
      <c r="DA85" s="402">
        <f t="shared" si="195"/>
        <v>2579.4518680333344</v>
      </c>
      <c r="DB85" s="402">
        <f t="shared" si="195"/>
        <v>2579.4518680333344</v>
      </c>
      <c r="DC85" s="402">
        <f t="shared" si="195"/>
        <v>2579.4518680333344</v>
      </c>
      <c r="DD85" s="402">
        <f t="shared" si="195"/>
        <v>2579.4518680333344</v>
      </c>
      <c r="DE85" s="402">
        <f t="shared" si="195"/>
        <v>2579.4518680333344</v>
      </c>
      <c r="DF85" s="402">
        <f t="shared" si="195"/>
        <v>2579.4518680333344</v>
      </c>
      <c r="DG85" s="402">
        <f t="shared" si="195"/>
        <v>2579.4518680333344</v>
      </c>
    </row>
    <row r="86" spans="1:111" x14ac:dyDescent="0.25">
      <c r="B86" s="1" t="s">
        <v>142</v>
      </c>
      <c r="C86" s="1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>
        <v>40.21</v>
      </c>
      <c r="AC86" s="104">
        <v>366.97</v>
      </c>
      <c r="AD86" s="104"/>
      <c r="AE86" s="104">
        <v>409.3</v>
      </c>
      <c r="AF86" s="104">
        <v>43.4</v>
      </c>
      <c r="AG86" s="104">
        <v>239.61</v>
      </c>
      <c r="AH86" s="104">
        <v>43.4</v>
      </c>
      <c r="AI86" s="104">
        <v>286.16000000000003</v>
      </c>
      <c r="AJ86" s="104">
        <v>51.62</v>
      </c>
      <c r="AK86" s="104">
        <v>112.74</v>
      </c>
      <c r="AL86" s="104">
        <v>196.16</v>
      </c>
      <c r="AM86" s="104">
        <v>275.89</v>
      </c>
      <c r="AN86" s="104">
        <v>51.58</v>
      </c>
      <c r="AO86" s="104">
        <v>196.74</v>
      </c>
      <c r="AP86" s="104">
        <v>226.74</v>
      </c>
      <c r="AQ86" s="104">
        <v>391.9</v>
      </c>
      <c r="AR86" s="104">
        <v>51.58</v>
      </c>
      <c r="AS86" s="104">
        <v>216.74</v>
      </c>
      <c r="AT86" s="104">
        <v>176.95</v>
      </c>
      <c r="AU86" s="104">
        <v>216.91</v>
      </c>
      <c r="AV86" s="104">
        <v>221.96</v>
      </c>
      <c r="AW86" s="605">
        <v>222</v>
      </c>
      <c r="AX86" s="616">
        <v>199.33</v>
      </c>
      <c r="AY86" s="619">
        <f>+AVERAGE(AV86:AX86)</f>
        <v>214.43000000000004</v>
      </c>
      <c r="AZ86" s="104">
        <f t="shared" ref="AZ86:CE86" si="196">IF(AZ1&lt;&gt;AY1, AY86*1.1,AY86)</f>
        <v>235.87300000000005</v>
      </c>
      <c r="BA86" s="104">
        <f t="shared" si="196"/>
        <v>235.87300000000005</v>
      </c>
      <c r="BB86" s="104">
        <f t="shared" si="196"/>
        <v>235.87300000000005</v>
      </c>
      <c r="BC86" s="104">
        <f t="shared" si="196"/>
        <v>235.87300000000005</v>
      </c>
      <c r="BD86" s="104">
        <f t="shared" si="196"/>
        <v>235.87300000000005</v>
      </c>
      <c r="BE86" s="104">
        <f t="shared" si="196"/>
        <v>235.87300000000005</v>
      </c>
      <c r="BF86" s="104">
        <f t="shared" si="196"/>
        <v>235.87300000000005</v>
      </c>
      <c r="BG86" s="104">
        <f t="shared" si="196"/>
        <v>235.87300000000005</v>
      </c>
      <c r="BH86" s="104">
        <f t="shared" si="196"/>
        <v>235.87300000000005</v>
      </c>
      <c r="BI86" s="104">
        <f t="shared" si="196"/>
        <v>235.87300000000005</v>
      </c>
      <c r="BJ86" s="104">
        <f t="shared" si="196"/>
        <v>235.87300000000005</v>
      </c>
      <c r="BK86" s="228">
        <f t="shared" si="196"/>
        <v>235.87300000000005</v>
      </c>
      <c r="BL86" s="104">
        <f t="shared" si="196"/>
        <v>259.46030000000007</v>
      </c>
      <c r="BM86" s="104">
        <f t="shared" si="196"/>
        <v>259.46030000000007</v>
      </c>
      <c r="BN86" s="104">
        <f t="shared" si="196"/>
        <v>259.46030000000007</v>
      </c>
      <c r="BO86" s="104">
        <f t="shared" si="196"/>
        <v>259.46030000000007</v>
      </c>
      <c r="BP86" s="104">
        <f t="shared" si="196"/>
        <v>259.46030000000007</v>
      </c>
      <c r="BQ86" s="104">
        <f t="shared" si="196"/>
        <v>259.46030000000007</v>
      </c>
      <c r="BR86" s="104">
        <f t="shared" si="196"/>
        <v>259.46030000000007</v>
      </c>
      <c r="BS86" s="104">
        <f t="shared" si="196"/>
        <v>259.46030000000007</v>
      </c>
      <c r="BT86" s="104">
        <f t="shared" si="196"/>
        <v>259.46030000000007</v>
      </c>
      <c r="BU86" s="104">
        <f t="shared" si="196"/>
        <v>259.46030000000007</v>
      </c>
      <c r="BV86" s="104">
        <f t="shared" si="196"/>
        <v>259.46030000000007</v>
      </c>
      <c r="BW86" s="228">
        <f t="shared" si="196"/>
        <v>259.46030000000007</v>
      </c>
      <c r="BX86" s="104">
        <f t="shared" si="196"/>
        <v>285.40633000000008</v>
      </c>
      <c r="BY86" s="104">
        <f t="shared" si="196"/>
        <v>285.40633000000008</v>
      </c>
      <c r="BZ86" s="104">
        <f t="shared" si="196"/>
        <v>285.40633000000008</v>
      </c>
      <c r="CA86" s="104">
        <f t="shared" si="196"/>
        <v>285.40633000000008</v>
      </c>
      <c r="CB86" s="104">
        <f t="shared" si="196"/>
        <v>285.40633000000008</v>
      </c>
      <c r="CC86" s="104">
        <f t="shared" si="196"/>
        <v>285.40633000000008</v>
      </c>
      <c r="CD86" s="104">
        <f t="shared" si="196"/>
        <v>285.40633000000008</v>
      </c>
      <c r="CE86" s="104">
        <f t="shared" si="196"/>
        <v>285.40633000000008</v>
      </c>
      <c r="CF86" s="104">
        <f t="shared" ref="CF86:DG86" si="197">IF(CF1&lt;&gt;CE1, CE86*1.1,CE86)</f>
        <v>285.40633000000008</v>
      </c>
      <c r="CG86" s="104">
        <f t="shared" si="197"/>
        <v>285.40633000000008</v>
      </c>
      <c r="CH86" s="104">
        <f t="shared" si="197"/>
        <v>285.40633000000008</v>
      </c>
      <c r="CI86" s="228">
        <f t="shared" si="197"/>
        <v>285.40633000000008</v>
      </c>
      <c r="CJ86" s="104">
        <f t="shared" si="197"/>
        <v>313.9469630000001</v>
      </c>
      <c r="CK86" s="104">
        <f t="shared" si="197"/>
        <v>313.9469630000001</v>
      </c>
      <c r="CL86" s="104">
        <f t="shared" si="197"/>
        <v>313.9469630000001</v>
      </c>
      <c r="CM86" s="104">
        <f t="shared" si="197"/>
        <v>313.9469630000001</v>
      </c>
      <c r="CN86" s="104">
        <f t="shared" si="197"/>
        <v>313.9469630000001</v>
      </c>
      <c r="CO86" s="104">
        <f t="shared" si="197"/>
        <v>313.9469630000001</v>
      </c>
      <c r="CP86" s="104">
        <f t="shared" si="197"/>
        <v>313.9469630000001</v>
      </c>
      <c r="CQ86" s="104">
        <f t="shared" si="197"/>
        <v>313.9469630000001</v>
      </c>
      <c r="CR86" s="104">
        <f t="shared" si="197"/>
        <v>313.9469630000001</v>
      </c>
      <c r="CS86" s="104">
        <f t="shared" si="197"/>
        <v>313.9469630000001</v>
      </c>
      <c r="CT86" s="104">
        <f t="shared" si="197"/>
        <v>313.9469630000001</v>
      </c>
      <c r="CU86" s="228">
        <f t="shared" si="197"/>
        <v>313.9469630000001</v>
      </c>
      <c r="CV86" s="104">
        <f t="shared" si="197"/>
        <v>345.34165930000012</v>
      </c>
      <c r="CW86" s="104">
        <f t="shared" si="197"/>
        <v>345.34165930000012</v>
      </c>
      <c r="CX86" s="104">
        <f t="shared" si="197"/>
        <v>345.34165930000012</v>
      </c>
      <c r="CY86" s="104">
        <f t="shared" si="197"/>
        <v>345.34165930000012</v>
      </c>
      <c r="CZ86" s="104">
        <f t="shared" si="197"/>
        <v>345.34165930000012</v>
      </c>
      <c r="DA86" s="104">
        <f t="shared" si="197"/>
        <v>345.34165930000012</v>
      </c>
      <c r="DB86" s="104">
        <f t="shared" si="197"/>
        <v>345.34165930000012</v>
      </c>
      <c r="DC86" s="104">
        <f t="shared" si="197"/>
        <v>345.34165930000012</v>
      </c>
      <c r="DD86" s="104">
        <f t="shared" si="197"/>
        <v>345.34165930000012</v>
      </c>
      <c r="DE86" s="104">
        <f t="shared" si="197"/>
        <v>345.34165930000012</v>
      </c>
      <c r="DF86" s="104">
        <f t="shared" si="197"/>
        <v>345.34165930000012</v>
      </c>
      <c r="DG86" s="104">
        <f t="shared" si="197"/>
        <v>345.34165930000012</v>
      </c>
    </row>
    <row r="87" spans="1:111" x14ac:dyDescent="0.25">
      <c r="B87" s="1" t="s">
        <v>143</v>
      </c>
      <c r="C87" s="1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>
        <v>40</v>
      </c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605"/>
      <c r="AX87" s="616"/>
      <c r="AY87" s="619">
        <v>10</v>
      </c>
      <c r="AZ87" s="104">
        <f t="shared" ref="AZ87:CE87" si="198">IF(AZ1&lt;&gt;AY1, AY87*1.1,AY87)</f>
        <v>11</v>
      </c>
      <c r="BA87" s="104">
        <f t="shared" si="198"/>
        <v>11</v>
      </c>
      <c r="BB87" s="104">
        <f t="shared" si="198"/>
        <v>11</v>
      </c>
      <c r="BC87" s="104">
        <f t="shared" si="198"/>
        <v>11</v>
      </c>
      <c r="BD87" s="104">
        <f t="shared" si="198"/>
        <v>11</v>
      </c>
      <c r="BE87" s="104">
        <f t="shared" si="198"/>
        <v>11</v>
      </c>
      <c r="BF87" s="104">
        <f t="shared" si="198"/>
        <v>11</v>
      </c>
      <c r="BG87" s="104">
        <f t="shared" si="198"/>
        <v>11</v>
      </c>
      <c r="BH87" s="104">
        <f t="shared" si="198"/>
        <v>11</v>
      </c>
      <c r="BI87" s="104">
        <f t="shared" si="198"/>
        <v>11</v>
      </c>
      <c r="BJ87" s="104">
        <f t="shared" si="198"/>
        <v>11</v>
      </c>
      <c r="BK87" s="228">
        <f t="shared" si="198"/>
        <v>11</v>
      </c>
      <c r="BL87" s="104">
        <f t="shared" si="198"/>
        <v>12.100000000000001</v>
      </c>
      <c r="BM87" s="104">
        <f t="shared" si="198"/>
        <v>12.100000000000001</v>
      </c>
      <c r="BN87" s="104">
        <f t="shared" si="198"/>
        <v>12.100000000000001</v>
      </c>
      <c r="BO87" s="104">
        <f t="shared" si="198"/>
        <v>12.100000000000001</v>
      </c>
      <c r="BP87" s="104">
        <f t="shared" si="198"/>
        <v>12.100000000000001</v>
      </c>
      <c r="BQ87" s="104">
        <f t="shared" si="198"/>
        <v>12.100000000000001</v>
      </c>
      <c r="BR87" s="104">
        <f t="shared" si="198"/>
        <v>12.100000000000001</v>
      </c>
      <c r="BS87" s="104">
        <f t="shared" si="198"/>
        <v>12.100000000000001</v>
      </c>
      <c r="BT87" s="104">
        <f t="shared" si="198"/>
        <v>12.100000000000001</v>
      </c>
      <c r="BU87" s="104">
        <f t="shared" si="198"/>
        <v>12.100000000000001</v>
      </c>
      <c r="BV87" s="104">
        <f t="shared" si="198"/>
        <v>12.100000000000001</v>
      </c>
      <c r="BW87" s="228">
        <f t="shared" si="198"/>
        <v>12.100000000000001</v>
      </c>
      <c r="BX87" s="104">
        <f t="shared" si="198"/>
        <v>13.310000000000002</v>
      </c>
      <c r="BY87" s="104">
        <f t="shared" si="198"/>
        <v>13.310000000000002</v>
      </c>
      <c r="BZ87" s="104">
        <f t="shared" si="198"/>
        <v>13.310000000000002</v>
      </c>
      <c r="CA87" s="104">
        <f t="shared" si="198"/>
        <v>13.310000000000002</v>
      </c>
      <c r="CB87" s="104">
        <f t="shared" si="198"/>
        <v>13.310000000000002</v>
      </c>
      <c r="CC87" s="104">
        <f t="shared" si="198"/>
        <v>13.310000000000002</v>
      </c>
      <c r="CD87" s="104">
        <f t="shared" si="198"/>
        <v>13.310000000000002</v>
      </c>
      <c r="CE87" s="104">
        <f t="shared" si="198"/>
        <v>13.310000000000002</v>
      </c>
      <c r="CF87" s="104">
        <f t="shared" ref="CF87:DG87" si="199">IF(CF1&lt;&gt;CE1, CE87*1.1,CE87)</f>
        <v>13.310000000000002</v>
      </c>
      <c r="CG87" s="104">
        <f t="shared" si="199"/>
        <v>13.310000000000002</v>
      </c>
      <c r="CH87" s="104">
        <f t="shared" si="199"/>
        <v>13.310000000000002</v>
      </c>
      <c r="CI87" s="228">
        <f t="shared" si="199"/>
        <v>13.310000000000002</v>
      </c>
      <c r="CJ87" s="104">
        <f t="shared" si="199"/>
        <v>14.641000000000004</v>
      </c>
      <c r="CK87" s="104">
        <f t="shared" si="199"/>
        <v>14.641000000000004</v>
      </c>
      <c r="CL87" s="104">
        <f t="shared" si="199"/>
        <v>14.641000000000004</v>
      </c>
      <c r="CM87" s="104">
        <f t="shared" si="199"/>
        <v>14.641000000000004</v>
      </c>
      <c r="CN87" s="104">
        <f t="shared" si="199"/>
        <v>14.641000000000004</v>
      </c>
      <c r="CO87" s="104">
        <f t="shared" si="199"/>
        <v>14.641000000000004</v>
      </c>
      <c r="CP87" s="104">
        <f t="shared" si="199"/>
        <v>14.641000000000004</v>
      </c>
      <c r="CQ87" s="104">
        <f t="shared" si="199"/>
        <v>14.641000000000004</v>
      </c>
      <c r="CR87" s="104">
        <f t="shared" si="199"/>
        <v>14.641000000000004</v>
      </c>
      <c r="CS87" s="104">
        <f t="shared" si="199"/>
        <v>14.641000000000004</v>
      </c>
      <c r="CT87" s="104">
        <f t="shared" si="199"/>
        <v>14.641000000000004</v>
      </c>
      <c r="CU87" s="228">
        <f t="shared" si="199"/>
        <v>14.641000000000004</v>
      </c>
      <c r="CV87" s="104">
        <f t="shared" si="199"/>
        <v>16.105100000000004</v>
      </c>
      <c r="CW87" s="104">
        <f t="shared" si="199"/>
        <v>16.105100000000004</v>
      </c>
      <c r="CX87" s="104">
        <f t="shared" si="199"/>
        <v>16.105100000000004</v>
      </c>
      <c r="CY87" s="104">
        <f t="shared" si="199"/>
        <v>16.105100000000004</v>
      </c>
      <c r="CZ87" s="104">
        <f t="shared" si="199"/>
        <v>16.105100000000004</v>
      </c>
      <c r="DA87" s="104">
        <f t="shared" si="199"/>
        <v>16.105100000000004</v>
      </c>
      <c r="DB87" s="104">
        <f t="shared" si="199"/>
        <v>16.105100000000004</v>
      </c>
      <c r="DC87" s="104">
        <f t="shared" si="199"/>
        <v>16.105100000000004</v>
      </c>
      <c r="DD87" s="104">
        <f t="shared" si="199"/>
        <v>16.105100000000004</v>
      </c>
      <c r="DE87" s="104">
        <f t="shared" si="199"/>
        <v>16.105100000000004</v>
      </c>
      <c r="DF87" s="104">
        <f t="shared" si="199"/>
        <v>16.105100000000004</v>
      </c>
      <c r="DG87" s="104">
        <f t="shared" si="199"/>
        <v>16.105100000000004</v>
      </c>
    </row>
    <row r="88" spans="1:111" x14ac:dyDescent="0.25">
      <c r="B88" s="1" t="s">
        <v>144</v>
      </c>
      <c r="C88" s="1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>
        <v>50</v>
      </c>
      <c r="AH88" s="104"/>
      <c r="AI88" s="104"/>
      <c r="AJ88" s="104"/>
      <c r="AK88" s="104">
        <v>105</v>
      </c>
      <c r="AL88" s="104"/>
      <c r="AM88" s="104"/>
      <c r="AN88" s="104"/>
      <c r="AO88" s="104"/>
      <c r="AP88" s="104"/>
      <c r="AQ88" s="104"/>
      <c r="AR88" s="104"/>
      <c r="AS88" s="104"/>
      <c r="AT88" s="104"/>
      <c r="AU88" s="104">
        <v>62.81</v>
      </c>
      <c r="AV88" s="104">
        <v>0</v>
      </c>
      <c r="AW88" s="605">
        <v>0</v>
      </c>
      <c r="AX88" s="616">
        <v>0</v>
      </c>
      <c r="AY88" s="619">
        <f t="shared" ref="AY88:CD88" si="200">+AM88</f>
        <v>0</v>
      </c>
      <c r="AZ88" s="104">
        <f t="shared" si="200"/>
        <v>0</v>
      </c>
      <c r="BA88" s="104">
        <f t="shared" si="200"/>
        <v>0</v>
      </c>
      <c r="BB88" s="104">
        <f t="shared" si="200"/>
        <v>0</v>
      </c>
      <c r="BC88" s="104">
        <f t="shared" si="200"/>
        <v>0</v>
      </c>
      <c r="BD88" s="104">
        <f t="shared" si="200"/>
        <v>0</v>
      </c>
      <c r="BE88" s="104">
        <f t="shared" si="200"/>
        <v>0</v>
      </c>
      <c r="BF88" s="104">
        <f t="shared" si="200"/>
        <v>0</v>
      </c>
      <c r="BG88" s="104">
        <f t="shared" si="200"/>
        <v>62.81</v>
      </c>
      <c r="BH88" s="104">
        <f t="shared" si="200"/>
        <v>0</v>
      </c>
      <c r="BI88" s="104">
        <f t="shared" si="200"/>
        <v>0</v>
      </c>
      <c r="BJ88" s="104">
        <f t="shared" si="200"/>
        <v>0</v>
      </c>
      <c r="BK88" s="228">
        <f t="shared" si="200"/>
        <v>0</v>
      </c>
      <c r="BL88" s="104">
        <f t="shared" si="200"/>
        <v>0</v>
      </c>
      <c r="BM88" s="104">
        <f t="shared" si="200"/>
        <v>0</v>
      </c>
      <c r="BN88" s="104">
        <f t="shared" si="200"/>
        <v>0</v>
      </c>
      <c r="BO88" s="104">
        <f t="shared" si="200"/>
        <v>0</v>
      </c>
      <c r="BP88" s="104">
        <f t="shared" si="200"/>
        <v>0</v>
      </c>
      <c r="BQ88" s="104">
        <f t="shared" si="200"/>
        <v>0</v>
      </c>
      <c r="BR88" s="104">
        <f t="shared" si="200"/>
        <v>0</v>
      </c>
      <c r="BS88" s="104">
        <f t="shared" si="200"/>
        <v>62.81</v>
      </c>
      <c r="BT88" s="104">
        <f t="shared" si="200"/>
        <v>0</v>
      </c>
      <c r="BU88" s="104">
        <f t="shared" si="200"/>
        <v>0</v>
      </c>
      <c r="BV88" s="104">
        <f t="shared" si="200"/>
        <v>0</v>
      </c>
      <c r="BW88" s="228">
        <f t="shared" si="200"/>
        <v>0</v>
      </c>
      <c r="BX88" s="104">
        <f t="shared" si="200"/>
        <v>0</v>
      </c>
      <c r="BY88" s="104">
        <f t="shared" si="200"/>
        <v>0</v>
      </c>
      <c r="BZ88" s="104">
        <f t="shared" si="200"/>
        <v>0</v>
      </c>
      <c r="CA88" s="104">
        <f t="shared" si="200"/>
        <v>0</v>
      </c>
      <c r="CB88" s="104">
        <f t="shared" si="200"/>
        <v>0</v>
      </c>
      <c r="CC88" s="104">
        <f t="shared" si="200"/>
        <v>0</v>
      </c>
      <c r="CD88" s="104">
        <f t="shared" si="200"/>
        <v>0</v>
      </c>
      <c r="CE88" s="104">
        <f t="shared" ref="CE88:DJ88" si="201">+BS88</f>
        <v>62.81</v>
      </c>
      <c r="CF88" s="104">
        <f t="shared" si="201"/>
        <v>0</v>
      </c>
      <c r="CG88" s="104">
        <f t="shared" si="201"/>
        <v>0</v>
      </c>
      <c r="CH88" s="104">
        <f t="shared" si="201"/>
        <v>0</v>
      </c>
      <c r="CI88" s="228">
        <f t="shared" si="201"/>
        <v>0</v>
      </c>
      <c r="CJ88" s="104">
        <f t="shared" si="201"/>
        <v>0</v>
      </c>
      <c r="CK88" s="104">
        <f t="shared" si="201"/>
        <v>0</v>
      </c>
      <c r="CL88" s="104">
        <f t="shared" si="201"/>
        <v>0</v>
      </c>
      <c r="CM88" s="104">
        <f t="shared" si="201"/>
        <v>0</v>
      </c>
      <c r="CN88" s="104">
        <f t="shared" si="201"/>
        <v>0</v>
      </c>
      <c r="CO88" s="104">
        <f t="shared" si="201"/>
        <v>0</v>
      </c>
      <c r="CP88" s="104">
        <f t="shared" si="201"/>
        <v>0</v>
      </c>
      <c r="CQ88" s="104">
        <f t="shared" si="201"/>
        <v>62.81</v>
      </c>
      <c r="CR88" s="104">
        <f t="shared" si="201"/>
        <v>0</v>
      </c>
      <c r="CS88" s="104">
        <f t="shared" si="201"/>
        <v>0</v>
      </c>
      <c r="CT88" s="104">
        <f t="shared" si="201"/>
        <v>0</v>
      </c>
      <c r="CU88" s="228">
        <f t="shared" si="201"/>
        <v>0</v>
      </c>
      <c r="CV88" s="104">
        <f t="shared" si="201"/>
        <v>0</v>
      </c>
      <c r="CW88" s="104">
        <f t="shared" si="201"/>
        <v>0</v>
      </c>
      <c r="CX88" s="104">
        <f t="shared" si="201"/>
        <v>0</v>
      </c>
      <c r="CY88" s="104">
        <f t="shared" si="201"/>
        <v>0</v>
      </c>
      <c r="CZ88" s="104">
        <f t="shared" si="201"/>
        <v>0</v>
      </c>
      <c r="DA88" s="104">
        <f t="shared" si="201"/>
        <v>0</v>
      </c>
      <c r="DB88" s="104">
        <f t="shared" si="201"/>
        <v>0</v>
      </c>
      <c r="DC88" s="104">
        <f t="shared" si="201"/>
        <v>62.81</v>
      </c>
      <c r="DD88" s="104">
        <f t="shared" si="201"/>
        <v>0</v>
      </c>
      <c r="DE88" s="104">
        <f t="shared" si="201"/>
        <v>0</v>
      </c>
      <c r="DF88" s="104">
        <f t="shared" si="201"/>
        <v>0</v>
      </c>
      <c r="DG88" s="104">
        <f t="shared" si="201"/>
        <v>0</v>
      </c>
    </row>
    <row r="89" spans="1:111" x14ac:dyDescent="0.25">
      <c r="B89" s="4" t="s">
        <v>145</v>
      </c>
      <c r="C89" s="4"/>
      <c r="D89" s="47">
        <f t="shared" ref="D89:U89" si="202">SUM(D74:D78)</f>
        <v>0</v>
      </c>
      <c r="E89" s="47">
        <f t="shared" si="202"/>
        <v>0</v>
      </c>
      <c r="F89" s="47">
        <f t="shared" si="202"/>
        <v>0</v>
      </c>
      <c r="G89" s="47">
        <f t="shared" si="202"/>
        <v>0</v>
      </c>
      <c r="H89" s="47">
        <f t="shared" si="202"/>
        <v>0</v>
      </c>
      <c r="I89" s="47">
        <f t="shared" si="202"/>
        <v>0</v>
      </c>
      <c r="J89" s="47">
        <f t="shared" si="202"/>
        <v>0</v>
      </c>
      <c r="K89" s="47">
        <f t="shared" si="202"/>
        <v>0</v>
      </c>
      <c r="L89" s="47">
        <f t="shared" si="202"/>
        <v>0</v>
      </c>
      <c r="M89" s="47">
        <f t="shared" si="202"/>
        <v>0</v>
      </c>
      <c r="N89" s="47">
        <f t="shared" si="202"/>
        <v>0</v>
      </c>
      <c r="O89" s="47">
        <f t="shared" si="202"/>
        <v>0</v>
      </c>
      <c r="P89" s="47">
        <f t="shared" si="202"/>
        <v>0</v>
      </c>
      <c r="Q89" s="47">
        <f t="shared" si="202"/>
        <v>0</v>
      </c>
      <c r="R89" s="47">
        <f t="shared" si="202"/>
        <v>0</v>
      </c>
      <c r="S89" s="47">
        <f t="shared" si="202"/>
        <v>0</v>
      </c>
      <c r="T89" s="47">
        <f t="shared" si="202"/>
        <v>0</v>
      </c>
      <c r="U89" s="47">
        <f t="shared" si="202"/>
        <v>0</v>
      </c>
      <c r="V89" s="47">
        <f t="shared" ref="V89:AA89" si="203">SUM(V74:V86)</f>
        <v>0</v>
      </c>
      <c r="W89" s="47">
        <f t="shared" si="203"/>
        <v>0</v>
      </c>
      <c r="X89" s="47">
        <f t="shared" si="203"/>
        <v>0</v>
      </c>
      <c r="Y89" s="47">
        <f t="shared" si="203"/>
        <v>0</v>
      </c>
      <c r="Z89" s="47">
        <f t="shared" si="203"/>
        <v>0</v>
      </c>
      <c r="AA89" s="47">
        <f t="shared" si="203"/>
        <v>0</v>
      </c>
      <c r="AB89" s="47">
        <f t="shared" ref="AB89:BG89" si="204">+SUM(AB71, AB78, AB82:AB88)</f>
        <v>959.96</v>
      </c>
      <c r="AC89" s="47">
        <f t="shared" si="204"/>
        <v>850.04</v>
      </c>
      <c r="AD89" s="47">
        <f t="shared" si="204"/>
        <v>791.98</v>
      </c>
      <c r="AE89" s="47">
        <f t="shared" si="204"/>
        <v>1208.6299999999999</v>
      </c>
      <c r="AF89" s="47">
        <f t="shared" si="204"/>
        <v>2664.6200000000003</v>
      </c>
      <c r="AG89" s="47">
        <f t="shared" si="204"/>
        <v>2227.69</v>
      </c>
      <c r="AH89" s="47">
        <f t="shared" si="204"/>
        <v>1832.3400000000001</v>
      </c>
      <c r="AI89" s="47">
        <f t="shared" si="204"/>
        <v>2698.71</v>
      </c>
      <c r="AJ89" s="47">
        <f t="shared" si="204"/>
        <v>2232.4700000000003</v>
      </c>
      <c r="AK89" s="47">
        <f t="shared" si="204"/>
        <v>2114.83</v>
      </c>
      <c r="AL89" s="47">
        <f t="shared" si="204"/>
        <v>2712.35</v>
      </c>
      <c r="AM89" s="47">
        <f t="shared" si="204"/>
        <v>2293.4699999999998</v>
      </c>
      <c r="AN89" s="47">
        <f t="shared" si="204"/>
        <v>2161.9</v>
      </c>
      <c r="AO89" s="47">
        <f t="shared" si="204"/>
        <v>3618.1099999999997</v>
      </c>
      <c r="AP89" s="47">
        <f t="shared" si="204"/>
        <v>3644.83</v>
      </c>
      <c r="AQ89" s="47">
        <f t="shared" si="204"/>
        <v>5164.1999999999989</v>
      </c>
      <c r="AR89" s="47">
        <f t="shared" si="204"/>
        <v>3990.04</v>
      </c>
      <c r="AS89" s="47">
        <f t="shared" si="204"/>
        <v>3355.51</v>
      </c>
      <c r="AT89" s="47">
        <f t="shared" si="204"/>
        <v>3680.41</v>
      </c>
      <c r="AU89" s="47">
        <f t="shared" si="204"/>
        <v>3609.2599999999998</v>
      </c>
      <c r="AV89" s="47">
        <f t="shared" si="204"/>
        <v>3143.7799999999997</v>
      </c>
      <c r="AW89" s="47">
        <f t="shared" si="204"/>
        <v>3831.6</v>
      </c>
      <c r="AX89" s="229">
        <f t="shared" si="204"/>
        <v>3504.0299999999997</v>
      </c>
      <c r="AY89" s="47">
        <f t="shared" si="204"/>
        <v>5115.7333333333336</v>
      </c>
      <c r="AZ89" s="47">
        <f t="shared" si="204"/>
        <v>5467.3468333333331</v>
      </c>
      <c r="BA89" s="47">
        <f t="shared" si="204"/>
        <v>5467.3468333333331</v>
      </c>
      <c r="BB89" s="47">
        <f t="shared" si="204"/>
        <v>5467.3468333333331</v>
      </c>
      <c r="BC89" s="47">
        <f t="shared" si="204"/>
        <v>5467.3468333333331</v>
      </c>
      <c r="BD89" s="47">
        <f t="shared" si="204"/>
        <v>5542.8568333333333</v>
      </c>
      <c r="BE89" s="47">
        <f t="shared" si="204"/>
        <v>5467.3468333333331</v>
      </c>
      <c r="BF89" s="47">
        <f t="shared" si="204"/>
        <v>5467.3468333333331</v>
      </c>
      <c r="BG89" s="47">
        <f t="shared" si="204"/>
        <v>5530.1568333333335</v>
      </c>
      <c r="BH89" s="47">
        <f t="shared" ref="BH89:CM89" si="205">+SUM(BH71, BH78, BH82:BH88)</f>
        <v>5467.3468333333331</v>
      </c>
      <c r="BI89" s="47">
        <f t="shared" si="205"/>
        <v>5467.3468333333331</v>
      </c>
      <c r="BJ89" s="47">
        <f t="shared" si="205"/>
        <v>5467.3468333333331</v>
      </c>
      <c r="BK89" s="229">
        <f t="shared" si="205"/>
        <v>5467.3468333333331</v>
      </c>
      <c r="BL89" s="47">
        <f t="shared" si="205"/>
        <v>5848.8736916666667</v>
      </c>
      <c r="BM89" s="47">
        <f t="shared" si="205"/>
        <v>5848.8736916666667</v>
      </c>
      <c r="BN89" s="47">
        <f t="shared" si="205"/>
        <v>5848.8736916666667</v>
      </c>
      <c r="BO89" s="47">
        <f t="shared" si="205"/>
        <v>5848.8736916666667</v>
      </c>
      <c r="BP89" s="47">
        <f t="shared" si="205"/>
        <v>5924.3836916666669</v>
      </c>
      <c r="BQ89" s="47">
        <f t="shared" si="205"/>
        <v>5848.8736916666667</v>
      </c>
      <c r="BR89" s="47">
        <f t="shared" si="205"/>
        <v>5848.8736916666667</v>
      </c>
      <c r="BS89" s="47">
        <f t="shared" si="205"/>
        <v>5911.6836916666671</v>
      </c>
      <c r="BT89" s="47">
        <f t="shared" si="205"/>
        <v>5848.8736916666667</v>
      </c>
      <c r="BU89" s="47">
        <f t="shared" si="205"/>
        <v>5848.8736916666667</v>
      </c>
      <c r="BV89" s="47">
        <f t="shared" si="205"/>
        <v>5848.8736916666667</v>
      </c>
      <c r="BW89" s="229">
        <f t="shared" si="205"/>
        <v>5848.8736916666667</v>
      </c>
      <c r="BX89" s="47">
        <f t="shared" si="205"/>
        <v>6263.042844583334</v>
      </c>
      <c r="BY89" s="47">
        <f t="shared" si="205"/>
        <v>6263.042844583334</v>
      </c>
      <c r="BZ89" s="47">
        <f t="shared" si="205"/>
        <v>6263.042844583334</v>
      </c>
      <c r="CA89" s="47">
        <f t="shared" si="205"/>
        <v>6263.042844583334</v>
      </c>
      <c r="CB89" s="47">
        <f t="shared" si="205"/>
        <v>6338.5528445833343</v>
      </c>
      <c r="CC89" s="47">
        <f t="shared" si="205"/>
        <v>6263.042844583334</v>
      </c>
      <c r="CD89" s="47">
        <f t="shared" si="205"/>
        <v>6263.042844583334</v>
      </c>
      <c r="CE89" s="47">
        <f t="shared" si="205"/>
        <v>6325.8528445833344</v>
      </c>
      <c r="CF89" s="47">
        <f t="shared" si="205"/>
        <v>6263.042844583334</v>
      </c>
      <c r="CG89" s="47">
        <f t="shared" si="205"/>
        <v>6263.042844583334</v>
      </c>
      <c r="CH89" s="47">
        <f t="shared" si="205"/>
        <v>6263.042844583334</v>
      </c>
      <c r="CI89" s="229">
        <f t="shared" si="205"/>
        <v>6263.042844583334</v>
      </c>
      <c r="CJ89" s="47">
        <f t="shared" si="205"/>
        <v>6712.8430019791685</v>
      </c>
      <c r="CK89" s="47">
        <f t="shared" si="205"/>
        <v>6712.8430019791685</v>
      </c>
      <c r="CL89" s="47">
        <f t="shared" si="205"/>
        <v>6712.8430019791685</v>
      </c>
      <c r="CM89" s="47">
        <f t="shared" si="205"/>
        <v>6712.8430019791685</v>
      </c>
      <c r="CN89" s="47">
        <f t="shared" ref="CN89:DS89" si="206">+SUM(CN71, CN78, CN82:CN88)</f>
        <v>6788.3530019791679</v>
      </c>
      <c r="CO89" s="47">
        <f t="shared" si="206"/>
        <v>6712.8430019791685</v>
      </c>
      <c r="CP89" s="47">
        <f t="shared" si="206"/>
        <v>6712.8430019791685</v>
      </c>
      <c r="CQ89" s="47">
        <f t="shared" si="206"/>
        <v>6775.6530019791689</v>
      </c>
      <c r="CR89" s="47">
        <f t="shared" si="206"/>
        <v>6712.8430019791685</v>
      </c>
      <c r="CS89" s="47">
        <f t="shared" si="206"/>
        <v>6712.8430019791685</v>
      </c>
      <c r="CT89" s="47">
        <f t="shared" si="206"/>
        <v>6712.8430019791685</v>
      </c>
      <c r="CU89" s="229">
        <f t="shared" si="206"/>
        <v>6712.8430019791685</v>
      </c>
      <c r="CV89" s="47">
        <f t="shared" si="206"/>
        <v>7201.5479687614616</v>
      </c>
      <c r="CW89" s="47">
        <f t="shared" si="206"/>
        <v>7201.5479687614616</v>
      </c>
      <c r="CX89" s="47">
        <f t="shared" si="206"/>
        <v>7201.5479687614616</v>
      </c>
      <c r="CY89" s="47">
        <f t="shared" si="206"/>
        <v>7201.5479687614616</v>
      </c>
      <c r="CZ89" s="47">
        <f t="shared" si="206"/>
        <v>7277.05796876146</v>
      </c>
      <c r="DA89" s="47">
        <f t="shared" si="206"/>
        <v>7201.5479687614616</v>
      </c>
      <c r="DB89" s="47">
        <f t="shared" si="206"/>
        <v>7201.5479687614616</v>
      </c>
      <c r="DC89" s="47">
        <f t="shared" si="206"/>
        <v>7264.357968761462</v>
      </c>
      <c r="DD89" s="47">
        <f t="shared" si="206"/>
        <v>7201.5479687614616</v>
      </c>
      <c r="DE89" s="47">
        <f t="shared" si="206"/>
        <v>7201.5479687614616</v>
      </c>
      <c r="DF89" s="47">
        <f t="shared" si="206"/>
        <v>7201.5479687614616</v>
      </c>
      <c r="DG89" s="47">
        <f t="shared" si="206"/>
        <v>7201.5479687614616</v>
      </c>
    </row>
    <row r="90" spans="1:111" x14ac:dyDescent="0.25">
      <c r="B90" s="4" t="s">
        <v>146</v>
      </c>
      <c r="C90" s="4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620">
        <v>16.13</v>
      </c>
      <c r="AX90" s="616">
        <v>0</v>
      </c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229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229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229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229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</row>
    <row r="91" spans="1:111" x14ac:dyDescent="0.25">
      <c r="A91" s="5"/>
      <c r="B91" s="6" t="s">
        <v>147</v>
      </c>
      <c r="C91" s="6"/>
      <c r="D91" s="47">
        <f t="shared" ref="D91:AV91" si="207">SUM(D89:D89)</f>
        <v>0</v>
      </c>
      <c r="E91" s="47">
        <f t="shared" si="207"/>
        <v>0</v>
      </c>
      <c r="F91" s="47">
        <f t="shared" si="207"/>
        <v>0</v>
      </c>
      <c r="G91" s="47">
        <f t="shared" si="207"/>
        <v>0</v>
      </c>
      <c r="H91" s="47">
        <f t="shared" si="207"/>
        <v>0</v>
      </c>
      <c r="I91" s="47">
        <f t="shared" si="207"/>
        <v>0</v>
      </c>
      <c r="J91" s="47">
        <f t="shared" si="207"/>
        <v>0</v>
      </c>
      <c r="K91" s="47">
        <f t="shared" si="207"/>
        <v>0</v>
      </c>
      <c r="L91" s="47">
        <f t="shared" si="207"/>
        <v>0</v>
      </c>
      <c r="M91" s="47">
        <f t="shared" si="207"/>
        <v>0</v>
      </c>
      <c r="N91" s="47">
        <f t="shared" si="207"/>
        <v>0</v>
      </c>
      <c r="O91" s="47">
        <f t="shared" si="207"/>
        <v>0</v>
      </c>
      <c r="P91" s="47">
        <f t="shared" si="207"/>
        <v>0</v>
      </c>
      <c r="Q91" s="47">
        <f t="shared" si="207"/>
        <v>0</v>
      </c>
      <c r="R91" s="47">
        <f t="shared" si="207"/>
        <v>0</v>
      </c>
      <c r="S91" s="47">
        <f t="shared" si="207"/>
        <v>0</v>
      </c>
      <c r="T91" s="47">
        <f t="shared" si="207"/>
        <v>0</v>
      </c>
      <c r="U91" s="47">
        <f t="shared" si="207"/>
        <v>0</v>
      </c>
      <c r="V91" s="47">
        <f t="shared" si="207"/>
        <v>0</v>
      </c>
      <c r="W91" s="47">
        <f t="shared" si="207"/>
        <v>0</v>
      </c>
      <c r="X91" s="47">
        <f t="shared" si="207"/>
        <v>0</v>
      </c>
      <c r="Y91" s="47">
        <f t="shared" si="207"/>
        <v>0</v>
      </c>
      <c r="Z91" s="47">
        <f t="shared" si="207"/>
        <v>0</v>
      </c>
      <c r="AA91" s="47">
        <f t="shared" si="207"/>
        <v>0</v>
      </c>
      <c r="AB91" s="47">
        <f t="shared" si="207"/>
        <v>959.96</v>
      </c>
      <c r="AC91" s="47">
        <f t="shared" si="207"/>
        <v>850.04</v>
      </c>
      <c r="AD91" s="47">
        <f t="shared" si="207"/>
        <v>791.98</v>
      </c>
      <c r="AE91" s="47">
        <f t="shared" si="207"/>
        <v>1208.6299999999999</v>
      </c>
      <c r="AF91" s="47">
        <f t="shared" si="207"/>
        <v>2664.6200000000003</v>
      </c>
      <c r="AG91" s="47">
        <f t="shared" si="207"/>
        <v>2227.69</v>
      </c>
      <c r="AH91" s="47">
        <f t="shared" si="207"/>
        <v>1832.3400000000001</v>
      </c>
      <c r="AI91" s="47">
        <f t="shared" si="207"/>
        <v>2698.71</v>
      </c>
      <c r="AJ91" s="47">
        <f t="shared" si="207"/>
        <v>2232.4700000000003</v>
      </c>
      <c r="AK91" s="47">
        <f t="shared" si="207"/>
        <v>2114.83</v>
      </c>
      <c r="AL91" s="47">
        <f t="shared" si="207"/>
        <v>2712.35</v>
      </c>
      <c r="AM91" s="47">
        <f t="shared" si="207"/>
        <v>2293.4699999999998</v>
      </c>
      <c r="AN91" s="47">
        <f t="shared" si="207"/>
        <v>2161.9</v>
      </c>
      <c r="AO91" s="47">
        <f t="shared" si="207"/>
        <v>3618.1099999999997</v>
      </c>
      <c r="AP91" s="47">
        <f t="shared" si="207"/>
        <v>3644.83</v>
      </c>
      <c r="AQ91" s="47">
        <f t="shared" si="207"/>
        <v>5164.1999999999989</v>
      </c>
      <c r="AR91" s="47">
        <f t="shared" si="207"/>
        <v>3990.04</v>
      </c>
      <c r="AS91" s="47">
        <f t="shared" si="207"/>
        <v>3355.51</v>
      </c>
      <c r="AT91" s="47">
        <f t="shared" si="207"/>
        <v>3680.41</v>
      </c>
      <c r="AU91" s="47">
        <f t="shared" si="207"/>
        <v>3609.2599999999998</v>
      </c>
      <c r="AV91" s="47">
        <f t="shared" si="207"/>
        <v>3143.7799999999997</v>
      </c>
      <c r="AW91" s="47">
        <f t="shared" ref="AW91:CB91" si="208">SUM(AW89:AW89)+AW90</f>
        <v>3847.73</v>
      </c>
      <c r="AX91" s="229">
        <f t="shared" si="208"/>
        <v>3504.0299999999997</v>
      </c>
      <c r="AY91" s="47">
        <f t="shared" si="208"/>
        <v>5115.7333333333336</v>
      </c>
      <c r="AZ91" s="47">
        <f t="shared" si="208"/>
        <v>5467.3468333333331</v>
      </c>
      <c r="BA91" s="47">
        <f t="shared" si="208"/>
        <v>5467.3468333333331</v>
      </c>
      <c r="BB91" s="47">
        <f t="shared" si="208"/>
        <v>5467.3468333333331</v>
      </c>
      <c r="BC91" s="47">
        <f t="shared" si="208"/>
        <v>5467.3468333333331</v>
      </c>
      <c r="BD91" s="47">
        <f t="shared" si="208"/>
        <v>5542.8568333333333</v>
      </c>
      <c r="BE91" s="47">
        <f t="shared" si="208"/>
        <v>5467.3468333333331</v>
      </c>
      <c r="BF91" s="47">
        <f t="shared" si="208"/>
        <v>5467.3468333333331</v>
      </c>
      <c r="BG91" s="47">
        <f t="shared" si="208"/>
        <v>5530.1568333333335</v>
      </c>
      <c r="BH91" s="47">
        <f t="shared" si="208"/>
        <v>5467.3468333333331</v>
      </c>
      <c r="BI91" s="47">
        <f t="shared" si="208"/>
        <v>5467.3468333333331</v>
      </c>
      <c r="BJ91" s="47">
        <f t="shared" si="208"/>
        <v>5467.3468333333331</v>
      </c>
      <c r="BK91" s="229">
        <f t="shared" si="208"/>
        <v>5467.3468333333331</v>
      </c>
      <c r="BL91" s="47">
        <f t="shared" si="208"/>
        <v>5848.8736916666667</v>
      </c>
      <c r="BM91" s="47">
        <f t="shared" si="208"/>
        <v>5848.8736916666667</v>
      </c>
      <c r="BN91" s="47">
        <f t="shared" si="208"/>
        <v>5848.8736916666667</v>
      </c>
      <c r="BO91" s="47">
        <f t="shared" si="208"/>
        <v>5848.8736916666667</v>
      </c>
      <c r="BP91" s="47">
        <f t="shared" si="208"/>
        <v>5924.3836916666669</v>
      </c>
      <c r="BQ91" s="47">
        <f t="shared" si="208"/>
        <v>5848.8736916666667</v>
      </c>
      <c r="BR91" s="47">
        <f t="shared" si="208"/>
        <v>5848.8736916666667</v>
      </c>
      <c r="BS91" s="47">
        <f t="shared" si="208"/>
        <v>5911.6836916666671</v>
      </c>
      <c r="BT91" s="47">
        <f t="shared" si="208"/>
        <v>5848.8736916666667</v>
      </c>
      <c r="BU91" s="47">
        <f t="shared" si="208"/>
        <v>5848.8736916666667</v>
      </c>
      <c r="BV91" s="47">
        <f t="shared" si="208"/>
        <v>5848.8736916666667</v>
      </c>
      <c r="BW91" s="229">
        <f t="shared" si="208"/>
        <v>5848.8736916666667</v>
      </c>
      <c r="BX91" s="47">
        <f t="shared" si="208"/>
        <v>6263.042844583334</v>
      </c>
      <c r="BY91" s="47">
        <f t="shared" si="208"/>
        <v>6263.042844583334</v>
      </c>
      <c r="BZ91" s="47">
        <f t="shared" si="208"/>
        <v>6263.042844583334</v>
      </c>
      <c r="CA91" s="47">
        <f t="shared" si="208"/>
        <v>6263.042844583334</v>
      </c>
      <c r="CB91" s="47">
        <f t="shared" si="208"/>
        <v>6338.5528445833343</v>
      </c>
      <c r="CC91" s="47">
        <f t="shared" ref="CC91:DH91" si="209">SUM(CC89:CC89)+CC90</f>
        <v>6263.042844583334</v>
      </c>
      <c r="CD91" s="47">
        <f t="shared" si="209"/>
        <v>6263.042844583334</v>
      </c>
      <c r="CE91" s="47">
        <f t="shared" si="209"/>
        <v>6325.8528445833344</v>
      </c>
      <c r="CF91" s="47">
        <f t="shared" si="209"/>
        <v>6263.042844583334</v>
      </c>
      <c r="CG91" s="47">
        <f t="shared" si="209"/>
        <v>6263.042844583334</v>
      </c>
      <c r="CH91" s="47">
        <f t="shared" si="209"/>
        <v>6263.042844583334</v>
      </c>
      <c r="CI91" s="229">
        <f t="shared" si="209"/>
        <v>6263.042844583334</v>
      </c>
      <c r="CJ91" s="47">
        <f t="shared" si="209"/>
        <v>6712.8430019791685</v>
      </c>
      <c r="CK91" s="47">
        <f t="shared" si="209"/>
        <v>6712.8430019791685</v>
      </c>
      <c r="CL91" s="47">
        <f t="shared" si="209"/>
        <v>6712.8430019791685</v>
      </c>
      <c r="CM91" s="47">
        <f t="shared" si="209"/>
        <v>6712.8430019791685</v>
      </c>
      <c r="CN91" s="47">
        <f t="shared" si="209"/>
        <v>6788.3530019791679</v>
      </c>
      <c r="CO91" s="47">
        <f t="shared" si="209"/>
        <v>6712.8430019791685</v>
      </c>
      <c r="CP91" s="47">
        <f t="shared" si="209"/>
        <v>6712.8430019791685</v>
      </c>
      <c r="CQ91" s="47">
        <f t="shared" si="209"/>
        <v>6775.6530019791689</v>
      </c>
      <c r="CR91" s="47">
        <f t="shared" si="209"/>
        <v>6712.8430019791685</v>
      </c>
      <c r="CS91" s="47">
        <f t="shared" si="209"/>
        <v>6712.8430019791685</v>
      </c>
      <c r="CT91" s="47">
        <f t="shared" si="209"/>
        <v>6712.8430019791685</v>
      </c>
      <c r="CU91" s="229">
        <f t="shared" si="209"/>
        <v>6712.8430019791685</v>
      </c>
      <c r="CV91" s="47">
        <f t="shared" si="209"/>
        <v>7201.5479687614616</v>
      </c>
      <c r="CW91" s="47">
        <f t="shared" si="209"/>
        <v>7201.5479687614616</v>
      </c>
      <c r="CX91" s="47">
        <f t="shared" si="209"/>
        <v>7201.5479687614616</v>
      </c>
      <c r="CY91" s="47">
        <f t="shared" si="209"/>
        <v>7201.5479687614616</v>
      </c>
      <c r="CZ91" s="47">
        <f t="shared" si="209"/>
        <v>7277.05796876146</v>
      </c>
      <c r="DA91" s="47">
        <f t="shared" si="209"/>
        <v>7201.5479687614616</v>
      </c>
      <c r="DB91" s="47">
        <f t="shared" si="209"/>
        <v>7201.5479687614616</v>
      </c>
      <c r="DC91" s="47">
        <f t="shared" si="209"/>
        <v>7264.357968761462</v>
      </c>
      <c r="DD91" s="47">
        <f t="shared" si="209"/>
        <v>7201.5479687614616</v>
      </c>
      <c r="DE91" s="47">
        <f t="shared" si="209"/>
        <v>7201.5479687614616</v>
      </c>
      <c r="DF91" s="47">
        <f t="shared" si="209"/>
        <v>7201.5479687614616</v>
      </c>
      <c r="DG91" s="47">
        <f t="shared" si="209"/>
        <v>7201.5479687614616</v>
      </c>
    </row>
    <row r="92" spans="1:111" x14ac:dyDescent="0.25">
      <c r="A92" s="3"/>
      <c r="B92" s="4" t="s">
        <v>148</v>
      </c>
      <c r="C92" s="4"/>
      <c r="D92" s="47">
        <f t="shared" ref="D92:AI92" si="210">D65-D91</f>
        <v>0</v>
      </c>
      <c r="E92" s="47">
        <f t="shared" si="210"/>
        <v>0</v>
      </c>
      <c r="F92" s="47">
        <f t="shared" si="210"/>
        <v>0</v>
      </c>
      <c r="G92" s="47">
        <f t="shared" si="210"/>
        <v>0</v>
      </c>
      <c r="H92" s="47">
        <f t="shared" si="210"/>
        <v>0</v>
      </c>
      <c r="I92" s="47">
        <f t="shared" si="210"/>
        <v>0</v>
      </c>
      <c r="J92" s="47">
        <f t="shared" si="210"/>
        <v>0</v>
      </c>
      <c r="K92" s="47">
        <f t="shared" si="210"/>
        <v>0</v>
      </c>
      <c r="L92" s="47">
        <f t="shared" si="210"/>
        <v>0</v>
      </c>
      <c r="M92" s="47">
        <f t="shared" si="210"/>
        <v>0</v>
      </c>
      <c r="N92" s="47">
        <f t="shared" si="210"/>
        <v>0</v>
      </c>
      <c r="O92" s="47">
        <f t="shared" si="210"/>
        <v>0</v>
      </c>
      <c r="P92" s="47">
        <f t="shared" si="210"/>
        <v>0</v>
      </c>
      <c r="Q92" s="47">
        <f t="shared" si="210"/>
        <v>0</v>
      </c>
      <c r="R92" s="47">
        <f t="shared" si="210"/>
        <v>0</v>
      </c>
      <c r="S92" s="47">
        <f t="shared" si="210"/>
        <v>0</v>
      </c>
      <c r="T92" s="47">
        <f t="shared" si="210"/>
        <v>0</v>
      </c>
      <c r="U92" s="47">
        <f t="shared" si="210"/>
        <v>0</v>
      </c>
      <c r="V92" s="47">
        <f t="shared" si="210"/>
        <v>0</v>
      </c>
      <c r="W92" s="219">
        <f t="shared" si="210"/>
        <v>0</v>
      </c>
      <c r="X92" s="47">
        <f t="shared" si="210"/>
        <v>0</v>
      </c>
      <c r="Y92" s="47">
        <f t="shared" si="210"/>
        <v>0</v>
      </c>
      <c r="Z92" s="47">
        <f t="shared" si="210"/>
        <v>0</v>
      </c>
      <c r="AA92" s="47">
        <f t="shared" si="210"/>
        <v>0</v>
      </c>
      <c r="AB92" s="47">
        <f t="shared" si="210"/>
        <v>4264.74</v>
      </c>
      <c r="AC92" s="47">
        <f t="shared" si="210"/>
        <v>5242.32</v>
      </c>
      <c r="AD92" s="47">
        <f t="shared" si="210"/>
        <v>6315.43</v>
      </c>
      <c r="AE92" s="47">
        <f t="shared" si="210"/>
        <v>6271.58</v>
      </c>
      <c r="AF92" s="47">
        <f t="shared" si="210"/>
        <v>3962.2599999999998</v>
      </c>
      <c r="AG92" s="47">
        <f t="shared" si="210"/>
        <v>3641.6999999999994</v>
      </c>
      <c r="AH92" s="47">
        <f t="shared" si="210"/>
        <v>3448.51</v>
      </c>
      <c r="AI92" s="47">
        <f t="shared" si="210"/>
        <v>3756.45</v>
      </c>
      <c r="AJ92" s="47">
        <f t="shared" ref="AJ92:BO92" si="211">AJ65-AJ91</f>
        <v>1938.8599999999997</v>
      </c>
      <c r="AK92" s="47">
        <f t="shared" si="211"/>
        <v>4223.68</v>
      </c>
      <c r="AL92" s="47">
        <f t="shared" si="211"/>
        <v>1277.96</v>
      </c>
      <c r="AM92" s="47">
        <f t="shared" si="211"/>
        <v>2627.94</v>
      </c>
      <c r="AN92" s="47">
        <f t="shared" si="211"/>
        <v>4061.8700000000003</v>
      </c>
      <c r="AO92" s="47">
        <f t="shared" si="211"/>
        <v>2138.420000000001</v>
      </c>
      <c r="AP92" s="47">
        <f t="shared" si="211"/>
        <v>2438.9799999999996</v>
      </c>
      <c r="AQ92" s="47">
        <f t="shared" si="211"/>
        <v>2096.9800000000014</v>
      </c>
      <c r="AR92" s="47">
        <f t="shared" si="211"/>
        <v>2264.0999999999995</v>
      </c>
      <c r="AS92" s="47">
        <f t="shared" si="211"/>
        <v>2846.1099999999997</v>
      </c>
      <c r="AT92" s="47">
        <f t="shared" si="211"/>
        <v>2933.4300000000003</v>
      </c>
      <c r="AU92" s="47">
        <f t="shared" si="211"/>
        <v>3070.3800000000006</v>
      </c>
      <c r="AV92" s="47">
        <f t="shared" si="211"/>
        <v>1881.12</v>
      </c>
      <c r="AW92" s="47">
        <f t="shared" si="211"/>
        <v>2290.0099999999998</v>
      </c>
      <c r="AX92" s="229">
        <f t="shared" si="211"/>
        <v>982.32000000000062</v>
      </c>
      <c r="AY92" s="47">
        <f t="shared" si="211"/>
        <v>-609.34447021207598</v>
      </c>
      <c r="AZ92" s="47">
        <f t="shared" si="211"/>
        <v>-534.86136524265203</v>
      </c>
      <c r="BA92" s="47">
        <f t="shared" si="211"/>
        <v>453.73315256119167</v>
      </c>
      <c r="BB92" s="47">
        <f t="shared" si="211"/>
        <v>1138.600087920182</v>
      </c>
      <c r="BC92" s="47">
        <f t="shared" si="211"/>
        <v>2318.4108112865351</v>
      </c>
      <c r="BD92" s="47">
        <f t="shared" si="211"/>
        <v>1973.6737040893713</v>
      </c>
      <c r="BE92" s="47">
        <f t="shared" si="211"/>
        <v>2251.8148224158376</v>
      </c>
      <c r="BF92" s="47">
        <f t="shared" si="211"/>
        <v>1964.0127486116517</v>
      </c>
      <c r="BG92" s="47">
        <f t="shared" si="211"/>
        <v>2391.0389751266575</v>
      </c>
      <c r="BH92" s="47">
        <f t="shared" si="211"/>
        <v>595.05356034342185</v>
      </c>
      <c r="BI92" s="47">
        <f t="shared" si="211"/>
        <v>915.15524731851474</v>
      </c>
      <c r="BJ92" s="47">
        <f t="shared" si="211"/>
        <v>1464.4192174678446</v>
      </c>
      <c r="BK92" s="229">
        <f t="shared" si="211"/>
        <v>1374.7452803063079</v>
      </c>
      <c r="BL92" s="47">
        <f t="shared" si="211"/>
        <v>232.02788567515108</v>
      </c>
      <c r="BM92" s="47">
        <f t="shared" si="211"/>
        <v>1298.2824058605329</v>
      </c>
      <c r="BN92" s="47">
        <f t="shared" si="211"/>
        <v>2214.9205572610745</v>
      </c>
      <c r="BO92" s="47">
        <f t="shared" si="211"/>
        <v>3071.124845398027</v>
      </c>
      <c r="BP92" s="47">
        <f t="shared" ref="BP92:CU92" si="212">BP65-BP91</f>
        <v>2530.9539333993425</v>
      </c>
      <c r="BQ92" s="47">
        <f t="shared" si="212"/>
        <v>2796.4146712784886</v>
      </c>
      <c r="BR92" s="47">
        <f t="shared" si="212"/>
        <v>2105.6765570876805</v>
      </c>
      <c r="BS92" s="47">
        <f t="shared" si="212"/>
        <v>3189.4448473814173</v>
      </c>
      <c r="BT92" s="47">
        <f t="shared" si="212"/>
        <v>714.85117348653876</v>
      </c>
      <c r="BU92" s="47">
        <f t="shared" si="212"/>
        <v>877.12238825745044</v>
      </c>
      <c r="BV92" s="47">
        <f t="shared" si="212"/>
        <v>2046.9406159166219</v>
      </c>
      <c r="BW92" s="229">
        <f t="shared" si="212"/>
        <v>1500.0465914059905</v>
      </c>
      <c r="BX92" s="47">
        <f t="shared" si="212"/>
        <v>241.70719838522291</v>
      </c>
      <c r="BY92" s="47">
        <f t="shared" si="212"/>
        <v>1806.94396329147</v>
      </c>
      <c r="BZ92" s="47">
        <f t="shared" si="212"/>
        <v>2481.582490165395</v>
      </c>
      <c r="CA92" s="47">
        <f t="shared" si="212"/>
        <v>2695.0329487836925</v>
      </c>
      <c r="CB92" s="47">
        <f t="shared" si="212"/>
        <v>3698.1169208036672</v>
      </c>
      <c r="CC92" s="47">
        <f t="shared" si="212"/>
        <v>3155.3503315432545</v>
      </c>
      <c r="CD92" s="47">
        <f t="shared" si="212"/>
        <v>1992.2997041887875</v>
      </c>
      <c r="CE92" s="47">
        <f t="shared" si="212"/>
        <v>3918.0180754850026</v>
      </c>
      <c r="CF92" s="47">
        <f t="shared" si="212"/>
        <v>498.90431971449743</v>
      </c>
      <c r="CG92" s="47">
        <f t="shared" si="212"/>
        <v>1220.0223127680156</v>
      </c>
      <c r="CH92" s="47">
        <f t="shared" si="212"/>
        <v>2292.1963032939448</v>
      </c>
      <c r="CI92" s="229">
        <f t="shared" si="212"/>
        <v>1052.0731961744723</v>
      </c>
      <c r="CJ92" s="47">
        <f t="shared" si="212"/>
        <v>879.15908199273144</v>
      </c>
      <c r="CK92" s="47">
        <f t="shared" si="212"/>
        <v>1672.4473977936887</v>
      </c>
      <c r="CL92" s="47">
        <f t="shared" si="212"/>
        <v>2404.6578184412992</v>
      </c>
      <c r="CM92" s="47">
        <f t="shared" si="212"/>
        <v>3473.678226596996</v>
      </c>
      <c r="CN92" s="47">
        <f t="shared" si="212"/>
        <v>4210.4757424651916</v>
      </c>
      <c r="CO92" s="47">
        <f t="shared" si="212"/>
        <v>3128.3203649284969</v>
      </c>
      <c r="CP92" s="47">
        <f t="shared" si="212"/>
        <v>2641.6911251919282</v>
      </c>
      <c r="CQ92" s="47">
        <f t="shared" si="212"/>
        <v>4413.1351457582105</v>
      </c>
      <c r="CR92" s="47">
        <f t="shared" si="212"/>
        <v>311.8466154525122</v>
      </c>
      <c r="CS92" s="47">
        <f t="shared" si="212"/>
        <v>1787.9416382697909</v>
      </c>
      <c r="CT92" s="47">
        <f t="shared" si="212"/>
        <v>2648.1285160168318</v>
      </c>
      <c r="CU92" s="229">
        <f t="shared" si="212"/>
        <v>1338.6557053576516</v>
      </c>
      <c r="CV92" s="47">
        <f t="shared" ref="CV92:EA92" si="213">CV65-CV91</f>
        <v>1113.2808332053692</v>
      </c>
      <c r="CW92" s="47">
        <f t="shared" si="213"/>
        <v>1971.9243886778922</v>
      </c>
      <c r="CX92" s="47">
        <f t="shared" si="213"/>
        <v>2473.9830330299146</v>
      </c>
      <c r="CY92" s="47">
        <f t="shared" si="213"/>
        <v>4561.5196399107799</v>
      </c>
      <c r="CZ92" s="47">
        <f t="shared" si="213"/>
        <v>4853.1604249197035</v>
      </c>
      <c r="DA92" s="47">
        <f t="shared" si="213"/>
        <v>3212.3185420302134</v>
      </c>
      <c r="DB92" s="47">
        <f t="shared" si="213"/>
        <v>3476.025937946356</v>
      </c>
      <c r="DC92" s="47">
        <f t="shared" si="213"/>
        <v>4572.1529961127708</v>
      </c>
      <c r="DD92" s="47">
        <f t="shared" si="213"/>
        <v>791.25068640165864</v>
      </c>
      <c r="DE92" s="47">
        <f t="shared" si="213"/>
        <v>2092.6264866971424</v>
      </c>
      <c r="DF92" s="47">
        <f t="shared" si="213"/>
        <v>2621.0508754697375</v>
      </c>
      <c r="DG92" s="47">
        <f t="shared" si="213"/>
        <v>1894.6403470514133</v>
      </c>
    </row>
    <row r="93" spans="1:111" s="155" customFormat="1" x14ac:dyDescent="0.25">
      <c r="B93" s="257"/>
      <c r="C93" s="257" t="s">
        <v>149</v>
      </c>
      <c r="D93" s="258"/>
      <c r="E93" s="258"/>
      <c r="F93" s="25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  <c r="U93" s="258"/>
      <c r="V93" s="258"/>
      <c r="W93" s="281">
        <f>+SUM(W75:W77,W61)</f>
        <v>0</v>
      </c>
      <c r="X93" s="282">
        <f>+SUM(X75:X77,X61)</f>
        <v>0</v>
      </c>
      <c r="Y93" s="282">
        <f>+SUM(Y75:Y77,Y61)</f>
        <v>0</v>
      </c>
      <c r="Z93" s="282">
        <f>+SUM(Z75:Z77,Z61)</f>
        <v>0</v>
      </c>
      <c r="AA93" s="282">
        <f>+SUM(AA75:AA77,AA61)</f>
        <v>0</v>
      </c>
      <c r="AB93" s="282">
        <f t="shared" ref="AB93:BG93" si="214">+SUM(AB75:AB77,AB61, AB85:AB86)</f>
        <v>916.54</v>
      </c>
      <c r="AC93" s="282">
        <f t="shared" si="214"/>
        <v>1128.8600000000001</v>
      </c>
      <c r="AD93" s="282">
        <f t="shared" si="214"/>
        <v>730.29000000000008</v>
      </c>
      <c r="AE93" s="282">
        <f t="shared" si="214"/>
        <v>1141.6799999999998</v>
      </c>
      <c r="AF93" s="282">
        <f t="shared" si="214"/>
        <v>2898.53</v>
      </c>
      <c r="AG93" s="282">
        <f t="shared" si="214"/>
        <v>2922.32</v>
      </c>
      <c r="AH93" s="282">
        <f t="shared" si="214"/>
        <v>2192.9100000000003</v>
      </c>
      <c r="AI93" s="282">
        <f t="shared" si="214"/>
        <v>2846.0299999999997</v>
      </c>
      <c r="AJ93" s="282">
        <f t="shared" si="214"/>
        <v>1805.3400000000001</v>
      </c>
      <c r="AK93" s="282">
        <f t="shared" si="214"/>
        <v>2887.1</v>
      </c>
      <c r="AL93" s="282">
        <f t="shared" si="214"/>
        <v>3039.15</v>
      </c>
      <c r="AM93" s="282">
        <f t="shared" si="214"/>
        <v>2949.56</v>
      </c>
      <c r="AN93" s="282">
        <f t="shared" si="214"/>
        <v>2247.9899999999998</v>
      </c>
      <c r="AO93" s="282">
        <f t="shared" si="214"/>
        <v>2330.2600000000002</v>
      </c>
      <c r="AP93" s="282">
        <f t="shared" si="214"/>
        <v>2666.62</v>
      </c>
      <c r="AQ93" s="282">
        <f t="shared" si="214"/>
        <v>2641.89</v>
      </c>
      <c r="AR93" s="282">
        <f t="shared" si="214"/>
        <v>3115.25</v>
      </c>
      <c r="AS93" s="282">
        <f t="shared" si="214"/>
        <v>2424.2200000000003</v>
      </c>
      <c r="AT93" s="282">
        <f t="shared" si="214"/>
        <v>2696.0499999999997</v>
      </c>
      <c r="AU93" s="282">
        <f t="shared" si="214"/>
        <v>2643.92</v>
      </c>
      <c r="AV93" s="282">
        <f t="shared" si="214"/>
        <v>2823.27</v>
      </c>
      <c r="AW93" s="282">
        <f t="shared" si="214"/>
        <v>2873.12</v>
      </c>
      <c r="AX93" s="283">
        <f t="shared" si="214"/>
        <v>2799.19</v>
      </c>
      <c r="AY93" s="282">
        <f t="shared" si="214"/>
        <v>2958.5803153532856</v>
      </c>
      <c r="AZ93" s="282">
        <f t="shared" si="214"/>
        <v>3406.5064837623581</v>
      </c>
      <c r="BA93" s="282">
        <f t="shared" si="214"/>
        <v>4082.537887361435</v>
      </c>
      <c r="BB93" s="282">
        <f t="shared" si="214"/>
        <v>4550.8710080203145</v>
      </c>
      <c r="BC93" s="282">
        <f t="shared" si="214"/>
        <v>5408.1768717261584</v>
      </c>
      <c r="BD93" s="282">
        <f t="shared" si="214"/>
        <v>5224.0710771990525</v>
      </c>
      <c r="BE93" s="282">
        <f t="shared" si="214"/>
        <v>5312.1215570726163</v>
      </c>
      <c r="BF93" s="282">
        <f t="shared" si="214"/>
        <v>5115.313627826974</v>
      </c>
      <c r="BG93" s="282">
        <f t="shared" si="214"/>
        <v>5450.2787381739854</v>
      </c>
      <c r="BH93" s="282">
        <f t="shared" ref="BH93:CM93" si="215">+SUM(BH75:BH77,BH61, BH85:BH86)</f>
        <v>4078.1472888139092</v>
      </c>
      <c r="BI93" s="282">
        <f t="shared" si="215"/>
        <v>4398.0725385785809</v>
      </c>
      <c r="BJ93" s="282">
        <f t="shared" si="215"/>
        <v>4773.6761718167418</v>
      </c>
      <c r="BK93" s="283">
        <f t="shared" si="215"/>
        <v>4611.3245200532929</v>
      </c>
      <c r="BL93" s="282">
        <f t="shared" si="215"/>
        <v>4217.9884814517918</v>
      </c>
      <c r="BM93" s="282">
        <f t="shared" si="215"/>
        <v>4908.3892350440401</v>
      </c>
      <c r="BN93" s="282">
        <f t="shared" si="215"/>
        <v>5501.913256295843</v>
      </c>
      <c r="BO93" s="282">
        <f t="shared" si="215"/>
        <v>6105.7313239182495</v>
      </c>
      <c r="BP93" s="282">
        <f t="shared" si="215"/>
        <v>5804.8629686282038</v>
      </c>
      <c r="BQ93" s="282">
        <f t="shared" si="215"/>
        <v>5878.4312141819937</v>
      </c>
      <c r="BR93" s="282">
        <f t="shared" si="215"/>
        <v>5431.1776686689509</v>
      </c>
      <c r="BS93" s="282">
        <f t="shared" si="215"/>
        <v>6173.5881351058715</v>
      </c>
      <c r="BT93" s="282">
        <f t="shared" si="215"/>
        <v>4431.7669377349885</v>
      </c>
      <c r="BU93" s="282">
        <f t="shared" si="215"/>
        <v>4635.6877477054077</v>
      </c>
      <c r="BV93" s="282">
        <f t="shared" si="215"/>
        <v>5393.1460943311477</v>
      </c>
      <c r="BW93" s="283">
        <f t="shared" si="215"/>
        <v>4940.1816717278807</v>
      </c>
      <c r="BX93" s="282">
        <f t="shared" si="215"/>
        <v>4540.1915541521721</v>
      </c>
      <c r="BY93" s="282">
        <f t="shared" si="215"/>
        <v>5501.7620524604808</v>
      </c>
      <c r="BZ93" s="282">
        <f t="shared" si="215"/>
        <v>5916.2121337572862</v>
      </c>
      <c r="CA93" s="282">
        <f t="shared" si="215"/>
        <v>6095.7708357093225</v>
      </c>
      <c r="CB93" s="282">
        <f t="shared" si="215"/>
        <v>6758.3825034142437</v>
      </c>
      <c r="CC93" s="282">
        <f t="shared" si="215"/>
        <v>6330.1273276139964</v>
      </c>
      <c r="CD93" s="282">
        <f t="shared" si="215"/>
        <v>5615.631478565876</v>
      </c>
      <c r="CE93" s="282">
        <f t="shared" si="215"/>
        <v>6837.2423298814201</v>
      </c>
      <c r="CF93" s="282">
        <f t="shared" si="215"/>
        <v>4601.3354848807048</v>
      </c>
      <c r="CG93" s="282">
        <f t="shared" si="215"/>
        <v>5141.1990011603293</v>
      </c>
      <c r="CH93" s="282">
        <f t="shared" si="215"/>
        <v>5799.8666873905195</v>
      </c>
      <c r="CI93" s="283">
        <f t="shared" si="215"/>
        <v>4941.1632247550124</v>
      </c>
      <c r="CJ93" s="282">
        <f t="shared" si="215"/>
        <v>5259.9837467747166</v>
      </c>
      <c r="CK93" s="282">
        <f t="shared" si="215"/>
        <v>5723.2287892379172</v>
      </c>
      <c r="CL93" s="282">
        <f t="shared" si="215"/>
        <v>6150.8070614105372</v>
      </c>
      <c r="CM93" s="282">
        <f t="shared" si="215"/>
        <v>6822.5860281535079</v>
      </c>
      <c r="CN93" s="282">
        <f t="shared" ref="CN93:DG93" si="216">+SUM(CN75:CN77,CN61, CN85:CN86)</f>
        <v>7296.9374363191546</v>
      </c>
      <c r="CO93" s="282">
        <f t="shared" si="216"/>
        <v>6573.3937558055186</v>
      </c>
      <c r="CP93" s="282">
        <f t="shared" si="216"/>
        <v>6289.2239548196139</v>
      </c>
      <c r="CQ93" s="282">
        <f t="shared" si="216"/>
        <v>7360.3466030683794</v>
      </c>
      <c r="CR93" s="282">
        <f t="shared" si="216"/>
        <v>4833.6612075265366</v>
      </c>
      <c r="CS93" s="282">
        <f t="shared" si="216"/>
        <v>5790.6722814310269</v>
      </c>
      <c r="CT93" s="282">
        <f t="shared" si="216"/>
        <v>6292.9831043326431</v>
      </c>
      <c r="CU93" s="283">
        <f t="shared" si="216"/>
        <v>5433.2719807854919</v>
      </c>
      <c r="CV93" s="282">
        <f t="shared" si="216"/>
        <v>5754.2250664664471</v>
      </c>
      <c r="CW93" s="282">
        <f t="shared" si="216"/>
        <v>6231.6927829691895</v>
      </c>
      <c r="CX93" s="282">
        <f t="shared" si="216"/>
        <v>6510.873582663542</v>
      </c>
      <c r="CY93" s="282">
        <f t="shared" si="216"/>
        <v>7718.3765894169937</v>
      </c>
      <c r="CZ93" s="282">
        <f t="shared" si="216"/>
        <v>7922.5388938017586</v>
      </c>
      <c r="DA93" s="282">
        <f t="shared" si="216"/>
        <v>6921.4413523141975</v>
      </c>
      <c r="DB93" s="282">
        <f t="shared" si="216"/>
        <v>7068.0816751239036</v>
      </c>
      <c r="DC93" s="282">
        <f t="shared" si="216"/>
        <v>7712.534227299182</v>
      </c>
      <c r="DD93" s="282">
        <f t="shared" si="216"/>
        <v>5481.7887642697879</v>
      </c>
      <c r="DE93" s="282">
        <f t="shared" si="216"/>
        <v>6298.8118508886182</v>
      </c>
      <c r="DF93" s="282">
        <f t="shared" si="216"/>
        <v>6592.6539051887421</v>
      </c>
      <c r="DG93" s="282">
        <f t="shared" si="216"/>
        <v>6095.3529590109347</v>
      </c>
    </row>
    <row r="94" spans="1:111" x14ac:dyDescent="0.25">
      <c r="B94" s="1" t="s">
        <v>150</v>
      </c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W94" s="585"/>
      <c r="AX94" s="604"/>
      <c r="AY94" s="585"/>
      <c r="BK94" s="227"/>
      <c r="BW94" s="227"/>
      <c r="CI94" s="227"/>
      <c r="CU94" s="227"/>
    </row>
    <row r="95" spans="1:111" x14ac:dyDescent="0.25">
      <c r="B95" s="1" t="s">
        <v>151</v>
      </c>
      <c r="C95" s="1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>
        <v>0</v>
      </c>
      <c r="Q95" s="104">
        <v>0</v>
      </c>
      <c r="R95" s="104">
        <v>0</v>
      </c>
      <c r="S95" s="104"/>
      <c r="T95" s="104"/>
      <c r="U95" s="104"/>
      <c r="V95" s="104"/>
      <c r="W95" s="104"/>
      <c r="X95" s="104">
        <v>0</v>
      </c>
      <c r="Y95" s="104">
        <v>0</v>
      </c>
      <c r="Z95" s="104">
        <v>0</v>
      </c>
      <c r="AA95" s="104">
        <v>0</v>
      </c>
      <c r="AB95" s="104">
        <v>0</v>
      </c>
      <c r="AC95" s="104">
        <v>0</v>
      </c>
      <c r="AD95" s="104">
        <v>0</v>
      </c>
      <c r="AE95" s="104">
        <v>0</v>
      </c>
      <c r="AF95" s="104">
        <v>0</v>
      </c>
      <c r="AG95" s="104">
        <v>0</v>
      </c>
      <c r="AH95" s="104">
        <v>0</v>
      </c>
      <c r="AI95" s="104">
        <v>0</v>
      </c>
      <c r="AJ95" s="104">
        <v>0</v>
      </c>
      <c r="AK95" s="104">
        <v>0</v>
      </c>
      <c r="AL95" s="104">
        <v>0</v>
      </c>
      <c r="AM95" s="104">
        <v>0</v>
      </c>
      <c r="AN95" s="104">
        <v>0</v>
      </c>
      <c r="AO95" s="104">
        <v>0</v>
      </c>
      <c r="AP95" s="104">
        <v>2.35</v>
      </c>
      <c r="AQ95" s="104">
        <v>3.21</v>
      </c>
      <c r="AR95" s="104">
        <v>4.3</v>
      </c>
      <c r="AS95" s="104">
        <v>3.94</v>
      </c>
      <c r="AT95" s="104">
        <v>4.21</v>
      </c>
      <c r="AU95" s="104">
        <v>3.44</v>
      </c>
      <c r="AV95" s="104">
        <v>2.61</v>
      </c>
      <c r="AW95" s="605">
        <v>1.78</v>
      </c>
      <c r="AX95" s="616">
        <v>1.62</v>
      </c>
      <c r="AY95" s="619">
        <f t="shared" ref="AY95:CD95" si="217">AX95</f>
        <v>1.62</v>
      </c>
      <c r="AZ95" s="104">
        <f t="shared" si="217"/>
        <v>1.62</v>
      </c>
      <c r="BA95" s="104">
        <f t="shared" si="217"/>
        <v>1.62</v>
      </c>
      <c r="BB95" s="104">
        <f t="shared" si="217"/>
        <v>1.62</v>
      </c>
      <c r="BC95" s="104">
        <f t="shared" si="217"/>
        <v>1.62</v>
      </c>
      <c r="BD95" s="104">
        <f t="shared" si="217"/>
        <v>1.62</v>
      </c>
      <c r="BE95" s="104">
        <f t="shared" si="217"/>
        <v>1.62</v>
      </c>
      <c r="BF95" s="104">
        <f t="shared" si="217"/>
        <v>1.62</v>
      </c>
      <c r="BG95" s="104">
        <f t="shared" si="217"/>
        <v>1.62</v>
      </c>
      <c r="BH95" s="104">
        <f t="shared" si="217"/>
        <v>1.62</v>
      </c>
      <c r="BI95" s="104">
        <f t="shared" si="217"/>
        <v>1.62</v>
      </c>
      <c r="BJ95" s="104">
        <f t="shared" si="217"/>
        <v>1.62</v>
      </c>
      <c r="BK95" s="228">
        <f t="shared" si="217"/>
        <v>1.62</v>
      </c>
      <c r="BL95" s="104">
        <f t="shared" si="217"/>
        <v>1.62</v>
      </c>
      <c r="BM95" s="104">
        <f t="shared" si="217"/>
        <v>1.62</v>
      </c>
      <c r="BN95" s="104">
        <f t="shared" si="217"/>
        <v>1.62</v>
      </c>
      <c r="BO95" s="104">
        <f t="shared" si="217"/>
        <v>1.62</v>
      </c>
      <c r="BP95" s="104">
        <f t="shared" si="217"/>
        <v>1.62</v>
      </c>
      <c r="BQ95" s="104">
        <f t="shared" si="217"/>
        <v>1.62</v>
      </c>
      <c r="BR95" s="104">
        <f t="shared" si="217"/>
        <v>1.62</v>
      </c>
      <c r="BS95" s="104">
        <f t="shared" si="217"/>
        <v>1.62</v>
      </c>
      <c r="BT95" s="104">
        <f t="shared" si="217"/>
        <v>1.62</v>
      </c>
      <c r="BU95" s="104">
        <f t="shared" si="217"/>
        <v>1.62</v>
      </c>
      <c r="BV95" s="104">
        <f t="shared" si="217"/>
        <v>1.62</v>
      </c>
      <c r="BW95" s="228">
        <f t="shared" si="217"/>
        <v>1.62</v>
      </c>
      <c r="BX95" s="104">
        <f t="shared" si="217"/>
        <v>1.62</v>
      </c>
      <c r="BY95" s="104">
        <f t="shared" si="217"/>
        <v>1.62</v>
      </c>
      <c r="BZ95" s="104">
        <f t="shared" si="217"/>
        <v>1.62</v>
      </c>
      <c r="CA95" s="104">
        <f t="shared" si="217"/>
        <v>1.62</v>
      </c>
      <c r="CB95" s="104">
        <f t="shared" si="217"/>
        <v>1.62</v>
      </c>
      <c r="CC95" s="104">
        <f t="shared" si="217"/>
        <v>1.62</v>
      </c>
      <c r="CD95" s="104">
        <f t="shared" si="217"/>
        <v>1.62</v>
      </c>
      <c r="CE95" s="104">
        <f t="shared" ref="CE95:DG95" si="218">CD95</f>
        <v>1.62</v>
      </c>
      <c r="CF95" s="104">
        <f t="shared" si="218"/>
        <v>1.62</v>
      </c>
      <c r="CG95" s="104">
        <f t="shared" si="218"/>
        <v>1.62</v>
      </c>
      <c r="CH95" s="104">
        <f t="shared" si="218"/>
        <v>1.62</v>
      </c>
      <c r="CI95" s="228">
        <f t="shared" si="218"/>
        <v>1.62</v>
      </c>
      <c r="CJ95" s="104">
        <f t="shared" si="218"/>
        <v>1.62</v>
      </c>
      <c r="CK95" s="104">
        <f t="shared" si="218"/>
        <v>1.62</v>
      </c>
      <c r="CL95" s="104">
        <f t="shared" si="218"/>
        <v>1.62</v>
      </c>
      <c r="CM95" s="104">
        <f t="shared" si="218"/>
        <v>1.62</v>
      </c>
      <c r="CN95" s="104">
        <f t="shared" si="218"/>
        <v>1.62</v>
      </c>
      <c r="CO95" s="104">
        <f t="shared" si="218"/>
        <v>1.62</v>
      </c>
      <c r="CP95" s="104">
        <f t="shared" si="218"/>
        <v>1.62</v>
      </c>
      <c r="CQ95" s="104">
        <f t="shared" si="218"/>
        <v>1.62</v>
      </c>
      <c r="CR95" s="104">
        <f t="shared" si="218"/>
        <v>1.62</v>
      </c>
      <c r="CS95" s="104">
        <f t="shared" si="218"/>
        <v>1.62</v>
      </c>
      <c r="CT95" s="104">
        <f t="shared" si="218"/>
        <v>1.62</v>
      </c>
      <c r="CU95" s="228">
        <f t="shared" si="218"/>
        <v>1.62</v>
      </c>
      <c r="CV95" s="104">
        <f t="shared" si="218"/>
        <v>1.62</v>
      </c>
      <c r="CW95" s="104">
        <f t="shared" si="218"/>
        <v>1.62</v>
      </c>
      <c r="CX95" s="104">
        <f t="shared" si="218"/>
        <v>1.62</v>
      </c>
      <c r="CY95" s="104">
        <f t="shared" si="218"/>
        <v>1.62</v>
      </c>
      <c r="CZ95" s="104">
        <f t="shared" si="218"/>
        <v>1.62</v>
      </c>
      <c r="DA95" s="104">
        <f t="shared" si="218"/>
        <v>1.62</v>
      </c>
      <c r="DB95" s="104">
        <f t="shared" si="218"/>
        <v>1.62</v>
      </c>
      <c r="DC95" s="104">
        <f t="shared" si="218"/>
        <v>1.62</v>
      </c>
      <c r="DD95" s="104">
        <f t="shared" si="218"/>
        <v>1.62</v>
      </c>
      <c r="DE95" s="104">
        <f t="shared" si="218"/>
        <v>1.62</v>
      </c>
      <c r="DF95" s="104">
        <f t="shared" si="218"/>
        <v>1.62</v>
      </c>
      <c r="DG95" s="104">
        <f t="shared" si="218"/>
        <v>1.62</v>
      </c>
    </row>
    <row r="96" spans="1:111" x14ac:dyDescent="0.25">
      <c r="A96" s="5"/>
      <c r="B96" s="6" t="s">
        <v>152</v>
      </c>
      <c r="C96" s="6"/>
      <c r="D96" s="47">
        <f t="shared" ref="D96:J97" si="219">D95</f>
        <v>0</v>
      </c>
      <c r="E96" s="47">
        <f t="shared" si="219"/>
        <v>0</v>
      </c>
      <c r="F96" s="47">
        <f t="shared" si="219"/>
        <v>0</v>
      </c>
      <c r="G96" s="47">
        <f t="shared" si="219"/>
        <v>0</v>
      </c>
      <c r="H96" s="47">
        <f t="shared" si="219"/>
        <v>0</v>
      </c>
      <c r="I96" s="47">
        <f t="shared" si="219"/>
        <v>0</v>
      </c>
      <c r="J96" s="47">
        <f t="shared" si="219"/>
        <v>0</v>
      </c>
      <c r="K96" s="47">
        <v>0</v>
      </c>
      <c r="L96" s="47">
        <v>0</v>
      </c>
      <c r="M96" s="46"/>
      <c r="N96" s="46">
        <f t="shared" ref="N96:W97" si="220">N95</f>
        <v>0</v>
      </c>
      <c r="O96" s="46">
        <f t="shared" si="220"/>
        <v>0</v>
      </c>
      <c r="P96" s="46">
        <f t="shared" si="220"/>
        <v>0</v>
      </c>
      <c r="Q96" s="46">
        <f t="shared" si="220"/>
        <v>0</v>
      </c>
      <c r="R96" s="46">
        <f t="shared" si="220"/>
        <v>0</v>
      </c>
      <c r="S96" s="46">
        <f t="shared" si="220"/>
        <v>0</v>
      </c>
      <c r="T96" s="46">
        <f t="shared" si="220"/>
        <v>0</v>
      </c>
      <c r="U96" s="46">
        <f t="shared" si="220"/>
        <v>0</v>
      </c>
      <c r="V96" s="46">
        <f t="shared" si="220"/>
        <v>0</v>
      </c>
      <c r="W96" s="46">
        <f t="shared" si="220"/>
        <v>0</v>
      </c>
      <c r="X96" s="46">
        <f t="shared" ref="X96:AG97" si="221">X95</f>
        <v>0</v>
      </c>
      <c r="Y96" s="46">
        <f t="shared" si="221"/>
        <v>0</v>
      </c>
      <c r="Z96" s="46">
        <f t="shared" si="221"/>
        <v>0</v>
      </c>
      <c r="AA96" s="46">
        <f t="shared" si="221"/>
        <v>0</v>
      </c>
      <c r="AB96" s="46">
        <f t="shared" si="221"/>
        <v>0</v>
      </c>
      <c r="AC96" s="46">
        <f t="shared" si="221"/>
        <v>0</v>
      </c>
      <c r="AD96" s="46">
        <f t="shared" si="221"/>
        <v>0</v>
      </c>
      <c r="AE96" s="46">
        <f t="shared" si="221"/>
        <v>0</v>
      </c>
      <c r="AF96" s="46">
        <f t="shared" si="221"/>
        <v>0</v>
      </c>
      <c r="AG96" s="46">
        <f t="shared" si="221"/>
        <v>0</v>
      </c>
      <c r="AH96" s="46">
        <f t="shared" ref="AH96:AQ97" si="222">AH95</f>
        <v>0</v>
      </c>
      <c r="AI96" s="46">
        <f t="shared" si="222"/>
        <v>0</v>
      </c>
      <c r="AJ96" s="46">
        <f t="shared" si="222"/>
        <v>0</v>
      </c>
      <c r="AK96" s="46">
        <f t="shared" si="222"/>
        <v>0</v>
      </c>
      <c r="AL96" s="46">
        <f t="shared" si="222"/>
        <v>0</v>
      </c>
      <c r="AM96" s="46">
        <f t="shared" si="222"/>
        <v>0</v>
      </c>
      <c r="AN96" s="46">
        <f t="shared" si="222"/>
        <v>0</v>
      </c>
      <c r="AO96" s="46">
        <f t="shared" si="222"/>
        <v>0</v>
      </c>
      <c r="AP96" s="46">
        <f t="shared" si="222"/>
        <v>2.35</v>
      </c>
      <c r="AQ96" s="46">
        <f t="shared" si="222"/>
        <v>3.21</v>
      </c>
      <c r="AR96" s="46">
        <f t="shared" ref="AR96:BA97" si="223">AR95</f>
        <v>4.3</v>
      </c>
      <c r="AS96" s="46">
        <f t="shared" si="223"/>
        <v>3.94</v>
      </c>
      <c r="AT96" s="46">
        <f t="shared" si="223"/>
        <v>4.21</v>
      </c>
      <c r="AU96" s="46">
        <f t="shared" si="223"/>
        <v>3.44</v>
      </c>
      <c r="AV96" s="46">
        <f t="shared" si="223"/>
        <v>2.61</v>
      </c>
      <c r="AW96" s="46">
        <f t="shared" si="223"/>
        <v>1.78</v>
      </c>
      <c r="AX96" s="233">
        <f t="shared" si="223"/>
        <v>1.62</v>
      </c>
      <c r="AY96" s="46">
        <f t="shared" si="223"/>
        <v>1.62</v>
      </c>
      <c r="AZ96" s="46">
        <f t="shared" si="223"/>
        <v>1.62</v>
      </c>
      <c r="BA96" s="46">
        <f t="shared" si="223"/>
        <v>1.62</v>
      </c>
      <c r="BB96" s="46">
        <f t="shared" ref="BB96:BK97" si="224">BB95</f>
        <v>1.62</v>
      </c>
      <c r="BC96" s="46">
        <f t="shared" si="224"/>
        <v>1.62</v>
      </c>
      <c r="BD96" s="46">
        <f t="shared" si="224"/>
        <v>1.62</v>
      </c>
      <c r="BE96" s="46">
        <f t="shared" si="224"/>
        <v>1.62</v>
      </c>
      <c r="BF96" s="46">
        <f t="shared" si="224"/>
        <v>1.62</v>
      </c>
      <c r="BG96" s="46">
        <f t="shared" si="224"/>
        <v>1.62</v>
      </c>
      <c r="BH96" s="46">
        <f t="shared" si="224"/>
        <v>1.62</v>
      </c>
      <c r="BI96" s="46">
        <f t="shared" si="224"/>
        <v>1.62</v>
      </c>
      <c r="BJ96" s="46">
        <f t="shared" si="224"/>
        <v>1.62</v>
      </c>
      <c r="BK96" s="233">
        <f t="shared" si="224"/>
        <v>1.62</v>
      </c>
      <c r="BL96" s="46">
        <f t="shared" ref="BL96:BU97" si="225">BL95</f>
        <v>1.62</v>
      </c>
      <c r="BM96" s="46">
        <f t="shared" si="225"/>
        <v>1.62</v>
      </c>
      <c r="BN96" s="46">
        <f t="shared" si="225"/>
        <v>1.62</v>
      </c>
      <c r="BO96" s="46">
        <f t="shared" si="225"/>
        <v>1.62</v>
      </c>
      <c r="BP96" s="46">
        <f t="shared" si="225"/>
        <v>1.62</v>
      </c>
      <c r="BQ96" s="46">
        <f t="shared" si="225"/>
        <v>1.62</v>
      </c>
      <c r="BR96" s="46">
        <f t="shared" si="225"/>
        <v>1.62</v>
      </c>
      <c r="BS96" s="46">
        <f t="shared" si="225"/>
        <v>1.62</v>
      </c>
      <c r="BT96" s="46">
        <f t="shared" si="225"/>
        <v>1.62</v>
      </c>
      <c r="BU96" s="46">
        <f t="shared" si="225"/>
        <v>1.62</v>
      </c>
      <c r="BV96" s="46">
        <f t="shared" ref="BV96:CE97" si="226">BV95</f>
        <v>1.62</v>
      </c>
      <c r="BW96" s="233">
        <f t="shared" si="226"/>
        <v>1.62</v>
      </c>
      <c r="BX96" s="46">
        <f t="shared" si="226"/>
        <v>1.62</v>
      </c>
      <c r="BY96" s="46">
        <f t="shared" si="226"/>
        <v>1.62</v>
      </c>
      <c r="BZ96" s="46">
        <f t="shared" si="226"/>
        <v>1.62</v>
      </c>
      <c r="CA96" s="46">
        <f t="shared" si="226"/>
        <v>1.62</v>
      </c>
      <c r="CB96" s="46">
        <f t="shared" si="226"/>
        <v>1.62</v>
      </c>
      <c r="CC96" s="46">
        <f t="shared" si="226"/>
        <v>1.62</v>
      </c>
      <c r="CD96" s="46">
        <f t="shared" si="226"/>
        <v>1.62</v>
      </c>
      <c r="CE96" s="46">
        <f t="shared" si="226"/>
        <v>1.62</v>
      </c>
      <c r="CF96" s="46">
        <f t="shared" ref="CF96:CO97" si="227">CF95</f>
        <v>1.62</v>
      </c>
      <c r="CG96" s="46">
        <f t="shared" si="227"/>
        <v>1.62</v>
      </c>
      <c r="CH96" s="46">
        <f t="shared" si="227"/>
        <v>1.62</v>
      </c>
      <c r="CI96" s="233">
        <f t="shared" si="227"/>
        <v>1.62</v>
      </c>
      <c r="CJ96" s="46">
        <f t="shared" si="227"/>
        <v>1.62</v>
      </c>
      <c r="CK96" s="46">
        <f t="shared" si="227"/>
        <v>1.62</v>
      </c>
      <c r="CL96" s="46">
        <f t="shared" si="227"/>
        <v>1.62</v>
      </c>
      <c r="CM96" s="46">
        <f t="shared" si="227"/>
        <v>1.62</v>
      </c>
      <c r="CN96" s="46">
        <f t="shared" si="227"/>
        <v>1.62</v>
      </c>
      <c r="CO96" s="46">
        <f t="shared" si="227"/>
        <v>1.62</v>
      </c>
      <c r="CP96" s="46">
        <f t="shared" ref="CP96:CY97" si="228">CP95</f>
        <v>1.62</v>
      </c>
      <c r="CQ96" s="46">
        <f t="shared" si="228"/>
        <v>1.62</v>
      </c>
      <c r="CR96" s="46">
        <f t="shared" si="228"/>
        <v>1.62</v>
      </c>
      <c r="CS96" s="46">
        <f t="shared" si="228"/>
        <v>1.62</v>
      </c>
      <c r="CT96" s="46">
        <f t="shared" si="228"/>
        <v>1.62</v>
      </c>
      <c r="CU96" s="233">
        <f t="shared" si="228"/>
        <v>1.62</v>
      </c>
      <c r="CV96" s="46">
        <f t="shared" si="228"/>
        <v>1.62</v>
      </c>
      <c r="CW96" s="46">
        <f t="shared" si="228"/>
        <v>1.62</v>
      </c>
      <c r="CX96" s="46">
        <f t="shared" si="228"/>
        <v>1.62</v>
      </c>
      <c r="CY96" s="46">
        <f t="shared" si="228"/>
        <v>1.62</v>
      </c>
      <c r="CZ96" s="46">
        <f t="shared" ref="CZ96:DI97" si="229">CZ95</f>
        <v>1.62</v>
      </c>
      <c r="DA96" s="46">
        <f t="shared" si="229"/>
        <v>1.62</v>
      </c>
      <c r="DB96" s="46">
        <f t="shared" si="229"/>
        <v>1.62</v>
      </c>
      <c r="DC96" s="46">
        <f t="shared" si="229"/>
        <v>1.62</v>
      </c>
      <c r="DD96" s="46">
        <f t="shared" si="229"/>
        <v>1.62</v>
      </c>
      <c r="DE96" s="46">
        <f t="shared" si="229"/>
        <v>1.62</v>
      </c>
      <c r="DF96" s="46">
        <f t="shared" si="229"/>
        <v>1.62</v>
      </c>
      <c r="DG96" s="46">
        <f t="shared" si="229"/>
        <v>1.62</v>
      </c>
    </row>
    <row r="97" spans="1:111" x14ac:dyDescent="0.25">
      <c r="A97" s="5"/>
      <c r="B97" s="6" t="s">
        <v>153</v>
      </c>
      <c r="C97" s="6"/>
      <c r="D97" s="47">
        <f t="shared" si="219"/>
        <v>0</v>
      </c>
      <c r="E97" s="47">
        <f t="shared" si="219"/>
        <v>0</v>
      </c>
      <c r="F97" s="47">
        <f t="shared" si="219"/>
        <v>0</v>
      </c>
      <c r="G97" s="47">
        <f t="shared" si="219"/>
        <v>0</v>
      </c>
      <c r="H97" s="47">
        <f t="shared" si="219"/>
        <v>0</v>
      </c>
      <c r="I97" s="47">
        <f t="shared" si="219"/>
        <v>0</v>
      </c>
      <c r="J97" s="47">
        <f t="shared" si="219"/>
        <v>0</v>
      </c>
      <c r="K97" s="47">
        <f>K96</f>
        <v>0</v>
      </c>
      <c r="L97" s="47">
        <f>L96</f>
        <v>0</v>
      </c>
      <c r="M97" s="46">
        <f>M96</f>
        <v>0</v>
      </c>
      <c r="N97" s="46">
        <f t="shared" si="220"/>
        <v>0</v>
      </c>
      <c r="O97" s="46">
        <f t="shared" si="220"/>
        <v>0</v>
      </c>
      <c r="P97" s="46">
        <f t="shared" si="220"/>
        <v>0</v>
      </c>
      <c r="Q97" s="46">
        <f t="shared" si="220"/>
        <v>0</v>
      </c>
      <c r="R97" s="46">
        <f t="shared" si="220"/>
        <v>0</v>
      </c>
      <c r="S97" s="46">
        <f t="shared" si="220"/>
        <v>0</v>
      </c>
      <c r="T97" s="46">
        <f t="shared" si="220"/>
        <v>0</v>
      </c>
      <c r="U97" s="46">
        <f t="shared" si="220"/>
        <v>0</v>
      </c>
      <c r="V97" s="46">
        <f t="shared" si="220"/>
        <v>0</v>
      </c>
      <c r="W97" s="46">
        <f t="shared" si="220"/>
        <v>0</v>
      </c>
      <c r="X97" s="46">
        <f t="shared" si="221"/>
        <v>0</v>
      </c>
      <c r="Y97" s="46">
        <f t="shared" si="221"/>
        <v>0</v>
      </c>
      <c r="Z97" s="46">
        <f t="shared" si="221"/>
        <v>0</v>
      </c>
      <c r="AA97" s="46">
        <f t="shared" si="221"/>
        <v>0</v>
      </c>
      <c r="AB97" s="46">
        <f t="shared" si="221"/>
        <v>0</v>
      </c>
      <c r="AC97" s="46">
        <f t="shared" si="221"/>
        <v>0</v>
      </c>
      <c r="AD97" s="46">
        <f t="shared" si="221"/>
        <v>0</v>
      </c>
      <c r="AE97" s="46">
        <f t="shared" si="221"/>
        <v>0</v>
      </c>
      <c r="AF97" s="46">
        <f t="shared" si="221"/>
        <v>0</v>
      </c>
      <c r="AG97" s="46">
        <f t="shared" si="221"/>
        <v>0</v>
      </c>
      <c r="AH97" s="46">
        <f t="shared" si="222"/>
        <v>0</v>
      </c>
      <c r="AI97" s="46">
        <f t="shared" si="222"/>
        <v>0</v>
      </c>
      <c r="AJ97" s="46">
        <f t="shared" si="222"/>
        <v>0</v>
      </c>
      <c r="AK97" s="46">
        <f t="shared" si="222"/>
        <v>0</v>
      </c>
      <c r="AL97" s="46">
        <f t="shared" si="222"/>
        <v>0</v>
      </c>
      <c r="AM97" s="46">
        <f t="shared" si="222"/>
        <v>0</v>
      </c>
      <c r="AN97" s="46">
        <f t="shared" si="222"/>
        <v>0</v>
      </c>
      <c r="AO97" s="46">
        <f t="shared" si="222"/>
        <v>0</v>
      </c>
      <c r="AP97" s="46">
        <f t="shared" si="222"/>
        <v>2.35</v>
      </c>
      <c r="AQ97" s="46">
        <f t="shared" si="222"/>
        <v>3.21</v>
      </c>
      <c r="AR97" s="46">
        <f t="shared" si="223"/>
        <v>4.3</v>
      </c>
      <c r="AS97" s="46">
        <f t="shared" si="223"/>
        <v>3.94</v>
      </c>
      <c r="AT97" s="46">
        <f t="shared" si="223"/>
        <v>4.21</v>
      </c>
      <c r="AU97" s="46">
        <f t="shared" si="223"/>
        <v>3.44</v>
      </c>
      <c r="AV97" s="46">
        <f t="shared" si="223"/>
        <v>2.61</v>
      </c>
      <c r="AW97" s="46">
        <f t="shared" si="223"/>
        <v>1.78</v>
      </c>
      <c r="AX97" s="233">
        <f t="shared" si="223"/>
        <v>1.62</v>
      </c>
      <c r="AY97" s="46">
        <f t="shared" si="223"/>
        <v>1.62</v>
      </c>
      <c r="AZ97" s="46">
        <f t="shared" si="223"/>
        <v>1.62</v>
      </c>
      <c r="BA97" s="46">
        <f t="shared" si="223"/>
        <v>1.62</v>
      </c>
      <c r="BB97" s="46">
        <f t="shared" si="224"/>
        <v>1.62</v>
      </c>
      <c r="BC97" s="46">
        <f t="shared" si="224"/>
        <v>1.62</v>
      </c>
      <c r="BD97" s="46">
        <f t="shared" si="224"/>
        <v>1.62</v>
      </c>
      <c r="BE97" s="46">
        <f t="shared" si="224"/>
        <v>1.62</v>
      </c>
      <c r="BF97" s="46">
        <f t="shared" si="224"/>
        <v>1.62</v>
      </c>
      <c r="BG97" s="46">
        <f t="shared" si="224"/>
        <v>1.62</v>
      </c>
      <c r="BH97" s="46">
        <f t="shared" si="224"/>
        <v>1.62</v>
      </c>
      <c r="BI97" s="46">
        <f t="shared" si="224"/>
        <v>1.62</v>
      </c>
      <c r="BJ97" s="46">
        <f t="shared" si="224"/>
        <v>1.62</v>
      </c>
      <c r="BK97" s="233">
        <f t="shared" si="224"/>
        <v>1.62</v>
      </c>
      <c r="BL97" s="46">
        <f t="shared" si="225"/>
        <v>1.62</v>
      </c>
      <c r="BM97" s="46">
        <f t="shared" si="225"/>
        <v>1.62</v>
      </c>
      <c r="BN97" s="46">
        <f t="shared" si="225"/>
        <v>1.62</v>
      </c>
      <c r="BO97" s="46">
        <f t="shared" si="225"/>
        <v>1.62</v>
      </c>
      <c r="BP97" s="46">
        <f t="shared" si="225"/>
        <v>1.62</v>
      </c>
      <c r="BQ97" s="46">
        <f t="shared" si="225"/>
        <v>1.62</v>
      </c>
      <c r="BR97" s="46">
        <f t="shared" si="225"/>
        <v>1.62</v>
      </c>
      <c r="BS97" s="46">
        <f t="shared" si="225"/>
        <v>1.62</v>
      </c>
      <c r="BT97" s="46">
        <f t="shared" si="225"/>
        <v>1.62</v>
      </c>
      <c r="BU97" s="46">
        <f t="shared" si="225"/>
        <v>1.62</v>
      </c>
      <c r="BV97" s="46">
        <f t="shared" si="226"/>
        <v>1.62</v>
      </c>
      <c r="BW97" s="233">
        <f t="shared" si="226"/>
        <v>1.62</v>
      </c>
      <c r="BX97" s="46">
        <f t="shared" si="226"/>
        <v>1.62</v>
      </c>
      <c r="BY97" s="46">
        <f t="shared" si="226"/>
        <v>1.62</v>
      </c>
      <c r="BZ97" s="46">
        <f t="shared" si="226"/>
        <v>1.62</v>
      </c>
      <c r="CA97" s="46">
        <f t="shared" si="226"/>
        <v>1.62</v>
      </c>
      <c r="CB97" s="46">
        <f t="shared" si="226"/>
        <v>1.62</v>
      </c>
      <c r="CC97" s="46">
        <f t="shared" si="226"/>
        <v>1.62</v>
      </c>
      <c r="CD97" s="46">
        <f t="shared" si="226"/>
        <v>1.62</v>
      </c>
      <c r="CE97" s="46">
        <f t="shared" si="226"/>
        <v>1.62</v>
      </c>
      <c r="CF97" s="46">
        <f t="shared" si="227"/>
        <v>1.62</v>
      </c>
      <c r="CG97" s="46">
        <f t="shared" si="227"/>
        <v>1.62</v>
      </c>
      <c r="CH97" s="46">
        <f t="shared" si="227"/>
        <v>1.62</v>
      </c>
      <c r="CI97" s="233">
        <f t="shared" si="227"/>
        <v>1.62</v>
      </c>
      <c r="CJ97" s="46">
        <f t="shared" si="227"/>
        <v>1.62</v>
      </c>
      <c r="CK97" s="46">
        <f t="shared" si="227"/>
        <v>1.62</v>
      </c>
      <c r="CL97" s="46">
        <f t="shared" si="227"/>
        <v>1.62</v>
      </c>
      <c r="CM97" s="46">
        <f t="shared" si="227"/>
        <v>1.62</v>
      </c>
      <c r="CN97" s="46">
        <f t="shared" si="227"/>
        <v>1.62</v>
      </c>
      <c r="CO97" s="46">
        <f t="shared" si="227"/>
        <v>1.62</v>
      </c>
      <c r="CP97" s="46">
        <f t="shared" si="228"/>
        <v>1.62</v>
      </c>
      <c r="CQ97" s="46">
        <f t="shared" si="228"/>
        <v>1.62</v>
      </c>
      <c r="CR97" s="46">
        <f t="shared" si="228"/>
        <v>1.62</v>
      </c>
      <c r="CS97" s="46">
        <f t="shared" si="228"/>
        <v>1.62</v>
      </c>
      <c r="CT97" s="46">
        <f t="shared" si="228"/>
        <v>1.62</v>
      </c>
      <c r="CU97" s="233">
        <f t="shared" si="228"/>
        <v>1.62</v>
      </c>
      <c r="CV97" s="46">
        <f t="shared" si="228"/>
        <v>1.62</v>
      </c>
      <c r="CW97" s="46">
        <f t="shared" si="228"/>
        <v>1.62</v>
      </c>
      <c r="CX97" s="46">
        <f t="shared" si="228"/>
        <v>1.62</v>
      </c>
      <c r="CY97" s="46">
        <f t="shared" si="228"/>
        <v>1.62</v>
      </c>
      <c r="CZ97" s="46">
        <f t="shared" si="229"/>
        <v>1.62</v>
      </c>
      <c r="DA97" s="46">
        <f t="shared" si="229"/>
        <v>1.62</v>
      </c>
      <c r="DB97" s="46">
        <f t="shared" si="229"/>
        <v>1.62</v>
      </c>
      <c r="DC97" s="46">
        <f t="shared" si="229"/>
        <v>1.62</v>
      </c>
      <c r="DD97" s="46">
        <f t="shared" si="229"/>
        <v>1.62</v>
      </c>
      <c r="DE97" s="46">
        <f t="shared" si="229"/>
        <v>1.62</v>
      </c>
      <c r="DF97" s="46">
        <f t="shared" si="229"/>
        <v>1.62</v>
      </c>
      <c r="DG97" s="46">
        <f t="shared" si="229"/>
        <v>1.62</v>
      </c>
    </row>
    <row r="98" spans="1:111" s="3" customFormat="1" x14ac:dyDescent="0.25">
      <c r="B98" s="4" t="s">
        <v>19</v>
      </c>
      <c r="C98" s="4"/>
      <c r="D98" s="47">
        <f t="shared" ref="D98:AI98" si="230">D92+D97</f>
        <v>0</v>
      </c>
      <c r="E98" s="47">
        <f t="shared" si="230"/>
        <v>0</v>
      </c>
      <c r="F98" s="47">
        <f t="shared" si="230"/>
        <v>0</v>
      </c>
      <c r="G98" s="47">
        <f t="shared" si="230"/>
        <v>0</v>
      </c>
      <c r="H98" s="47">
        <f t="shared" si="230"/>
        <v>0</v>
      </c>
      <c r="I98" s="47">
        <f t="shared" si="230"/>
        <v>0</v>
      </c>
      <c r="J98" s="47">
        <f t="shared" si="230"/>
        <v>0</v>
      </c>
      <c r="K98" s="47">
        <f t="shared" si="230"/>
        <v>0</v>
      </c>
      <c r="L98" s="47">
        <f t="shared" si="230"/>
        <v>0</v>
      </c>
      <c r="M98" s="47">
        <f t="shared" si="230"/>
        <v>0</v>
      </c>
      <c r="N98" s="47">
        <f t="shared" si="230"/>
        <v>0</v>
      </c>
      <c r="O98" s="47">
        <f t="shared" si="230"/>
        <v>0</v>
      </c>
      <c r="P98" s="47">
        <f t="shared" si="230"/>
        <v>0</v>
      </c>
      <c r="Q98" s="47">
        <f t="shared" si="230"/>
        <v>0</v>
      </c>
      <c r="R98" s="47">
        <f t="shared" si="230"/>
        <v>0</v>
      </c>
      <c r="S98" s="47">
        <f t="shared" si="230"/>
        <v>0</v>
      </c>
      <c r="T98" s="47">
        <f t="shared" si="230"/>
        <v>0</v>
      </c>
      <c r="U98" s="47">
        <f t="shared" si="230"/>
        <v>0</v>
      </c>
      <c r="V98" s="47">
        <f t="shared" si="230"/>
        <v>0</v>
      </c>
      <c r="W98" s="47">
        <f t="shared" si="230"/>
        <v>0</v>
      </c>
      <c r="X98" s="47">
        <f t="shared" si="230"/>
        <v>0</v>
      </c>
      <c r="Y98" s="47">
        <f t="shared" si="230"/>
        <v>0</v>
      </c>
      <c r="Z98" s="47">
        <f t="shared" si="230"/>
        <v>0</v>
      </c>
      <c r="AA98" s="47">
        <f t="shared" si="230"/>
        <v>0</v>
      </c>
      <c r="AB98" s="47">
        <f t="shared" si="230"/>
        <v>4264.74</v>
      </c>
      <c r="AC98" s="47">
        <f t="shared" si="230"/>
        <v>5242.32</v>
      </c>
      <c r="AD98" s="47">
        <f t="shared" si="230"/>
        <v>6315.43</v>
      </c>
      <c r="AE98" s="47">
        <f t="shared" si="230"/>
        <v>6271.58</v>
      </c>
      <c r="AF98" s="47">
        <f t="shared" si="230"/>
        <v>3962.2599999999998</v>
      </c>
      <c r="AG98" s="47">
        <f t="shared" si="230"/>
        <v>3641.6999999999994</v>
      </c>
      <c r="AH98" s="47">
        <f t="shared" si="230"/>
        <v>3448.51</v>
      </c>
      <c r="AI98" s="47">
        <f t="shared" si="230"/>
        <v>3756.45</v>
      </c>
      <c r="AJ98" s="47">
        <f t="shared" ref="AJ98:BO98" si="231">AJ92+AJ97</f>
        <v>1938.8599999999997</v>
      </c>
      <c r="AK98" s="47">
        <f t="shared" si="231"/>
        <v>4223.68</v>
      </c>
      <c r="AL98" s="47">
        <f t="shared" si="231"/>
        <v>1277.96</v>
      </c>
      <c r="AM98" s="47">
        <f t="shared" si="231"/>
        <v>2627.94</v>
      </c>
      <c r="AN98" s="47">
        <f t="shared" si="231"/>
        <v>4061.8700000000003</v>
      </c>
      <c r="AO98" s="47">
        <f t="shared" si="231"/>
        <v>2138.420000000001</v>
      </c>
      <c r="AP98" s="47">
        <f t="shared" si="231"/>
        <v>2441.3299999999995</v>
      </c>
      <c r="AQ98" s="47">
        <f t="shared" si="231"/>
        <v>2100.1900000000014</v>
      </c>
      <c r="AR98" s="47">
        <f t="shared" si="231"/>
        <v>2268.3999999999996</v>
      </c>
      <c r="AS98" s="47">
        <f t="shared" si="231"/>
        <v>2850.0499999999997</v>
      </c>
      <c r="AT98" s="47">
        <f t="shared" si="231"/>
        <v>2937.6400000000003</v>
      </c>
      <c r="AU98" s="47">
        <f t="shared" si="231"/>
        <v>3073.8200000000006</v>
      </c>
      <c r="AV98" s="47">
        <f t="shared" si="231"/>
        <v>1883.7299999999998</v>
      </c>
      <c r="AW98" s="47">
        <f t="shared" si="231"/>
        <v>2291.79</v>
      </c>
      <c r="AX98" s="229">
        <f t="shared" si="231"/>
        <v>983.94000000000062</v>
      </c>
      <c r="AY98" s="47">
        <f t="shared" si="231"/>
        <v>-607.72447021207597</v>
      </c>
      <c r="AZ98" s="47">
        <f t="shared" si="231"/>
        <v>-533.24136524265202</v>
      </c>
      <c r="BA98" s="47">
        <f t="shared" si="231"/>
        <v>455.35315256119168</v>
      </c>
      <c r="BB98" s="47">
        <f t="shared" si="231"/>
        <v>1140.2200879201819</v>
      </c>
      <c r="BC98" s="47">
        <f t="shared" si="231"/>
        <v>2320.030811286535</v>
      </c>
      <c r="BD98" s="47">
        <f t="shared" si="231"/>
        <v>1975.2937040893712</v>
      </c>
      <c r="BE98" s="47">
        <f t="shared" si="231"/>
        <v>2253.4348224158375</v>
      </c>
      <c r="BF98" s="47">
        <f t="shared" si="231"/>
        <v>1965.6327486116516</v>
      </c>
      <c r="BG98" s="47">
        <f t="shared" si="231"/>
        <v>2392.6589751266574</v>
      </c>
      <c r="BH98" s="47">
        <f t="shared" si="231"/>
        <v>596.67356034342185</v>
      </c>
      <c r="BI98" s="47">
        <f t="shared" si="231"/>
        <v>916.77524731851474</v>
      </c>
      <c r="BJ98" s="47">
        <f t="shared" si="231"/>
        <v>1466.0392174678445</v>
      </c>
      <c r="BK98" s="229">
        <f t="shared" si="231"/>
        <v>1376.3652803063078</v>
      </c>
      <c r="BL98" s="47">
        <f t="shared" si="231"/>
        <v>233.64788567515109</v>
      </c>
      <c r="BM98" s="47">
        <f t="shared" si="231"/>
        <v>1299.9024058605328</v>
      </c>
      <c r="BN98" s="47">
        <f t="shared" si="231"/>
        <v>2216.5405572610744</v>
      </c>
      <c r="BO98" s="47">
        <f t="shared" si="231"/>
        <v>3072.7448453980269</v>
      </c>
      <c r="BP98" s="47">
        <f t="shared" ref="BP98:CU98" si="232">BP92+BP97</f>
        <v>2532.5739333993424</v>
      </c>
      <c r="BQ98" s="47">
        <f t="shared" si="232"/>
        <v>2798.0346712784885</v>
      </c>
      <c r="BR98" s="47">
        <f t="shared" si="232"/>
        <v>2107.2965570876804</v>
      </c>
      <c r="BS98" s="47">
        <f t="shared" si="232"/>
        <v>3191.0648473814172</v>
      </c>
      <c r="BT98" s="47">
        <f t="shared" si="232"/>
        <v>716.47117348653876</v>
      </c>
      <c r="BU98" s="47">
        <f t="shared" si="232"/>
        <v>878.74238825745044</v>
      </c>
      <c r="BV98" s="47">
        <f t="shared" si="232"/>
        <v>2048.5606159166218</v>
      </c>
      <c r="BW98" s="229">
        <f t="shared" si="232"/>
        <v>1501.6665914059904</v>
      </c>
      <c r="BX98" s="47">
        <f t="shared" si="232"/>
        <v>243.32719838522291</v>
      </c>
      <c r="BY98" s="47">
        <f t="shared" si="232"/>
        <v>1808.5639632914699</v>
      </c>
      <c r="BZ98" s="47">
        <f t="shared" si="232"/>
        <v>2483.2024901653949</v>
      </c>
      <c r="CA98" s="47">
        <f t="shared" si="232"/>
        <v>2696.6529487836924</v>
      </c>
      <c r="CB98" s="47">
        <f t="shared" si="232"/>
        <v>3699.7369208036671</v>
      </c>
      <c r="CC98" s="47">
        <f t="shared" si="232"/>
        <v>3156.9703315432544</v>
      </c>
      <c r="CD98" s="47">
        <f t="shared" si="232"/>
        <v>1993.9197041887874</v>
      </c>
      <c r="CE98" s="47">
        <f t="shared" si="232"/>
        <v>3919.6380754850024</v>
      </c>
      <c r="CF98" s="47">
        <f t="shared" si="232"/>
        <v>500.52431971449744</v>
      </c>
      <c r="CG98" s="47">
        <f t="shared" si="232"/>
        <v>1221.6423127680155</v>
      </c>
      <c r="CH98" s="47">
        <f t="shared" si="232"/>
        <v>2293.8163032939447</v>
      </c>
      <c r="CI98" s="229">
        <f t="shared" si="232"/>
        <v>1053.6931961744722</v>
      </c>
      <c r="CJ98" s="47">
        <f t="shared" si="232"/>
        <v>880.77908199273145</v>
      </c>
      <c r="CK98" s="47">
        <f t="shared" si="232"/>
        <v>1674.0673977936885</v>
      </c>
      <c r="CL98" s="47">
        <f t="shared" si="232"/>
        <v>2406.2778184412991</v>
      </c>
      <c r="CM98" s="47">
        <f t="shared" si="232"/>
        <v>3475.2982265969958</v>
      </c>
      <c r="CN98" s="47">
        <f t="shared" si="232"/>
        <v>4212.0957424651915</v>
      </c>
      <c r="CO98" s="47">
        <f t="shared" si="232"/>
        <v>3129.9403649284968</v>
      </c>
      <c r="CP98" s="47">
        <f t="shared" si="232"/>
        <v>2643.3111251919281</v>
      </c>
      <c r="CQ98" s="47">
        <f t="shared" si="232"/>
        <v>4414.7551457582103</v>
      </c>
      <c r="CR98" s="47">
        <f t="shared" si="232"/>
        <v>313.4666154525122</v>
      </c>
      <c r="CS98" s="47">
        <f t="shared" si="232"/>
        <v>1789.5616382697908</v>
      </c>
      <c r="CT98" s="47">
        <f t="shared" si="232"/>
        <v>2649.7485160168317</v>
      </c>
      <c r="CU98" s="229">
        <f t="shared" si="232"/>
        <v>1340.2757053576515</v>
      </c>
      <c r="CV98" s="47">
        <f t="shared" ref="CV98:EA98" si="233">CV92+CV97</f>
        <v>1114.9008332053691</v>
      </c>
      <c r="CW98" s="47">
        <f t="shared" si="233"/>
        <v>1973.5443886778921</v>
      </c>
      <c r="CX98" s="47">
        <f t="shared" si="233"/>
        <v>2475.6030330299145</v>
      </c>
      <c r="CY98" s="47">
        <f t="shared" si="233"/>
        <v>4563.1396399107798</v>
      </c>
      <c r="CZ98" s="47">
        <f t="shared" si="233"/>
        <v>4854.7804249197034</v>
      </c>
      <c r="DA98" s="47">
        <f t="shared" si="233"/>
        <v>3213.9385420302133</v>
      </c>
      <c r="DB98" s="47">
        <f t="shared" si="233"/>
        <v>3477.6459379463558</v>
      </c>
      <c r="DC98" s="47">
        <f t="shared" si="233"/>
        <v>4573.7729961127707</v>
      </c>
      <c r="DD98" s="47">
        <f t="shared" si="233"/>
        <v>792.87068640165865</v>
      </c>
      <c r="DE98" s="47">
        <f t="shared" si="233"/>
        <v>2094.2464866971422</v>
      </c>
      <c r="DF98" s="47">
        <f t="shared" si="233"/>
        <v>2622.6708754697374</v>
      </c>
      <c r="DG98" s="47">
        <f t="shared" si="233"/>
        <v>1896.2603470514132</v>
      </c>
    </row>
    <row r="99" spans="1:111" x14ac:dyDescent="0.25">
      <c r="B99" s="1"/>
      <c r="C99" s="1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230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230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230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230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49"/>
      <c r="CU99" s="230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</row>
    <row r="100" spans="1:111" x14ac:dyDescent="0.25">
      <c r="A100" s="23"/>
      <c r="B100" s="58"/>
      <c r="C100" s="58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234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234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234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234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234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</row>
    <row r="101" spans="1:111" s="5" customFormat="1" x14ac:dyDescent="0.25"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O101" s="2"/>
      <c r="P101" s="2"/>
      <c r="Q101" s="2"/>
      <c r="R101" s="2"/>
      <c r="AW101" s="585"/>
      <c r="AX101" s="604"/>
      <c r="AY101" s="585"/>
      <c r="BK101" s="227"/>
      <c r="BW101" s="227"/>
      <c r="CI101" s="227"/>
      <c r="CU101" s="227"/>
    </row>
    <row r="102" spans="1:111" s="56" customFormat="1" x14ac:dyDescent="0.25">
      <c r="B102" s="1" t="s">
        <v>154</v>
      </c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O102" s="2"/>
      <c r="P102" s="2"/>
      <c r="Q102" s="2"/>
      <c r="R102" s="2"/>
      <c r="AW102" s="585"/>
      <c r="AX102" s="604"/>
      <c r="AY102" s="585"/>
      <c r="BK102" s="227"/>
      <c r="BW102" s="227"/>
      <c r="CI102" s="227"/>
      <c r="CU102" s="227"/>
    </row>
    <row r="103" spans="1:111" x14ac:dyDescent="0.25">
      <c r="B103" s="1" t="s">
        <v>155</v>
      </c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O103" s="2"/>
      <c r="P103" s="2"/>
      <c r="Q103" s="2"/>
      <c r="R103" s="2"/>
      <c r="AW103" s="585"/>
      <c r="AX103" s="604"/>
      <c r="AY103" s="585"/>
      <c r="BK103" s="227"/>
      <c r="BW103" s="227"/>
      <c r="CI103" s="227"/>
      <c r="CU103" s="227"/>
    </row>
    <row r="104" spans="1:111" x14ac:dyDescent="0.25">
      <c r="B104" s="1" t="s">
        <v>156</v>
      </c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O104" s="2"/>
      <c r="P104" s="2"/>
      <c r="Q104" s="2"/>
      <c r="R104" s="2"/>
      <c r="AW104" s="585"/>
      <c r="AX104" s="604"/>
      <c r="AY104" s="585"/>
      <c r="BK104" s="227"/>
      <c r="BW104" s="227"/>
      <c r="CI104" s="227"/>
      <c r="CU104" s="227"/>
    </row>
    <row r="105" spans="1:111" s="3" customFormat="1" x14ac:dyDescent="0.25">
      <c r="B105" s="1" t="s">
        <v>157</v>
      </c>
      <c r="C105" s="1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V105" s="104"/>
      <c r="W105" s="104"/>
      <c r="X105" s="104"/>
      <c r="Y105" s="104"/>
      <c r="Z105" s="104"/>
      <c r="AA105" s="104"/>
      <c r="AB105" s="104">
        <v>260.54000000000002</v>
      </c>
      <c r="AC105" s="104">
        <v>592.16</v>
      </c>
      <c r="AD105" s="104">
        <v>287.01</v>
      </c>
      <c r="AE105" s="104">
        <v>310.12</v>
      </c>
      <c r="AF105" s="104">
        <v>382.24</v>
      </c>
      <c r="AG105" s="104">
        <v>223.41</v>
      </c>
      <c r="AH105" s="104">
        <v>-42.23</v>
      </c>
      <c r="AI105" s="104">
        <v>419.06</v>
      </c>
      <c r="AJ105" s="104">
        <v>-99.91</v>
      </c>
      <c r="AK105" s="104">
        <v>294.48</v>
      </c>
      <c r="AL105" s="104">
        <v>115.05</v>
      </c>
      <c r="AM105" s="104">
        <v>158.47999999999999</v>
      </c>
      <c r="AN105" s="104">
        <v>378.97</v>
      </c>
      <c r="AO105" s="104">
        <v>146.71</v>
      </c>
      <c r="AP105" s="104">
        <v>454.06</v>
      </c>
      <c r="AQ105" s="104">
        <v>209.74</v>
      </c>
      <c r="AR105" s="104">
        <v>785.34</v>
      </c>
      <c r="AS105" s="104">
        <v>815.92</v>
      </c>
      <c r="AT105" s="104">
        <v>277.27999999999997</v>
      </c>
      <c r="AU105" s="104">
        <v>542.45000000000005</v>
      </c>
      <c r="AV105" s="104">
        <v>526.25</v>
      </c>
      <c r="AW105" s="605">
        <v>599.48</v>
      </c>
      <c r="AX105" s="606">
        <v>82.49</v>
      </c>
      <c r="AY105" s="621">
        <f t="shared" ref="AY105:CD105" si="234">+AX105+AY170</f>
        <v>1022.632812776526</v>
      </c>
      <c r="AZ105" s="157">
        <f t="shared" si="234"/>
        <v>316.73399980568979</v>
      </c>
      <c r="BA105" s="157">
        <f t="shared" si="234"/>
        <v>567.3890969203951</v>
      </c>
      <c r="BB105" s="157">
        <f t="shared" si="234"/>
        <v>1519.7161064053957</v>
      </c>
      <c r="BC105" s="157">
        <f t="shared" si="234"/>
        <v>3622.809166334122</v>
      </c>
      <c r="BD105" s="157">
        <f t="shared" si="234"/>
        <v>5462.9989668229373</v>
      </c>
      <c r="BE105" s="157">
        <f t="shared" si="234"/>
        <v>7556.882262994237</v>
      </c>
      <c r="BF105" s="157">
        <f t="shared" si="234"/>
        <v>9388.4388443877324</v>
      </c>
      <c r="BG105" s="157">
        <f t="shared" si="234"/>
        <v>11603.995616745618</v>
      </c>
      <c r="BH105" s="157">
        <f t="shared" si="234"/>
        <v>12156.834420875171</v>
      </c>
      <c r="BI105" s="157">
        <f t="shared" si="234"/>
        <v>12902.578979903352</v>
      </c>
      <c r="BJ105" s="157">
        <f t="shared" si="234"/>
        <v>14188.227910400228</v>
      </c>
      <c r="BK105" s="393">
        <f t="shared" si="234"/>
        <v>15422.874516534584</v>
      </c>
      <c r="BL105" s="157">
        <f t="shared" si="234"/>
        <v>15551.127406916226</v>
      </c>
      <c r="BM105" s="157">
        <f t="shared" si="234"/>
        <v>16643.307758632323</v>
      </c>
      <c r="BN105" s="157">
        <f t="shared" si="234"/>
        <v>18660.22579518718</v>
      </c>
      <c r="BO105" s="157">
        <f t="shared" si="234"/>
        <v>21534.995667504689</v>
      </c>
      <c r="BP105" s="157">
        <f t="shared" si="234"/>
        <v>23942.72417874022</v>
      </c>
      <c r="BQ105" s="157">
        <f t="shared" si="234"/>
        <v>26582.099861965184</v>
      </c>
      <c r="BR105" s="157">
        <f t="shared" si="234"/>
        <v>28576.789763767611</v>
      </c>
      <c r="BS105" s="157">
        <f t="shared" si="234"/>
        <v>31555.784202161067</v>
      </c>
      <c r="BT105" s="157">
        <f t="shared" si="234"/>
        <v>32262.866714367607</v>
      </c>
      <c r="BU105" s="157">
        <f t="shared" si="234"/>
        <v>32979.576374180891</v>
      </c>
      <c r="BV105" s="157">
        <f t="shared" si="234"/>
        <v>34814.80847912965</v>
      </c>
      <c r="BW105" s="393">
        <f t="shared" si="234"/>
        <v>36199.329486699469</v>
      </c>
      <c r="BX105" s="157">
        <f t="shared" si="234"/>
        <v>36340.873806116026</v>
      </c>
      <c r="BY105" s="157">
        <f t="shared" si="234"/>
        <v>37916.409239087952</v>
      </c>
      <c r="BZ105" s="157">
        <f t="shared" si="234"/>
        <v>40213.825293207912</v>
      </c>
      <c r="CA105" s="157">
        <f t="shared" si="234"/>
        <v>42747.564327472159</v>
      </c>
      <c r="CB105" s="157">
        <f t="shared" si="234"/>
        <v>46240.086854698959</v>
      </c>
      <c r="CC105" s="157">
        <f t="shared" si="234"/>
        <v>49281.445244109025</v>
      </c>
      <c r="CD105" s="157">
        <f t="shared" si="234"/>
        <v>51187.05937462458</v>
      </c>
      <c r="CE105" s="157">
        <f t="shared" ref="CE105:DG105" si="235">+CD105+CE170</f>
        <v>54851.215268838867</v>
      </c>
      <c r="CF105" s="157">
        <f t="shared" si="235"/>
        <v>55389.622169987044</v>
      </c>
      <c r="CG105" s="157">
        <f t="shared" si="235"/>
        <v>56419.829806274487</v>
      </c>
      <c r="CH105" s="157">
        <f t="shared" si="235"/>
        <v>58506.772266149899</v>
      </c>
      <c r="CI105" s="393">
        <f t="shared" si="235"/>
        <v>59479.430946166089</v>
      </c>
      <c r="CJ105" s="157">
        <f t="shared" si="235"/>
        <v>60198.704355044094</v>
      </c>
      <c r="CK105" s="157">
        <f t="shared" si="235"/>
        <v>61681.483238453264</v>
      </c>
      <c r="CL105" s="157">
        <f t="shared" si="235"/>
        <v>63899.651481998226</v>
      </c>
      <c r="CM105" s="157">
        <f t="shared" si="235"/>
        <v>67167.748664501676</v>
      </c>
      <c r="CN105" s="157">
        <f t="shared" si="235"/>
        <v>71187.565994584453</v>
      </c>
      <c r="CO105" s="157">
        <f t="shared" si="235"/>
        <v>74229.321134857164</v>
      </c>
      <c r="CP105" s="157">
        <f t="shared" si="235"/>
        <v>76747.959997726037</v>
      </c>
      <c r="CQ105" s="157">
        <f t="shared" si="235"/>
        <v>80917.247175527911</v>
      </c>
      <c r="CR105" s="157">
        <f t="shared" si="235"/>
        <v>81300.566711357897</v>
      </c>
      <c r="CS105" s="157">
        <f t="shared" si="235"/>
        <v>82860.178752258988</v>
      </c>
      <c r="CT105" s="157">
        <f t="shared" si="235"/>
        <v>85315.156864416567</v>
      </c>
      <c r="CU105" s="393">
        <f t="shared" si="235"/>
        <v>86576.709931000732</v>
      </c>
      <c r="CV105" s="157">
        <f t="shared" si="235"/>
        <v>87531.287321777025</v>
      </c>
      <c r="CW105" s="157">
        <f t="shared" si="235"/>
        <v>89310.928340035462</v>
      </c>
      <c r="CX105" s="157">
        <f t="shared" si="235"/>
        <v>91610.860573471306</v>
      </c>
      <c r="CY105" s="157">
        <f t="shared" si="235"/>
        <v>95915.728284435405</v>
      </c>
      <c r="CZ105" s="157">
        <f t="shared" si="235"/>
        <v>100601.73589401013</v>
      </c>
      <c r="DA105" s="157">
        <f t="shared" si="235"/>
        <v>103754.96728999418</v>
      </c>
      <c r="DB105" s="157">
        <f t="shared" si="235"/>
        <v>107069.129584569</v>
      </c>
      <c r="DC105" s="157">
        <f t="shared" si="235"/>
        <v>111433.64487981949</v>
      </c>
      <c r="DD105" s="157">
        <f t="shared" si="235"/>
        <v>112276.11658395652</v>
      </c>
      <c r="DE105" s="157">
        <f t="shared" si="235"/>
        <v>114150.75445872206</v>
      </c>
      <c r="DF105" s="157">
        <f t="shared" si="235"/>
        <v>116596.40642566905</v>
      </c>
      <c r="DG105" s="157">
        <f t="shared" si="235"/>
        <v>118382.87679061538</v>
      </c>
    </row>
    <row r="106" spans="1:111" x14ac:dyDescent="0.25">
      <c r="B106" s="1" t="s">
        <v>158</v>
      </c>
      <c r="C106" s="1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V106" s="104"/>
      <c r="W106" s="104"/>
      <c r="X106" s="104"/>
      <c r="Y106" s="104"/>
      <c r="Z106" s="104"/>
      <c r="AA106" s="104"/>
      <c r="AB106" s="104">
        <v>130.91</v>
      </c>
      <c r="AC106" s="104">
        <v>33.950000000000003</v>
      </c>
      <c r="AD106" s="104">
        <v>770.48</v>
      </c>
      <c r="AE106" s="104">
        <v>79.36</v>
      </c>
      <c r="AF106" s="104">
        <v>107.93</v>
      </c>
      <c r="AG106" s="104">
        <v>496.7</v>
      </c>
      <c r="AH106" s="104">
        <v>27.5</v>
      </c>
      <c r="AI106" s="104">
        <v>53.18</v>
      </c>
      <c r="AJ106" s="104">
        <v>110.31</v>
      </c>
      <c r="AK106" s="104">
        <v>540.47</v>
      </c>
      <c r="AL106" s="104">
        <v>28.95</v>
      </c>
      <c r="AM106" s="104">
        <v>92.91</v>
      </c>
      <c r="AN106" s="104">
        <v>45.02</v>
      </c>
      <c r="AO106" s="104">
        <v>68.56</v>
      </c>
      <c r="AP106" s="104">
        <v>0.03</v>
      </c>
      <c r="AQ106" s="104">
        <v>9.57</v>
      </c>
      <c r="AR106" s="104">
        <v>150.5</v>
      </c>
      <c r="AS106" s="104">
        <v>17.12</v>
      </c>
      <c r="AT106" s="104">
        <v>50.77</v>
      </c>
      <c r="AU106" s="104">
        <v>0.77</v>
      </c>
      <c r="AV106" s="104">
        <v>37.46</v>
      </c>
      <c r="AW106" s="605">
        <v>15.87</v>
      </c>
      <c r="AX106" s="606">
        <v>0.77</v>
      </c>
      <c r="AY106" s="621">
        <f t="shared" ref="AY106:CD106" si="236">+AX106</f>
        <v>0.77</v>
      </c>
      <c r="AZ106" s="157">
        <f t="shared" si="236"/>
        <v>0.77</v>
      </c>
      <c r="BA106" s="157">
        <f t="shared" si="236"/>
        <v>0.77</v>
      </c>
      <c r="BB106" s="157">
        <f t="shared" si="236"/>
        <v>0.77</v>
      </c>
      <c r="BC106" s="157">
        <f t="shared" si="236"/>
        <v>0.77</v>
      </c>
      <c r="BD106" s="157">
        <f t="shared" si="236"/>
        <v>0.77</v>
      </c>
      <c r="BE106" s="157">
        <f t="shared" si="236"/>
        <v>0.77</v>
      </c>
      <c r="BF106" s="157">
        <f t="shared" si="236"/>
        <v>0.77</v>
      </c>
      <c r="BG106" s="157">
        <f t="shared" si="236"/>
        <v>0.77</v>
      </c>
      <c r="BH106" s="157">
        <f t="shared" si="236"/>
        <v>0.77</v>
      </c>
      <c r="BI106" s="157">
        <f t="shared" si="236"/>
        <v>0.77</v>
      </c>
      <c r="BJ106" s="157">
        <f t="shared" si="236"/>
        <v>0.77</v>
      </c>
      <c r="BK106" s="393">
        <f t="shared" si="236"/>
        <v>0.77</v>
      </c>
      <c r="BL106" s="157">
        <f t="shared" si="236"/>
        <v>0.77</v>
      </c>
      <c r="BM106" s="157">
        <f t="shared" si="236"/>
        <v>0.77</v>
      </c>
      <c r="BN106" s="157">
        <f t="shared" si="236"/>
        <v>0.77</v>
      </c>
      <c r="BO106" s="157">
        <f t="shared" si="236"/>
        <v>0.77</v>
      </c>
      <c r="BP106" s="157">
        <f t="shared" si="236"/>
        <v>0.77</v>
      </c>
      <c r="BQ106" s="157">
        <f t="shared" si="236"/>
        <v>0.77</v>
      </c>
      <c r="BR106" s="157">
        <f t="shared" si="236"/>
        <v>0.77</v>
      </c>
      <c r="BS106" s="157">
        <f t="shared" si="236"/>
        <v>0.77</v>
      </c>
      <c r="BT106" s="157">
        <f t="shared" si="236"/>
        <v>0.77</v>
      </c>
      <c r="BU106" s="157">
        <f t="shared" si="236"/>
        <v>0.77</v>
      </c>
      <c r="BV106" s="157">
        <f t="shared" si="236"/>
        <v>0.77</v>
      </c>
      <c r="BW106" s="393">
        <f t="shared" si="236"/>
        <v>0.77</v>
      </c>
      <c r="BX106" s="157">
        <f t="shared" si="236"/>
        <v>0.77</v>
      </c>
      <c r="BY106" s="157">
        <f t="shared" si="236"/>
        <v>0.77</v>
      </c>
      <c r="BZ106" s="157">
        <f t="shared" si="236"/>
        <v>0.77</v>
      </c>
      <c r="CA106" s="157">
        <f t="shared" si="236"/>
        <v>0.77</v>
      </c>
      <c r="CB106" s="157">
        <f t="shared" si="236"/>
        <v>0.77</v>
      </c>
      <c r="CC106" s="157">
        <f t="shared" si="236"/>
        <v>0.77</v>
      </c>
      <c r="CD106" s="157">
        <f t="shared" si="236"/>
        <v>0.77</v>
      </c>
      <c r="CE106" s="157">
        <f t="shared" ref="CE106:DG106" si="237">+CD106</f>
        <v>0.77</v>
      </c>
      <c r="CF106" s="157">
        <f t="shared" si="237"/>
        <v>0.77</v>
      </c>
      <c r="CG106" s="157">
        <f t="shared" si="237"/>
        <v>0.77</v>
      </c>
      <c r="CH106" s="157">
        <f t="shared" si="237"/>
        <v>0.77</v>
      </c>
      <c r="CI106" s="393">
        <f t="shared" si="237"/>
        <v>0.77</v>
      </c>
      <c r="CJ106" s="157">
        <f t="shared" si="237"/>
        <v>0.77</v>
      </c>
      <c r="CK106" s="157">
        <f t="shared" si="237"/>
        <v>0.77</v>
      </c>
      <c r="CL106" s="157">
        <f t="shared" si="237"/>
        <v>0.77</v>
      </c>
      <c r="CM106" s="157">
        <f t="shared" si="237"/>
        <v>0.77</v>
      </c>
      <c r="CN106" s="157">
        <f t="shared" si="237"/>
        <v>0.77</v>
      </c>
      <c r="CO106" s="157">
        <f t="shared" si="237"/>
        <v>0.77</v>
      </c>
      <c r="CP106" s="157">
        <f t="shared" si="237"/>
        <v>0.77</v>
      </c>
      <c r="CQ106" s="157">
        <f t="shared" si="237"/>
        <v>0.77</v>
      </c>
      <c r="CR106" s="157">
        <f t="shared" si="237"/>
        <v>0.77</v>
      </c>
      <c r="CS106" s="157">
        <f t="shared" si="237"/>
        <v>0.77</v>
      </c>
      <c r="CT106" s="157">
        <f t="shared" si="237"/>
        <v>0.77</v>
      </c>
      <c r="CU106" s="393">
        <f t="shared" si="237"/>
        <v>0.77</v>
      </c>
      <c r="CV106" s="157">
        <f t="shared" si="237"/>
        <v>0.77</v>
      </c>
      <c r="CW106" s="157">
        <f t="shared" si="237"/>
        <v>0.77</v>
      </c>
      <c r="CX106" s="157">
        <f t="shared" si="237"/>
        <v>0.77</v>
      </c>
      <c r="CY106" s="157">
        <f t="shared" si="237"/>
        <v>0.77</v>
      </c>
      <c r="CZ106" s="157">
        <f t="shared" si="237"/>
        <v>0.77</v>
      </c>
      <c r="DA106" s="157">
        <f t="shared" si="237"/>
        <v>0.77</v>
      </c>
      <c r="DB106" s="157">
        <f t="shared" si="237"/>
        <v>0.77</v>
      </c>
      <c r="DC106" s="157">
        <f t="shared" si="237"/>
        <v>0.77</v>
      </c>
      <c r="DD106" s="157">
        <f t="shared" si="237"/>
        <v>0.77</v>
      </c>
      <c r="DE106" s="157">
        <f t="shared" si="237"/>
        <v>0.77</v>
      </c>
      <c r="DF106" s="157">
        <f t="shared" si="237"/>
        <v>0.77</v>
      </c>
      <c r="DG106" s="157">
        <f t="shared" si="237"/>
        <v>0.77</v>
      </c>
    </row>
    <row r="107" spans="1:111" x14ac:dyDescent="0.25">
      <c r="B107" s="1" t="s">
        <v>159</v>
      </c>
      <c r="C107" s="1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V107" s="104"/>
      <c r="W107" s="104"/>
      <c r="X107" s="104"/>
      <c r="Y107" s="104"/>
      <c r="Z107" s="104"/>
      <c r="AA107" s="104"/>
      <c r="AB107" s="104">
        <v>541.95000000000005</v>
      </c>
      <c r="AC107" s="104">
        <v>419.66</v>
      </c>
      <c r="AD107" s="104">
        <v>1750.64</v>
      </c>
      <c r="AE107" s="104">
        <v>495.44</v>
      </c>
      <c r="AF107" s="104">
        <v>755.47</v>
      </c>
      <c r="AG107" s="104">
        <v>797.2</v>
      </c>
      <c r="AH107" s="104">
        <v>1788.29</v>
      </c>
      <c r="AI107" s="104">
        <v>644.48</v>
      </c>
      <c r="AJ107" s="104">
        <v>112.76</v>
      </c>
      <c r="AK107" s="104">
        <v>831.56</v>
      </c>
      <c r="AL107" s="104">
        <v>1468.65</v>
      </c>
      <c r="AM107" s="104">
        <v>685.86</v>
      </c>
      <c r="AN107" s="104">
        <v>519.07000000000005</v>
      </c>
      <c r="AO107" s="104">
        <v>274.31</v>
      </c>
      <c r="AP107" s="104">
        <v>0.14000000000000001</v>
      </c>
      <c r="AQ107" s="104">
        <v>38.29</v>
      </c>
      <c r="AR107" s="104">
        <v>276.86</v>
      </c>
      <c r="AS107" s="104">
        <v>158.34</v>
      </c>
      <c r="AT107" s="104">
        <v>133.11000000000001</v>
      </c>
      <c r="AU107" s="104">
        <v>3.07</v>
      </c>
      <c r="AV107" s="104">
        <v>241.74</v>
      </c>
      <c r="AW107" s="605">
        <v>63.45</v>
      </c>
      <c r="AX107" s="606">
        <v>3.06</v>
      </c>
      <c r="AY107" s="621">
        <f t="shared" ref="AY107:CD107" si="238">+AX107</f>
        <v>3.06</v>
      </c>
      <c r="AZ107" s="157">
        <f t="shared" si="238"/>
        <v>3.06</v>
      </c>
      <c r="BA107" s="157">
        <f t="shared" si="238"/>
        <v>3.06</v>
      </c>
      <c r="BB107" s="157">
        <f t="shared" si="238"/>
        <v>3.06</v>
      </c>
      <c r="BC107" s="157">
        <f t="shared" si="238"/>
        <v>3.06</v>
      </c>
      <c r="BD107" s="157">
        <f t="shared" si="238"/>
        <v>3.06</v>
      </c>
      <c r="BE107" s="157">
        <f t="shared" si="238"/>
        <v>3.06</v>
      </c>
      <c r="BF107" s="157">
        <f t="shared" si="238"/>
        <v>3.06</v>
      </c>
      <c r="BG107" s="157">
        <f t="shared" si="238"/>
        <v>3.06</v>
      </c>
      <c r="BH107" s="157">
        <f t="shared" si="238"/>
        <v>3.06</v>
      </c>
      <c r="BI107" s="157">
        <f t="shared" si="238"/>
        <v>3.06</v>
      </c>
      <c r="BJ107" s="157">
        <f t="shared" si="238"/>
        <v>3.06</v>
      </c>
      <c r="BK107" s="393">
        <f t="shared" si="238"/>
        <v>3.06</v>
      </c>
      <c r="BL107" s="157">
        <f t="shared" si="238"/>
        <v>3.06</v>
      </c>
      <c r="BM107" s="157">
        <f t="shared" si="238"/>
        <v>3.06</v>
      </c>
      <c r="BN107" s="157">
        <f t="shared" si="238"/>
        <v>3.06</v>
      </c>
      <c r="BO107" s="157">
        <f t="shared" si="238"/>
        <v>3.06</v>
      </c>
      <c r="BP107" s="157">
        <f t="shared" si="238"/>
        <v>3.06</v>
      </c>
      <c r="BQ107" s="157">
        <f t="shared" si="238"/>
        <v>3.06</v>
      </c>
      <c r="BR107" s="157">
        <f t="shared" si="238"/>
        <v>3.06</v>
      </c>
      <c r="BS107" s="157">
        <f t="shared" si="238"/>
        <v>3.06</v>
      </c>
      <c r="BT107" s="157">
        <f t="shared" si="238"/>
        <v>3.06</v>
      </c>
      <c r="BU107" s="157">
        <f t="shared" si="238"/>
        <v>3.06</v>
      </c>
      <c r="BV107" s="157">
        <f t="shared" si="238"/>
        <v>3.06</v>
      </c>
      <c r="BW107" s="393">
        <f t="shared" si="238"/>
        <v>3.06</v>
      </c>
      <c r="BX107" s="157">
        <f t="shared" si="238"/>
        <v>3.06</v>
      </c>
      <c r="BY107" s="157">
        <f t="shared" si="238"/>
        <v>3.06</v>
      </c>
      <c r="BZ107" s="157">
        <f t="shared" si="238"/>
        <v>3.06</v>
      </c>
      <c r="CA107" s="157">
        <f t="shared" si="238"/>
        <v>3.06</v>
      </c>
      <c r="CB107" s="157">
        <f t="shared" si="238"/>
        <v>3.06</v>
      </c>
      <c r="CC107" s="157">
        <f t="shared" si="238"/>
        <v>3.06</v>
      </c>
      <c r="CD107" s="157">
        <f t="shared" si="238"/>
        <v>3.06</v>
      </c>
      <c r="CE107" s="157">
        <f t="shared" ref="CE107:DG107" si="239">+CD107</f>
        <v>3.06</v>
      </c>
      <c r="CF107" s="157">
        <f t="shared" si="239"/>
        <v>3.06</v>
      </c>
      <c r="CG107" s="157">
        <f t="shared" si="239"/>
        <v>3.06</v>
      </c>
      <c r="CH107" s="157">
        <f t="shared" si="239"/>
        <v>3.06</v>
      </c>
      <c r="CI107" s="393">
        <f t="shared" si="239"/>
        <v>3.06</v>
      </c>
      <c r="CJ107" s="157">
        <f t="shared" si="239"/>
        <v>3.06</v>
      </c>
      <c r="CK107" s="157">
        <f t="shared" si="239"/>
        <v>3.06</v>
      </c>
      <c r="CL107" s="157">
        <f t="shared" si="239"/>
        <v>3.06</v>
      </c>
      <c r="CM107" s="157">
        <f t="shared" si="239"/>
        <v>3.06</v>
      </c>
      <c r="CN107" s="157">
        <f t="shared" si="239"/>
        <v>3.06</v>
      </c>
      <c r="CO107" s="157">
        <f t="shared" si="239"/>
        <v>3.06</v>
      </c>
      <c r="CP107" s="157">
        <f t="shared" si="239"/>
        <v>3.06</v>
      </c>
      <c r="CQ107" s="157">
        <f t="shared" si="239"/>
        <v>3.06</v>
      </c>
      <c r="CR107" s="157">
        <f t="shared" si="239"/>
        <v>3.06</v>
      </c>
      <c r="CS107" s="157">
        <f t="shared" si="239"/>
        <v>3.06</v>
      </c>
      <c r="CT107" s="157">
        <f t="shared" si="239"/>
        <v>3.06</v>
      </c>
      <c r="CU107" s="393">
        <f t="shared" si="239"/>
        <v>3.06</v>
      </c>
      <c r="CV107" s="157">
        <f t="shared" si="239"/>
        <v>3.06</v>
      </c>
      <c r="CW107" s="157">
        <f t="shared" si="239"/>
        <v>3.06</v>
      </c>
      <c r="CX107" s="157">
        <f t="shared" si="239"/>
        <v>3.06</v>
      </c>
      <c r="CY107" s="157">
        <f t="shared" si="239"/>
        <v>3.06</v>
      </c>
      <c r="CZ107" s="157">
        <f t="shared" si="239"/>
        <v>3.06</v>
      </c>
      <c r="DA107" s="157">
        <f t="shared" si="239"/>
        <v>3.06</v>
      </c>
      <c r="DB107" s="157">
        <f t="shared" si="239"/>
        <v>3.06</v>
      </c>
      <c r="DC107" s="157">
        <f t="shared" si="239"/>
        <v>3.06</v>
      </c>
      <c r="DD107" s="157">
        <f t="shared" si="239"/>
        <v>3.06</v>
      </c>
      <c r="DE107" s="157">
        <f t="shared" si="239"/>
        <v>3.06</v>
      </c>
      <c r="DF107" s="157">
        <f t="shared" si="239"/>
        <v>3.06</v>
      </c>
      <c r="DG107" s="157">
        <f t="shared" si="239"/>
        <v>3.06</v>
      </c>
    </row>
    <row r="108" spans="1:111" x14ac:dyDescent="0.25">
      <c r="B108" s="1" t="s">
        <v>160</v>
      </c>
      <c r="C108" s="1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V108" s="104"/>
      <c r="W108" s="104"/>
      <c r="X108" s="104"/>
      <c r="Y108" s="104"/>
      <c r="Z108" s="104"/>
      <c r="AA108" s="104"/>
      <c r="AB108" s="104"/>
      <c r="AC108" s="104">
        <v>0</v>
      </c>
      <c r="AD108" s="104">
        <v>0</v>
      </c>
      <c r="AE108" s="104">
        <v>895</v>
      </c>
      <c r="AF108" s="104">
        <v>1364.89</v>
      </c>
      <c r="AG108" s="104">
        <v>1103.06</v>
      </c>
      <c r="AH108" s="104">
        <v>1139.18</v>
      </c>
      <c r="AI108" s="104">
        <v>-55.2</v>
      </c>
      <c r="AJ108" s="104">
        <v>0.31</v>
      </c>
      <c r="AK108" s="104">
        <v>605.30999999999995</v>
      </c>
      <c r="AL108" s="104">
        <v>224.02</v>
      </c>
      <c r="AM108" s="104">
        <v>488.75</v>
      </c>
      <c r="AN108" s="104">
        <v>1097.26</v>
      </c>
      <c r="AO108" s="104">
        <v>401.39</v>
      </c>
      <c r="AP108" s="104">
        <v>82.66</v>
      </c>
      <c r="AQ108" s="104">
        <v>547.45000000000005</v>
      </c>
      <c r="AR108" s="104">
        <v>1327.16</v>
      </c>
      <c r="AS108" s="104">
        <v>1711.63</v>
      </c>
      <c r="AT108" s="104">
        <v>1168.8699999999999</v>
      </c>
      <c r="AU108" s="104">
        <v>1355.36</v>
      </c>
      <c r="AV108" s="104">
        <v>346.15</v>
      </c>
      <c r="AW108" s="605">
        <v>38.99</v>
      </c>
      <c r="AX108" s="606">
        <v>363.05</v>
      </c>
      <c r="AY108" s="621">
        <f t="shared" ref="AY108:CD108" si="240">+AX108</f>
        <v>363.05</v>
      </c>
      <c r="AZ108" s="157">
        <f t="shared" si="240"/>
        <v>363.05</v>
      </c>
      <c r="BA108" s="157">
        <f t="shared" si="240"/>
        <v>363.05</v>
      </c>
      <c r="BB108" s="157">
        <f t="shared" si="240"/>
        <v>363.05</v>
      </c>
      <c r="BC108" s="157">
        <f t="shared" si="240"/>
        <v>363.05</v>
      </c>
      <c r="BD108" s="157">
        <f t="shared" si="240"/>
        <v>363.05</v>
      </c>
      <c r="BE108" s="157">
        <f t="shared" si="240"/>
        <v>363.05</v>
      </c>
      <c r="BF108" s="157">
        <f t="shared" si="240"/>
        <v>363.05</v>
      </c>
      <c r="BG108" s="157">
        <f t="shared" si="240"/>
        <v>363.05</v>
      </c>
      <c r="BH108" s="157">
        <f t="shared" si="240"/>
        <v>363.05</v>
      </c>
      <c r="BI108" s="157">
        <f t="shared" si="240"/>
        <v>363.05</v>
      </c>
      <c r="BJ108" s="157">
        <f t="shared" si="240"/>
        <v>363.05</v>
      </c>
      <c r="BK108" s="393">
        <f t="shared" si="240"/>
        <v>363.05</v>
      </c>
      <c r="BL108" s="157">
        <f t="shared" si="240"/>
        <v>363.05</v>
      </c>
      <c r="BM108" s="157">
        <f t="shared" si="240"/>
        <v>363.05</v>
      </c>
      <c r="BN108" s="157">
        <f t="shared" si="240"/>
        <v>363.05</v>
      </c>
      <c r="BO108" s="157">
        <f t="shared" si="240"/>
        <v>363.05</v>
      </c>
      <c r="BP108" s="157">
        <f t="shared" si="240"/>
        <v>363.05</v>
      </c>
      <c r="BQ108" s="157">
        <f t="shared" si="240"/>
        <v>363.05</v>
      </c>
      <c r="BR108" s="157">
        <f t="shared" si="240"/>
        <v>363.05</v>
      </c>
      <c r="BS108" s="157">
        <f t="shared" si="240"/>
        <v>363.05</v>
      </c>
      <c r="BT108" s="157">
        <f t="shared" si="240"/>
        <v>363.05</v>
      </c>
      <c r="BU108" s="157">
        <f t="shared" si="240"/>
        <v>363.05</v>
      </c>
      <c r="BV108" s="157">
        <f t="shared" si="240"/>
        <v>363.05</v>
      </c>
      <c r="BW108" s="393">
        <f t="shared" si="240"/>
        <v>363.05</v>
      </c>
      <c r="BX108" s="157">
        <f t="shared" si="240"/>
        <v>363.05</v>
      </c>
      <c r="BY108" s="157">
        <f t="shared" si="240"/>
        <v>363.05</v>
      </c>
      <c r="BZ108" s="157">
        <f t="shared" si="240"/>
        <v>363.05</v>
      </c>
      <c r="CA108" s="157">
        <f t="shared" si="240"/>
        <v>363.05</v>
      </c>
      <c r="CB108" s="157">
        <f t="shared" si="240"/>
        <v>363.05</v>
      </c>
      <c r="CC108" s="157">
        <f t="shared" si="240"/>
        <v>363.05</v>
      </c>
      <c r="CD108" s="157">
        <f t="shared" si="240"/>
        <v>363.05</v>
      </c>
      <c r="CE108" s="157">
        <f t="shared" ref="CE108:DG108" si="241">+CD108</f>
        <v>363.05</v>
      </c>
      <c r="CF108" s="157">
        <f t="shared" si="241"/>
        <v>363.05</v>
      </c>
      <c r="CG108" s="157">
        <f t="shared" si="241"/>
        <v>363.05</v>
      </c>
      <c r="CH108" s="157">
        <f t="shared" si="241"/>
        <v>363.05</v>
      </c>
      <c r="CI108" s="393">
        <f t="shared" si="241"/>
        <v>363.05</v>
      </c>
      <c r="CJ108" s="157">
        <f t="shared" si="241"/>
        <v>363.05</v>
      </c>
      <c r="CK108" s="157">
        <f t="shared" si="241"/>
        <v>363.05</v>
      </c>
      <c r="CL108" s="157">
        <f t="shared" si="241"/>
        <v>363.05</v>
      </c>
      <c r="CM108" s="157">
        <f t="shared" si="241"/>
        <v>363.05</v>
      </c>
      <c r="CN108" s="157">
        <f t="shared" si="241"/>
        <v>363.05</v>
      </c>
      <c r="CO108" s="157">
        <f t="shared" si="241"/>
        <v>363.05</v>
      </c>
      <c r="CP108" s="157">
        <f t="shared" si="241"/>
        <v>363.05</v>
      </c>
      <c r="CQ108" s="157">
        <f t="shared" si="241"/>
        <v>363.05</v>
      </c>
      <c r="CR108" s="157">
        <f t="shared" si="241"/>
        <v>363.05</v>
      </c>
      <c r="CS108" s="157">
        <f t="shared" si="241"/>
        <v>363.05</v>
      </c>
      <c r="CT108" s="157">
        <f t="shared" si="241"/>
        <v>363.05</v>
      </c>
      <c r="CU108" s="393">
        <f t="shared" si="241"/>
        <v>363.05</v>
      </c>
      <c r="CV108" s="157">
        <f t="shared" si="241"/>
        <v>363.05</v>
      </c>
      <c r="CW108" s="157">
        <f t="shared" si="241"/>
        <v>363.05</v>
      </c>
      <c r="CX108" s="157">
        <f t="shared" si="241"/>
        <v>363.05</v>
      </c>
      <c r="CY108" s="157">
        <f t="shared" si="241"/>
        <v>363.05</v>
      </c>
      <c r="CZ108" s="157">
        <f t="shared" si="241"/>
        <v>363.05</v>
      </c>
      <c r="DA108" s="157">
        <f t="shared" si="241"/>
        <v>363.05</v>
      </c>
      <c r="DB108" s="157">
        <f t="shared" si="241"/>
        <v>363.05</v>
      </c>
      <c r="DC108" s="157">
        <f t="shared" si="241"/>
        <v>363.05</v>
      </c>
      <c r="DD108" s="157">
        <f t="shared" si="241"/>
        <v>363.05</v>
      </c>
      <c r="DE108" s="157">
        <f t="shared" si="241"/>
        <v>363.05</v>
      </c>
      <c r="DF108" s="157">
        <f t="shared" si="241"/>
        <v>363.05</v>
      </c>
      <c r="DG108" s="157">
        <f t="shared" si="241"/>
        <v>363.05</v>
      </c>
    </row>
    <row r="109" spans="1:111" x14ac:dyDescent="0.25">
      <c r="B109" s="1" t="s">
        <v>161</v>
      </c>
      <c r="C109" s="1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V109" s="104"/>
      <c r="W109" s="104"/>
      <c r="X109" s="104"/>
      <c r="Y109" s="104"/>
      <c r="Z109" s="104"/>
      <c r="AA109" s="104"/>
      <c r="AB109" s="104">
        <v>0</v>
      </c>
      <c r="AC109" s="104">
        <v>0</v>
      </c>
      <c r="AD109" s="104">
        <v>0</v>
      </c>
      <c r="AE109" s="104">
        <v>0</v>
      </c>
      <c r="AF109" s="104">
        <v>0</v>
      </c>
      <c r="AG109" s="104">
        <v>0</v>
      </c>
      <c r="AH109" s="104">
        <v>0</v>
      </c>
      <c r="AI109" s="104">
        <v>0</v>
      </c>
      <c r="AJ109" s="104">
        <v>0</v>
      </c>
      <c r="AK109" s="104">
        <v>0</v>
      </c>
      <c r="AL109" s="104">
        <v>0</v>
      </c>
      <c r="AM109" s="104">
        <v>0</v>
      </c>
      <c r="AN109" s="104">
        <v>0</v>
      </c>
      <c r="AO109" s="104">
        <v>0</v>
      </c>
      <c r="AP109" s="104">
        <v>0</v>
      </c>
      <c r="AQ109" s="104">
        <v>0</v>
      </c>
      <c r="AR109" s="104">
        <v>0</v>
      </c>
      <c r="AS109" s="104">
        <v>0</v>
      </c>
      <c r="AT109" s="104">
        <v>0</v>
      </c>
      <c r="AU109" s="104">
        <v>0</v>
      </c>
      <c r="AV109" s="104">
        <v>0</v>
      </c>
      <c r="AW109" s="605">
        <v>0</v>
      </c>
      <c r="AX109" s="606">
        <v>0</v>
      </c>
      <c r="AY109" s="621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393"/>
      <c r="BL109" s="157"/>
      <c r="BM109" s="157"/>
      <c r="BN109" s="157"/>
      <c r="BO109" s="157"/>
      <c r="BP109" s="157"/>
      <c r="BQ109" s="157"/>
      <c r="BR109" s="157"/>
      <c r="BS109" s="157"/>
      <c r="BT109" s="157"/>
      <c r="BU109" s="157"/>
      <c r="BV109" s="157"/>
      <c r="BW109" s="393"/>
      <c r="BX109" s="157"/>
      <c r="BY109" s="157"/>
      <c r="BZ109" s="157"/>
      <c r="CA109" s="157"/>
      <c r="CB109" s="157"/>
      <c r="CC109" s="157"/>
      <c r="CD109" s="157"/>
      <c r="CE109" s="157"/>
      <c r="CF109" s="157"/>
      <c r="CG109" s="157"/>
      <c r="CH109" s="157"/>
      <c r="CI109" s="393"/>
      <c r="CJ109" s="157"/>
      <c r="CK109" s="157"/>
      <c r="CL109" s="157"/>
      <c r="CM109" s="157"/>
      <c r="CN109" s="157"/>
      <c r="CO109" s="157"/>
      <c r="CP109" s="157"/>
      <c r="CQ109" s="157"/>
      <c r="CR109" s="157"/>
      <c r="CS109" s="157"/>
      <c r="CT109" s="157"/>
      <c r="CU109" s="393"/>
      <c r="CV109" s="157"/>
      <c r="CW109" s="157"/>
      <c r="CX109" s="157"/>
      <c r="CY109" s="157"/>
      <c r="CZ109" s="157"/>
      <c r="DA109" s="157"/>
      <c r="DB109" s="157"/>
      <c r="DC109" s="157"/>
      <c r="DD109" s="157"/>
      <c r="DE109" s="157"/>
      <c r="DF109" s="157"/>
      <c r="DG109" s="157"/>
    </row>
    <row r="110" spans="1:111" x14ac:dyDescent="0.25">
      <c r="B110" s="1" t="s">
        <v>162</v>
      </c>
      <c r="C110" s="1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>
        <v>1580.92</v>
      </c>
      <c r="AP110" s="104">
        <v>2852.35</v>
      </c>
      <c r="AQ110" s="104">
        <v>3503.21</v>
      </c>
      <c r="AR110" s="104">
        <v>4004.08</v>
      </c>
      <c r="AS110" s="104">
        <v>4008.02</v>
      </c>
      <c r="AT110" s="104">
        <v>5004.21</v>
      </c>
      <c r="AU110" s="104">
        <v>5253.44</v>
      </c>
      <c r="AV110" s="104">
        <v>5256.05</v>
      </c>
      <c r="AW110" s="605">
        <v>5157.83</v>
      </c>
      <c r="AX110" s="606">
        <v>4902.45</v>
      </c>
      <c r="AY110" s="621">
        <f t="shared" ref="AY110:CD110" si="242">+AX110</f>
        <v>4902.45</v>
      </c>
      <c r="AZ110" s="157">
        <f t="shared" si="242"/>
        <v>4902.45</v>
      </c>
      <c r="BA110" s="157">
        <f t="shared" si="242"/>
        <v>4902.45</v>
      </c>
      <c r="BB110" s="157">
        <f t="shared" si="242"/>
        <v>4902.45</v>
      </c>
      <c r="BC110" s="157">
        <f t="shared" si="242"/>
        <v>4902.45</v>
      </c>
      <c r="BD110" s="157">
        <f t="shared" si="242"/>
        <v>4902.45</v>
      </c>
      <c r="BE110" s="157">
        <f t="shared" si="242"/>
        <v>4902.45</v>
      </c>
      <c r="BF110" s="157">
        <f t="shared" si="242"/>
        <v>4902.45</v>
      </c>
      <c r="BG110" s="157">
        <f t="shared" si="242"/>
        <v>4902.45</v>
      </c>
      <c r="BH110" s="157">
        <f t="shared" si="242"/>
        <v>4902.45</v>
      </c>
      <c r="BI110" s="157">
        <f t="shared" si="242"/>
        <v>4902.45</v>
      </c>
      <c r="BJ110" s="157">
        <f t="shared" si="242"/>
        <v>4902.45</v>
      </c>
      <c r="BK110" s="393">
        <f t="shared" si="242"/>
        <v>4902.45</v>
      </c>
      <c r="BL110" s="157">
        <f t="shared" si="242"/>
        <v>4902.45</v>
      </c>
      <c r="BM110" s="157">
        <f t="shared" si="242"/>
        <v>4902.45</v>
      </c>
      <c r="BN110" s="157">
        <f t="shared" si="242"/>
        <v>4902.45</v>
      </c>
      <c r="BO110" s="157">
        <f t="shared" si="242"/>
        <v>4902.45</v>
      </c>
      <c r="BP110" s="157">
        <f t="shared" si="242"/>
        <v>4902.45</v>
      </c>
      <c r="BQ110" s="157">
        <f t="shared" si="242"/>
        <v>4902.45</v>
      </c>
      <c r="BR110" s="157">
        <f t="shared" si="242"/>
        <v>4902.45</v>
      </c>
      <c r="BS110" s="157">
        <f t="shared" si="242"/>
        <v>4902.45</v>
      </c>
      <c r="BT110" s="157">
        <f t="shared" si="242"/>
        <v>4902.45</v>
      </c>
      <c r="BU110" s="157">
        <f t="shared" si="242"/>
        <v>4902.45</v>
      </c>
      <c r="BV110" s="157">
        <f t="shared" si="242"/>
        <v>4902.45</v>
      </c>
      <c r="BW110" s="393">
        <f t="shared" si="242"/>
        <v>4902.45</v>
      </c>
      <c r="BX110" s="157">
        <f t="shared" si="242"/>
        <v>4902.45</v>
      </c>
      <c r="BY110" s="157">
        <f t="shared" si="242"/>
        <v>4902.45</v>
      </c>
      <c r="BZ110" s="157">
        <f t="shared" si="242"/>
        <v>4902.45</v>
      </c>
      <c r="CA110" s="157">
        <f t="shared" si="242"/>
        <v>4902.45</v>
      </c>
      <c r="CB110" s="157">
        <f t="shared" si="242"/>
        <v>4902.45</v>
      </c>
      <c r="CC110" s="157">
        <f t="shared" si="242"/>
        <v>4902.45</v>
      </c>
      <c r="CD110" s="157">
        <f t="shared" si="242"/>
        <v>4902.45</v>
      </c>
      <c r="CE110" s="157">
        <f t="shared" ref="CE110:DG110" si="243">+CD110</f>
        <v>4902.45</v>
      </c>
      <c r="CF110" s="157">
        <f t="shared" si="243"/>
        <v>4902.45</v>
      </c>
      <c r="CG110" s="157">
        <f t="shared" si="243"/>
        <v>4902.45</v>
      </c>
      <c r="CH110" s="157">
        <f t="shared" si="243"/>
        <v>4902.45</v>
      </c>
      <c r="CI110" s="393">
        <f t="shared" si="243"/>
        <v>4902.45</v>
      </c>
      <c r="CJ110" s="157">
        <f t="shared" si="243"/>
        <v>4902.45</v>
      </c>
      <c r="CK110" s="157">
        <f t="shared" si="243"/>
        <v>4902.45</v>
      </c>
      <c r="CL110" s="157">
        <f t="shared" si="243"/>
        <v>4902.45</v>
      </c>
      <c r="CM110" s="157">
        <f t="shared" si="243"/>
        <v>4902.45</v>
      </c>
      <c r="CN110" s="157">
        <f t="shared" si="243"/>
        <v>4902.45</v>
      </c>
      <c r="CO110" s="157">
        <f t="shared" si="243"/>
        <v>4902.45</v>
      </c>
      <c r="CP110" s="157">
        <f t="shared" si="243"/>
        <v>4902.45</v>
      </c>
      <c r="CQ110" s="157">
        <f t="shared" si="243"/>
        <v>4902.45</v>
      </c>
      <c r="CR110" s="157">
        <f t="shared" si="243"/>
        <v>4902.45</v>
      </c>
      <c r="CS110" s="157">
        <f t="shared" si="243"/>
        <v>4902.45</v>
      </c>
      <c r="CT110" s="157">
        <f t="shared" si="243"/>
        <v>4902.45</v>
      </c>
      <c r="CU110" s="393">
        <f t="shared" si="243"/>
        <v>4902.45</v>
      </c>
      <c r="CV110" s="157">
        <f t="shared" si="243"/>
        <v>4902.45</v>
      </c>
      <c r="CW110" s="157">
        <f t="shared" si="243"/>
        <v>4902.45</v>
      </c>
      <c r="CX110" s="157">
        <f t="shared" si="243"/>
        <v>4902.45</v>
      </c>
      <c r="CY110" s="157">
        <f t="shared" si="243"/>
        <v>4902.45</v>
      </c>
      <c r="CZ110" s="157">
        <f t="shared" si="243"/>
        <v>4902.45</v>
      </c>
      <c r="DA110" s="157">
        <f t="shared" si="243"/>
        <v>4902.45</v>
      </c>
      <c r="DB110" s="157">
        <f t="shared" si="243"/>
        <v>4902.45</v>
      </c>
      <c r="DC110" s="157">
        <f t="shared" si="243"/>
        <v>4902.45</v>
      </c>
      <c r="DD110" s="157">
        <f t="shared" si="243"/>
        <v>4902.45</v>
      </c>
      <c r="DE110" s="157">
        <f t="shared" si="243"/>
        <v>4902.45</v>
      </c>
      <c r="DF110" s="157">
        <f t="shared" si="243"/>
        <v>4902.45</v>
      </c>
      <c r="DG110" s="157">
        <f t="shared" si="243"/>
        <v>4902.45</v>
      </c>
    </row>
    <row r="111" spans="1:111" x14ac:dyDescent="0.25">
      <c r="A111" s="3"/>
      <c r="B111" s="4" t="s">
        <v>163</v>
      </c>
      <c r="C111" s="4"/>
      <c r="D111" s="47">
        <f>(((D105)+(D106)))</f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f t="shared" ref="J111:AA111" si="244">SUM(J105:J106)</f>
        <v>0</v>
      </c>
      <c r="K111" s="47">
        <f t="shared" si="244"/>
        <v>0</v>
      </c>
      <c r="L111" s="47">
        <f t="shared" si="244"/>
        <v>0</v>
      </c>
      <c r="M111" s="47">
        <f t="shared" si="244"/>
        <v>0</v>
      </c>
      <c r="N111" s="47">
        <f t="shared" si="244"/>
        <v>0</v>
      </c>
      <c r="O111" s="47">
        <f t="shared" si="244"/>
        <v>0</v>
      </c>
      <c r="P111" s="47">
        <f t="shared" si="244"/>
        <v>0</v>
      </c>
      <c r="Q111" s="47">
        <f t="shared" si="244"/>
        <v>0</v>
      </c>
      <c r="R111" s="47">
        <f t="shared" si="244"/>
        <v>0</v>
      </c>
      <c r="S111" s="47">
        <f t="shared" si="244"/>
        <v>0</v>
      </c>
      <c r="T111" s="47">
        <f t="shared" si="244"/>
        <v>0</v>
      </c>
      <c r="U111" s="47">
        <f t="shared" si="244"/>
        <v>0</v>
      </c>
      <c r="V111" s="47">
        <f t="shared" si="244"/>
        <v>0</v>
      </c>
      <c r="W111" s="47">
        <f t="shared" si="244"/>
        <v>0</v>
      </c>
      <c r="X111" s="47">
        <f t="shared" si="244"/>
        <v>0</v>
      </c>
      <c r="Y111" s="47">
        <f t="shared" si="244"/>
        <v>0</v>
      </c>
      <c r="Z111" s="47">
        <f t="shared" si="244"/>
        <v>0</v>
      </c>
      <c r="AA111" s="47">
        <f t="shared" si="244"/>
        <v>0</v>
      </c>
      <c r="AB111" s="47">
        <f t="shared" ref="AB111:AN111" si="245">SUM(AB105:AB109)</f>
        <v>933.40000000000009</v>
      </c>
      <c r="AC111" s="47">
        <f t="shared" si="245"/>
        <v>1045.77</v>
      </c>
      <c r="AD111" s="47">
        <f t="shared" si="245"/>
        <v>2808.13</v>
      </c>
      <c r="AE111" s="47">
        <f t="shared" si="245"/>
        <v>1779.92</v>
      </c>
      <c r="AF111" s="47">
        <f t="shared" si="245"/>
        <v>2610.5300000000002</v>
      </c>
      <c r="AG111" s="47">
        <f t="shared" si="245"/>
        <v>2620.37</v>
      </c>
      <c r="AH111" s="47">
        <f t="shared" si="245"/>
        <v>2912.74</v>
      </c>
      <c r="AI111" s="47">
        <f t="shared" si="245"/>
        <v>1061.52</v>
      </c>
      <c r="AJ111" s="47">
        <f t="shared" si="245"/>
        <v>123.47000000000001</v>
      </c>
      <c r="AK111" s="47">
        <f t="shared" si="245"/>
        <v>2271.8199999999997</v>
      </c>
      <c r="AL111" s="47">
        <f t="shared" si="245"/>
        <v>1836.67</v>
      </c>
      <c r="AM111" s="47">
        <f t="shared" si="245"/>
        <v>1426</v>
      </c>
      <c r="AN111" s="47">
        <f t="shared" si="245"/>
        <v>2040.3200000000002</v>
      </c>
      <c r="AO111" s="47">
        <f t="shared" ref="AO111:BT111" si="246">SUM(AO105:AO110)</f>
        <v>2471.8900000000003</v>
      </c>
      <c r="AP111" s="47">
        <f t="shared" si="246"/>
        <v>3389.24</v>
      </c>
      <c r="AQ111" s="47">
        <f t="shared" si="246"/>
        <v>4308.26</v>
      </c>
      <c r="AR111" s="47">
        <f t="shared" si="246"/>
        <v>6543.9400000000005</v>
      </c>
      <c r="AS111" s="47">
        <f t="shared" si="246"/>
        <v>6711.0300000000007</v>
      </c>
      <c r="AT111" s="47">
        <f t="shared" si="246"/>
        <v>6634.24</v>
      </c>
      <c r="AU111" s="47">
        <f t="shared" si="246"/>
        <v>7155.09</v>
      </c>
      <c r="AV111" s="47">
        <f t="shared" si="246"/>
        <v>6407.65</v>
      </c>
      <c r="AW111" s="47">
        <f t="shared" si="246"/>
        <v>5875.62</v>
      </c>
      <c r="AX111" s="229">
        <f t="shared" si="246"/>
        <v>5351.82</v>
      </c>
      <c r="AY111" s="622">
        <f t="shared" si="246"/>
        <v>6291.9628127765254</v>
      </c>
      <c r="AZ111" s="10">
        <f t="shared" si="246"/>
        <v>5586.0639998056895</v>
      </c>
      <c r="BA111" s="10">
        <f t="shared" si="246"/>
        <v>5836.7190969203948</v>
      </c>
      <c r="BB111" s="10">
        <f t="shared" si="246"/>
        <v>6789.0461064053952</v>
      </c>
      <c r="BC111" s="10">
        <f t="shared" si="246"/>
        <v>8892.1391663341219</v>
      </c>
      <c r="BD111" s="10">
        <f t="shared" si="246"/>
        <v>10732.328966822937</v>
      </c>
      <c r="BE111" s="10">
        <f t="shared" si="246"/>
        <v>12826.212262994239</v>
      </c>
      <c r="BF111" s="10">
        <f t="shared" si="246"/>
        <v>14657.76884438773</v>
      </c>
      <c r="BG111" s="10">
        <f t="shared" si="246"/>
        <v>16873.325616745617</v>
      </c>
      <c r="BH111" s="10">
        <f t="shared" si="246"/>
        <v>17426.164420875171</v>
      </c>
      <c r="BI111" s="10">
        <f t="shared" si="246"/>
        <v>18171.90897990335</v>
      </c>
      <c r="BJ111" s="10">
        <f t="shared" si="246"/>
        <v>19457.557910400228</v>
      </c>
      <c r="BK111" s="237">
        <f t="shared" si="246"/>
        <v>20692.204516534584</v>
      </c>
      <c r="BL111" s="10">
        <f t="shared" si="246"/>
        <v>20820.457406916226</v>
      </c>
      <c r="BM111" s="10">
        <f t="shared" si="246"/>
        <v>21912.637758632325</v>
      </c>
      <c r="BN111" s="10">
        <f t="shared" si="246"/>
        <v>23929.555795187182</v>
      </c>
      <c r="BO111" s="10">
        <f t="shared" si="246"/>
        <v>26804.325667504691</v>
      </c>
      <c r="BP111" s="10">
        <f t="shared" si="246"/>
        <v>29212.054178740222</v>
      </c>
      <c r="BQ111" s="10">
        <f t="shared" si="246"/>
        <v>31851.429861965185</v>
      </c>
      <c r="BR111" s="10">
        <f t="shared" si="246"/>
        <v>33846.119763767609</v>
      </c>
      <c r="BS111" s="10">
        <f t="shared" si="246"/>
        <v>36825.114202161065</v>
      </c>
      <c r="BT111" s="10">
        <f t="shared" si="246"/>
        <v>37532.196714367608</v>
      </c>
      <c r="BU111" s="10">
        <f t="shared" ref="BU111:CZ111" si="247">SUM(BU105:BU110)</f>
        <v>38248.906374180886</v>
      </c>
      <c r="BV111" s="10">
        <f t="shared" si="247"/>
        <v>40084.138479129644</v>
      </c>
      <c r="BW111" s="237">
        <f t="shared" si="247"/>
        <v>41468.659486699464</v>
      </c>
      <c r="BX111" s="10">
        <f t="shared" si="247"/>
        <v>41610.20380611602</v>
      </c>
      <c r="BY111" s="10">
        <f t="shared" si="247"/>
        <v>43185.739239087947</v>
      </c>
      <c r="BZ111" s="10">
        <f t="shared" si="247"/>
        <v>45483.155293207907</v>
      </c>
      <c r="CA111" s="10">
        <f t="shared" si="247"/>
        <v>48016.894327472153</v>
      </c>
      <c r="CB111" s="10">
        <f t="shared" si="247"/>
        <v>51509.416854698953</v>
      </c>
      <c r="CC111" s="10">
        <f t="shared" si="247"/>
        <v>54550.77524410902</v>
      </c>
      <c r="CD111" s="10">
        <f t="shared" si="247"/>
        <v>56456.389374624574</v>
      </c>
      <c r="CE111" s="10">
        <f t="shared" si="247"/>
        <v>60120.545268838861</v>
      </c>
      <c r="CF111" s="10">
        <f t="shared" si="247"/>
        <v>60658.952169987038</v>
      </c>
      <c r="CG111" s="10">
        <f t="shared" si="247"/>
        <v>61689.159806274482</v>
      </c>
      <c r="CH111" s="10">
        <f t="shared" si="247"/>
        <v>63776.102266149894</v>
      </c>
      <c r="CI111" s="237">
        <f t="shared" si="247"/>
        <v>64748.760946166083</v>
      </c>
      <c r="CJ111" s="10">
        <f t="shared" si="247"/>
        <v>65468.034355044088</v>
      </c>
      <c r="CK111" s="10">
        <f t="shared" si="247"/>
        <v>66950.813238453266</v>
      </c>
      <c r="CL111" s="10">
        <f t="shared" si="247"/>
        <v>69168.981481998228</v>
      </c>
      <c r="CM111" s="10">
        <f t="shared" si="247"/>
        <v>72437.078664501678</v>
      </c>
      <c r="CN111" s="10">
        <f t="shared" si="247"/>
        <v>76456.895994584454</v>
      </c>
      <c r="CO111" s="10">
        <f t="shared" si="247"/>
        <v>79498.651134857166</v>
      </c>
      <c r="CP111" s="10">
        <f t="shared" si="247"/>
        <v>82017.289997726039</v>
      </c>
      <c r="CQ111" s="10">
        <f t="shared" si="247"/>
        <v>86186.577175527913</v>
      </c>
      <c r="CR111" s="10">
        <f t="shared" si="247"/>
        <v>86569.896711357898</v>
      </c>
      <c r="CS111" s="10">
        <f t="shared" si="247"/>
        <v>88129.508752258989</v>
      </c>
      <c r="CT111" s="10">
        <f t="shared" si="247"/>
        <v>90584.486864416569</v>
      </c>
      <c r="CU111" s="237">
        <f t="shared" si="247"/>
        <v>91846.039931000734</v>
      </c>
      <c r="CV111" s="10">
        <f t="shared" si="247"/>
        <v>92800.617321777027</v>
      </c>
      <c r="CW111" s="10">
        <f t="shared" si="247"/>
        <v>94580.258340035463</v>
      </c>
      <c r="CX111" s="10">
        <f t="shared" si="247"/>
        <v>96880.190573471307</v>
      </c>
      <c r="CY111" s="10">
        <f t="shared" si="247"/>
        <v>101185.05828443541</v>
      </c>
      <c r="CZ111" s="10">
        <f t="shared" si="247"/>
        <v>105871.06589401013</v>
      </c>
      <c r="DA111" s="10">
        <f t="shared" ref="DA111:EF111" si="248">SUM(DA105:DA110)</f>
        <v>109024.29728999418</v>
      </c>
      <c r="DB111" s="10">
        <f t="shared" si="248"/>
        <v>112338.45958456901</v>
      </c>
      <c r="DC111" s="10">
        <f t="shared" si="248"/>
        <v>116702.97487981949</v>
      </c>
      <c r="DD111" s="10">
        <f t="shared" si="248"/>
        <v>117545.44658395652</v>
      </c>
      <c r="DE111" s="10">
        <f t="shared" si="248"/>
        <v>119420.08445872206</v>
      </c>
      <c r="DF111" s="10">
        <f t="shared" si="248"/>
        <v>121865.73642566905</v>
      </c>
      <c r="DG111" s="10">
        <f t="shared" si="248"/>
        <v>123652.20679061538</v>
      </c>
    </row>
    <row r="112" spans="1:111" s="155" customFormat="1" x14ac:dyDescent="0.25">
      <c r="B112" s="257"/>
      <c r="C112" s="257" t="s">
        <v>164</v>
      </c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  <c r="U112" s="258"/>
      <c r="V112" s="258"/>
      <c r="W112" s="258"/>
      <c r="X112" s="258"/>
      <c r="Y112" s="258"/>
      <c r="Z112" s="258"/>
      <c r="AA112" s="258"/>
      <c r="AB112" s="258">
        <f t="shared" ref="AB112:BG112" si="249">+AB111*0.65</f>
        <v>606.71</v>
      </c>
      <c r="AC112" s="258">
        <f t="shared" si="249"/>
        <v>679.75049999999999</v>
      </c>
      <c r="AD112" s="258">
        <f t="shared" si="249"/>
        <v>1825.2845000000002</v>
      </c>
      <c r="AE112" s="258">
        <f t="shared" si="249"/>
        <v>1156.9480000000001</v>
      </c>
      <c r="AF112" s="258">
        <f t="shared" si="249"/>
        <v>1696.8445000000002</v>
      </c>
      <c r="AG112" s="258">
        <f t="shared" si="249"/>
        <v>1703.2404999999999</v>
      </c>
      <c r="AH112" s="258">
        <f t="shared" si="249"/>
        <v>1893.2809999999999</v>
      </c>
      <c r="AI112" s="258">
        <f t="shared" si="249"/>
        <v>689.98800000000006</v>
      </c>
      <c r="AJ112" s="258">
        <f t="shared" si="249"/>
        <v>80.255500000000012</v>
      </c>
      <c r="AK112" s="258">
        <f t="shared" si="249"/>
        <v>1476.6829999999998</v>
      </c>
      <c r="AL112" s="258">
        <f t="shared" si="249"/>
        <v>1193.8355000000001</v>
      </c>
      <c r="AM112" s="258">
        <f t="shared" si="249"/>
        <v>926.9</v>
      </c>
      <c r="AN112" s="258">
        <f t="shared" si="249"/>
        <v>1326.2080000000001</v>
      </c>
      <c r="AO112" s="258">
        <f t="shared" si="249"/>
        <v>1606.7285000000002</v>
      </c>
      <c r="AP112" s="258">
        <f t="shared" si="249"/>
        <v>2203.0059999999999</v>
      </c>
      <c r="AQ112" s="258">
        <f t="shared" si="249"/>
        <v>2800.3690000000001</v>
      </c>
      <c r="AR112" s="258">
        <f t="shared" si="249"/>
        <v>4253.5610000000006</v>
      </c>
      <c r="AS112" s="258">
        <f t="shared" si="249"/>
        <v>4362.1695000000009</v>
      </c>
      <c r="AT112" s="258">
        <f t="shared" si="249"/>
        <v>4312.2560000000003</v>
      </c>
      <c r="AU112" s="258">
        <f t="shared" si="249"/>
        <v>4650.8085000000001</v>
      </c>
      <c r="AV112" s="258">
        <f t="shared" si="249"/>
        <v>4164.9724999999999</v>
      </c>
      <c r="AW112" s="258">
        <f t="shared" si="249"/>
        <v>3819.1530000000002</v>
      </c>
      <c r="AX112" s="259">
        <f t="shared" si="249"/>
        <v>3478.683</v>
      </c>
      <c r="AY112" s="623">
        <f t="shared" si="249"/>
        <v>4089.7758283047415</v>
      </c>
      <c r="AZ112" s="260">
        <f t="shared" si="249"/>
        <v>3630.9415998736981</v>
      </c>
      <c r="BA112" s="260">
        <f t="shared" si="249"/>
        <v>3793.8674129982569</v>
      </c>
      <c r="BB112" s="260">
        <f t="shared" si="249"/>
        <v>4412.8799691635068</v>
      </c>
      <c r="BC112" s="260">
        <f t="shared" si="249"/>
        <v>5779.8904581171792</v>
      </c>
      <c r="BD112" s="260">
        <f t="shared" si="249"/>
        <v>6976.0138284349096</v>
      </c>
      <c r="BE112" s="260">
        <f t="shared" si="249"/>
        <v>8337.0379709462559</v>
      </c>
      <c r="BF112" s="260">
        <f t="shared" si="249"/>
        <v>9527.549748852025</v>
      </c>
      <c r="BG112" s="260">
        <f t="shared" si="249"/>
        <v>10967.661650884651</v>
      </c>
      <c r="BH112" s="260">
        <f t="shared" ref="BH112:CM112" si="250">+BH111*0.65</f>
        <v>11327.006873568862</v>
      </c>
      <c r="BI112" s="260">
        <f t="shared" si="250"/>
        <v>11811.740836937179</v>
      </c>
      <c r="BJ112" s="260">
        <f t="shared" si="250"/>
        <v>12647.412641760149</v>
      </c>
      <c r="BK112" s="261">
        <f t="shared" si="250"/>
        <v>13449.93293574748</v>
      </c>
      <c r="BL112" s="260">
        <f t="shared" si="250"/>
        <v>13533.297314495547</v>
      </c>
      <c r="BM112" s="260">
        <f t="shared" si="250"/>
        <v>14243.214543111011</v>
      </c>
      <c r="BN112" s="260">
        <f t="shared" si="250"/>
        <v>15554.211266871669</v>
      </c>
      <c r="BO112" s="260">
        <f t="shared" si="250"/>
        <v>17422.811683878048</v>
      </c>
      <c r="BP112" s="260">
        <f t="shared" si="250"/>
        <v>18987.835216181145</v>
      </c>
      <c r="BQ112" s="260">
        <f t="shared" si="250"/>
        <v>20703.429410277371</v>
      </c>
      <c r="BR112" s="260">
        <f t="shared" si="250"/>
        <v>21999.977846448946</v>
      </c>
      <c r="BS112" s="260">
        <f t="shared" si="250"/>
        <v>23936.324231404695</v>
      </c>
      <c r="BT112" s="260">
        <f t="shared" si="250"/>
        <v>24395.927864338948</v>
      </c>
      <c r="BU112" s="260">
        <f t="shared" si="250"/>
        <v>24861.789143217578</v>
      </c>
      <c r="BV112" s="260">
        <f t="shared" si="250"/>
        <v>26054.690011434268</v>
      </c>
      <c r="BW112" s="261">
        <f t="shared" si="250"/>
        <v>26954.628666354653</v>
      </c>
      <c r="BX112" s="260">
        <f t="shared" si="250"/>
        <v>27046.632473975413</v>
      </c>
      <c r="BY112" s="260">
        <f t="shared" si="250"/>
        <v>28070.730505407166</v>
      </c>
      <c r="BZ112" s="260">
        <f t="shared" si="250"/>
        <v>29564.050940585141</v>
      </c>
      <c r="CA112" s="260">
        <f t="shared" si="250"/>
        <v>31210.9813128569</v>
      </c>
      <c r="CB112" s="260">
        <f t="shared" si="250"/>
        <v>33481.120955554317</v>
      </c>
      <c r="CC112" s="260">
        <f t="shared" si="250"/>
        <v>35458.003908670864</v>
      </c>
      <c r="CD112" s="260">
        <f t="shared" si="250"/>
        <v>36696.653093505971</v>
      </c>
      <c r="CE112" s="260">
        <f t="shared" si="250"/>
        <v>39078.354424745259</v>
      </c>
      <c r="CF112" s="260">
        <f t="shared" si="250"/>
        <v>39428.318910491573</v>
      </c>
      <c r="CG112" s="260">
        <f t="shared" si="250"/>
        <v>40097.953874078412</v>
      </c>
      <c r="CH112" s="260">
        <f t="shared" si="250"/>
        <v>41454.466472997432</v>
      </c>
      <c r="CI112" s="261">
        <f t="shared" si="250"/>
        <v>42086.694615007953</v>
      </c>
      <c r="CJ112" s="260">
        <f t="shared" si="250"/>
        <v>42554.222330778663</v>
      </c>
      <c r="CK112" s="260">
        <f t="shared" si="250"/>
        <v>43518.028604994623</v>
      </c>
      <c r="CL112" s="260">
        <f t="shared" si="250"/>
        <v>44959.837963298851</v>
      </c>
      <c r="CM112" s="260">
        <f t="shared" si="250"/>
        <v>47084.101131926094</v>
      </c>
      <c r="CN112" s="260">
        <f t="shared" ref="CN112:DS112" si="251">+CN111*0.65</f>
        <v>49696.9823964799</v>
      </c>
      <c r="CO112" s="260">
        <f t="shared" si="251"/>
        <v>51674.123237657157</v>
      </c>
      <c r="CP112" s="260">
        <f t="shared" si="251"/>
        <v>53311.238498521925</v>
      </c>
      <c r="CQ112" s="260">
        <f t="shared" si="251"/>
        <v>56021.275164093146</v>
      </c>
      <c r="CR112" s="260">
        <f t="shared" si="251"/>
        <v>56270.432862382637</v>
      </c>
      <c r="CS112" s="260">
        <f t="shared" si="251"/>
        <v>57284.180688968343</v>
      </c>
      <c r="CT112" s="260">
        <f t="shared" si="251"/>
        <v>58879.916461870773</v>
      </c>
      <c r="CU112" s="261">
        <f t="shared" si="251"/>
        <v>59699.92595515048</v>
      </c>
      <c r="CV112" s="260">
        <f t="shared" si="251"/>
        <v>60320.401259155071</v>
      </c>
      <c r="CW112" s="260">
        <f t="shared" si="251"/>
        <v>61477.16792102305</v>
      </c>
      <c r="CX112" s="260">
        <f t="shared" si="251"/>
        <v>62972.123872756354</v>
      </c>
      <c r="CY112" s="260">
        <f t="shared" si="251"/>
        <v>65770.287884883015</v>
      </c>
      <c r="CZ112" s="260">
        <f t="shared" si="251"/>
        <v>68816.192831106586</v>
      </c>
      <c r="DA112" s="260">
        <f t="shared" si="251"/>
        <v>70865.793238496219</v>
      </c>
      <c r="DB112" s="260">
        <f t="shared" si="251"/>
        <v>73019.998729969855</v>
      </c>
      <c r="DC112" s="260">
        <f t="shared" si="251"/>
        <v>75856.933671882667</v>
      </c>
      <c r="DD112" s="260">
        <f t="shared" si="251"/>
        <v>76404.540279571738</v>
      </c>
      <c r="DE112" s="260">
        <f t="shared" si="251"/>
        <v>77623.054898169343</v>
      </c>
      <c r="DF112" s="260">
        <f t="shared" si="251"/>
        <v>79212.728676684885</v>
      </c>
      <c r="DG112" s="260">
        <f t="shared" si="251"/>
        <v>80373.934413900002</v>
      </c>
    </row>
    <row r="113" spans="1:111" x14ac:dyDescent="0.25">
      <c r="B113" s="1" t="s">
        <v>165</v>
      </c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539"/>
      <c r="AY113" s="585"/>
      <c r="BK113" s="227"/>
      <c r="BW113" s="227"/>
      <c r="CI113" s="227"/>
      <c r="CU113" s="227"/>
    </row>
    <row r="114" spans="1:111" x14ac:dyDescent="0.25">
      <c r="B114" s="1" t="s">
        <v>166</v>
      </c>
      <c r="C114" s="1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>
        <v>0</v>
      </c>
      <c r="W114" s="104">
        <v>0</v>
      </c>
      <c r="X114" s="104">
        <v>0</v>
      </c>
      <c r="Y114" s="104">
        <v>0</v>
      </c>
      <c r="Z114" s="104">
        <v>0</v>
      </c>
      <c r="AA114" s="104">
        <v>0</v>
      </c>
      <c r="AB114" s="104"/>
      <c r="AC114" s="104">
        <v>0</v>
      </c>
      <c r="AD114" s="104">
        <v>125</v>
      </c>
      <c r="AE114" s="104">
        <v>250</v>
      </c>
      <c r="AF114" s="104">
        <v>250</v>
      </c>
      <c r="AG114" s="104">
        <v>250</v>
      </c>
      <c r="AH114" s="104">
        <v>250</v>
      </c>
      <c r="AI114" s="104">
        <v>250</v>
      </c>
      <c r="AJ114" s="104">
        <v>600</v>
      </c>
      <c r="AK114" s="104">
        <v>480</v>
      </c>
      <c r="AL114" s="104">
        <v>480</v>
      </c>
      <c r="AM114" s="104">
        <v>480</v>
      </c>
      <c r="AN114" s="104">
        <v>480</v>
      </c>
      <c r="AO114" s="104">
        <v>480</v>
      </c>
      <c r="AP114" s="104">
        <v>480</v>
      </c>
      <c r="AQ114" s="104">
        <v>480</v>
      </c>
      <c r="AR114" s="104">
        <v>480</v>
      </c>
      <c r="AS114" s="104">
        <v>480</v>
      </c>
      <c r="AT114" s="104">
        <v>480</v>
      </c>
      <c r="AU114" s="104">
        <v>480</v>
      </c>
      <c r="AV114" s="104">
        <v>480</v>
      </c>
      <c r="AW114" s="605">
        <v>480</v>
      </c>
      <c r="AX114" s="607">
        <v>480</v>
      </c>
      <c r="AY114" s="605">
        <f t="shared" ref="AY114:CD114" si="252">+(AY116*AY9)/30.433</f>
        <v>183.02771701139807</v>
      </c>
      <c r="AZ114" s="104">
        <f t="shared" si="252"/>
        <v>205.68516473958223</v>
      </c>
      <c r="BA114" s="104">
        <f t="shared" si="252"/>
        <v>260.38322018606863</v>
      </c>
      <c r="BB114" s="104">
        <f t="shared" si="252"/>
        <v>298.27629862124985</v>
      </c>
      <c r="BC114" s="104">
        <f t="shared" si="252"/>
        <v>365.21404997905864</v>
      </c>
      <c r="BD114" s="104">
        <f t="shared" si="252"/>
        <v>350.31795357961499</v>
      </c>
      <c r="BE114" s="104">
        <f t="shared" si="252"/>
        <v>359.86947982415319</v>
      </c>
      <c r="BF114" s="104">
        <f t="shared" si="252"/>
        <v>343.94564704231016</v>
      </c>
      <c r="BG114" s="104">
        <f t="shared" si="252"/>
        <v>371.04784981108145</v>
      </c>
      <c r="BH114" s="104">
        <f t="shared" si="252"/>
        <v>264.88260602495086</v>
      </c>
      <c r="BI114" s="104">
        <f t="shared" si="252"/>
        <v>285.9132943152859</v>
      </c>
      <c r="BJ114" s="104">
        <f t="shared" si="252"/>
        <v>316.3035812862546</v>
      </c>
      <c r="BK114" s="228">
        <f t="shared" si="252"/>
        <v>308.02225545820659</v>
      </c>
      <c r="BL114" s="104">
        <f t="shared" si="252"/>
        <v>263.41725075171502</v>
      </c>
      <c r="BM114" s="104">
        <f t="shared" si="252"/>
        <v>321.13930489615132</v>
      </c>
      <c r="BN114" s="104">
        <f t="shared" si="252"/>
        <v>370.76182560236975</v>
      </c>
      <c r="BO114" s="104">
        <f t="shared" si="252"/>
        <v>418.73679868288627</v>
      </c>
      <c r="BP114" s="104">
        <f t="shared" si="252"/>
        <v>393.58222084669757</v>
      </c>
      <c r="BQ114" s="104">
        <f t="shared" si="252"/>
        <v>402.24120890022283</v>
      </c>
      <c r="BR114" s="104">
        <f t="shared" si="252"/>
        <v>364.84786418547736</v>
      </c>
      <c r="BS114" s="104">
        <f t="shared" si="252"/>
        <v>426.91827317343967</v>
      </c>
      <c r="BT114" s="104">
        <f t="shared" si="252"/>
        <v>286.30693445343962</v>
      </c>
      <c r="BU114" s="104">
        <f t="shared" si="252"/>
        <v>298.3396628976065</v>
      </c>
      <c r="BV114" s="104">
        <f t="shared" si="252"/>
        <v>361.66817386546745</v>
      </c>
      <c r="BW114" s="228">
        <f t="shared" si="252"/>
        <v>328.81375770163544</v>
      </c>
      <c r="BX114" s="104">
        <f t="shared" si="252"/>
        <v>280.59663667030509</v>
      </c>
      <c r="BY114" s="104">
        <f t="shared" si="252"/>
        <v>363.62516698984496</v>
      </c>
      <c r="BZ114" s="104">
        <f t="shared" si="252"/>
        <v>399.41160303528017</v>
      </c>
      <c r="CA114" s="104">
        <f t="shared" si="252"/>
        <v>412.3255175547273</v>
      </c>
      <c r="CB114" s="104">
        <f t="shared" si="252"/>
        <v>469.53991113159765</v>
      </c>
      <c r="CC114" s="104">
        <f t="shared" si="252"/>
        <v>435.15185326478661</v>
      </c>
      <c r="CD114" s="104">
        <f t="shared" si="252"/>
        <v>373.45742693801679</v>
      </c>
      <c r="CE114" s="104">
        <f t="shared" ref="CE114:DG114" si="253">+(CE116*CE9)/30.433</f>
        <v>478.93960820873474</v>
      </c>
      <c r="CF114" s="104">
        <f t="shared" si="253"/>
        <v>291.05702677505349</v>
      </c>
      <c r="CG114" s="104">
        <f t="shared" si="253"/>
        <v>332.49170325562204</v>
      </c>
      <c r="CH114" s="104">
        <f t="shared" si="253"/>
        <v>389.36554667415191</v>
      </c>
      <c r="CI114" s="228">
        <f t="shared" si="253"/>
        <v>320.40006283243468</v>
      </c>
      <c r="CJ114" s="104">
        <f t="shared" si="253"/>
        <v>331.90573594716091</v>
      </c>
      <c r="CK114" s="104">
        <f t="shared" si="253"/>
        <v>373.19425033168301</v>
      </c>
      <c r="CL114" s="104">
        <f t="shared" si="253"/>
        <v>411.30382522802017</v>
      </c>
      <c r="CM114" s="104">
        <f t="shared" si="253"/>
        <v>468.504869321559</v>
      </c>
      <c r="CN114" s="104">
        <f t="shared" si="253"/>
        <v>510.78328170396759</v>
      </c>
      <c r="CO114" s="104">
        <f t="shared" si="253"/>
        <v>448.96850635975801</v>
      </c>
      <c r="CP114" s="104">
        <f t="shared" si="253"/>
        <v>423.64076868281285</v>
      </c>
      <c r="CQ114" s="104">
        <f t="shared" si="253"/>
        <v>519.10873663914469</v>
      </c>
      <c r="CR114" s="104">
        <f t="shared" si="253"/>
        <v>299.25581626167479</v>
      </c>
      <c r="CS114" s="104">
        <f t="shared" si="253"/>
        <v>379.20541363037881</v>
      </c>
      <c r="CT114" s="104">
        <f t="shared" si="253"/>
        <v>423.97581748963216</v>
      </c>
      <c r="CU114" s="228">
        <f t="shared" si="253"/>
        <v>352.69845626312372</v>
      </c>
      <c r="CV114" s="104">
        <f t="shared" si="253"/>
        <v>363.02189869220723</v>
      </c>
      <c r="CW114" s="104">
        <f t="shared" si="253"/>
        <v>406.92526911166198</v>
      </c>
      <c r="CX114" s="104">
        <f t="shared" si="253"/>
        <v>432.59606870573339</v>
      </c>
      <c r="CY114" s="104">
        <f t="shared" si="253"/>
        <v>540.86799765241358</v>
      </c>
      <c r="CZ114" s="104">
        <f t="shared" si="253"/>
        <v>559.64081299739064</v>
      </c>
      <c r="DA114" s="104">
        <f t="shared" si="253"/>
        <v>470.34795904355599</v>
      </c>
      <c r="DB114" s="104">
        <f t="shared" si="253"/>
        <v>483.83160241508847</v>
      </c>
      <c r="DC114" s="104">
        <f t="shared" si="253"/>
        <v>543.08930327736607</v>
      </c>
      <c r="DD114" s="104">
        <f t="shared" si="253"/>
        <v>343.48828554199633</v>
      </c>
      <c r="DE114" s="104">
        <f t="shared" si="253"/>
        <v>413.09689747359403</v>
      </c>
      <c r="DF114" s="104">
        <f t="shared" si="253"/>
        <v>440.1158059963397</v>
      </c>
      <c r="DG114" s="104">
        <f t="shared" si="253"/>
        <v>399.90578810141869</v>
      </c>
    </row>
    <row r="115" spans="1:111" x14ac:dyDescent="0.25">
      <c r="A115" s="5"/>
      <c r="B115" s="6" t="s">
        <v>167</v>
      </c>
      <c r="C115" s="6"/>
      <c r="D115" s="46">
        <f t="shared" ref="D115:AI115" si="254">D114</f>
        <v>0</v>
      </c>
      <c r="E115" s="46">
        <f t="shared" si="254"/>
        <v>0</v>
      </c>
      <c r="F115" s="46">
        <f t="shared" si="254"/>
        <v>0</v>
      </c>
      <c r="G115" s="46">
        <f t="shared" si="254"/>
        <v>0</v>
      </c>
      <c r="H115" s="46">
        <f t="shared" si="254"/>
        <v>0</v>
      </c>
      <c r="I115" s="46">
        <f t="shared" si="254"/>
        <v>0</v>
      </c>
      <c r="J115" s="46">
        <f t="shared" si="254"/>
        <v>0</v>
      </c>
      <c r="K115" s="46">
        <f t="shared" si="254"/>
        <v>0</v>
      </c>
      <c r="L115" s="46">
        <f t="shared" si="254"/>
        <v>0</v>
      </c>
      <c r="M115" s="46">
        <f t="shared" si="254"/>
        <v>0</v>
      </c>
      <c r="N115" s="46">
        <f t="shared" si="254"/>
        <v>0</v>
      </c>
      <c r="O115" s="46">
        <f t="shared" si="254"/>
        <v>0</v>
      </c>
      <c r="P115" s="46">
        <f t="shared" si="254"/>
        <v>0</v>
      </c>
      <c r="Q115" s="46">
        <f t="shared" si="254"/>
        <v>0</v>
      </c>
      <c r="R115" s="46">
        <f t="shared" si="254"/>
        <v>0</v>
      </c>
      <c r="S115" s="46">
        <f t="shared" si="254"/>
        <v>0</v>
      </c>
      <c r="T115" s="46">
        <f t="shared" si="254"/>
        <v>0</v>
      </c>
      <c r="U115" s="46">
        <f t="shared" si="254"/>
        <v>0</v>
      </c>
      <c r="V115" s="46">
        <f t="shared" si="254"/>
        <v>0</v>
      </c>
      <c r="W115" s="46">
        <f t="shared" si="254"/>
        <v>0</v>
      </c>
      <c r="X115" s="46">
        <f t="shared" si="254"/>
        <v>0</v>
      </c>
      <c r="Y115" s="46">
        <f t="shared" si="254"/>
        <v>0</v>
      </c>
      <c r="Z115" s="46">
        <f t="shared" si="254"/>
        <v>0</v>
      </c>
      <c r="AA115" s="46">
        <f t="shared" si="254"/>
        <v>0</v>
      </c>
      <c r="AB115" s="46">
        <f t="shared" si="254"/>
        <v>0</v>
      </c>
      <c r="AC115" s="46">
        <f t="shared" si="254"/>
        <v>0</v>
      </c>
      <c r="AD115" s="46">
        <f t="shared" si="254"/>
        <v>125</v>
      </c>
      <c r="AE115" s="46">
        <f t="shared" si="254"/>
        <v>250</v>
      </c>
      <c r="AF115" s="46">
        <f t="shared" si="254"/>
        <v>250</v>
      </c>
      <c r="AG115" s="46">
        <f t="shared" si="254"/>
        <v>250</v>
      </c>
      <c r="AH115" s="46">
        <f t="shared" si="254"/>
        <v>250</v>
      </c>
      <c r="AI115" s="46">
        <f t="shared" si="254"/>
        <v>250</v>
      </c>
      <c r="AJ115" s="46">
        <f t="shared" ref="AJ115:BO115" si="255">AJ114</f>
        <v>600</v>
      </c>
      <c r="AK115" s="46">
        <f t="shared" si="255"/>
        <v>480</v>
      </c>
      <c r="AL115" s="46">
        <f t="shared" si="255"/>
        <v>480</v>
      </c>
      <c r="AM115" s="46">
        <f t="shared" si="255"/>
        <v>480</v>
      </c>
      <c r="AN115" s="46">
        <f t="shared" si="255"/>
        <v>480</v>
      </c>
      <c r="AO115" s="46">
        <f t="shared" si="255"/>
        <v>480</v>
      </c>
      <c r="AP115" s="46">
        <f t="shared" si="255"/>
        <v>480</v>
      </c>
      <c r="AQ115" s="46">
        <f t="shared" si="255"/>
        <v>480</v>
      </c>
      <c r="AR115" s="46">
        <f t="shared" si="255"/>
        <v>480</v>
      </c>
      <c r="AS115" s="46">
        <f t="shared" si="255"/>
        <v>480</v>
      </c>
      <c r="AT115" s="46">
        <f t="shared" si="255"/>
        <v>480</v>
      </c>
      <c r="AU115" s="46">
        <f t="shared" si="255"/>
        <v>480</v>
      </c>
      <c r="AV115" s="46">
        <f t="shared" si="255"/>
        <v>480</v>
      </c>
      <c r="AW115" s="46">
        <f t="shared" si="255"/>
        <v>480</v>
      </c>
      <c r="AX115" s="233">
        <f t="shared" si="255"/>
        <v>480</v>
      </c>
      <c r="AY115" s="46">
        <f t="shared" si="255"/>
        <v>183.02771701139807</v>
      </c>
      <c r="AZ115" s="46">
        <f t="shared" si="255"/>
        <v>205.68516473958223</v>
      </c>
      <c r="BA115" s="46">
        <f t="shared" si="255"/>
        <v>260.38322018606863</v>
      </c>
      <c r="BB115" s="46">
        <f t="shared" si="255"/>
        <v>298.27629862124985</v>
      </c>
      <c r="BC115" s="46">
        <f t="shared" si="255"/>
        <v>365.21404997905864</v>
      </c>
      <c r="BD115" s="46">
        <f t="shared" si="255"/>
        <v>350.31795357961499</v>
      </c>
      <c r="BE115" s="46">
        <f t="shared" si="255"/>
        <v>359.86947982415319</v>
      </c>
      <c r="BF115" s="46">
        <f t="shared" si="255"/>
        <v>343.94564704231016</v>
      </c>
      <c r="BG115" s="46">
        <f t="shared" si="255"/>
        <v>371.04784981108145</v>
      </c>
      <c r="BH115" s="46">
        <f t="shared" si="255"/>
        <v>264.88260602495086</v>
      </c>
      <c r="BI115" s="46">
        <f t="shared" si="255"/>
        <v>285.9132943152859</v>
      </c>
      <c r="BJ115" s="46">
        <f t="shared" si="255"/>
        <v>316.3035812862546</v>
      </c>
      <c r="BK115" s="233">
        <f t="shared" si="255"/>
        <v>308.02225545820659</v>
      </c>
      <c r="BL115" s="46">
        <f t="shared" si="255"/>
        <v>263.41725075171502</v>
      </c>
      <c r="BM115" s="46">
        <f t="shared" si="255"/>
        <v>321.13930489615132</v>
      </c>
      <c r="BN115" s="46">
        <f t="shared" si="255"/>
        <v>370.76182560236975</v>
      </c>
      <c r="BO115" s="46">
        <f t="shared" si="255"/>
        <v>418.73679868288627</v>
      </c>
      <c r="BP115" s="46">
        <f t="shared" ref="BP115:CU115" si="256">BP114</f>
        <v>393.58222084669757</v>
      </c>
      <c r="BQ115" s="46">
        <f t="shared" si="256"/>
        <v>402.24120890022283</v>
      </c>
      <c r="BR115" s="46">
        <f t="shared" si="256"/>
        <v>364.84786418547736</v>
      </c>
      <c r="BS115" s="46">
        <f t="shared" si="256"/>
        <v>426.91827317343967</v>
      </c>
      <c r="BT115" s="46">
        <f t="shared" si="256"/>
        <v>286.30693445343962</v>
      </c>
      <c r="BU115" s="46">
        <f t="shared" si="256"/>
        <v>298.3396628976065</v>
      </c>
      <c r="BV115" s="46">
        <f t="shared" si="256"/>
        <v>361.66817386546745</v>
      </c>
      <c r="BW115" s="233">
        <f t="shared" si="256"/>
        <v>328.81375770163544</v>
      </c>
      <c r="BX115" s="46">
        <f t="shared" si="256"/>
        <v>280.59663667030509</v>
      </c>
      <c r="BY115" s="46">
        <f t="shared" si="256"/>
        <v>363.62516698984496</v>
      </c>
      <c r="BZ115" s="46">
        <f t="shared" si="256"/>
        <v>399.41160303528017</v>
      </c>
      <c r="CA115" s="46">
        <f t="shared" si="256"/>
        <v>412.3255175547273</v>
      </c>
      <c r="CB115" s="46">
        <f t="shared" si="256"/>
        <v>469.53991113159765</v>
      </c>
      <c r="CC115" s="46">
        <f t="shared" si="256"/>
        <v>435.15185326478661</v>
      </c>
      <c r="CD115" s="46">
        <f t="shared" si="256"/>
        <v>373.45742693801679</v>
      </c>
      <c r="CE115" s="46">
        <f t="shared" si="256"/>
        <v>478.93960820873474</v>
      </c>
      <c r="CF115" s="46">
        <f t="shared" si="256"/>
        <v>291.05702677505349</v>
      </c>
      <c r="CG115" s="46">
        <f t="shared" si="256"/>
        <v>332.49170325562204</v>
      </c>
      <c r="CH115" s="46">
        <f t="shared" si="256"/>
        <v>389.36554667415191</v>
      </c>
      <c r="CI115" s="233">
        <f t="shared" si="256"/>
        <v>320.40006283243468</v>
      </c>
      <c r="CJ115" s="46">
        <f t="shared" si="256"/>
        <v>331.90573594716091</v>
      </c>
      <c r="CK115" s="46">
        <f t="shared" si="256"/>
        <v>373.19425033168301</v>
      </c>
      <c r="CL115" s="46">
        <f t="shared" si="256"/>
        <v>411.30382522802017</v>
      </c>
      <c r="CM115" s="46">
        <f t="shared" si="256"/>
        <v>468.504869321559</v>
      </c>
      <c r="CN115" s="46">
        <f t="shared" si="256"/>
        <v>510.78328170396759</v>
      </c>
      <c r="CO115" s="46">
        <f t="shared" si="256"/>
        <v>448.96850635975801</v>
      </c>
      <c r="CP115" s="46">
        <f t="shared" si="256"/>
        <v>423.64076868281285</v>
      </c>
      <c r="CQ115" s="46">
        <f t="shared" si="256"/>
        <v>519.10873663914469</v>
      </c>
      <c r="CR115" s="46">
        <f t="shared" si="256"/>
        <v>299.25581626167479</v>
      </c>
      <c r="CS115" s="46">
        <f t="shared" si="256"/>
        <v>379.20541363037881</v>
      </c>
      <c r="CT115" s="46">
        <f t="shared" si="256"/>
        <v>423.97581748963216</v>
      </c>
      <c r="CU115" s="233">
        <f t="shared" si="256"/>
        <v>352.69845626312372</v>
      </c>
      <c r="CV115" s="46">
        <f t="shared" ref="CV115:EA115" si="257">CV114</f>
        <v>363.02189869220723</v>
      </c>
      <c r="CW115" s="46">
        <f t="shared" si="257"/>
        <v>406.92526911166198</v>
      </c>
      <c r="CX115" s="46">
        <f t="shared" si="257"/>
        <v>432.59606870573339</v>
      </c>
      <c r="CY115" s="46">
        <f t="shared" si="257"/>
        <v>540.86799765241358</v>
      </c>
      <c r="CZ115" s="46">
        <f t="shared" si="257"/>
        <v>559.64081299739064</v>
      </c>
      <c r="DA115" s="46">
        <f t="shared" si="257"/>
        <v>470.34795904355599</v>
      </c>
      <c r="DB115" s="46">
        <f t="shared" si="257"/>
        <v>483.83160241508847</v>
      </c>
      <c r="DC115" s="46">
        <f t="shared" si="257"/>
        <v>543.08930327736607</v>
      </c>
      <c r="DD115" s="46">
        <f t="shared" si="257"/>
        <v>343.48828554199633</v>
      </c>
      <c r="DE115" s="46">
        <f t="shared" si="257"/>
        <v>413.09689747359403</v>
      </c>
      <c r="DF115" s="46">
        <f t="shared" si="257"/>
        <v>440.1158059963397</v>
      </c>
      <c r="DG115" s="46">
        <f t="shared" si="257"/>
        <v>399.90578810141869</v>
      </c>
    </row>
    <row r="116" spans="1:111" x14ac:dyDescent="0.25">
      <c r="A116" s="56"/>
      <c r="B116" s="53"/>
      <c r="C116" s="54" t="s">
        <v>168</v>
      </c>
      <c r="D116" s="55">
        <v>0</v>
      </c>
      <c r="E116" s="55">
        <f t="shared" ref="E116:AX116" si="258">IFERROR(AVERAGE(D114:E114)/(E13/30.4333), 0)</f>
        <v>0</v>
      </c>
      <c r="F116" s="55">
        <f t="shared" si="258"/>
        <v>0</v>
      </c>
      <c r="G116" s="55">
        <f t="shared" si="258"/>
        <v>0</v>
      </c>
      <c r="H116" s="55">
        <f t="shared" si="258"/>
        <v>0</v>
      </c>
      <c r="I116" s="55">
        <f t="shared" si="258"/>
        <v>0</v>
      </c>
      <c r="J116" s="55">
        <f t="shared" si="258"/>
        <v>0</v>
      </c>
      <c r="K116" s="55">
        <f t="shared" si="258"/>
        <v>0</v>
      </c>
      <c r="L116" s="55">
        <f t="shared" si="258"/>
        <v>0</v>
      </c>
      <c r="M116" s="55">
        <f t="shared" si="258"/>
        <v>0</v>
      </c>
      <c r="N116" s="55">
        <f t="shared" si="258"/>
        <v>0</v>
      </c>
      <c r="O116" s="55">
        <f t="shared" si="258"/>
        <v>0</v>
      </c>
      <c r="P116" s="55">
        <f t="shared" si="258"/>
        <v>0</v>
      </c>
      <c r="Q116" s="55">
        <f t="shared" si="258"/>
        <v>0</v>
      </c>
      <c r="R116" s="55">
        <f t="shared" si="258"/>
        <v>0</v>
      </c>
      <c r="S116" s="55">
        <f t="shared" si="258"/>
        <v>0</v>
      </c>
      <c r="T116" s="55">
        <f t="shared" si="258"/>
        <v>0</v>
      </c>
      <c r="U116" s="55">
        <f t="shared" si="258"/>
        <v>0</v>
      </c>
      <c r="V116" s="55">
        <f t="shared" si="258"/>
        <v>0</v>
      </c>
      <c r="W116" s="55">
        <f t="shared" si="258"/>
        <v>0</v>
      </c>
      <c r="X116" s="55">
        <f t="shared" si="258"/>
        <v>0</v>
      </c>
      <c r="Y116" s="55">
        <f t="shared" si="258"/>
        <v>0</v>
      </c>
      <c r="Z116" s="55">
        <f t="shared" si="258"/>
        <v>0</v>
      </c>
      <c r="AA116" s="55">
        <f t="shared" si="258"/>
        <v>0</v>
      </c>
      <c r="AB116" s="55">
        <f t="shared" si="258"/>
        <v>0</v>
      </c>
      <c r="AC116" s="55">
        <f t="shared" si="258"/>
        <v>0</v>
      </c>
      <c r="AD116" s="55">
        <f t="shared" si="258"/>
        <v>0.24898795693294498</v>
      </c>
      <c r="AE116" s="55">
        <f t="shared" si="258"/>
        <v>0.72997873225022381</v>
      </c>
      <c r="AF116" s="55">
        <f t="shared" si="258"/>
        <v>0.94536841451292242</v>
      </c>
      <c r="AG116" s="55">
        <f t="shared" si="258"/>
        <v>1.063506429969248</v>
      </c>
      <c r="AH116" s="55">
        <f t="shared" si="258"/>
        <v>1.2647868007646912</v>
      </c>
      <c r="AI116" s="55">
        <f t="shared" si="258"/>
        <v>1.0429506511309117</v>
      </c>
      <c r="AJ116" s="55">
        <f t="shared" si="258"/>
        <v>2.850187858087263</v>
      </c>
      <c r="AK116" s="55">
        <f t="shared" si="258"/>
        <v>2.1351152397037807</v>
      </c>
      <c r="AL116" s="55">
        <f t="shared" si="258"/>
        <v>2.9578302201974185</v>
      </c>
      <c r="AM116" s="55">
        <f t="shared" si="258"/>
        <v>2.3745097529258774</v>
      </c>
      <c r="AN116" s="55">
        <f t="shared" si="258"/>
        <v>2.1734675385542439</v>
      </c>
      <c r="AO116" s="55">
        <f t="shared" si="258"/>
        <v>2.2469880667083002</v>
      </c>
      <c r="AP116" s="55">
        <f t="shared" si="258"/>
        <v>2.0550023211648027</v>
      </c>
      <c r="AQ116" s="55">
        <f t="shared" si="258"/>
        <v>1.8581084364168281</v>
      </c>
      <c r="AR116" s="55">
        <f t="shared" si="258"/>
        <v>1.854365150895829</v>
      </c>
      <c r="AS116" s="55">
        <f t="shared" si="258"/>
        <v>2.1209568127536316</v>
      </c>
      <c r="AT116" s="55">
        <f t="shared" si="258"/>
        <v>1.9691157975615179</v>
      </c>
      <c r="AU116" s="55">
        <f t="shared" si="258"/>
        <v>1.9087045542148209</v>
      </c>
      <c r="AV116" s="55">
        <f t="shared" si="258"/>
        <v>2.3674098323461013</v>
      </c>
      <c r="AW116" s="624">
        <f t="shared" si="258"/>
        <v>2.0873767013181865</v>
      </c>
      <c r="AX116" s="625">
        <f t="shared" si="258"/>
        <v>2.7756002280068399</v>
      </c>
      <c r="AY116" s="573">
        <v>1</v>
      </c>
      <c r="AZ116" s="55">
        <f t="shared" ref="AZ116:CE116" si="259">AY116</f>
        <v>1</v>
      </c>
      <c r="BA116" s="55">
        <f t="shared" si="259"/>
        <v>1</v>
      </c>
      <c r="BB116" s="55">
        <f t="shared" si="259"/>
        <v>1</v>
      </c>
      <c r="BC116" s="55">
        <f t="shared" si="259"/>
        <v>1</v>
      </c>
      <c r="BD116" s="55">
        <f t="shared" si="259"/>
        <v>1</v>
      </c>
      <c r="BE116" s="55">
        <f t="shared" si="259"/>
        <v>1</v>
      </c>
      <c r="BF116" s="55">
        <f t="shared" si="259"/>
        <v>1</v>
      </c>
      <c r="BG116" s="55">
        <f t="shared" si="259"/>
        <v>1</v>
      </c>
      <c r="BH116" s="55">
        <f t="shared" si="259"/>
        <v>1</v>
      </c>
      <c r="BI116" s="55">
        <f t="shared" si="259"/>
        <v>1</v>
      </c>
      <c r="BJ116" s="55">
        <f t="shared" si="259"/>
        <v>1</v>
      </c>
      <c r="BK116" s="235">
        <f t="shared" si="259"/>
        <v>1</v>
      </c>
      <c r="BL116" s="55">
        <f t="shared" si="259"/>
        <v>1</v>
      </c>
      <c r="BM116" s="55">
        <f t="shared" si="259"/>
        <v>1</v>
      </c>
      <c r="BN116" s="55">
        <f t="shared" si="259"/>
        <v>1</v>
      </c>
      <c r="BO116" s="55">
        <f t="shared" si="259"/>
        <v>1</v>
      </c>
      <c r="BP116" s="55">
        <f t="shared" si="259"/>
        <v>1</v>
      </c>
      <c r="BQ116" s="55">
        <f t="shared" si="259"/>
        <v>1</v>
      </c>
      <c r="BR116" s="55">
        <f t="shared" si="259"/>
        <v>1</v>
      </c>
      <c r="BS116" s="55">
        <f t="shared" si="259"/>
        <v>1</v>
      </c>
      <c r="BT116" s="55">
        <f t="shared" si="259"/>
        <v>1</v>
      </c>
      <c r="BU116" s="55">
        <f t="shared" si="259"/>
        <v>1</v>
      </c>
      <c r="BV116" s="55">
        <f t="shared" si="259"/>
        <v>1</v>
      </c>
      <c r="BW116" s="235">
        <f t="shared" si="259"/>
        <v>1</v>
      </c>
      <c r="BX116" s="55">
        <f t="shared" si="259"/>
        <v>1</v>
      </c>
      <c r="BY116" s="55">
        <f t="shared" si="259"/>
        <v>1</v>
      </c>
      <c r="BZ116" s="55">
        <f t="shared" si="259"/>
        <v>1</v>
      </c>
      <c r="CA116" s="55">
        <f t="shared" si="259"/>
        <v>1</v>
      </c>
      <c r="CB116" s="55">
        <f t="shared" si="259"/>
        <v>1</v>
      </c>
      <c r="CC116" s="55">
        <f t="shared" si="259"/>
        <v>1</v>
      </c>
      <c r="CD116" s="55">
        <f t="shared" si="259"/>
        <v>1</v>
      </c>
      <c r="CE116" s="55">
        <f t="shared" si="259"/>
        <v>1</v>
      </c>
      <c r="CF116" s="55">
        <f t="shared" ref="CF116:DG116" si="260">CE116</f>
        <v>1</v>
      </c>
      <c r="CG116" s="55">
        <f t="shared" si="260"/>
        <v>1</v>
      </c>
      <c r="CH116" s="55">
        <f t="shared" si="260"/>
        <v>1</v>
      </c>
      <c r="CI116" s="235">
        <f t="shared" si="260"/>
        <v>1</v>
      </c>
      <c r="CJ116" s="55">
        <f t="shared" si="260"/>
        <v>1</v>
      </c>
      <c r="CK116" s="55">
        <f t="shared" si="260"/>
        <v>1</v>
      </c>
      <c r="CL116" s="55">
        <f t="shared" si="260"/>
        <v>1</v>
      </c>
      <c r="CM116" s="55">
        <f t="shared" si="260"/>
        <v>1</v>
      </c>
      <c r="CN116" s="55">
        <f t="shared" si="260"/>
        <v>1</v>
      </c>
      <c r="CO116" s="55">
        <f t="shared" si="260"/>
        <v>1</v>
      </c>
      <c r="CP116" s="55">
        <f t="shared" si="260"/>
        <v>1</v>
      </c>
      <c r="CQ116" s="55">
        <f t="shared" si="260"/>
        <v>1</v>
      </c>
      <c r="CR116" s="55">
        <f t="shared" si="260"/>
        <v>1</v>
      </c>
      <c r="CS116" s="55">
        <f t="shared" si="260"/>
        <v>1</v>
      </c>
      <c r="CT116" s="55">
        <f t="shared" si="260"/>
        <v>1</v>
      </c>
      <c r="CU116" s="235">
        <f t="shared" si="260"/>
        <v>1</v>
      </c>
      <c r="CV116" s="55">
        <f t="shared" si="260"/>
        <v>1</v>
      </c>
      <c r="CW116" s="55">
        <f t="shared" si="260"/>
        <v>1</v>
      </c>
      <c r="CX116" s="55">
        <f t="shared" si="260"/>
        <v>1</v>
      </c>
      <c r="CY116" s="55">
        <f t="shared" si="260"/>
        <v>1</v>
      </c>
      <c r="CZ116" s="55">
        <f t="shared" si="260"/>
        <v>1</v>
      </c>
      <c r="DA116" s="55">
        <f t="shared" si="260"/>
        <v>1</v>
      </c>
      <c r="DB116" s="55">
        <f t="shared" si="260"/>
        <v>1</v>
      </c>
      <c r="DC116" s="55">
        <f t="shared" si="260"/>
        <v>1</v>
      </c>
      <c r="DD116" s="55">
        <f t="shared" si="260"/>
        <v>1</v>
      </c>
      <c r="DE116" s="55">
        <f t="shared" si="260"/>
        <v>1</v>
      </c>
      <c r="DF116" s="55">
        <f t="shared" si="260"/>
        <v>1</v>
      </c>
      <c r="DG116" s="55">
        <f t="shared" si="260"/>
        <v>1</v>
      </c>
    </row>
    <row r="117" spans="1:111" x14ac:dyDescent="0.25">
      <c r="B117" s="1" t="s">
        <v>169</v>
      </c>
      <c r="C117" s="1"/>
      <c r="D117" s="49"/>
      <c r="E117" s="49"/>
      <c r="F117" s="49"/>
      <c r="G117" s="49"/>
      <c r="H117" s="49"/>
      <c r="I117" s="49"/>
      <c r="J117" s="49"/>
      <c r="K117" s="49"/>
      <c r="L117" s="49"/>
      <c r="M117" s="49" t="s">
        <v>170</v>
      </c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626"/>
      <c r="AX117" s="627"/>
      <c r="AY117" s="626"/>
      <c r="BK117" s="227"/>
      <c r="BW117" s="227"/>
      <c r="CI117" s="227"/>
      <c r="CU117" s="227"/>
    </row>
    <row r="118" spans="1:111" x14ac:dyDescent="0.25">
      <c r="B118" s="1" t="s">
        <v>171</v>
      </c>
      <c r="C118" s="1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O118" s="43"/>
      <c r="P118" s="104">
        <v>0</v>
      </c>
      <c r="Q118" s="104">
        <v>0</v>
      </c>
      <c r="R118" s="104"/>
      <c r="S118" s="104">
        <v>0</v>
      </c>
      <c r="T118" s="104">
        <v>0</v>
      </c>
      <c r="U118" s="104">
        <v>0</v>
      </c>
      <c r="V118" s="104">
        <v>0</v>
      </c>
      <c r="W118" s="104">
        <v>0</v>
      </c>
      <c r="X118" s="104">
        <v>0</v>
      </c>
      <c r="Y118" s="104">
        <v>0</v>
      </c>
      <c r="Z118" s="104">
        <v>0</v>
      </c>
      <c r="AA118" s="104">
        <v>0</v>
      </c>
      <c r="AB118" s="104">
        <v>0</v>
      </c>
      <c r="AC118" s="104">
        <v>0</v>
      </c>
      <c r="AD118" s="104">
        <v>0</v>
      </c>
      <c r="AE118" s="104">
        <v>0</v>
      </c>
      <c r="AF118" s="104">
        <v>0</v>
      </c>
      <c r="AG118" s="104">
        <v>0</v>
      </c>
      <c r="AH118" s="104">
        <v>0</v>
      </c>
      <c r="AI118" s="104">
        <v>0</v>
      </c>
      <c r="AJ118" s="104">
        <v>0</v>
      </c>
      <c r="AK118" s="104">
        <v>0</v>
      </c>
      <c r="AL118" s="104">
        <v>0</v>
      </c>
      <c r="AM118" s="104">
        <v>0</v>
      </c>
      <c r="AN118" s="104">
        <v>0</v>
      </c>
      <c r="AO118" s="104">
        <v>0</v>
      </c>
      <c r="AP118" s="104">
        <v>0</v>
      </c>
      <c r="AQ118" s="104">
        <v>0</v>
      </c>
      <c r="AR118" s="104">
        <v>0</v>
      </c>
      <c r="AS118" s="104">
        <v>0</v>
      </c>
      <c r="AT118" s="104">
        <v>0</v>
      </c>
      <c r="AU118" s="104">
        <v>0</v>
      </c>
      <c r="AV118" s="104">
        <v>0</v>
      </c>
      <c r="AW118" s="605">
        <v>0</v>
      </c>
      <c r="AX118" s="616">
        <v>0</v>
      </c>
      <c r="AY118" s="628">
        <f t="shared" ref="AY118:CD118" si="261">AX118</f>
        <v>0</v>
      </c>
      <c r="AZ118" s="104">
        <f t="shared" si="261"/>
        <v>0</v>
      </c>
      <c r="BA118" s="104">
        <f t="shared" si="261"/>
        <v>0</v>
      </c>
      <c r="BB118" s="104">
        <f t="shared" si="261"/>
        <v>0</v>
      </c>
      <c r="BC118" s="104">
        <f t="shared" si="261"/>
        <v>0</v>
      </c>
      <c r="BD118" s="104">
        <f t="shared" si="261"/>
        <v>0</v>
      </c>
      <c r="BE118" s="104">
        <f t="shared" si="261"/>
        <v>0</v>
      </c>
      <c r="BF118" s="104">
        <f t="shared" si="261"/>
        <v>0</v>
      </c>
      <c r="BG118" s="104">
        <f t="shared" si="261"/>
        <v>0</v>
      </c>
      <c r="BH118" s="104">
        <f t="shared" si="261"/>
        <v>0</v>
      </c>
      <c r="BI118" s="104">
        <f t="shared" si="261"/>
        <v>0</v>
      </c>
      <c r="BJ118" s="104">
        <f t="shared" si="261"/>
        <v>0</v>
      </c>
      <c r="BK118" s="228">
        <f t="shared" si="261"/>
        <v>0</v>
      </c>
      <c r="BL118" s="104">
        <f t="shared" si="261"/>
        <v>0</v>
      </c>
      <c r="BM118" s="104">
        <f t="shared" si="261"/>
        <v>0</v>
      </c>
      <c r="BN118" s="104">
        <f t="shared" si="261"/>
        <v>0</v>
      </c>
      <c r="BO118" s="104">
        <f t="shared" si="261"/>
        <v>0</v>
      </c>
      <c r="BP118" s="104">
        <f t="shared" si="261"/>
        <v>0</v>
      </c>
      <c r="BQ118" s="104">
        <f t="shared" si="261"/>
        <v>0</v>
      </c>
      <c r="BR118" s="104">
        <f t="shared" si="261"/>
        <v>0</v>
      </c>
      <c r="BS118" s="104">
        <f t="shared" si="261"/>
        <v>0</v>
      </c>
      <c r="BT118" s="104">
        <f t="shared" si="261"/>
        <v>0</v>
      </c>
      <c r="BU118" s="104">
        <f t="shared" si="261"/>
        <v>0</v>
      </c>
      <c r="BV118" s="104">
        <f t="shared" si="261"/>
        <v>0</v>
      </c>
      <c r="BW118" s="228">
        <f t="shared" si="261"/>
        <v>0</v>
      </c>
      <c r="BX118" s="104">
        <f t="shared" si="261"/>
        <v>0</v>
      </c>
      <c r="BY118" s="104">
        <f t="shared" si="261"/>
        <v>0</v>
      </c>
      <c r="BZ118" s="104">
        <f t="shared" si="261"/>
        <v>0</v>
      </c>
      <c r="CA118" s="104">
        <f t="shared" si="261"/>
        <v>0</v>
      </c>
      <c r="CB118" s="104">
        <f t="shared" si="261"/>
        <v>0</v>
      </c>
      <c r="CC118" s="104">
        <f t="shared" si="261"/>
        <v>0</v>
      </c>
      <c r="CD118" s="104">
        <f t="shared" si="261"/>
        <v>0</v>
      </c>
      <c r="CE118" s="104">
        <f t="shared" ref="CE118:DG118" si="262">CD118</f>
        <v>0</v>
      </c>
      <c r="CF118" s="104">
        <f t="shared" si="262"/>
        <v>0</v>
      </c>
      <c r="CG118" s="104">
        <f t="shared" si="262"/>
        <v>0</v>
      </c>
      <c r="CH118" s="104">
        <f t="shared" si="262"/>
        <v>0</v>
      </c>
      <c r="CI118" s="228">
        <f t="shared" si="262"/>
        <v>0</v>
      </c>
      <c r="CJ118" s="104">
        <f t="shared" si="262"/>
        <v>0</v>
      </c>
      <c r="CK118" s="104">
        <f t="shared" si="262"/>
        <v>0</v>
      </c>
      <c r="CL118" s="104">
        <f t="shared" si="262"/>
        <v>0</v>
      </c>
      <c r="CM118" s="104">
        <f t="shared" si="262"/>
        <v>0</v>
      </c>
      <c r="CN118" s="104">
        <f t="shared" si="262"/>
        <v>0</v>
      </c>
      <c r="CO118" s="104">
        <f t="shared" si="262"/>
        <v>0</v>
      </c>
      <c r="CP118" s="104">
        <f t="shared" si="262"/>
        <v>0</v>
      </c>
      <c r="CQ118" s="104">
        <f t="shared" si="262"/>
        <v>0</v>
      </c>
      <c r="CR118" s="104">
        <f t="shared" si="262"/>
        <v>0</v>
      </c>
      <c r="CS118" s="104">
        <f t="shared" si="262"/>
        <v>0</v>
      </c>
      <c r="CT118" s="104">
        <f t="shared" si="262"/>
        <v>0</v>
      </c>
      <c r="CU118" s="228">
        <f t="shared" si="262"/>
        <v>0</v>
      </c>
      <c r="CV118" s="104">
        <f t="shared" si="262"/>
        <v>0</v>
      </c>
      <c r="CW118" s="104">
        <f t="shared" si="262"/>
        <v>0</v>
      </c>
      <c r="CX118" s="104">
        <f t="shared" si="262"/>
        <v>0</v>
      </c>
      <c r="CY118" s="104">
        <f t="shared" si="262"/>
        <v>0</v>
      </c>
      <c r="CZ118" s="104">
        <f t="shared" si="262"/>
        <v>0</v>
      </c>
      <c r="DA118" s="104">
        <f t="shared" si="262"/>
        <v>0</v>
      </c>
      <c r="DB118" s="104">
        <f t="shared" si="262"/>
        <v>0</v>
      </c>
      <c r="DC118" s="104">
        <f t="shared" si="262"/>
        <v>0</v>
      </c>
      <c r="DD118" s="104">
        <f t="shared" si="262"/>
        <v>0</v>
      </c>
      <c r="DE118" s="104">
        <f t="shared" si="262"/>
        <v>0</v>
      </c>
      <c r="DF118" s="104">
        <f t="shared" si="262"/>
        <v>0</v>
      </c>
      <c r="DG118" s="104">
        <f t="shared" si="262"/>
        <v>0</v>
      </c>
    </row>
    <row r="119" spans="1:111" x14ac:dyDescent="0.25">
      <c r="B119" s="1" t="s">
        <v>172</v>
      </c>
      <c r="C119" s="1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O119" s="43"/>
      <c r="P119" s="104"/>
      <c r="Q119" s="104"/>
      <c r="R119" s="104"/>
      <c r="S119" s="104"/>
      <c r="T119" s="104"/>
      <c r="U119" s="104"/>
      <c r="V119" s="104"/>
      <c r="W119" s="104">
        <v>0</v>
      </c>
      <c r="X119" s="104">
        <v>0</v>
      </c>
      <c r="Y119" s="104">
        <v>0</v>
      </c>
      <c r="Z119" s="104">
        <v>0</v>
      </c>
      <c r="AA119" s="104">
        <v>0</v>
      </c>
      <c r="AB119" s="104">
        <v>-46.73</v>
      </c>
      <c r="AC119" s="104">
        <v>-48.27</v>
      </c>
      <c r="AD119" s="104">
        <v>-50.63</v>
      </c>
      <c r="AE119" s="104">
        <v>37.75</v>
      </c>
      <c r="AF119" s="104">
        <v>22.17</v>
      </c>
      <c r="AG119" s="104">
        <v>90.96</v>
      </c>
      <c r="AH119" s="104">
        <v>88.15</v>
      </c>
      <c r="AI119" s="104">
        <v>131.29</v>
      </c>
      <c r="AJ119" s="104">
        <v>130.43</v>
      </c>
      <c r="AK119" s="104">
        <v>-28.63</v>
      </c>
      <c r="AL119" s="104">
        <v>-293</v>
      </c>
      <c r="AM119" s="104">
        <v>14.56</v>
      </c>
      <c r="AN119" s="104">
        <v>123.94</v>
      </c>
      <c r="AO119" s="104">
        <v>5.71</v>
      </c>
      <c r="AP119" s="104">
        <v>11.65</v>
      </c>
      <c r="AQ119" s="104">
        <v>2.88</v>
      </c>
      <c r="AR119" s="104">
        <v>2.88</v>
      </c>
      <c r="AS119" s="104">
        <v>2.88</v>
      </c>
      <c r="AT119" s="104">
        <v>0</v>
      </c>
      <c r="AU119" s="104">
        <v>0</v>
      </c>
      <c r="AV119" s="104">
        <v>0</v>
      </c>
      <c r="AW119" s="605">
        <v>0</v>
      </c>
      <c r="AX119" s="616">
        <v>0</v>
      </c>
      <c r="AY119" s="628">
        <f t="shared" ref="AY119:CD119" si="263">AX119</f>
        <v>0</v>
      </c>
      <c r="AZ119" s="104">
        <f t="shared" si="263"/>
        <v>0</v>
      </c>
      <c r="BA119" s="104">
        <f t="shared" si="263"/>
        <v>0</v>
      </c>
      <c r="BB119" s="104">
        <f t="shared" si="263"/>
        <v>0</v>
      </c>
      <c r="BC119" s="104">
        <f t="shared" si="263"/>
        <v>0</v>
      </c>
      <c r="BD119" s="104">
        <f t="shared" si="263"/>
        <v>0</v>
      </c>
      <c r="BE119" s="104">
        <f t="shared" si="263"/>
        <v>0</v>
      </c>
      <c r="BF119" s="104">
        <f t="shared" si="263"/>
        <v>0</v>
      </c>
      <c r="BG119" s="104">
        <f t="shared" si="263"/>
        <v>0</v>
      </c>
      <c r="BH119" s="104">
        <f t="shared" si="263"/>
        <v>0</v>
      </c>
      <c r="BI119" s="104">
        <f t="shared" si="263"/>
        <v>0</v>
      </c>
      <c r="BJ119" s="104">
        <f t="shared" si="263"/>
        <v>0</v>
      </c>
      <c r="BK119" s="228">
        <f t="shared" si="263"/>
        <v>0</v>
      </c>
      <c r="BL119" s="104">
        <f t="shared" si="263"/>
        <v>0</v>
      </c>
      <c r="BM119" s="104">
        <f t="shared" si="263"/>
        <v>0</v>
      </c>
      <c r="BN119" s="104">
        <f t="shared" si="263"/>
        <v>0</v>
      </c>
      <c r="BO119" s="104">
        <f t="shared" si="263"/>
        <v>0</v>
      </c>
      <c r="BP119" s="104">
        <f t="shared" si="263"/>
        <v>0</v>
      </c>
      <c r="BQ119" s="104">
        <f t="shared" si="263"/>
        <v>0</v>
      </c>
      <c r="BR119" s="104">
        <f t="shared" si="263"/>
        <v>0</v>
      </c>
      <c r="BS119" s="104">
        <f t="shared" si="263"/>
        <v>0</v>
      </c>
      <c r="BT119" s="104">
        <f t="shared" si="263"/>
        <v>0</v>
      </c>
      <c r="BU119" s="104">
        <f t="shared" si="263"/>
        <v>0</v>
      </c>
      <c r="BV119" s="104">
        <f t="shared" si="263"/>
        <v>0</v>
      </c>
      <c r="BW119" s="228">
        <f t="shared" si="263"/>
        <v>0</v>
      </c>
      <c r="BX119" s="104">
        <f t="shared" si="263"/>
        <v>0</v>
      </c>
      <c r="BY119" s="104">
        <f t="shared" si="263"/>
        <v>0</v>
      </c>
      <c r="BZ119" s="104">
        <f t="shared" si="263"/>
        <v>0</v>
      </c>
      <c r="CA119" s="104">
        <f t="shared" si="263"/>
        <v>0</v>
      </c>
      <c r="CB119" s="104">
        <f t="shared" si="263"/>
        <v>0</v>
      </c>
      <c r="CC119" s="104">
        <f t="shared" si="263"/>
        <v>0</v>
      </c>
      <c r="CD119" s="104">
        <f t="shared" si="263"/>
        <v>0</v>
      </c>
      <c r="CE119" s="104">
        <f t="shared" ref="CE119:DG119" si="264">CD119</f>
        <v>0</v>
      </c>
      <c r="CF119" s="104">
        <f t="shared" si="264"/>
        <v>0</v>
      </c>
      <c r="CG119" s="104">
        <f t="shared" si="264"/>
        <v>0</v>
      </c>
      <c r="CH119" s="104">
        <f t="shared" si="264"/>
        <v>0</v>
      </c>
      <c r="CI119" s="228">
        <f t="shared" si="264"/>
        <v>0</v>
      </c>
      <c r="CJ119" s="104">
        <f t="shared" si="264"/>
        <v>0</v>
      </c>
      <c r="CK119" s="104">
        <f t="shared" si="264"/>
        <v>0</v>
      </c>
      <c r="CL119" s="104">
        <f t="shared" si="264"/>
        <v>0</v>
      </c>
      <c r="CM119" s="104">
        <f t="shared" si="264"/>
        <v>0</v>
      </c>
      <c r="CN119" s="104">
        <f t="shared" si="264"/>
        <v>0</v>
      </c>
      <c r="CO119" s="104">
        <f t="shared" si="264"/>
        <v>0</v>
      </c>
      <c r="CP119" s="104">
        <f t="shared" si="264"/>
        <v>0</v>
      </c>
      <c r="CQ119" s="104">
        <f t="shared" si="264"/>
        <v>0</v>
      </c>
      <c r="CR119" s="104">
        <f t="shared" si="264"/>
        <v>0</v>
      </c>
      <c r="CS119" s="104">
        <f t="shared" si="264"/>
        <v>0</v>
      </c>
      <c r="CT119" s="104">
        <f t="shared" si="264"/>
        <v>0</v>
      </c>
      <c r="CU119" s="228">
        <f t="shared" si="264"/>
        <v>0</v>
      </c>
      <c r="CV119" s="104">
        <f t="shared" si="264"/>
        <v>0</v>
      </c>
      <c r="CW119" s="104">
        <f t="shared" si="264"/>
        <v>0</v>
      </c>
      <c r="CX119" s="104">
        <f t="shared" si="264"/>
        <v>0</v>
      </c>
      <c r="CY119" s="104">
        <f t="shared" si="264"/>
        <v>0</v>
      </c>
      <c r="CZ119" s="104">
        <f t="shared" si="264"/>
        <v>0</v>
      </c>
      <c r="DA119" s="104">
        <f t="shared" si="264"/>
        <v>0</v>
      </c>
      <c r="DB119" s="104">
        <f t="shared" si="264"/>
        <v>0</v>
      </c>
      <c r="DC119" s="104">
        <f t="shared" si="264"/>
        <v>0</v>
      </c>
      <c r="DD119" s="104">
        <f t="shared" si="264"/>
        <v>0</v>
      </c>
      <c r="DE119" s="104">
        <f t="shared" si="264"/>
        <v>0</v>
      </c>
      <c r="DF119" s="104">
        <f t="shared" si="264"/>
        <v>0</v>
      </c>
      <c r="DG119" s="104">
        <f t="shared" si="264"/>
        <v>0</v>
      </c>
    </row>
    <row r="120" spans="1:111" hidden="1" x14ac:dyDescent="0.25">
      <c r="B120" s="1" t="s">
        <v>173</v>
      </c>
      <c r="C120" s="1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O120" s="43"/>
      <c r="P120" s="104"/>
      <c r="Q120" s="104"/>
      <c r="R120" s="104"/>
      <c r="S120" s="104"/>
      <c r="T120" s="104"/>
      <c r="U120" s="104"/>
      <c r="V120" s="104"/>
      <c r="W120" s="104">
        <v>0</v>
      </c>
      <c r="X120" s="104">
        <v>0</v>
      </c>
      <c r="Y120" s="104">
        <v>0</v>
      </c>
      <c r="Z120" s="104">
        <v>0</v>
      </c>
      <c r="AA120" s="104">
        <v>0</v>
      </c>
      <c r="AB120" s="104">
        <v>0</v>
      </c>
      <c r="AC120" s="104">
        <v>0</v>
      </c>
      <c r="AD120" s="104">
        <v>0</v>
      </c>
      <c r="AE120" s="104">
        <v>0</v>
      </c>
      <c r="AF120" s="104">
        <v>0</v>
      </c>
      <c r="AG120" s="104">
        <v>0</v>
      </c>
      <c r="AH120" s="104">
        <v>0</v>
      </c>
      <c r="AI120" s="104">
        <v>0</v>
      </c>
      <c r="AJ120" s="104">
        <v>0</v>
      </c>
      <c r="AK120" s="104">
        <v>0</v>
      </c>
      <c r="AL120" s="104">
        <v>0</v>
      </c>
      <c r="AM120" s="104">
        <v>0</v>
      </c>
      <c r="AN120" s="104">
        <v>0</v>
      </c>
      <c r="AO120" s="104">
        <v>0</v>
      </c>
      <c r="AP120" s="104">
        <v>0</v>
      </c>
      <c r="AQ120" s="104">
        <v>0</v>
      </c>
      <c r="AR120" s="104">
        <v>0</v>
      </c>
      <c r="AS120" s="104">
        <v>0</v>
      </c>
      <c r="AT120" s="104">
        <v>0</v>
      </c>
      <c r="AU120" s="104">
        <v>0</v>
      </c>
      <c r="AV120" s="104">
        <v>0</v>
      </c>
      <c r="AW120" s="605">
        <v>0</v>
      </c>
      <c r="AX120" s="616">
        <v>0</v>
      </c>
      <c r="AY120" s="628">
        <f t="shared" ref="AY120:CD120" si="265">AX120</f>
        <v>0</v>
      </c>
      <c r="AZ120" s="104">
        <f t="shared" si="265"/>
        <v>0</v>
      </c>
      <c r="BA120" s="104">
        <f t="shared" si="265"/>
        <v>0</v>
      </c>
      <c r="BB120" s="104">
        <f t="shared" si="265"/>
        <v>0</v>
      </c>
      <c r="BC120" s="104">
        <f t="shared" si="265"/>
        <v>0</v>
      </c>
      <c r="BD120" s="104">
        <f t="shared" si="265"/>
        <v>0</v>
      </c>
      <c r="BE120" s="104">
        <f t="shared" si="265"/>
        <v>0</v>
      </c>
      <c r="BF120" s="104">
        <f t="shared" si="265"/>
        <v>0</v>
      </c>
      <c r="BG120" s="104">
        <f t="shared" si="265"/>
        <v>0</v>
      </c>
      <c r="BH120" s="104">
        <f t="shared" si="265"/>
        <v>0</v>
      </c>
      <c r="BI120" s="104">
        <f t="shared" si="265"/>
        <v>0</v>
      </c>
      <c r="BJ120" s="104">
        <f t="shared" si="265"/>
        <v>0</v>
      </c>
      <c r="BK120" s="228">
        <f t="shared" si="265"/>
        <v>0</v>
      </c>
      <c r="BL120" s="104">
        <f t="shared" si="265"/>
        <v>0</v>
      </c>
      <c r="BM120" s="104">
        <f t="shared" si="265"/>
        <v>0</v>
      </c>
      <c r="BN120" s="104">
        <f t="shared" si="265"/>
        <v>0</v>
      </c>
      <c r="BO120" s="104">
        <f t="shared" si="265"/>
        <v>0</v>
      </c>
      <c r="BP120" s="104">
        <f t="shared" si="265"/>
        <v>0</v>
      </c>
      <c r="BQ120" s="104">
        <f t="shared" si="265"/>
        <v>0</v>
      </c>
      <c r="BR120" s="104">
        <f t="shared" si="265"/>
        <v>0</v>
      </c>
      <c r="BS120" s="104">
        <f t="shared" si="265"/>
        <v>0</v>
      </c>
      <c r="BT120" s="104">
        <f t="shared" si="265"/>
        <v>0</v>
      </c>
      <c r="BU120" s="104">
        <f t="shared" si="265"/>
        <v>0</v>
      </c>
      <c r="BV120" s="104">
        <f t="shared" si="265"/>
        <v>0</v>
      </c>
      <c r="BW120" s="228">
        <f t="shared" si="265"/>
        <v>0</v>
      </c>
      <c r="BX120" s="104">
        <f t="shared" si="265"/>
        <v>0</v>
      </c>
      <c r="BY120" s="104">
        <f t="shared" si="265"/>
        <v>0</v>
      </c>
      <c r="BZ120" s="104">
        <f t="shared" si="265"/>
        <v>0</v>
      </c>
      <c r="CA120" s="104">
        <f t="shared" si="265"/>
        <v>0</v>
      </c>
      <c r="CB120" s="104">
        <f t="shared" si="265"/>
        <v>0</v>
      </c>
      <c r="CC120" s="104">
        <f t="shared" si="265"/>
        <v>0</v>
      </c>
      <c r="CD120" s="104">
        <f t="shared" si="265"/>
        <v>0</v>
      </c>
      <c r="CE120" s="104">
        <f t="shared" ref="CE120:DG120" si="266">CD120</f>
        <v>0</v>
      </c>
      <c r="CF120" s="104">
        <f t="shared" si="266"/>
        <v>0</v>
      </c>
      <c r="CG120" s="104">
        <f t="shared" si="266"/>
        <v>0</v>
      </c>
      <c r="CH120" s="104">
        <f t="shared" si="266"/>
        <v>0</v>
      </c>
      <c r="CI120" s="228">
        <f t="shared" si="266"/>
        <v>0</v>
      </c>
      <c r="CJ120" s="104">
        <f t="shared" si="266"/>
        <v>0</v>
      </c>
      <c r="CK120" s="104">
        <f t="shared" si="266"/>
        <v>0</v>
      </c>
      <c r="CL120" s="104">
        <f t="shared" si="266"/>
        <v>0</v>
      </c>
      <c r="CM120" s="104">
        <f t="shared" si="266"/>
        <v>0</v>
      </c>
      <c r="CN120" s="104">
        <f t="shared" si="266"/>
        <v>0</v>
      </c>
      <c r="CO120" s="104">
        <f t="shared" si="266"/>
        <v>0</v>
      </c>
      <c r="CP120" s="104">
        <f t="shared" si="266"/>
        <v>0</v>
      </c>
      <c r="CQ120" s="104">
        <f t="shared" si="266"/>
        <v>0</v>
      </c>
      <c r="CR120" s="104">
        <f t="shared" si="266"/>
        <v>0</v>
      </c>
      <c r="CS120" s="104">
        <f t="shared" si="266"/>
        <v>0</v>
      </c>
      <c r="CT120" s="104">
        <f t="shared" si="266"/>
        <v>0</v>
      </c>
      <c r="CU120" s="228">
        <f t="shared" si="266"/>
        <v>0</v>
      </c>
      <c r="CV120" s="104">
        <f t="shared" si="266"/>
        <v>0</v>
      </c>
      <c r="CW120" s="104">
        <f t="shared" si="266"/>
        <v>0</v>
      </c>
      <c r="CX120" s="104">
        <f t="shared" si="266"/>
        <v>0</v>
      </c>
      <c r="CY120" s="104">
        <f t="shared" si="266"/>
        <v>0</v>
      </c>
      <c r="CZ120" s="104">
        <f t="shared" si="266"/>
        <v>0</v>
      </c>
      <c r="DA120" s="104">
        <f t="shared" si="266"/>
        <v>0</v>
      </c>
      <c r="DB120" s="104">
        <f t="shared" si="266"/>
        <v>0</v>
      </c>
      <c r="DC120" s="104">
        <f t="shared" si="266"/>
        <v>0</v>
      </c>
      <c r="DD120" s="104">
        <f t="shared" si="266"/>
        <v>0</v>
      </c>
      <c r="DE120" s="104">
        <f t="shared" si="266"/>
        <v>0</v>
      </c>
      <c r="DF120" s="104">
        <f t="shared" si="266"/>
        <v>0</v>
      </c>
      <c r="DG120" s="104">
        <f t="shared" si="266"/>
        <v>0</v>
      </c>
    </row>
    <row r="121" spans="1:111" hidden="1" x14ac:dyDescent="0.25">
      <c r="B121" s="1" t="s">
        <v>174</v>
      </c>
      <c r="C121" s="1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O121" s="43"/>
      <c r="P121" s="104"/>
      <c r="Q121" s="104"/>
      <c r="R121" s="104"/>
      <c r="S121" s="104"/>
      <c r="T121" s="104"/>
      <c r="U121" s="104"/>
      <c r="V121" s="104"/>
      <c r="W121" s="104">
        <v>0</v>
      </c>
      <c r="X121" s="104">
        <v>0</v>
      </c>
      <c r="Y121" s="104">
        <v>0</v>
      </c>
      <c r="Z121" s="104">
        <v>0</v>
      </c>
      <c r="AA121" s="104">
        <v>0</v>
      </c>
      <c r="AB121" s="104">
        <v>0</v>
      </c>
      <c r="AC121" s="104">
        <v>0</v>
      </c>
      <c r="AD121" s="104">
        <v>0</v>
      </c>
      <c r="AE121" s="104">
        <v>0</v>
      </c>
      <c r="AF121" s="104">
        <v>0</v>
      </c>
      <c r="AG121" s="104">
        <v>0</v>
      </c>
      <c r="AH121" s="104">
        <v>0</v>
      </c>
      <c r="AI121" s="104">
        <v>0</v>
      </c>
      <c r="AJ121" s="104">
        <v>0</v>
      </c>
      <c r="AK121" s="104">
        <v>0</v>
      </c>
      <c r="AL121" s="104">
        <v>0</v>
      </c>
      <c r="AM121" s="104">
        <v>0</v>
      </c>
      <c r="AN121" s="104">
        <v>0</v>
      </c>
      <c r="AO121" s="104">
        <v>0</v>
      </c>
      <c r="AP121" s="104">
        <v>0</v>
      </c>
      <c r="AQ121" s="104">
        <v>0</v>
      </c>
      <c r="AR121" s="104">
        <v>0</v>
      </c>
      <c r="AS121" s="104">
        <v>0</v>
      </c>
      <c r="AT121" s="104">
        <v>0</v>
      </c>
      <c r="AU121" s="104">
        <v>0</v>
      </c>
      <c r="AV121" s="104">
        <v>0</v>
      </c>
      <c r="AW121" s="605">
        <v>0</v>
      </c>
      <c r="AX121" s="616">
        <v>0</v>
      </c>
      <c r="AY121" s="628">
        <f t="shared" ref="AY121:CD121" si="267">AX121</f>
        <v>0</v>
      </c>
      <c r="AZ121" s="104">
        <f t="shared" si="267"/>
        <v>0</v>
      </c>
      <c r="BA121" s="104">
        <f t="shared" si="267"/>
        <v>0</v>
      </c>
      <c r="BB121" s="104">
        <f t="shared" si="267"/>
        <v>0</v>
      </c>
      <c r="BC121" s="104">
        <f t="shared" si="267"/>
        <v>0</v>
      </c>
      <c r="BD121" s="104">
        <f t="shared" si="267"/>
        <v>0</v>
      </c>
      <c r="BE121" s="104">
        <f t="shared" si="267"/>
        <v>0</v>
      </c>
      <c r="BF121" s="104">
        <f t="shared" si="267"/>
        <v>0</v>
      </c>
      <c r="BG121" s="104">
        <f t="shared" si="267"/>
        <v>0</v>
      </c>
      <c r="BH121" s="104">
        <f t="shared" si="267"/>
        <v>0</v>
      </c>
      <c r="BI121" s="104">
        <f t="shared" si="267"/>
        <v>0</v>
      </c>
      <c r="BJ121" s="104">
        <f t="shared" si="267"/>
        <v>0</v>
      </c>
      <c r="BK121" s="228">
        <f t="shared" si="267"/>
        <v>0</v>
      </c>
      <c r="BL121" s="104">
        <f t="shared" si="267"/>
        <v>0</v>
      </c>
      <c r="BM121" s="104">
        <f t="shared" si="267"/>
        <v>0</v>
      </c>
      <c r="BN121" s="104">
        <f t="shared" si="267"/>
        <v>0</v>
      </c>
      <c r="BO121" s="104">
        <f t="shared" si="267"/>
        <v>0</v>
      </c>
      <c r="BP121" s="104">
        <f t="shared" si="267"/>
        <v>0</v>
      </c>
      <c r="BQ121" s="104">
        <f t="shared" si="267"/>
        <v>0</v>
      </c>
      <c r="BR121" s="104">
        <f t="shared" si="267"/>
        <v>0</v>
      </c>
      <c r="BS121" s="104">
        <f t="shared" si="267"/>
        <v>0</v>
      </c>
      <c r="BT121" s="104">
        <f t="shared" si="267"/>
        <v>0</v>
      </c>
      <c r="BU121" s="104">
        <f t="shared" si="267"/>
        <v>0</v>
      </c>
      <c r="BV121" s="104">
        <f t="shared" si="267"/>
        <v>0</v>
      </c>
      <c r="BW121" s="228">
        <f t="shared" si="267"/>
        <v>0</v>
      </c>
      <c r="BX121" s="104">
        <f t="shared" si="267"/>
        <v>0</v>
      </c>
      <c r="BY121" s="104">
        <f t="shared" si="267"/>
        <v>0</v>
      </c>
      <c r="BZ121" s="104">
        <f t="shared" si="267"/>
        <v>0</v>
      </c>
      <c r="CA121" s="104">
        <f t="shared" si="267"/>
        <v>0</v>
      </c>
      <c r="CB121" s="104">
        <f t="shared" si="267"/>
        <v>0</v>
      </c>
      <c r="CC121" s="104">
        <f t="shared" si="267"/>
        <v>0</v>
      </c>
      <c r="CD121" s="104">
        <f t="shared" si="267"/>
        <v>0</v>
      </c>
      <c r="CE121" s="104">
        <f t="shared" ref="CE121:DG121" si="268">CD121</f>
        <v>0</v>
      </c>
      <c r="CF121" s="104">
        <f t="shared" si="268"/>
        <v>0</v>
      </c>
      <c r="CG121" s="104">
        <f t="shared" si="268"/>
        <v>0</v>
      </c>
      <c r="CH121" s="104">
        <f t="shared" si="268"/>
        <v>0</v>
      </c>
      <c r="CI121" s="228">
        <f t="shared" si="268"/>
        <v>0</v>
      </c>
      <c r="CJ121" s="104">
        <f t="shared" si="268"/>
        <v>0</v>
      </c>
      <c r="CK121" s="104">
        <f t="shared" si="268"/>
        <v>0</v>
      </c>
      <c r="CL121" s="104">
        <f t="shared" si="268"/>
        <v>0</v>
      </c>
      <c r="CM121" s="104">
        <f t="shared" si="268"/>
        <v>0</v>
      </c>
      <c r="CN121" s="104">
        <f t="shared" si="268"/>
        <v>0</v>
      </c>
      <c r="CO121" s="104">
        <f t="shared" si="268"/>
        <v>0</v>
      </c>
      <c r="CP121" s="104">
        <f t="shared" si="268"/>
        <v>0</v>
      </c>
      <c r="CQ121" s="104">
        <f t="shared" si="268"/>
        <v>0</v>
      </c>
      <c r="CR121" s="104">
        <f t="shared" si="268"/>
        <v>0</v>
      </c>
      <c r="CS121" s="104">
        <f t="shared" si="268"/>
        <v>0</v>
      </c>
      <c r="CT121" s="104">
        <f t="shared" si="268"/>
        <v>0</v>
      </c>
      <c r="CU121" s="228">
        <f t="shared" si="268"/>
        <v>0</v>
      </c>
      <c r="CV121" s="104">
        <f t="shared" si="268"/>
        <v>0</v>
      </c>
      <c r="CW121" s="104">
        <f t="shared" si="268"/>
        <v>0</v>
      </c>
      <c r="CX121" s="104">
        <f t="shared" si="268"/>
        <v>0</v>
      </c>
      <c r="CY121" s="104">
        <f t="shared" si="268"/>
        <v>0</v>
      </c>
      <c r="CZ121" s="104">
        <f t="shared" si="268"/>
        <v>0</v>
      </c>
      <c r="DA121" s="104">
        <f t="shared" si="268"/>
        <v>0</v>
      </c>
      <c r="DB121" s="104">
        <f t="shared" si="268"/>
        <v>0</v>
      </c>
      <c r="DC121" s="104">
        <f t="shared" si="268"/>
        <v>0</v>
      </c>
      <c r="DD121" s="104">
        <f t="shared" si="268"/>
        <v>0</v>
      </c>
      <c r="DE121" s="104">
        <f t="shared" si="268"/>
        <v>0</v>
      </c>
      <c r="DF121" s="104">
        <f t="shared" si="268"/>
        <v>0</v>
      </c>
      <c r="DG121" s="104">
        <f t="shared" si="268"/>
        <v>0</v>
      </c>
    </row>
    <row r="122" spans="1:111" hidden="1" x14ac:dyDescent="0.25">
      <c r="B122" s="1" t="s">
        <v>175</v>
      </c>
      <c r="C122" s="1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O122" s="43"/>
      <c r="P122" s="104"/>
      <c r="Q122" s="104"/>
      <c r="R122" s="104"/>
      <c r="S122" s="104"/>
      <c r="T122" s="104"/>
      <c r="U122" s="104"/>
      <c r="V122" s="104"/>
      <c r="W122" s="104">
        <v>0</v>
      </c>
      <c r="X122" s="104">
        <v>0</v>
      </c>
      <c r="Y122" s="104">
        <v>0</v>
      </c>
      <c r="Z122" s="104">
        <v>0</v>
      </c>
      <c r="AA122" s="104">
        <v>0</v>
      </c>
      <c r="AB122" s="104">
        <v>0</v>
      </c>
      <c r="AC122" s="104">
        <v>0</v>
      </c>
      <c r="AD122" s="104">
        <v>0</v>
      </c>
      <c r="AE122" s="104">
        <v>0</v>
      </c>
      <c r="AF122" s="104">
        <v>0</v>
      </c>
      <c r="AG122" s="104">
        <v>0</v>
      </c>
      <c r="AH122" s="104">
        <v>0</v>
      </c>
      <c r="AI122" s="104">
        <v>0</v>
      </c>
      <c r="AJ122" s="104">
        <v>0</v>
      </c>
      <c r="AK122" s="104">
        <v>0</v>
      </c>
      <c r="AL122" s="104">
        <v>0</v>
      </c>
      <c r="AM122" s="104">
        <v>0</v>
      </c>
      <c r="AN122" s="104">
        <v>0</v>
      </c>
      <c r="AO122" s="104">
        <v>0</v>
      </c>
      <c r="AP122" s="104">
        <v>0</v>
      </c>
      <c r="AQ122" s="104">
        <v>0</v>
      </c>
      <c r="AR122" s="104">
        <v>0</v>
      </c>
      <c r="AS122" s="104">
        <v>0</v>
      </c>
      <c r="AT122" s="104">
        <v>0</v>
      </c>
      <c r="AU122" s="104">
        <v>0</v>
      </c>
      <c r="AV122" s="104">
        <v>0</v>
      </c>
      <c r="AW122" s="605">
        <v>0</v>
      </c>
      <c r="AX122" s="616">
        <v>0</v>
      </c>
      <c r="AY122" s="628">
        <f t="shared" ref="AY122:CD122" si="269">AX122</f>
        <v>0</v>
      </c>
      <c r="AZ122" s="104">
        <f t="shared" si="269"/>
        <v>0</v>
      </c>
      <c r="BA122" s="104">
        <f t="shared" si="269"/>
        <v>0</v>
      </c>
      <c r="BB122" s="104">
        <f t="shared" si="269"/>
        <v>0</v>
      </c>
      <c r="BC122" s="104">
        <f t="shared" si="269"/>
        <v>0</v>
      </c>
      <c r="BD122" s="104">
        <f t="shared" si="269"/>
        <v>0</v>
      </c>
      <c r="BE122" s="104">
        <f t="shared" si="269"/>
        <v>0</v>
      </c>
      <c r="BF122" s="104">
        <f t="shared" si="269"/>
        <v>0</v>
      </c>
      <c r="BG122" s="104">
        <f t="shared" si="269"/>
        <v>0</v>
      </c>
      <c r="BH122" s="104">
        <f t="shared" si="269"/>
        <v>0</v>
      </c>
      <c r="BI122" s="104">
        <f t="shared" si="269"/>
        <v>0</v>
      </c>
      <c r="BJ122" s="104">
        <f t="shared" si="269"/>
        <v>0</v>
      </c>
      <c r="BK122" s="228">
        <f t="shared" si="269"/>
        <v>0</v>
      </c>
      <c r="BL122" s="104">
        <f t="shared" si="269"/>
        <v>0</v>
      </c>
      <c r="BM122" s="104">
        <f t="shared" si="269"/>
        <v>0</v>
      </c>
      <c r="BN122" s="104">
        <f t="shared" si="269"/>
        <v>0</v>
      </c>
      <c r="BO122" s="104">
        <f t="shared" si="269"/>
        <v>0</v>
      </c>
      <c r="BP122" s="104">
        <f t="shared" si="269"/>
        <v>0</v>
      </c>
      <c r="BQ122" s="104">
        <f t="shared" si="269"/>
        <v>0</v>
      </c>
      <c r="BR122" s="104">
        <f t="shared" si="269"/>
        <v>0</v>
      </c>
      <c r="BS122" s="104">
        <f t="shared" si="269"/>
        <v>0</v>
      </c>
      <c r="BT122" s="104">
        <f t="shared" si="269"/>
        <v>0</v>
      </c>
      <c r="BU122" s="104">
        <f t="shared" si="269"/>
        <v>0</v>
      </c>
      <c r="BV122" s="104">
        <f t="shared" si="269"/>
        <v>0</v>
      </c>
      <c r="BW122" s="228">
        <f t="shared" si="269"/>
        <v>0</v>
      </c>
      <c r="BX122" s="104">
        <f t="shared" si="269"/>
        <v>0</v>
      </c>
      <c r="BY122" s="104">
        <f t="shared" si="269"/>
        <v>0</v>
      </c>
      <c r="BZ122" s="104">
        <f t="shared" si="269"/>
        <v>0</v>
      </c>
      <c r="CA122" s="104">
        <f t="shared" si="269"/>
        <v>0</v>
      </c>
      <c r="CB122" s="104">
        <f t="shared" si="269"/>
        <v>0</v>
      </c>
      <c r="CC122" s="104">
        <f t="shared" si="269"/>
        <v>0</v>
      </c>
      <c r="CD122" s="104">
        <f t="shared" si="269"/>
        <v>0</v>
      </c>
      <c r="CE122" s="104">
        <f t="shared" ref="CE122:DG122" si="270">CD122</f>
        <v>0</v>
      </c>
      <c r="CF122" s="104">
        <f t="shared" si="270"/>
        <v>0</v>
      </c>
      <c r="CG122" s="104">
        <f t="shared" si="270"/>
        <v>0</v>
      </c>
      <c r="CH122" s="104">
        <f t="shared" si="270"/>
        <v>0</v>
      </c>
      <c r="CI122" s="228">
        <f t="shared" si="270"/>
        <v>0</v>
      </c>
      <c r="CJ122" s="104">
        <f t="shared" si="270"/>
        <v>0</v>
      </c>
      <c r="CK122" s="104">
        <f t="shared" si="270"/>
        <v>0</v>
      </c>
      <c r="CL122" s="104">
        <f t="shared" si="270"/>
        <v>0</v>
      </c>
      <c r="CM122" s="104">
        <f t="shared" si="270"/>
        <v>0</v>
      </c>
      <c r="CN122" s="104">
        <f t="shared" si="270"/>
        <v>0</v>
      </c>
      <c r="CO122" s="104">
        <f t="shared" si="270"/>
        <v>0</v>
      </c>
      <c r="CP122" s="104">
        <f t="shared" si="270"/>
        <v>0</v>
      </c>
      <c r="CQ122" s="104">
        <f t="shared" si="270"/>
        <v>0</v>
      </c>
      <c r="CR122" s="104">
        <f t="shared" si="270"/>
        <v>0</v>
      </c>
      <c r="CS122" s="104">
        <f t="shared" si="270"/>
        <v>0</v>
      </c>
      <c r="CT122" s="104">
        <f t="shared" si="270"/>
        <v>0</v>
      </c>
      <c r="CU122" s="228">
        <f t="shared" si="270"/>
        <v>0</v>
      </c>
      <c r="CV122" s="104">
        <f t="shared" si="270"/>
        <v>0</v>
      </c>
      <c r="CW122" s="104">
        <f t="shared" si="270"/>
        <v>0</v>
      </c>
      <c r="CX122" s="104">
        <f t="shared" si="270"/>
        <v>0</v>
      </c>
      <c r="CY122" s="104">
        <f t="shared" si="270"/>
        <v>0</v>
      </c>
      <c r="CZ122" s="104">
        <f t="shared" si="270"/>
        <v>0</v>
      </c>
      <c r="DA122" s="104">
        <f t="shared" si="270"/>
        <v>0</v>
      </c>
      <c r="DB122" s="104">
        <f t="shared" si="270"/>
        <v>0</v>
      </c>
      <c r="DC122" s="104">
        <f t="shared" si="270"/>
        <v>0</v>
      </c>
      <c r="DD122" s="104">
        <f t="shared" si="270"/>
        <v>0</v>
      </c>
      <c r="DE122" s="104">
        <f t="shared" si="270"/>
        <v>0</v>
      </c>
      <c r="DF122" s="104">
        <f t="shared" si="270"/>
        <v>0</v>
      </c>
      <c r="DG122" s="104">
        <f t="shared" si="270"/>
        <v>0</v>
      </c>
    </row>
    <row r="123" spans="1:111" hidden="1" x14ac:dyDescent="0.25">
      <c r="B123" s="1" t="s">
        <v>176</v>
      </c>
      <c r="C123" s="1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O123" s="43"/>
      <c r="P123" s="104"/>
      <c r="Q123" s="104"/>
      <c r="R123" s="104"/>
      <c r="S123" s="104"/>
      <c r="T123" s="104"/>
      <c r="U123" s="104"/>
      <c r="V123" s="104"/>
      <c r="W123" s="104">
        <v>0</v>
      </c>
      <c r="X123" s="104">
        <v>0</v>
      </c>
      <c r="Y123" s="104">
        <v>0</v>
      </c>
      <c r="Z123" s="104">
        <v>0</v>
      </c>
      <c r="AA123" s="104">
        <v>0</v>
      </c>
      <c r="AB123" s="104">
        <v>0</v>
      </c>
      <c r="AC123" s="104">
        <v>0</v>
      </c>
      <c r="AD123" s="104">
        <v>0</v>
      </c>
      <c r="AE123" s="104">
        <v>0</v>
      </c>
      <c r="AF123" s="104">
        <v>0</v>
      </c>
      <c r="AG123" s="104">
        <v>0</v>
      </c>
      <c r="AH123" s="104">
        <v>0</v>
      </c>
      <c r="AI123" s="104">
        <v>0</v>
      </c>
      <c r="AJ123" s="104">
        <v>0</v>
      </c>
      <c r="AK123" s="104">
        <v>0</v>
      </c>
      <c r="AL123" s="104">
        <v>0</v>
      </c>
      <c r="AM123" s="104">
        <v>0</v>
      </c>
      <c r="AN123" s="104">
        <v>0</v>
      </c>
      <c r="AO123" s="104">
        <v>0</v>
      </c>
      <c r="AP123" s="104">
        <v>0</v>
      </c>
      <c r="AQ123" s="104">
        <v>0</v>
      </c>
      <c r="AR123" s="104">
        <v>0</v>
      </c>
      <c r="AS123" s="104">
        <v>0</v>
      </c>
      <c r="AT123" s="104">
        <v>0</v>
      </c>
      <c r="AU123" s="104">
        <v>0</v>
      </c>
      <c r="AV123" s="104">
        <v>0</v>
      </c>
      <c r="AW123" s="605">
        <v>0</v>
      </c>
      <c r="AX123" s="616">
        <v>0</v>
      </c>
      <c r="AY123" s="628">
        <f t="shared" ref="AY123:CD123" si="271">AX123</f>
        <v>0</v>
      </c>
      <c r="AZ123" s="104">
        <f t="shared" si="271"/>
        <v>0</v>
      </c>
      <c r="BA123" s="104">
        <f t="shared" si="271"/>
        <v>0</v>
      </c>
      <c r="BB123" s="104">
        <f t="shared" si="271"/>
        <v>0</v>
      </c>
      <c r="BC123" s="104">
        <f t="shared" si="271"/>
        <v>0</v>
      </c>
      <c r="BD123" s="104">
        <f t="shared" si="271"/>
        <v>0</v>
      </c>
      <c r="BE123" s="104">
        <f t="shared" si="271"/>
        <v>0</v>
      </c>
      <c r="BF123" s="104">
        <f t="shared" si="271"/>
        <v>0</v>
      </c>
      <c r="BG123" s="104">
        <f t="shared" si="271"/>
        <v>0</v>
      </c>
      <c r="BH123" s="104">
        <f t="shared" si="271"/>
        <v>0</v>
      </c>
      <c r="BI123" s="104">
        <f t="shared" si="271"/>
        <v>0</v>
      </c>
      <c r="BJ123" s="104">
        <f t="shared" si="271"/>
        <v>0</v>
      </c>
      <c r="BK123" s="228">
        <f t="shared" si="271"/>
        <v>0</v>
      </c>
      <c r="BL123" s="104">
        <f t="shared" si="271"/>
        <v>0</v>
      </c>
      <c r="BM123" s="104">
        <f t="shared" si="271"/>
        <v>0</v>
      </c>
      <c r="BN123" s="104">
        <f t="shared" si="271"/>
        <v>0</v>
      </c>
      <c r="BO123" s="104">
        <f t="shared" si="271"/>
        <v>0</v>
      </c>
      <c r="BP123" s="104">
        <f t="shared" si="271"/>
        <v>0</v>
      </c>
      <c r="BQ123" s="104">
        <f t="shared" si="271"/>
        <v>0</v>
      </c>
      <c r="BR123" s="104">
        <f t="shared" si="271"/>
        <v>0</v>
      </c>
      <c r="BS123" s="104">
        <f t="shared" si="271"/>
        <v>0</v>
      </c>
      <c r="BT123" s="104">
        <f t="shared" si="271"/>
        <v>0</v>
      </c>
      <c r="BU123" s="104">
        <f t="shared" si="271"/>
        <v>0</v>
      </c>
      <c r="BV123" s="104">
        <f t="shared" si="271"/>
        <v>0</v>
      </c>
      <c r="BW123" s="228">
        <f t="shared" si="271"/>
        <v>0</v>
      </c>
      <c r="BX123" s="104">
        <f t="shared" si="271"/>
        <v>0</v>
      </c>
      <c r="BY123" s="104">
        <f t="shared" si="271"/>
        <v>0</v>
      </c>
      <c r="BZ123" s="104">
        <f t="shared" si="271"/>
        <v>0</v>
      </c>
      <c r="CA123" s="104">
        <f t="shared" si="271"/>
        <v>0</v>
      </c>
      <c r="CB123" s="104">
        <f t="shared" si="271"/>
        <v>0</v>
      </c>
      <c r="CC123" s="104">
        <f t="shared" si="271"/>
        <v>0</v>
      </c>
      <c r="CD123" s="104">
        <f t="shared" si="271"/>
        <v>0</v>
      </c>
      <c r="CE123" s="104">
        <f t="shared" ref="CE123:DG123" si="272">CD123</f>
        <v>0</v>
      </c>
      <c r="CF123" s="104">
        <f t="shared" si="272"/>
        <v>0</v>
      </c>
      <c r="CG123" s="104">
        <f t="shared" si="272"/>
        <v>0</v>
      </c>
      <c r="CH123" s="104">
        <f t="shared" si="272"/>
        <v>0</v>
      </c>
      <c r="CI123" s="228">
        <f t="shared" si="272"/>
        <v>0</v>
      </c>
      <c r="CJ123" s="104">
        <f t="shared" si="272"/>
        <v>0</v>
      </c>
      <c r="CK123" s="104">
        <f t="shared" si="272"/>
        <v>0</v>
      </c>
      <c r="CL123" s="104">
        <f t="shared" si="272"/>
        <v>0</v>
      </c>
      <c r="CM123" s="104">
        <f t="shared" si="272"/>
        <v>0</v>
      </c>
      <c r="CN123" s="104">
        <f t="shared" si="272"/>
        <v>0</v>
      </c>
      <c r="CO123" s="104">
        <f t="shared" si="272"/>
        <v>0</v>
      </c>
      <c r="CP123" s="104">
        <f t="shared" si="272"/>
        <v>0</v>
      </c>
      <c r="CQ123" s="104">
        <f t="shared" si="272"/>
        <v>0</v>
      </c>
      <c r="CR123" s="104">
        <f t="shared" si="272"/>
        <v>0</v>
      </c>
      <c r="CS123" s="104">
        <f t="shared" si="272"/>
        <v>0</v>
      </c>
      <c r="CT123" s="104">
        <f t="shared" si="272"/>
        <v>0</v>
      </c>
      <c r="CU123" s="228">
        <f t="shared" si="272"/>
        <v>0</v>
      </c>
      <c r="CV123" s="104">
        <f t="shared" si="272"/>
        <v>0</v>
      </c>
      <c r="CW123" s="104">
        <f t="shared" si="272"/>
        <v>0</v>
      </c>
      <c r="CX123" s="104">
        <f t="shared" si="272"/>
        <v>0</v>
      </c>
      <c r="CY123" s="104">
        <f t="shared" si="272"/>
        <v>0</v>
      </c>
      <c r="CZ123" s="104">
        <f t="shared" si="272"/>
        <v>0</v>
      </c>
      <c r="DA123" s="104">
        <f t="shared" si="272"/>
        <v>0</v>
      </c>
      <c r="DB123" s="104">
        <f t="shared" si="272"/>
        <v>0</v>
      </c>
      <c r="DC123" s="104">
        <f t="shared" si="272"/>
        <v>0</v>
      </c>
      <c r="DD123" s="104">
        <f t="shared" si="272"/>
        <v>0</v>
      </c>
      <c r="DE123" s="104">
        <f t="shared" si="272"/>
        <v>0</v>
      </c>
      <c r="DF123" s="104">
        <f t="shared" si="272"/>
        <v>0</v>
      </c>
      <c r="DG123" s="104">
        <f t="shared" si="272"/>
        <v>0</v>
      </c>
    </row>
    <row r="124" spans="1:111" x14ac:dyDescent="0.25">
      <c r="A124" s="5"/>
      <c r="B124" s="6" t="s">
        <v>177</v>
      </c>
      <c r="C124" s="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>
        <f t="shared" ref="W124:BB124" si="273">SUM(W118:W123)</f>
        <v>0</v>
      </c>
      <c r="X124" s="46">
        <f t="shared" si="273"/>
        <v>0</v>
      </c>
      <c r="Y124" s="46">
        <f t="shared" si="273"/>
        <v>0</v>
      </c>
      <c r="Z124" s="46">
        <f t="shared" si="273"/>
        <v>0</v>
      </c>
      <c r="AA124" s="46">
        <f t="shared" si="273"/>
        <v>0</v>
      </c>
      <c r="AB124" s="46">
        <f t="shared" si="273"/>
        <v>-46.73</v>
      </c>
      <c r="AC124" s="46">
        <f t="shared" si="273"/>
        <v>-48.27</v>
      </c>
      <c r="AD124" s="46">
        <f t="shared" si="273"/>
        <v>-50.63</v>
      </c>
      <c r="AE124" s="46">
        <f t="shared" si="273"/>
        <v>37.75</v>
      </c>
      <c r="AF124" s="46">
        <f t="shared" si="273"/>
        <v>22.17</v>
      </c>
      <c r="AG124" s="46">
        <f t="shared" si="273"/>
        <v>90.96</v>
      </c>
      <c r="AH124" s="46">
        <f t="shared" si="273"/>
        <v>88.15</v>
      </c>
      <c r="AI124" s="46">
        <f t="shared" si="273"/>
        <v>131.29</v>
      </c>
      <c r="AJ124" s="46">
        <f t="shared" si="273"/>
        <v>130.43</v>
      </c>
      <c r="AK124" s="46">
        <f t="shared" si="273"/>
        <v>-28.63</v>
      </c>
      <c r="AL124" s="46">
        <f t="shared" si="273"/>
        <v>-293</v>
      </c>
      <c r="AM124" s="46">
        <f t="shared" si="273"/>
        <v>14.56</v>
      </c>
      <c r="AN124" s="46">
        <f t="shared" si="273"/>
        <v>123.94</v>
      </c>
      <c r="AO124" s="46">
        <f t="shared" si="273"/>
        <v>5.71</v>
      </c>
      <c r="AP124" s="46">
        <f t="shared" si="273"/>
        <v>11.65</v>
      </c>
      <c r="AQ124" s="46">
        <f t="shared" si="273"/>
        <v>2.88</v>
      </c>
      <c r="AR124" s="46">
        <f t="shared" si="273"/>
        <v>2.88</v>
      </c>
      <c r="AS124" s="46">
        <f t="shared" si="273"/>
        <v>2.88</v>
      </c>
      <c r="AT124" s="46">
        <f t="shared" si="273"/>
        <v>0</v>
      </c>
      <c r="AU124" s="46">
        <f t="shared" si="273"/>
        <v>0</v>
      </c>
      <c r="AV124" s="46">
        <f t="shared" si="273"/>
        <v>0</v>
      </c>
      <c r="AW124" s="46">
        <f t="shared" si="273"/>
        <v>0</v>
      </c>
      <c r="AX124" s="233">
        <f t="shared" si="273"/>
        <v>0</v>
      </c>
      <c r="AY124" s="46">
        <f t="shared" si="273"/>
        <v>0</v>
      </c>
      <c r="AZ124" s="46">
        <f t="shared" si="273"/>
        <v>0</v>
      </c>
      <c r="BA124" s="46">
        <f t="shared" si="273"/>
        <v>0</v>
      </c>
      <c r="BB124" s="46">
        <f t="shared" si="273"/>
        <v>0</v>
      </c>
      <c r="BC124" s="46">
        <f t="shared" ref="BC124:CH124" si="274">SUM(BC118:BC123)</f>
        <v>0</v>
      </c>
      <c r="BD124" s="46">
        <f t="shared" si="274"/>
        <v>0</v>
      </c>
      <c r="BE124" s="46">
        <f t="shared" si="274"/>
        <v>0</v>
      </c>
      <c r="BF124" s="46">
        <f t="shared" si="274"/>
        <v>0</v>
      </c>
      <c r="BG124" s="46">
        <f t="shared" si="274"/>
        <v>0</v>
      </c>
      <c r="BH124" s="46">
        <f t="shared" si="274"/>
        <v>0</v>
      </c>
      <c r="BI124" s="46">
        <f t="shared" si="274"/>
        <v>0</v>
      </c>
      <c r="BJ124" s="46">
        <f t="shared" si="274"/>
        <v>0</v>
      </c>
      <c r="BK124" s="233">
        <f t="shared" si="274"/>
        <v>0</v>
      </c>
      <c r="BL124" s="46">
        <f t="shared" si="274"/>
        <v>0</v>
      </c>
      <c r="BM124" s="46">
        <f t="shared" si="274"/>
        <v>0</v>
      </c>
      <c r="BN124" s="46">
        <f t="shared" si="274"/>
        <v>0</v>
      </c>
      <c r="BO124" s="46">
        <f t="shared" si="274"/>
        <v>0</v>
      </c>
      <c r="BP124" s="46">
        <f t="shared" si="274"/>
        <v>0</v>
      </c>
      <c r="BQ124" s="46">
        <f t="shared" si="274"/>
        <v>0</v>
      </c>
      <c r="BR124" s="46">
        <f t="shared" si="274"/>
        <v>0</v>
      </c>
      <c r="BS124" s="46">
        <f t="shared" si="274"/>
        <v>0</v>
      </c>
      <c r="BT124" s="46">
        <f t="shared" si="274"/>
        <v>0</v>
      </c>
      <c r="BU124" s="46">
        <f t="shared" si="274"/>
        <v>0</v>
      </c>
      <c r="BV124" s="46">
        <f t="shared" si="274"/>
        <v>0</v>
      </c>
      <c r="BW124" s="233">
        <f t="shared" si="274"/>
        <v>0</v>
      </c>
      <c r="BX124" s="46">
        <f t="shared" si="274"/>
        <v>0</v>
      </c>
      <c r="BY124" s="46">
        <f t="shared" si="274"/>
        <v>0</v>
      </c>
      <c r="BZ124" s="46">
        <f t="shared" si="274"/>
        <v>0</v>
      </c>
      <c r="CA124" s="46">
        <f t="shared" si="274"/>
        <v>0</v>
      </c>
      <c r="CB124" s="46">
        <f t="shared" si="274"/>
        <v>0</v>
      </c>
      <c r="CC124" s="46">
        <f t="shared" si="274"/>
        <v>0</v>
      </c>
      <c r="CD124" s="46">
        <f t="shared" si="274"/>
        <v>0</v>
      </c>
      <c r="CE124" s="46">
        <f t="shared" si="274"/>
        <v>0</v>
      </c>
      <c r="CF124" s="46">
        <f t="shared" si="274"/>
        <v>0</v>
      </c>
      <c r="CG124" s="46">
        <f t="shared" si="274"/>
        <v>0</v>
      </c>
      <c r="CH124" s="46">
        <f t="shared" si="274"/>
        <v>0</v>
      </c>
      <c r="CI124" s="233">
        <f t="shared" ref="CI124:DN124" si="275">SUM(CI118:CI123)</f>
        <v>0</v>
      </c>
      <c r="CJ124" s="46">
        <f t="shared" si="275"/>
        <v>0</v>
      </c>
      <c r="CK124" s="46">
        <f t="shared" si="275"/>
        <v>0</v>
      </c>
      <c r="CL124" s="46">
        <f t="shared" si="275"/>
        <v>0</v>
      </c>
      <c r="CM124" s="46">
        <f t="shared" si="275"/>
        <v>0</v>
      </c>
      <c r="CN124" s="46">
        <f t="shared" si="275"/>
        <v>0</v>
      </c>
      <c r="CO124" s="46">
        <f t="shared" si="275"/>
        <v>0</v>
      </c>
      <c r="CP124" s="46">
        <f t="shared" si="275"/>
        <v>0</v>
      </c>
      <c r="CQ124" s="46">
        <f t="shared" si="275"/>
        <v>0</v>
      </c>
      <c r="CR124" s="46">
        <f t="shared" si="275"/>
        <v>0</v>
      </c>
      <c r="CS124" s="46">
        <f t="shared" si="275"/>
        <v>0</v>
      </c>
      <c r="CT124" s="46">
        <f t="shared" si="275"/>
        <v>0</v>
      </c>
      <c r="CU124" s="233">
        <f t="shared" si="275"/>
        <v>0</v>
      </c>
      <c r="CV124" s="46">
        <f t="shared" si="275"/>
        <v>0</v>
      </c>
      <c r="CW124" s="46">
        <f t="shared" si="275"/>
        <v>0</v>
      </c>
      <c r="CX124" s="46">
        <f t="shared" si="275"/>
        <v>0</v>
      </c>
      <c r="CY124" s="46">
        <f t="shared" si="275"/>
        <v>0</v>
      </c>
      <c r="CZ124" s="46">
        <f t="shared" si="275"/>
        <v>0</v>
      </c>
      <c r="DA124" s="46">
        <f t="shared" si="275"/>
        <v>0</v>
      </c>
      <c r="DB124" s="46">
        <f t="shared" si="275"/>
        <v>0</v>
      </c>
      <c r="DC124" s="46">
        <f t="shared" si="275"/>
        <v>0</v>
      </c>
      <c r="DD124" s="46">
        <f t="shared" si="275"/>
        <v>0</v>
      </c>
      <c r="DE124" s="46">
        <f t="shared" si="275"/>
        <v>0</v>
      </c>
      <c r="DF124" s="46">
        <f t="shared" si="275"/>
        <v>0</v>
      </c>
      <c r="DG124" s="46">
        <f t="shared" si="275"/>
        <v>0</v>
      </c>
    </row>
    <row r="125" spans="1:111" x14ac:dyDescent="0.25">
      <c r="B125" s="1" t="s">
        <v>178</v>
      </c>
      <c r="C125" s="1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O125" s="43"/>
      <c r="P125" s="104"/>
      <c r="Q125" s="104"/>
      <c r="R125" s="104"/>
      <c r="S125" s="104"/>
      <c r="T125" s="104"/>
      <c r="U125" s="104"/>
      <c r="V125" s="104">
        <v>0</v>
      </c>
      <c r="W125" s="104">
        <v>0</v>
      </c>
      <c r="X125" s="104">
        <v>0</v>
      </c>
      <c r="Y125" s="104">
        <v>0</v>
      </c>
      <c r="Z125" s="104">
        <v>0</v>
      </c>
      <c r="AA125" s="104">
        <v>0</v>
      </c>
      <c r="AB125" s="104">
        <v>0</v>
      </c>
      <c r="AC125" s="104">
        <v>0</v>
      </c>
      <c r="AD125" s="104">
        <v>0</v>
      </c>
      <c r="AE125" s="104">
        <v>0</v>
      </c>
      <c r="AF125" s="104">
        <v>0</v>
      </c>
      <c r="AG125" s="104">
        <v>0</v>
      </c>
      <c r="AH125" s="104">
        <v>0</v>
      </c>
      <c r="AI125" s="104">
        <v>0</v>
      </c>
      <c r="AJ125" s="104">
        <v>0</v>
      </c>
      <c r="AK125" s="104">
        <v>0</v>
      </c>
      <c r="AL125" s="104">
        <v>0</v>
      </c>
      <c r="AM125" s="104">
        <v>0</v>
      </c>
      <c r="AN125" s="104">
        <v>0</v>
      </c>
      <c r="AO125" s="104">
        <v>0</v>
      </c>
      <c r="AP125" s="104">
        <v>0</v>
      </c>
      <c r="AQ125" s="104">
        <v>0</v>
      </c>
      <c r="AR125" s="104">
        <v>0</v>
      </c>
      <c r="AS125" s="104">
        <v>0</v>
      </c>
      <c r="AT125" s="104">
        <v>0</v>
      </c>
      <c r="AU125" s="104">
        <v>0</v>
      </c>
      <c r="AV125" s="104">
        <v>0</v>
      </c>
      <c r="AW125" s="605">
        <v>0</v>
      </c>
      <c r="AX125" s="616">
        <v>0</v>
      </c>
      <c r="AY125" s="628">
        <v>0</v>
      </c>
      <c r="AZ125" s="104">
        <v>0</v>
      </c>
      <c r="BA125" s="104">
        <v>0</v>
      </c>
      <c r="BB125" s="104">
        <v>0</v>
      </c>
      <c r="BC125" s="104">
        <v>0</v>
      </c>
      <c r="BD125" s="104">
        <v>0</v>
      </c>
      <c r="BE125" s="104">
        <v>0</v>
      </c>
      <c r="BF125" s="104">
        <v>0</v>
      </c>
      <c r="BG125" s="104">
        <v>0</v>
      </c>
      <c r="BH125" s="104">
        <v>0</v>
      </c>
      <c r="BI125" s="104">
        <v>0</v>
      </c>
      <c r="BJ125" s="104">
        <v>0</v>
      </c>
      <c r="BK125" s="228">
        <v>0</v>
      </c>
      <c r="BL125" s="104">
        <v>0</v>
      </c>
      <c r="BM125" s="104">
        <v>0</v>
      </c>
      <c r="BN125" s="104">
        <v>0</v>
      </c>
      <c r="BO125" s="104">
        <v>0</v>
      </c>
      <c r="BP125" s="104">
        <v>0</v>
      </c>
      <c r="BQ125" s="104">
        <v>0</v>
      </c>
      <c r="BR125" s="104">
        <v>0</v>
      </c>
      <c r="BS125" s="104">
        <v>0</v>
      </c>
      <c r="BT125" s="104">
        <v>0</v>
      </c>
      <c r="BU125" s="104">
        <v>0</v>
      </c>
      <c r="BV125" s="104">
        <v>0</v>
      </c>
      <c r="BW125" s="228">
        <v>0</v>
      </c>
      <c r="BX125" s="104">
        <v>0</v>
      </c>
      <c r="BY125" s="104">
        <v>0</v>
      </c>
      <c r="BZ125" s="104">
        <v>0</v>
      </c>
      <c r="CA125" s="104">
        <v>0</v>
      </c>
      <c r="CB125" s="104">
        <v>0</v>
      </c>
      <c r="CC125" s="104">
        <v>0</v>
      </c>
      <c r="CD125" s="104">
        <v>0</v>
      </c>
      <c r="CE125" s="104">
        <v>0</v>
      </c>
      <c r="CF125" s="104">
        <v>0</v>
      </c>
      <c r="CG125" s="104">
        <v>0</v>
      </c>
      <c r="CH125" s="104">
        <v>0</v>
      </c>
      <c r="CI125" s="228">
        <v>0</v>
      </c>
      <c r="CJ125" s="104">
        <v>0</v>
      </c>
      <c r="CK125" s="104">
        <v>0</v>
      </c>
      <c r="CL125" s="104">
        <v>0</v>
      </c>
      <c r="CM125" s="104">
        <v>0</v>
      </c>
      <c r="CN125" s="104">
        <v>0</v>
      </c>
      <c r="CO125" s="104">
        <v>0</v>
      </c>
      <c r="CP125" s="104">
        <v>0</v>
      </c>
      <c r="CQ125" s="104">
        <v>0</v>
      </c>
      <c r="CR125" s="104">
        <v>0</v>
      </c>
      <c r="CS125" s="104">
        <v>0</v>
      </c>
      <c r="CT125" s="104">
        <v>0</v>
      </c>
      <c r="CU125" s="228">
        <v>0</v>
      </c>
      <c r="CV125" s="104">
        <v>0</v>
      </c>
      <c r="CW125" s="104">
        <v>0</v>
      </c>
      <c r="CX125" s="104">
        <v>0</v>
      </c>
      <c r="CY125" s="104">
        <v>0</v>
      </c>
      <c r="CZ125" s="104">
        <v>0</v>
      </c>
      <c r="DA125" s="104">
        <v>0</v>
      </c>
      <c r="DB125" s="104">
        <v>0</v>
      </c>
      <c r="DC125" s="104">
        <v>0</v>
      </c>
      <c r="DD125" s="104">
        <v>0</v>
      </c>
      <c r="DE125" s="104">
        <v>0</v>
      </c>
      <c r="DF125" s="104">
        <v>0</v>
      </c>
      <c r="DG125" s="104">
        <v>0</v>
      </c>
    </row>
    <row r="126" spans="1:111" x14ac:dyDescent="0.25">
      <c r="B126" s="1" t="s">
        <v>179</v>
      </c>
      <c r="C126" s="1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O126" s="43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>
        <v>0</v>
      </c>
      <c r="AP126" s="104">
        <v>0</v>
      </c>
      <c r="AQ126" s="104">
        <v>400</v>
      </c>
      <c r="AR126" s="104">
        <v>300</v>
      </c>
      <c r="AS126" s="104">
        <v>0</v>
      </c>
      <c r="AT126" s="104">
        <v>0</v>
      </c>
      <c r="AU126" s="104">
        <v>300</v>
      </c>
      <c r="AV126" s="104">
        <v>0</v>
      </c>
      <c r="AW126" s="605">
        <v>0</v>
      </c>
      <c r="AX126" s="616">
        <v>0</v>
      </c>
      <c r="AY126" s="628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228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228"/>
      <c r="BX126" s="104"/>
      <c r="BY126" s="104"/>
      <c r="BZ126" s="104"/>
      <c r="CA126" s="104"/>
      <c r="CB126" s="104"/>
      <c r="CC126" s="104"/>
      <c r="CD126" s="104"/>
      <c r="CE126" s="104"/>
      <c r="CF126" s="104"/>
      <c r="CG126" s="104"/>
      <c r="CH126" s="104"/>
      <c r="CI126" s="228"/>
      <c r="CJ126" s="104"/>
      <c r="CK126" s="104"/>
      <c r="CL126" s="104"/>
      <c r="CM126" s="104"/>
      <c r="CN126" s="104"/>
      <c r="CO126" s="104"/>
      <c r="CP126" s="104"/>
      <c r="CQ126" s="104"/>
      <c r="CR126" s="104"/>
      <c r="CS126" s="104"/>
      <c r="CT126" s="104"/>
      <c r="CU126" s="228"/>
      <c r="CV126" s="104"/>
      <c r="CW126" s="104"/>
      <c r="CX126" s="104"/>
      <c r="CY126" s="104"/>
      <c r="CZ126" s="104"/>
      <c r="DA126" s="104"/>
      <c r="DB126" s="104"/>
      <c r="DC126" s="104"/>
      <c r="DD126" s="104"/>
      <c r="DE126" s="104"/>
      <c r="DF126" s="104"/>
      <c r="DG126" s="104"/>
    </row>
    <row r="127" spans="1:111" x14ac:dyDescent="0.25">
      <c r="A127" s="5"/>
      <c r="B127" s="6" t="s">
        <v>180</v>
      </c>
      <c r="C127" s="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>
        <f t="shared" ref="P127:AA127" si="276">+SUM(P118:P125)</f>
        <v>0</v>
      </c>
      <c r="Q127" s="46">
        <f t="shared" si="276"/>
        <v>0</v>
      </c>
      <c r="R127" s="46">
        <f t="shared" si="276"/>
        <v>0</v>
      </c>
      <c r="S127" s="46">
        <f t="shared" si="276"/>
        <v>0</v>
      </c>
      <c r="T127" s="46">
        <f t="shared" si="276"/>
        <v>0</v>
      </c>
      <c r="U127" s="46">
        <f t="shared" si="276"/>
        <v>0</v>
      </c>
      <c r="V127" s="46">
        <f t="shared" si="276"/>
        <v>0</v>
      </c>
      <c r="W127" s="46">
        <f t="shared" si="276"/>
        <v>0</v>
      </c>
      <c r="X127" s="46">
        <f t="shared" si="276"/>
        <v>0</v>
      </c>
      <c r="Y127" s="46">
        <f t="shared" si="276"/>
        <v>0</v>
      </c>
      <c r="Z127" s="46">
        <f t="shared" si="276"/>
        <v>0</v>
      </c>
      <c r="AA127" s="46">
        <f t="shared" si="276"/>
        <v>0</v>
      </c>
      <c r="AB127" s="46">
        <f t="shared" ref="AB127:AM127" si="277">+SUM(AB118:AB123)</f>
        <v>-46.73</v>
      </c>
      <c r="AC127" s="46">
        <f t="shared" si="277"/>
        <v>-48.27</v>
      </c>
      <c r="AD127" s="46">
        <f t="shared" si="277"/>
        <v>-50.63</v>
      </c>
      <c r="AE127" s="46">
        <f t="shared" si="277"/>
        <v>37.75</v>
      </c>
      <c r="AF127" s="46">
        <f t="shared" si="277"/>
        <v>22.17</v>
      </c>
      <c r="AG127" s="46">
        <f t="shared" si="277"/>
        <v>90.96</v>
      </c>
      <c r="AH127" s="46">
        <f t="shared" si="277"/>
        <v>88.15</v>
      </c>
      <c r="AI127" s="46">
        <f t="shared" si="277"/>
        <v>131.29</v>
      </c>
      <c r="AJ127" s="46">
        <f t="shared" si="277"/>
        <v>130.43</v>
      </c>
      <c r="AK127" s="46">
        <f t="shared" si="277"/>
        <v>-28.63</v>
      </c>
      <c r="AL127" s="46">
        <f t="shared" si="277"/>
        <v>-293</v>
      </c>
      <c r="AM127" s="46">
        <f t="shared" si="277"/>
        <v>14.56</v>
      </c>
      <c r="AN127" s="46">
        <f t="shared" ref="AN127:BS127" si="278">+SUM(AN123:AN126)</f>
        <v>123.94</v>
      </c>
      <c r="AO127" s="46">
        <f t="shared" si="278"/>
        <v>5.71</v>
      </c>
      <c r="AP127" s="46">
        <f t="shared" si="278"/>
        <v>11.65</v>
      </c>
      <c r="AQ127" s="46">
        <f t="shared" si="278"/>
        <v>402.88</v>
      </c>
      <c r="AR127" s="46">
        <f t="shared" si="278"/>
        <v>302.88</v>
      </c>
      <c r="AS127" s="46">
        <f t="shared" si="278"/>
        <v>2.88</v>
      </c>
      <c r="AT127" s="46">
        <f t="shared" si="278"/>
        <v>0</v>
      </c>
      <c r="AU127" s="46">
        <f t="shared" si="278"/>
        <v>300</v>
      </c>
      <c r="AV127" s="46">
        <f t="shared" si="278"/>
        <v>0</v>
      </c>
      <c r="AW127" s="46">
        <f t="shared" si="278"/>
        <v>0</v>
      </c>
      <c r="AX127" s="233">
        <f t="shared" si="278"/>
        <v>0</v>
      </c>
      <c r="AY127" s="46">
        <f t="shared" si="278"/>
        <v>0</v>
      </c>
      <c r="AZ127" s="46">
        <f t="shared" si="278"/>
        <v>0</v>
      </c>
      <c r="BA127" s="46">
        <f t="shared" si="278"/>
        <v>0</v>
      </c>
      <c r="BB127" s="46">
        <f t="shared" si="278"/>
        <v>0</v>
      </c>
      <c r="BC127" s="46">
        <f t="shared" si="278"/>
        <v>0</v>
      </c>
      <c r="BD127" s="46">
        <f t="shared" si="278"/>
        <v>0</v>
      </c>
      <c r="BE127" s="46">
        <f t="shared" si="278"/>
        <v>0</v>
      </c>
      <c r="BF127" s="46">
        <f t="shared" si="278"/>
        <v>0</v>
      </c>
      <c r="BG127" s="46">
        <f t="shared" si="278"/>
        <v>0</v>
      </c>
      <c r="BH127" s="46">
        <f t="shared" si="278"/>
        <v>0</v>
      </c>
      <c r="BI127" s="46">
        <f t="shared" si="278"/>
        <v>0</v>
      </c>
      <c r="BJ127" s="46">
        <f t="shared" si="278"/>
        <v>0</v>
      </c>
      <c r="BK127" s="233">
        <f t="shared" si="278"/>
        <v>0</v>
      </c>
      <c r="BL127" s="46">
        <f t="shared" si="278"/>
        <v>0</v>
      </c>
      <c r="BM127" s="46">
        <f t="shared" si="278"/>
        <v>0</v>
      </c>
      <c r="BN127" s="46">
        <f t="shared" si="278"/>
        <v>0</v>
      </c>
      <c r="BO127" s="46">
        <f t="shared" si="278"/>
        <v>0</v>
      </c>
      <c r="BP127" s="46">
        <f t="shared" si="278"/>
        <v>0</v>
      </c>
      <c r="BQ127" s="46">
        <f t="shared" si="278"/>
        <v>0</v>
      </c>
      <c r="BR127" s="46">
        <f t="shared" si="278"/>
        <v>0</v>
      </c>
      <c r="BS127" s="46">
        <f t="shared" si="278"/>
        <v>0</v>
      </c>
      <c r="BT127" s="46">
        <f t="shared" ref="BT127:CY127" si="279">+SUM(BT123:BT126)</f>
        <v>0</v>
      </c>
      <c r="BU127" s="46">
        <f t="shared" si="279"/>
        <v>0</v>
      </c>
      <c r="BV127" s="46">
        <f t="shared" si="279"/>
        <v>0</v>
      </c>
      <c r="BW127" s="233">
        <f t="shared" si="279"/>
        <v>0</v>
      </c>
      <c r="BX127" s="46">
        <f t="shared" si="279"/>
        <v>0</v>
      </c>
      <c r="BY127" s="46">
        <f t="shared" si="279"/>
        <v>0</v>
      </c>
      <c r="BZ127" s="46">
        <f t="shared" si="279"/>
        <v>0</v>
      </c>
      <c r="CA127" s="46">
        <f t="shared" si="279"/>
        <v>0</v>
      </c>
      <c r="CB127" s="46">
        <f t="shared" si="279"/>
        <v>0</v>
      </c>
      <c r="CC127" s="46">
        <f t="shared" si="279"/>
        <v>0</v>
      </c>
      <c r="CD127" s="46">
        <f t="shared" si="279"/>
        <v>0</v>
      </c>
      <c r="CE127" s="46">
        <f t="shared" si="279"/>
        <v>0</v>
      </c>
      <c r="CF127" s="46">
        <f t="shared" si="279"/>
        <v>0</v>
      </c>
      <c r="CG127" s="46">
        <f t="shared" si="279"/>
        <v>0</v>
      </c>
      <c r="CH127" s="46">
        <f t="shared" si="279"/>
        <v>0</v>
      </c>
      <c r="CI127" s="233">
        <f t="shared" si="279"/>
        <v>0</v>
      </c>
      <c r="CJ127" s="46">
        <f t="shared" si="279"/>
        <v>0</v>
      </c>
      <c r="CK127" s="46">
        <f t="shared" si="279"/>
        <v>0</v>
      </c>
      <c r="CL127" s="46">
        <f t="shared" si="279"/>
        <v>0</v>
      </c>
      <c r="CM127" s="46">
        <f t="shared" si="279"/>
        <v>0</v>
      </c>
      <c r="CN127" s="46">
        <f t="shared" si="279"/>
        <v>0</v>
      </c>
      <c r="CO127" s="46">
        <f t="shared" si="279"/>
        <v>0</v>
      </c>
      <c r="CP127" s="46">
        <f t="shared" si="279"/>
        <v>0</v>
      </c>
      <c r="CQ127" s="46">
        <f t="shared" si="279"/>
        <v>0</v>
      </c>
      <c r="CR127" s="46">
        <f t="shared" si="279"/>
        <v>0</v>
      </c>
      <c r="CS127" s="46">
        <f t="shared" si="279"/>
        <v>0</v>
      </c>
      <c r="CT127" s="46">
        <f t="shared" si="279"/>
        <v>0</v>
      </c>
      <c r="CU127" s="233">
        <f t="shared" si="279"/>
        <v>0</v>
      </c>
      <c r="CV127" s="46">
        <f t="shared" si="279"/>
        <v>0</v>
      </c>
      <c r="CW127" s="46">
        <f t="shared" si="279"/>
        <v>0</v>
      </c>
      <c r="CX127" s="46">
        <f t="shared" si="279"/>
        <v>0</v>
      </c>
      <c r="CY127" s="46">
        <f t="shared" si="279"/>
        <v>0</v>
      </c>
      <c r="CZ127" s="46">
        <f t="shared" ref="CZ127:EE127" si="280">+SUM(CZ123:CZ126)</f>
        <v>0</v>
      </c>
      <c r="DA127" s="46">
        <f t="shared" si="280"/>
        <v>0</v>
      </c>
      <c r="DB127" s="46">
        <f t="shared" si="280"/>
        <v>0</v>
      </c>
      <c r="DC127" s="46">
        <f t="shared" si="280"/>
        <v>0</v>
      </c>
      <c r="DD127" s="46">
        <f t="shared" si="280"/>
        <v>0</v>
      </c>
      <c r="DE127" s="46">
        <f t="shared" si="280"/>
        <v>0</v>
      </c>
      <c r="DF127" s="46">
        <f t="shared" si="280"/>
        <v>0</v>
      </c>
      <c r="DG127" s="46">
        <f t="shared" si="280"/>
        <v>0</v>
      </c>
    </row>
    <row r="128" spans="1:111" s="5" customFormat="1" x14ac:dyDescent="0.25">
      <c r="B128" s="1" t="s">
        <v>181</v>
      </c>
      <c r="C128" s="1"/>
      <c r="D128" s="48">
        <f t="shared" ref="D128:J128" si="281">(D111)+(D115)</f>
        <v>0</v>
      </c>
      <c r="E128" s="48">
        <f t="shared" si="281"/>
        <v>0</v>
      </c>
      <c r="F128" s="48">
        <f t="shared" si="281"/>
        <v>0</v>
      </c>
      <c r="G128" s="48">
        <f t="shared" si="281"/>
        <v>0</v>
      </c>
      <c r="H128" s="48">
        <f t="shared" si="281"/>
        <v>0</v>
      </c>
      <c r="I128" s="48">
        <f t="shared" si="281"/>
        <v>0</v>
      </c>
      <c r="J128" s="48">
        <f t="shared" si="281"/>
        <v>0</v>
      </c>
      <c r="K128" s="48">
        <f>K115+K111</f>
        <v>0</v>
      </c>
      <c r="L128" s="48">
        <f>L115+L111</f>
        <v>0</v>
      </c>
      <c r="M128" s="48">
        <f>M115+M111</f>
        <v>0</v>
      </c>
      <c r="N128" s="49">
        <f>N115+N111</f>
        <v>0</v>
      </c>
      <c r="O128" s="49">
        <f>O115+O111</f>
        <v>0</v>
      </c>
      <c r="P128" s="49">
        <f t="shared" ref="P128:AU128" si="282">P115+P111+P127</f>
        <v>0</v>
      </c>
      <c r="Q128" s="49">
        <f t="shared" si="282"/>
        <v>0</v>
      </c>
      <c r="R128" s="49">
        <f t="shared" si="282"/>
        <v>0</v>
      </c>
      <c r="S128" s="49">
        <f t="shared" si="282"/>
        <v>0</v>
      </c>
      <c r="T128" s="49">
        <f t="shared" si="282"/>
        <v>0</v>
      </c>
      <c r="U128" s="49">
        <f t="shared" si="282"/>
        <v>0</v>
      </c>
      <c r="V128" s="49">
        <f t="shared" si="282"/>
        <v>0</v>
      </c>
      <c r="W128" s="49">
        <f t="shared" si="282"/>
        <v>0</v>
      </c>
      <c r="X128" s="49">
        <f t="shared" si="282"/>
        <v>0</v>
      </c>
      <c r="Y128" s="49">
        <f t="shared" si="282"/>
        <v>0</v>
      </c>
      <c r="Z128" s="49">
        <f t="shared" si="282"/>
        <v>0</v>
      </c>
      <c r="AA128" s="49">
        <f t="shared" si="282"/>
        <v>0</v>
      </c>
      <c r="AB128" s="49">
        <f t="shared" si="282"/>
        <v>886.67000000000007</v>
      </c>
      <c r="AC128" s="49">
        <f t="shared" si="282"/>
        <v>997.5</v>
      </c>
      <c r="AD128" s="49">
        <f t="shared" si="282"/>
        <v>2882.5</v>
      </c>
      <c r="AE128" s="49">
        <f t="shared" si="282"/>
        <v>2067.67</v>
      </c>
      <c r="AF128" s="49">
        <f t="shared" si="282"/>
        <v>2882.7000000000003</v>
      </c>
      <c r="AG128" s="49">
        <f t="shared" si="282"/>
        <v>2961.33</v>
      </c>
      <c r="AH128" s="49">
        <f t="shared" si="282"/>
        <v>3250.89</v>
      </c>
      <c r="AI128" s="49">
        <f t="shared" si="282"/>
        <v>1442.81</v>
      </c>
      <c r="AJ128" s="49">
        <f t="shared" si="282"/>
        <v>853.90000000000009</v>
      </c>
      <c r="AK128" s="49">
        <f t="shared" si="282"/>
        <v>2723.1899999999996</v>
      </c>
      <c r="AL128" s="49">
        <f t="shared" si="282"/>
        <v>2023.67</v>
      </c>
      <c r="AM128" s="49">
        <f t="shared" si="282"/>
        <v>1920.56</v>
      </c>
      <c r="AN128" s="49">
        <f t="shared" si="282"/>
        <v>2644.26</v>
      </c>
      <c r="AO128" s="49">
        <f t="shared" si="282"/>
        <v>2957.6000000000004</v>
      </c>
      <c r="AP128" s="49">
        <f t="shared" si="282"/>
        <v>3880.89</v>
      </c>
      <c r="AQ128" s="49">
        <f t="shared" si="282"/>
        <v>5191.1400000000003</v>
      </c>
      <c r="AR128" s="49">
        <f t="shared" si="282"/>
        <v>7326.8200000000006</v>
      </c>
      <c r="AS128" s="49">
        <f t="shared" si="282"/>
        <v>7193.9100000000008</v>
      </c>
      <c r="AT128" s="49">
        <f t="shared" si="282"/>
        <v>7114.24</v>
      </c>
      <c r="AU128" s="49">
        <f t="shared" si="282"/>
        <v>7935.09</v>
      </c>
      <c r="AV128" s="49">
        <f t="shared" ref="AV128:CA128" si="283">AV115+AV111+AV127</f>
        <v>6887.65</v>
      </c>
      <c r="AW128" s="49">
        <f t="shared" si="283"/>
        <v>6355.62</v>
      </c>
      <c r="AX128" s="230">
        <f t="shared" si="283"/>
        <v>5831.82</v>
      </c>
      <c r="AY128" s="49">
        <f t="shared" si="283"/>
        <v>6474.9905297879232</v>
      </c>
      <c r="AZ128" s="49">
        <f t="shared" si="283"/>
        <v>5791.7491645452719</v>
      </c>
      <c r="BA128" s="49">
        <f t="shared" si="283"/>
        <v>6097.1023171064635</v>
      </c>
      <c r="BB128" s="49">
        <f t="shared" si="283"/>
        <v>7087.3224050266454</v>
      </c>
      <c r="BC128" s="49">
        <f t="shared" si="283"/>
        <v>9257.3532163131804</v>
      </c>
      <c r="BD128" s="49">
        <f t="shared" si="283"/>
        <v>11082.646920402552</v>
      </c>
      <c r="BE128" s="49">
        <f t="shared" si="283"/>
        <v>13186.081742818393</v>
      </c>
      <c r="BF128" s="49">
        <f t="shared" si="283"/>
        <v>15001.714491430041</v>
      </c>
      <c r="BG128" s="49">
        <f t="shared" si="283"/>
        <v>17244.373466556699</v>
      </c>
      <c r="BH128" s="49">
        <f t="shared" si="283"/>
        <v>17691.047026900123</v>
      </c>
      <c r="BI128" s="49">
        <f t="shared" si="283"/>
        <v>18457.822274218637</v>
      </c>
      <c r="BJ128" s="49">
        <f t="shared" si="283"/>
        <v>19773.861491686483</v>
      </c>
      <c r="BK128" s="230">
        <f t="shared" si="283"/>
        <v>21000.226771992791</v>
      </c>
      <c r="BL128" s="49">
        <f t="shared" si="283"/>
        <v>21083.87465766794</v>
      </c>
      <c r="BM128" s="49">
        <f t="shared" si="283"/>
        <v>22233.777063528476</v>
      </c>
      <c r="BN128" s="49">
        <f t="shared" si="283"/>
        <v>24300.317620789552</v>
      </c>
      <c r="BO128" s="49">
        <f t="shared" si="283"/>
        <v>27223.062466187577</v>
      </c>
      <c r="BP128" s="49">
        <f t="shared" si="283"/>
        <v>29605.636399586918</v>
      </c>
      <c r="BQ128" s="49">
        <f t="shared" si="283"/>
        <v>32253.67107086541</v>
      </c>
      <c r="BR128" s="49">
        <f t="shared" si="283"/>
        <v>34210.967627953083</v>
      </c>
      <c r="BS128" s="49">
        <f t="shared" si="283"/>
        <v>37252.032475334505</v>
      </c>
      <c r="BT128" s="49">
        <f t="shared" si="283"/>
        <v>37818.503648821046</v>
      </c>
      <c r="BU128" s="49">
        <f t="shared" si="283"/>
        <v>38547.24603707849</v>
      </c>
      <c r="BV128" s="49">
        <f t="shared" si="283"/>
        <v>40445.80665299511</v>
      </c>
      <c r="BW128" s="230">
        <f t="shared" si="283"/>
        <v>41797.473244401102</v>
      </c>
      <c r="BX128" s="49">
        <f t="shared" si="283"/>
        <v>41890.800442786327</v>
      </c>
      <c r="BY128" s="49">
        <f t="shared" si="283"/>
        <v>43549.364406077795</v>
      </c>
      <c r="BZ128" s="49">
        <f t="shared" si="283"/>
        <v>45882.566896243188</v>
      </c>
      <c r="CA128" s="49">
        <f t="shared" si="283"/>
        <v>48429.219845026877</v>
      </c>
      <c r="CB128" s="49">
        <f t="shared" ref="CB128:DG128" si="284">CB115+CB111+CB127</f>
        <v>51978.956765830553</v>
      </c>
      <c r="CC128" s="49">
        <f t="shared" si="284"/>
        <v>54985.927097373809</v>
      </c>
      <c r="CD128" s="49">
        <f t="shared" si="284"/>
        <v>56829.846801562591</v>
      </c>
      <c r="CE128" s="49">
        <f t="shared" si="284"/>
        <v>60599.484877047595</v>
      </c>
      <c r="CF128" s="49">
        <f t="shared" si="284"/>
        <v>60950.00919676209</v>
      </c>
      <c r="CG128" s="49">
        <f t="shared" si="284"/>
        <v>62021.6515095301</v>
      </c>
      <c r="CH128" s="49">
        <f t="shared" si="284"/>
        <v>64165.467812824048</v>
      </c>
      <c r="CI128" s="230">
        <f t="shared" si="284"/>
        <v>65069.161008998519</v>
      </c>
      <c r="CJ128" s="49">
        <f t="shared" si="284"/>
        <v>65799.940090991251</v>
      </c>
      <c r="CK128" s="49">
        <f t="shared" si="284"/>
        <v>67324.007488784948</v>
      </c>
      <c r="CL128" s="49">
        <f t="shared" si="284"/>
        <v>69580.285307226251</v>
      </c>
      <c r="CM128" s="49">
        <f t="shared" si="284"/>
        <v>72905.583533823243</v>
      </c>
      <c r="CN128" s="49">
        <f t="shared" si="284"/>
        <v>76967.679276288429</v>
      </c>
      <c r="CO128" s="49">
        <f t="shared" si="284"/>
        <v>79947.619641216923</v>
      </c>
      <c r="CP128" s="49">
        <f t="shared" si="284"/>
        <v>82440.930766408856</v>
      </c>
      <c r="CQ128" s="49">
        <f t="shared" si="284"/>
        <v>86705.685912167057</v>
      </c>
      <c r="CR128" s="49">
        <f t="shared" si="284"/>
        <v>86869.152527619575</v>
      </c>
      <c r="CS128" s="49">
        <f t="shared" si="284"/>
        <v>88508.714165889367</v>
      </c>
      <c r="CT128" s="49">
        <f t="shared" si="284"/>
        <v>91008.462681906196</v>
      </c>
      <c r="CU128" s="230">
        <f t="shared" si="284"/>
        <v>92198.73838726386</v>
      </c>
      <c r="CV128" s="49">
        <f t="shared" si="284"/>
        <v>93163.639220469238</v>
      </c>
      <c r="CW128" s="49">
        <f t="shared" si="284"/>
        <v>94987.18360914712</v>
      </c>
      <c r="CX128" s="49">
        <f t="shared" si="284"/>
        <v>97312.786642177045</v>
      </c>
      <c r="CY128" s="49">
        <f t="shared" si="284"/>
        <v>101725.92628208782</v>
      </c>
      <c r="CZ128" s="49">
        <f t="shared" si="284"/>
        <v>106430.70670700751</v>
      </c>
      <c r="DA128" s="49">
        <f t="shared" si="284"/>
        <v>109494.64524903774</v>
      </c>
      <c r="DB128" s="49">
        <f t="shared" si="284"/>
        <v>112822.29118698409</v>
      </c>
      <c r="DC128" s="49">
        <f t="shared" si="284"/>
        <v>117246.06418309685</v>
      </c>
      <c r="DD128" s="49">
        <f t="shared" si="284"/>
        <v>117888.93486949852</v>
      </c>
      <c r="DE128" s="49">
        <f t="shared" si="284"/>
        <v>119833.18135619565</v>
      </c>
      <c r="DF128" s="49">
        <f t="shared" si="284"/>
        <v>122305.85223166538</v>
      </c>
      <c r="DG128" s="49">
        <f t="shared" si="284"/>
        <v>124052.1125787168</v>
      </c>
    </row>
    <row r="129" spans="1:111" x14ac:dyDescent="0.25">
      <c r="A129" s="3"/>
      <c r="B129" s="4" t="s">
        <v>182</v>
      </c>
      <c r="C129" s="4"/>
      <c r="D129" s="47">
        <f t="shared" ref="D129:AI129" si="285">D128</f>
        <v>0</v>
      </c>
      <c r="E129" s="47">
        <f t="shared" si="285"/>
        <v>0</v>
      </c>
      <c r="F129" s="47">
        <f t="shared" si="285"/>
        <v>0</v>
      </c>
      <c r="G129" s="47">
        <f t="shared" si="285"/>
        <v>0</v>
      </c>
      <c r="H129" s="47">
        <f t="shared" si="285"/>
        <v>0</v>
      </c>
      <c r="I129" s="47">
        <f t="shared" si="285"/>
        <v>0</v>
      </c>
      <c r="J129" s="47">
        <f t="shared" si="285"/>
        <v>0</v>
      </c>
      <c r="K129" s="47">
        <f t="shared" si="285"/>
        <v>0</v>
      </c>
      <c r="L129" s="47">
        <f t="shared" si="285"/>
        <v>0</v>
      </c>
      <c r="M129" s="47">
        <f t="shared" si="285"/>
        <v>0</v>
      </c>
      <c r="N129" s="47">
        <f t="shared" si="285"/>
        <v>0</v>
      </c>
      <c r="O129" s="47">
        <f t="shared" si="285"/>
        <v>0</v>
      </c>
      <c r="P129" s="47">
        <f t="shared" si="285"/>
        <v>0</v>
      </c>
      <c r="Q129" s="47">
        <f t="shared" si="285"/>
        <v>0</v>
      </c>
      <c r="R129" s="47">
        <f t="shared" si="285"/>
        <v>0</v>
      </c>
      <c r="S129" s="47">
        <f t="shared" si="285"/>
        <v>0</v>
      </c>
      <c r="T129" s="47">
        <f t="shared" si="285"/>
        <v>0</v>
      </c>
      <c r="U129" s="47">
        <f t="shared" si="285"/>
        <v>0</v>
      </c>
      <c r="V129" s="47">
        <f t="shared" si="285"/>
        <v>0</v>
      </c>
      <c r="W129" s="47">
        <f t="shared" si="285"/>
        <v>0</v>
      </c>
      <c r="X129" s="47">
        <f t="shared" si="285"/>
        <v>0</v>
      </c>
      <c r="Y129" s="47">
        <f t="shared" si="285"/>
        <v>0</v>
      </c>
      <c r="Z129" s="47">
        <f t="shared" si="285"/>
        <v>0</v>
      </c>
      <c r="AA129" s="47">
        <f t="shared" si="285"/>
        <v>0</v>
      </c>
      <c r="AB129" s="47">
        <f t="shared" si="285"/>
        <v>886.67000000000007</v>
      </c>
      <c r="AC129" s="47">
        <f t="shared" si="285"/>
        <v>997.5</v>
      </c>
      <c r="AD129" s="47">
        <f t="shared" si="285"/>
        <v>2882.5</v>
      </c>
      <c r="AE129" s="47">
        <f t="shared" si="285"/>
        <v>2067.67</v>
      </c>
      <c r="AF129" s="47">
        <f t="shared" si="285"/>
        <v>2882.7000000000003</v>
      </c>
      <c r="AG129" s="47">
        <f t="shared" si="285"/>
        <v>2961.33</v>
      </c>
      <c r="AH129" s="47">
        <f t="shared" si="285"/>
        <v>3250.89</v>
      </c>
      <c r="AI129" s="47">
        <f t="shared" si="285"/>
        <v>1442.81</v>
      </c>
      <c r="AJ129" s="47">
        <f t="shared" ref="AJ129:BO129" si="286">AJ128</f>
        <v>853.90000000000009</v>
      </c>
      <c r="AK129" s="47">
        <f t="shared" si="286"/>
        <v>2723.1899999999996</v>
      </c>
      <c r="AL129" s="47">
        <f t="shared" si="286"/>
        <v>2023.67</v>
      </c>
      <c r="AM129" s="47">
        <f t="shared" si="286"/>
        <v>1920.56</v>
      </c>
      <c r="AN129" s="47">
        <f t="shared" si="286"/>
        <v>2644.26</v>
      </c>
      <c r="AO129" s="47">
        <f t="shared" si="286"/>
        <v>2957.6000000000004</v>
      </c>
      <c r="AP129" s="47">
        <f t="shared" si="286"/>
        <v>3880.89</v>
      </c>
      <c r="AQ129" s="47">
        <f t="shared" si="286"/>
        <v>5191.1400000000003</v>
      </c>
      <c r="AR129" s="47">
        <f t="shared" si="286"/>
        <v>7326.8200000000006</v>
      </c>
      <c r="AS129" s="47">
        <f t="shared" si="286"/>
        <v>7193.9100000000008</v>
      </c>
      <c r="AT129" s="47">
        <f t="shared" si="286"/>
        <v>7114.24</v>
      </c>
      <c r="AU129" s="47">
        <f t="shared" si="286"/>
        <v>7935.09</v>
      </c>
      <c r="AV129" s="47">
        <f t="shared" si="286"/>
        <v>6887.65</v>
      </c>
      <c r="AW129" s="47">
        <f t="shared" si="286"/>
        <v>6355.62</v>
      </c>
      <c r="AX129" s="229">
        <f t="shared" si="286"/>
        <v>5831.82</v>
      </c>
      <c r="AY129" s="47">
        <f t="shared" si="286"/>
        <v>6474.9905297879232</v>
      </c>
      <c r="AZ129" s="47">
        <f t="shared" si="286"/>
        <v>5791.7491645452719</v>
      </c>
      <c r="BA129" s="47">
        <f t="shared" si="286"/>
        <v>6097.1023171064635</v>
      </c>
      <c r="BB129" s="47">
        <f t="shared" si="286"/>
        <v>7087.3224050266454</v>
      </c>
      <c r="BC129" s="47">
        <f t="shared" si="286"/>
        <v>9257.3532163131804</v>
      </c>
      <c r="BD129" s="47">
        <f t="shared" si="286"/>
        <v>11082.646920402552</v>
      </c>
      <c r="BE129" s="47">
        <f t="shared" si="286"/>
        <v>13186.081742818393</v>
      </c>
      <c r="BF129" s="47">
        <f t="shared" si="286"/>
        <v>15001.714491430041</v>
      </c>
      <c r="BG129" s="47">
        <f t="shared" si="286"/>
        <v>17244.373466556699</v>
      </c>
      <c r="BH129" s="47">
        <f t="shared" si="286"/>
        <v>17691.047026900123</v>
      </c>
      <c r="BI129" s="47">
        <f t="shared" si="286"/>
        <v>18457.822274218637</v>
      </c>
      <c r="BJ129" s="47">
        <f t="shared" si="286"/>
        <v>19773.861491686483</v>
      </c>
      <c r="BK129" s="229">
        <f t="shared" si="286"/>
        <v>21000.226771992791</v>
      </c>
      <c r="BL129" s="47">
        <f t="shared" si="286"/>
        <v>21083.87465766794</v>
      </c>
      <c r="BM129" s="47">
        <f t="shared" si="286"/>
        <v>22233.777063528476</v>
      </c>
      <c r="BN129" s="47">
        <f t="shared" si="286"/>
        <v>24300.317620789552</v>
      </c>
      <c r="BO129" s="47">
        <f t="shared" si="286"/>
        <v>27223.062466187577</v>
      </c>
      <c r="BP129" s="47">
        <f t="shared" ref="BP129:CU129" si="287">BP128</f>
        <v>29605.636399586918</v>
      </c>
      <c r="BQ129" s="47">
        <f t="shared" si="287"/>
        <v>32253.67107086541</v>
      </c>
      <c r="BR129" s="47">
        <f t="shared" si="287"/>
        <v>34210.967627953083</v>
      </c>
      <c r="BS129" s="47">
        <f t="shared" si="287"/>
        <v>37252.032475334505</v>
      </c>
      <c r="BT129" s="47">
        <f t="shared" si="287"/>
        <v>37818.503648821046</v>
      </c>
      <c r="BU129" s="47">
        <f t="shared" si="287"/>
        <v>38547.24603707849</v>
      </c>
      <c r="BV129" s="47">
        <f t="shared" si="287"/>
        <v>40445.80665299511</v>
      </c>
      <c r="BW129" s="229">
        <f t="shared" si="287"/>
        <v>41797.473244401102</v>
      </c>
      <c r="BX129" s="47">
        <f t="shared" si="287"/>
        <v>41890.800442786327</v>
      </c>
      <c r="BY129" s="47">
        <f t="shared" si="287"/>
        <v>43549.364406077795</v>
      </c>
      <c r="BZ129" s="47">
        <f t="shared" si="287"/>
        <v>45882.566896243188</v>
      </c>
      <c r="CA129" s="47">
        <f t="shared" si="287"/>
        <v>48429.219845026877</v>
      </c>
      <c r="CB129" s="47">
        <f t="shared" si="287"/>
        <v>51978.956765830553</v>
      </c>
      <c r="CC129" s="47">
        <f t="shared" si="287"/>
        <v>54985.927097373809</v>
      </c>
      <c r="CD129" s="47">
        <f t="shared" si="287"/>
        <v>56829.846801562591</v>
      </c>
      <c r="CE129" s="47">
        <f t="shared" si="287"/>
        <v>60599.484877047595</v>
      </c>
      <c r="CF129" s="47">
        <f t="shared" si="287"/>
        <v>60950.00919676209</v>
      </c>
      <c r="CG129" s="47">
        <f t="shared" si="287"/>
        <v>62021.6515095301</v>
      </c>
      <c r="CH129" s="47">
        <f t="shared" si="287"/>
        <v>64165.467812824048</v>
      </c>
      <c r="CI129" s="229">
        <f t="shared" si="287"/>
        <v>65069.161008998519</v>
      </c>
      <c r="CJ129" s="47">
        <f t="shared" si="287"/>
        <v>65799.940090991251</v>
      </c>
      <c r="CK129" s="47">
        <f t="shared" si="287"/>
        <v>67324.007488784948</v>
      </c>
      <c r="CL129" s="47">
        <f t="shared" si="287"/>
        <v>69580.285307226251</v>
      </c>
      <c r="CM129" s="47">
        <f t="shared" si="287"/>
        <v>72905.583533823243</v>
      </c>
      <c r="CN129" s="47">
        <f t="shared" si="287"/>
        <v>76967.679276288429</v>
      </c>
      <c r="CO129" s="47">
        <f t="shared" si="287"/>
        <v>79947.619641216923</v>
      </c>
      <c r="CP129" s="47">
        <f t="shared" si="287"/>
        <v>82440.930766408856</v>
      </c>
      <c r="CQ129" s="47">
        <f t="shared" si="287"/>
        <v>86705.685912167057</v>
      </c>
      <c r="CR129" s="47">
        <f t="shared" si="287"/>
        <v>86869.152527619575</v>
      </c>
      <c r="CS129" s="47">
        <f t="shared" si="287"/>
        <v>88508.714165889367</v>
      </c>
      <c r="CT129" s="47">
        <f t="shared" si="287"/>
        <v>91008.462681906196</v>
      </c>
      <c r="CU129" s="229">
        <f t="shared" si="287"/>
        <v>92198.73838726386</v>
      </c>
      <c r="CV129" s="47">
        <f t="shared" ref="CV129:EA129" si="288">CV128</f>
        <v>93163.639220469238</v>
      </c>
      <c r="CW129" s="47">
        <f t="shared" si="288"/>
        <v>94987.18360914712</v>
      </c>
      <c r="CX129" s="47">
        <f t="shared" si="288"/>
        <v>97312.786642177045</v>
      </c>
      <c r="CY129" s="47">
        <f t="shared" si="288"/>
        <v>101725.92628208782</v>
      </c>
      <c r="CZ129" s="47">
        <f t="shared" si="288"/>
        <v>106430.70670700751</v>
      </c>
      <c r="DA129" s="47">
        <f t="shared" si="288"/>
        <v>109494.64524903774</v>
      </c>
      <c r="DB129" s="47">
        <f t="shared" si="288"/>
        <v>112822.29118698409</v>
      </c>
      <c r="DC129" s="47">
        <f t="shared" si="288"/>
        <v>117246.06418309685</v>
      </c>
      <c r="DD129" s="47">
        <f t="shared" si="288"/>
        <v>117888.93486949852</v>
      </c>
      <c r="DE129" s="47">
        <f t="shared" si="288"/>
        <v>119833.18135619565</v>
      </c>
      <c r="DF129" s="47">
        <f t="shared" si="288"/>
        <v>122305.85223166538</v>
      </c>
      <c r="DG129" s="47">
        <f t="shared" si="288"/>
        <v>124052.1125787168</v>
      </c>
    </row>
    <row r="130" spans="1:111" x14ac:dyDescent="0.25">
      <c r="B130" s="1" t="s">
        <v>183</v>
      </c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539"/>
      <c r="AY130" s="2"/>
      <c r="BK130" s="227"/>
      <c r="BW130" s="227"/>
      <c r="CI130" s="227"/>
      <c r="CU130" s="227"/>
    </row>
    <row r="131" spans="1:111" x14ac:dyDescent="0.25">
      <c r="B131" s="1" t="s">
        <v>184</v>
      </c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539"/>
      <c r="AY131" s="2"/>
      <c r="BK131" s="227"/>
      <c r="BW131" s="227"/>
      <c r="CI131" s="227"/>
      <c r="CU131" s="227"/>
    </row>
    <row r="132" spans="1:111" s="23" customFormat="1" x14ac:dyDescent="0.25">
      <c r="B132" s="1" t="s">
        <v>185</v>
      </c>
      <c r="C132" s="1"/>
      <c r="D132" s="2"/>
      <c r="E132" s="2"/>
      <c r="F132" s="2"/>
      <c r="G132" s="2"/>
      <c r="H132" s="2"/>
      <c r="I132" s="2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>
        <v>0</v>
      </c>
      <c r="X132" s="104">
        <v>0</v>
      </c>
      <c r="Y132" s="104">
        <v>0</v>
      </c>
      <c r="Z132" s="104">
        <v>0</v>
      </c>
      <c r="AA132" s="104">
        <v>0</v>
      </c>
      <c r="AB132" s="104"/>
      <c r="AC132" s="104">
        <v>0</v>
      </c>
      <c r="AD132" s="104">
        <v>0</v>
      </c>
      <c r="AE132" s="104">
        <v>0</v>
      </c>
      <c r="AF132" s="104">
        <v>285</v>
      </c>
      <c r="AG132" s="104">
        <v>185</v>
      </c>
      <c r="AH132" s="104">
        <v>-115</v>
      </c>
      <c r="AI132" s="104">
        <v>0</v>
      </c>
      <c r="AJ132" s="104">
        <v>-40</v>
      </c>
      <c r="AK132" s="104">
        <v>0</v>
      </c>
      <c r="AL132" s="104">
        <v>330.08</v>
      </c>
      <c r="AM132" s="104">
        <v>147.19999999999999</v>
      </c>
      <c r="AN132" s="104">
        <v>147.19999999999999</v>
      </c>
      <c r="AO132" s="104">
        <v>147.19999999999999</v>
      </c>
      <c r="AP132" s="104">
        <v>147.19999999999999</v>
      </c>
      <c r="AQ132" s="104">
        <v>147.19999999999999</v>
      </c>
      <c r="AR132" s="104">
        <v>147.19999999999999</v>
      </c>
      <c r="AS132" s="104">
        <v>147.19999999999999</v>
      </c>
      <c r="AT132" s="104">
        <v>229.7</v>
      </c>
      <c r="AU132" s="104">
        <v>147.19999999999999</v>
      </c>
      <c r="AV132" s="104">
        <v>495.95</v>
      </c>
      <c r="AW132" s="605">
        <v>530.95000000000005</v>
      </c>
      <c r="AX132" s="616">
        <v>147.19999999999999</v>
      </c>
      <c r="AY132" s="574">
        <f>+AX132</f>
        <v>147.19999999999999</v>
      </c>
      <c r="AZ132" s="9">
        <f t="shared" ref="AZ132:CE132" si="289">AY132</f>
        <v>147.19999999999999</v>
      </c>
      <c r="BA132" s="9">
        <f t="shared" si="289"/>
        <v>147.19999999999999</v>
      </c>
      <c r="BB132" s="9">
        <f t="shared" si="289"/>
        <v>147.19999999999999</v>
      </c>
      <c r="BC132" s="9">
        <f t="shared" si="289"/>
        <v>147.19999999999999</v>
      </c>
      <c r="BD132" s="9">
        <f t="shared" si="289"/>
        <v>147.19999999999999</v>
      </c>
      <c r="BE132" s="9">
        <f t="shared" si="289"/>
        <v>147.19999999999999</v>
      </c>
      <c r="BF132" s="9">
        <f t="shared" si="289"/>
        <v>147.19999999999999</v>
      </c>
      <c r="BG132" s="9">
        <f t="shared" si="289"/>
        <v>147.19999999999999</v>
      </c>
      <c r="BH132" s="9">
        <f t="shared" si="289"/>
        <v>147.19999999999999</v>
      </c>
      <c r="BI132" s="9">
        <f t="shared" si="289"/>
        <v>147.19999999999999</v>
      </c>
      <c r="BJ132" s="9">
        <f t="shared" si="289"/>
        <v>147.19999999999999</v>
      </c>
      <c r="BK132" s="238">
        <f t="shared" si="289"/>
        <v>147.19999999999999</v>
      </c>
      <c r="BL132" s="9">
        <f t="shared" si="289"/>
        <v>147.19999999999999</v>
      </c>
      <c r="BM132" s="9">
        <f t="shared" si="289"/>
        <v>147.19999999999999</v>
      </c>
      <c r="BN132" s="9">
        <f t="shared" si="289"/>
        <v>147.19999999999999</v>
      </c>
      <c r="BO132" s="9">
        <f t="shared" si="289"/>
        <v>147.19999999999999</v>
      </c>
      <c r="BP132" s="9">
        <f t="shared" si="289"/>
        <v>147.19999999999999</v>
      </c>
      <c r="BQ132" s="9">
        <f t="shared" si="289"/>
        <v>147.19999999999999</v>
      </c>
      <c r="BR132" s="9">
        <f t="shared" si="289"/>
        <v>147.19999999999999</v>
      </c>
      <c r="BS132" s="9">
        <f t="shared" si="289"/>
        <v>147.19999999999999</v>
      </c>
      <c r="BT132" s="9">
        <f t="shared" si="289"/>
        <v>147.19999999999999</v>
      </c>
      <c r="BU132" s="9">
        <f t="shared" si="289"/>
        <v>147.19999999999999</v>
      </c>
      <c r="BV132" s="9">
        <f t="shared" si="289"/>
        <v>147.19999999999999</v>
      </c>
      <c r="BW132" s="238">
        <f t="shared" si="289"/>
        <v>147.19999999999999</v>
      </c>
      <c r="BX132" s="9">
        <f t="shared" si="289"/>
        <v>147.19999999999999</v>
      </c>
      <c r="BY132" s="9">
        <f t="shared" si="289"/>
        <v>147.19999999999999</v>
      </c>
      <c r="BZ132" s="9">
        <f t="shared" si="289"/>
        <v>147.19999999999999</v>
      </c>
      <c r="CA132" s="9">
        <f t="shared" si="289"/>
        <v>147.19999999999999</v>
      </c>
      <c r="CB132" s="9">
        <f t="shared" si="289"/>
        <v>147.19999999999999</v>
      </c>
      <c r="CC132" s="9">
        <f t="shared" si="289"/>
        <v>147.19999999999999</v>
      </c>
      <c r="CD132" s="9">
        <f t="shared" si="289"/>
        <v>147.19999999999999</v>
      </c>
      <c r="CE132" s="9">
        <f t="shared" si="289"/>
        <v>147.19999999999999</v>
      </c>
      <c r="CF132" s="9">
        <f t="shared" ref="CF132:DG132" si="290">CE132</f>
        <v>147.19999999999999</v>
      </c>
      <c r="CG132" s="9">
        <f t="shared" si="290"/>
        <v>147.19999999999999</v>
      </c>
      <c r="CH132" s="9">
        <f t="shared" si="290"/>
        <v>147.19999999999999</v>
      </c>
      <c r="CI132" s="238">
        <f t="shared" si="290"/>
        <v>147.19999999999999</v>
      </c>
      <c r="CJ132" s="9">
        <f t="shared" si="290"/>
        <v>147.19999999999999</v>
      </c>
      <c r="CK132" s="9">
        <f t="shared" si="290"/>
        <v>147.19999999999999</v>
      </c>
      <c r="CL132" s="9">
        <f t="shared" si="290"/>
        <v>147.19999999999999</v>
      </c>
      <c r="CM132" s="9">
        <f t="shared" si="290"/>
        <v>147.19999999999999</v>
      </c>
      <c r="CN132" s="9">
        <f t="shared" si="290"/>
        <v>147.19999999999999</v>
      </c>
      <c r="CO132" s="9">
        <f t="shared" si="290"/>
        <v>147.19999999999999</v>
      </c>
      <c r="CP132" s="9">
        <f t="shared" si="290"/>
        <v>147.19999999999999</v>
      </c>
      <c r="CQ132" s="9">
        <f t="shared" si="290"/>
        <v>147.19999999999999</v>
      </c>
      <c r="CR132" s="9">
        <f t="shared" si="290"/>
        <v>147.19999999999999</v>
      </c>
      <c r="CS132" s="9">
        <f t="shared" si="290"/>
        <v>147.19999999999999</v>
      </c>
      <c r="CT132" s="9">
        <f t="shared" si="290"/>
        <v>147.19999999999999</v>
      </c>
      <c r="CU132" s="238">
        <f t="shared" si="290"/>
        <v>147.19999999999999</v>
      </c>
      <c r="CV132" s="9">
        <f t="shared" si="290"/>
        <v>147.19999999999999</v>
      </c>
      <c r="CW132" s="9">
        <f t="shared" si="290"/>
        <v>147.19999999999999</v>
      </c>
      <c r="CX132" s="9">
        <f t="shared" si="290"/>
        <v>147.19999999999999</v>
      </c>
      <c r="CY132" s="9">
        <f t="shared" si="290"/>
        <v>147.19999999999999</v>
      </c>
      <c r="CZ132" s="9">
        <f t="shared" si="290"/>
        <v>147.19999999999999</v>
      </c>
      <c r="DA132" s="9">
        <f t="shared" si="290"/>
        <v>147.19999999999999</v>
      </c>
      <c r="DB132" s="9">
        <f t="shared" si="290"/>
        <v>147.19999999999999</v>
      </c>
      <c r="DC132" s="9">
        <f t="shared" si="290"/>
        <v>147.19999999999999</v>
      </c>
      <c r="DD132" s="9">
        <f t="shared" si="290"/>
        <v>147.19999999999999</v>
      </c>
      <c r="DE132" s="9">
        <f t="shared" si="290"/>
        <v>147.19999999999999</v>
      </c>
      <c r="DF132" s="9">
        <f t="shared" si="290"/>
        <v>147.19999999999999</v>
      </c>
      <c r="DG132" s="9">
        <f t="shared" si="290"/>
        <v>147.19999999999999</v>
      </c>
    </row>
    <row r="133" spans="1:111" s="23" customFormat="1" x14ac:dyDescent="0.25">
      <c r="B133" s="1" t="s">
        <v>186</v>
      </c>
      <c r="C133" s="1"/>
      <c r="D133" s="2"/>
      <c r="E133" s="2"/>
      <c r="F133" s="2"/>
      <c r="G133" s="2"/>
      <c r="H133" s="2"/>
      <c r="I133" s="2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605"/>
      <c r="AX133" s="616"/>
      <c r="AY133" s="574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238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238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238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238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</row>
    <row r="134" spans="1:111" s="23" customFormat="1" x14ac:dyDescent="0.25">
      <c r="B134" s="1" t="s">
        <v>187</v>
      </c>
      <c r="C134" s="1"/>
      <c r="D134" s="2"/>
      <c r="E134" s="2"/>
      <c r="F134" s="2"/>
      <c r="G134" s="2"/>
      <c r="H134" s="2"/>
      <c r="I134" s="2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605"/>
      <c r="AX134" s="616"/>
      <c r="AY134" s="574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238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238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238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238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</row>
    <row r="135" spans="1:111" s="23" customFormat="1" x14ac:dyDescent="0.25">
      <c r="B135" s="1" t="s">
        <v>188</v>
      </c>
      <c r="C135" s="1"/>
      <c r="D135" s="2"/>
      <c r="E135" s="2"/>
      <c r="F135" s="2"/>
      <c r="G135" s="2"/>
      <c r="H135" s="2"/>
      <c r="I135" s="2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>
        <v>1100.0899999999999</v>
      </c>
      <c r="AN135" s="104">
        <v>878.5</v>
      </c>
      <c r="AO135" s="104">
        <v>0</v>
      </c>
      <c r="AP135" s="104">
        <v>0</v>
      </c>
      <c r="AQ135" s="104">
        <v>0</v>
      </c>
      <c r="AR135" s="104">
        <v>0</v>
      </c>
      <c r="AS135" s="104">
        <v>0</v>
      </c>
      <c r="AT135" s="104">
        <v>0</v>
      </c>
      <c r="AU135" s="104">
        <v>0</v>
      </c>
      <c r="AV135" s="104">
        <v>750</v>
      </c>
      <c r="AW135" s="605">
        <v>0</v>
      </c>
      <c r="AX135" s="616">
        <v>0</v>
      </c>
      <c r="AY135" s="574">
        <v>0</v>
      </c>
      <c r="AZ135" s="9">
        <f t="shared" ref="AZ135:CE135" si="291">+IF(AY135-(AX135-AY135)&lt;0, 0, AY135-(AX135-AY135))</f>
        <v>0</v>
      </c>
      <c r="BA135" s="9">
        <f t="shared" si="291"/>
        <v>0</v>
      </c>
      <c r="BB135" s="9">
        <f t="shared" si="291"/>
        <v>0</v>
      </c>
      <c r="BC135" s="9">
        <f t="shared" si="291"/>
        <v>0</v>
      </c>
      <c r="BD135" s="9">
        <f t="shared" si="291"/>
        <v>0</v>
      </c>
      <c r="BE135" s="9">
        <f t="shared" si="291"/>
        <v>0</v>
      </c>
      <c r="BF135" s="9">
        <f t="shared" si="291"/>
        <v>0</v>
      </c>
      <c r="BG135" s="9">
        <f t="shared" si="291"/>
        <v>0</v>
      </c>
      <c r="BH135" s="9">
        <f t="shared" si="291"/>
        <v>0</v>
      </c>
      <c r="BI135" s="9">
        <f t="shared" si="291"/>
        <v>0</v>
      </c>
      <c r="BJ135" s="9">
        <f t="shared" si="291"/>
        <v>0</v>
      </c>
      <c r="BK135" s="238">
        <f t="shared" si="291"/>
        <v>0</v>
      </c>
      <c r="BL135" s="9">
        <f t="shared" si="291"/>
        <v>0</v>
      </c>
      <c r="BM135" s="9">
        <f t="shared" si="291"/>
        <v>0</v>
      </c>
      <c r="BN135" s="9">
        <f t="shared" si="291"/>
        <v>0</v>
      </c>
      <c r="BO135" s="9">
        <f t="shared" si="291"/>
        <v>0</v>
      </c>
      <c r="BP135" s="9">
        <f t="shared" si="291"/>
        <v>0</v>
      </c>
      <c r="BQ135" s="9">
        <f t="shared" si="291"/>
        <v>0</v>
      </c>
      <c r="BR135" s="9">
        <f t="shared" si="291"/>
        <v>0</v>
      </c>
      <c r="BS135" s="9">
        <f t="shared" si="291"/>
        <v>0</v>
      </c>
      <c r="BT135" s="9">
        <f t="shared" si="291"/>
        <v>0</v>
      </c>
      <c r="BU135" s="9">
        <f t="shared" si="291"/>
        <v>0</v>
      </c>
      <c r="BV135" s="9">
        <f t="shared" si="291"/>
        <v>0</v>
      </c>
      <c r="BW135" s="238">
        <f t="shared" si="291"/>
        <v>0</v>
      </c>
      <c r="BX135" s="9">
        <f t="shared" si="291"/>
        <v>0</v>
      </c>
      <c r="BY135" s="9">
        <f t="shared" si="291"/>
        <v>0</v>
      </c>
      <c r="BZ135" s="9">
        <f t="shared" si="291"/>
        <v>0</v>
      </c>
      <c r="CA135" s="9">
        <f t="shared" si="291"/>
        <v>0</v>
      </c>
      <c r="CB135" s="9">
        <f t="shared" si="291"/>
        <v>0</v>
      </c>
      <c r="CC135" s="9">
        <f t="shared" si="291"/>
        <v>0</v>
      </c>
      <c r="CD135" s="9">
        <f t="shared" si="291"/>
        <v>0</v>
      </c>
      <c r="CE135" s="9">
        <f t="shared" si="291"/>
        <v>0</v>
      </c>
      <c r="CF135" s="9">
        <f t="shared" ref="CF135:DK135" si="292">+IF(CE135-(CD135-CE135)&lt;0, 0, CE135-(CD135-CE135))</f>
        <v>0</v>
      </c>
      <c r="CG135" s="9">
        <f t="shared" si="292"/>
        <v>0</v>
      </c>
      <c r="CH135" s="9">
        <f t="shared" si="292"/>
        <v>0</v>
      </c>
      <c r="CI135" s="238">
        <f t="shared" si="292"/>
        <v>0</v>
      </c>
      <c r="CJ135" s="9">
        <f t="shared" si="292"/>
        <v>0</v>
      </c>
      <c r="CK135" s="9">
        <f t="shared" si="292"/>
        <v>0</v>
      </c>
      <c r="CL135" s="9">
        <f t="shared" si="292"/>
        <v>0</v>
      </c>
      <c r="CM135" s="9">
        <f t="shared" si="292"/>
        <v>0</v>
      </c>
      <c r="CN135" s="9">
        <f t="shared" si="292"/>
        <v>0</v>
      </c>
      <c r="CO135" s="9">
        <f t="shared" si="292"/>
        <v>0</v>
      </c>
      <c r="CP135" s="9">
        <f t="shared" si="292"/>
        <v>0</v>
      </c>
      <c r="CQ135" s="9">
        <f t="shared" si="292"/>
        <v>0</v>
      </c>
      <c r="CR135" s="9">
        <f t="shared" si="292"/>
        <v>0</v>
      </c>
      <c r="CS135" s="9">
        <f t="shared" si="292"/>
        <v>0</v>
      </c>
      <c r="CT135" s="9">
        <f t="shared" si="292"/>
        <v>0</v>
      </c>
      <c r="CU135" s="238">
        <f t="shared" si="292"/>
        <v>0</v>
      </c>
      <c r="CV135" s="9">
        <f t="shared" si="292"/>
        <v>0</v>
      </c>
      <c r="CW135" s="9">
        <f t="shared" si="292"/>
        <v>0</v>
      </c>
      <c r="CX135" s="9">
        <f t="shared" si="292"/>
        <v>0</v>
      </c>
      <c r="CY135" s="9">
        <f t="shared" si="292"/>
        <v>0</v>
      </c>
      <c r="CZ135" s="9">
        <f t="shared" si="292"/>
        <v>0</v>
      </c>
      <c r="DA135" s="9">
        <f t="shared" si="292"/>
        <v>0</v>
      </c>
      <c r="DB135" s="9">
        <f t="shared" si="292"/>
        <v>0</v>
      </c>
      <c r="DC135" s="9">
        <f t="shared" si="292"/>
        <v>0</v>
      </c>
      <c r="DD135" s="9">
        <f t="shared" si="292"/>
        <v>0</v>
      </c>
      <c r="DE135" s="9">
        <f t="shared" si="292"/>
        <v>0</v>
      </c>
      <c r="DF135" s="9">
        <f t="shared" si="292"/>
        <v>0</v>
      </c>
      <c r="DG135" s="9">
        <f t="shared" si="292"/>
        <v>0</v>
      </c>
    </row>
    <row r="136" spans="1:111" s="23" customFormat="1" x14ac:dyDescent="0.25">
      <c r="B136" s="1" t="s">
        <v>189</v>
      </c>
      <c r="C136" s="1"/>
      <c r="D136" s="2"/>
      <c r="E136" s="2"/>
      <c r="F136" s="2"/>
      <c r="G136" s="2"/>
      <c r="H136" s="2"/>
      <c r="I136" s="2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>
        <v>0</v>
      </c>
      <c r="AP136" s="104">
        <v>0</v>
      </c>
      <c r="AQ136" s="104">
        <v>0</v>
      </c>
      <c r="AR136" s="104">
        <v>0</v>
      </c>
      <c r="AS136" s="104">
        <v>0</v>
      </c>
      <c r="AT136" s="104">
        <v>0</v>
      </c>
      <c r="AU136" s="104">
        <v>0</v>
      </c>
      <c r="AV136" s="104">
        <v>0</v>
      </c>
      <c r="AW136" s="605">
        <v>0</v>
      </c>
      <c r="AX136" s="616">
        <v>0</v>
      </c>
      <c r="AY136" s="574">
        <f t="shared" ref="AY136:CD136" si="293">+AX136</f>
        <v>0</v>
      </c>
      <c r="AZ136" s="9">
        <f t="shared" si="293"/>
        <v>0</v>
      </c>
      <c r="BA136" s="9">
        <f t="shared" si="293"/>
        <v>0</v>
      </c>
      <c r="BB136" s="9">
        <f t="shared" si="293"/>
        <v>0</v>
      </c>
      <c r="BC136" s="9">
        <f t="shared" si="293"/>
        <v>0</v>
      </c>
      <c r="BD136" s="9">
        <f t="shared" si="293"/>
        <v>0</v>
      </c>
      <c r="BE136" s="9">
        <f t="shared" si="293"/>
        <v>0</v>
      </c>
      <c r="BF136" s="9">
        <f t="shared" si="293"/>
        <v>0</v>
      </c>
      <c r="BG136" s="9">
        <f t="shared" si="293"/>
        <v>0</v>
      </c>
      <c r="BH136" s="9">
        <f t="shared" si="293"/>
        <v>0</v>
      </c>
      <c r="BI136" s="9">
        <f t="shared" si="293"/>
        <v>0</v>
      </c>
      <c r="BJ136" s="9">
        <f t="shared" si="293"/>
        <v>0</v>
      </c>
      <c r="BK136" s="238">
        <f t="shared" si="293"/>
        <v>0</v>
      </c>
      <c r="BL136" s="9">
        <f t="shared" si="293"/>
        <v>0</v>
      </c>
      <c r="BM136" s="9">
        <f t="shared" si="293"/>
        <v>0</v>
      </c>
      <c r="BN136" s="9">
        <f t="shared" si="293"/>
        <v>0</v>
      </c>
      <c r="BO136" s="9">
        <f t="shared" si="293"/>
        <v>0</v>
      </c>
      <c r="BP136" s="9">
        <f t="shared" si="293"/>
        <v>0</v>
      </c>
      <c r="BQ136" s="9">
        <f t="shared" si="293"/>
        <v>0</v>
      </c>
      <c r="BR136" s="9">
        <f t="shared" si="293"/>
        <v>0</v>
      </c>
      <c r="BS136" s="9">
        <f t="shared" si="293"/>
        <v>0</v>
      </c>
      <c r="BT136" s="9">
        <f t="shared" si="293"/>
        <v>0</v>
      </c>
      <c r="BU136" s="9">
        <f t="shared" si="293"/>
        <v>0</v>
      </c>
      <c r="BV136" s="9">
        <f t="shared" si="293"/>
        <v>0</v>
      </c>
      <c r="BW136" s="238">
        <f t="shared" si="293"/>
        <v>0</v>
      </c>
      <c r="BX136" s="9">
        <f t="shared" si="293"/>
        <v>0</v>
      </c>
      <c r="BY136" s="9">
        <f t="shared" si="293"/>
        <v>0</v>
      </c>
      <c r="BZ136" s="9">
        <f t="shared" si="293"/>
        <v>0</v>
      </c>
      <c r="CA136" s="9">
        <f t="shared" si="293"/>
        <v>0</v>
      </c>
      <c r="CB136" s="9">
        <f t="shared" si="293"/>
        <v>0</v>
      </c>
      <c r="CC136" s="9">
        <f t="shared" si="293"/>
        <v>0</v>
      </c>
      <c r="CD136" s="9">
        <f t="shared" si="293"/>
        <v>0</v>
      </c>
      <c r="CE136" s="9">
        <f t="shared" ref="CE136:DG136" si="294">+CD136</f>
        <v>0</v>
      </c>
      <c r="CF136" s="9">
        <f t="shared" si="294"/>
        <v>0</v>
      </c>
      <c r="CG136" s="9">
        <f t="shared" si="294"/>
        <v>0</v>
      </c>
      <c r="CH136" s="9">
        <f t="shared" si="294"/>
        <v>0</v>
      </c>
      <c r="CI136" s="238">
        <f t="shared" si="294"/>
        <v>0</v>
      </c>
      <c r="CJ136" s="9">
        <f t="shared" si="294"/>
        <v>0</v>
      </c>
      <c r="CK136" s="9">
        <f t="shared" si="294"/>
        <v>0</v>
      </c>
      <c r="CL136" s="9">
        <f t="shared" si="294"/>
        <v>0</v>
      </c>
      <c r="CM136" s="9">
        <f t="shared" si="294"/>
        <v>0</v>
      </c>
      <c r="CN136" s="9">
        <f t="shared" si="294"/>
        <v>0</v>
      </c>
      <c r="CO136" s="9">
        <f t="shared" si="294"/>
        <v>0</v>
      </c>
      <c r="CP136" s="9">
        <f t="shared" si="294"/>
        <v>0</v>
      </c>
      <c r="CQ136" s="9">
        <f t="shared" si="294"/>
        <v>0</v>
      </c>
      <c r="CR136" s="9">
        <f t="shared" si="294"/>
        <v>0</v>
      </c>
      <c r="CS136" s="9">
        <f t="shared" si="294"/>
        <v>0</v>
      </c>
      <c r="CT136" s="9">
        <f t="shared" si="294"/>
        <v>0</v>
      </c>
      <c r="CU136" s="238">
        <f t="shared" si="294"/>
        <v>0</v>
      </c>
      <c r="CV136" s="9">
        <f t="shared" si="294"/>
        <v>0</v>
      </c>
      <c r="CW136" s="9">
        <f t="shared" si="294"/>
        <v>0</v>
      </c>
      <c r="CX136" s="9">
        <f t="shared" si="294"/>
        <v>0</v>
      </c>
      <c r="CY136" s="9">
        <f t="shared" si="294"/>
        <v>0</v>
      </c>
      <c r="CZ136" s="9">
        <f t="shared" si="294"/>
        <v>0</v>
      </c>
      <c r="DA136" s="9">
        <f t="shared" si="294"/>
        <v>0</v>
      </c>
      <c r="DB136" s="9">
        <f t="shared" si="294"/>
        <v>0</v>
      </c>
      <c r="DC136" s="9">
        <f t="shared" si="294"/>
        <v>0</v>
      </c>
      <c r="DD136" s="9">
        <f t="shared" si="294"/>
        <v>0</v>
      </c>
      <c r="DE136" s="9">
        <f t="shared" si="294"/>
        <v>0</v>
      </c>
      <c r="DF136" s="9">
        <f t="shared" si="294"/>
        <v>0</v>
      </c>
      <c r="DG136" s="9">
        <f t="shared" si="294"/>
        <v>0</v>
      </c>
    </row>
    <row r="137" spans="1:111" s="23" customFormat="1" x14ac:dyDescent="0.25">
      <c r="B137" s="1" t="s">
        <v>190</v>
      </c>
      <c r="C137" s="1"/>
      <c r="D137" s="2"/>
      <c r="E137" s="2"/>
      <c r="F137" s="2"/>
      <c r="G137" s="2"/>
      <c r="H137" s="2"/>
      <c r="I137" s="2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>
        <v>741.05</v>
      </c>
      <c r="AP137" s="104">
        <v>719.88</v>
      </c>
      <c r="AQ137" s="104">
        <v>988.86</v>
      </c>
      <c r="AR137" s="104">
        <v>1190.2</v>
      </c>
      <c r="AS137" s="104">
        <v>600.27</v>
      </c>
      <c r="AT137" s="104">
        <v>900.42</v>
      </c>
      <c r="AU137" s="104">
        <v>644.07000000000005</v>
      </c>
      <c r="AV137" s="104">
        <v>300.14</v>
      </c>
      <c r="AW137" s="605">
        <v>325.01</v>
      </c>
      <c r="AX137" s="616">
        <v>385.03</v>
      </c>
      <c r="AY137" s="574">
        <f>+AX137/2</f>
        <v>192.51499999999999</v>
      </c>
      <c r="AZ137" s="9">
        <f t="shared" ref="AZ137:CE137" si="295">+AY137</f>
        <v>192.51499999999999</v>
      </c>
      <c r="BA137" s="9">
        <f t="shared" si="295"/>
        <v>192.51499999999999</v>
      </c>
      <c r="BB137" s="9">
        <f t="shared" si="295"/>
        <v>192.51499999999999</v>
      </c>
      <c r="BC137" s="9">
        <f t="shared" si="295"/>
        <v>192.51499999999999</v>
      </c>
      <c r="BD137" s="9">
        <f t="shared" si="295"/>
        <v>192.51499999999999</v>
      </c>
      <c r="BE137" s="9">
        <f t="shared" si="295"/>
        <v>192.51499999999999</v>
      </c>
      <c r="BF137" s="9">
        <f t="shared" si="295"/>
        <v>192.51499999999999</v>
      </c>
      <c r="BG137" s="9">
        <f t="shared" si="295"/>
        <v>192.51499999999999</v>
      </c>
      <c r="BH137" s="9">
        <f t="shared" si="295"/>
        <v>192.51499999999999</v>
      </c>
      <c r="BI137" s="9">
        <f t="shared" si="295"/>
        <v>192.51499999999999</v>
      </c>
      <c r="BJ137" s="9">
        <f t="shared" si="295"/>
        <v>192.51499999999999</v>
      </c>
      <c r="BK137" s="238">
        <f t="shared" si="295"/>
        <v>192.51499999999999</v>
      </c>
      <c r="BL137" s="9">
        <f t="shared" si="295"/>
        <v>192.51499999999999</v>
      </c>
      <c r="BM137" s="9">
        <f t="shared" si="295"/>
        <v>192.51499999999999</v>
      </c>
      <c r="BN137" s="9">
        <f t="shared" si="295"/>
        <v>192.51499999999999</v>
      </c>
      <c r="BO137" s="9">
        <f t="shared" si="295"/>
        <v>192.51499999999999</v>
      </c>
      <c r="BP137" s="9">
        <f t="shared" si="295"/>
        <v>192.51499999999999</v>
      </c>
      <c r="BQ137" s="9">
        <f t="shared" si="295"/>
        <v>192.51499999999999</v>
      </c>
      <c r="BR137" s="9">
        <f t="shared" si="295"/>
        <v>192.51499999999999</v>
      </c>
      <c r="BS137" s="9">
        <f t="shared" si="295"/>
        <v>192.51499999999999</v>
      </c>
      <c r="BT137" s="9">
        <f t="shared" si="295"/>
        <v>192.51499999999999</v>
      </c>
      <c r="BU137" s="9">
        <f t="shared" si="295"/>
        <v>192.51499999999999</v>
      </c>
      <c r="BV137" s="9">
        <f t="shared" si="295"/>
        <v>192.51499999999999</v>
      </c>
      <c r="BW137" s="238">
        <f t="shared" si="295"/>
        <v>192.51499999999999</v>
      </c>
      <c r="BX137" s="9">
        <f t="shared" si="295"/>
        <v>192.51499999999999</v>
      </c>
      <c r="BY137" s="9">
        <f t="shared" si="295"/>
        <v>192.51499999999999</v>
      </c>
      <c r="BZ137" s="9">
        <f t="shared" si="295"/>
        <v>192.51499999999999</v>
      </c>
      <c r="CA137" s="9">
        <f t="shared" si="295"/>
        <v>192.51499999999999</v>
      </c>
      <c r="CB137" s="9">
        <f t="shared" si="295"/>
        <v>192.51499999999999</v>
      </c>
      <c r="CC137" s="9">
        <f t="shared" si="295"/>
        <v>192.51499999999999</v>
      </c>
      <c r="CD137" s="9">
        <f t="shared" si="295"/>
        <v>192.51499999999999</v>
      </c>
      <c r="CE137" s="9">
        <f t="shared" si="295"/>
        <v>192.51499999999999</v>
      </c>
      <c r="CF137" s="9">
        <f t="shared" ref="CF137:DG137" si="296">+CE137</f>
        <v>192.51499999999999</v>
      </c>
      <c r="CG137" s="9">
        <f t="shared" si="296"/>
        <v>192.51499999999999</v>
      </c>
      <c r="CH137" s="9">
        <f t="shared" si="296"/>
        <v>192.51499999999999</v>
      </c>
      <c r="CI137" s="238">
        <f t="shared" si="296"/>
        <v>192.51499999999999</v>
      </c>
      <c r="CJ137" s="9">
        <f t="shared" si="296"/>
        <v>192.51499999999999</v>
      </c>
      <c r="CK137" s="9">
        <f t="shared" si="296"/>
        <v>192.51499999999999</v>
      </c>
      <c r="CL137" s="9">
        <f t="shared" si="296"/>
        <v>192.51499999999999</v>
      </c>
      <c r="CM137" s="9">
        <f t="shared" si="296"/>
        <v>192.51499999999999</v>
      </c>
      <c r="CN137" s="9">
        <f t="shared" si="296"/>
        <v>192.51499999999999</v>
      </c>
      <c r="CO137" s="9">
        <f t="shared" si="296"/>
        <v>192.51499999999999</v>
      </c>
      <c r="CP137" s="9">
        <f t="shared" si="296"/>
        <v>192.51499999999999</v>
      </c>
      <c r="CQ137" s="9">
        <f t="shared" si="296"/>
        <v>192.51499999999999</v>
      </c>
      <c r="CR137" s="9">
        <f t="shared" si="296"/>
        <v>192.51499999999999</v>
      </c>
      <c r="CS137" s="9">
        <f t="shared" si="296"/>
        <v>192.51499999999999</v>
      </c>
      <c r="CT137" s="9">
        <f t="shared" si="296"/>
        <v>192.51499999999999</v>
      </c>
      <c r="CU137" s="238">
        <f t="shared" si="296"/>
        <v>192.51499999999999</v>
      </c>
      <c r="CV137" s="9">
        <f t="shared" si="296"/>
        <v>192.51499999999999</v>
      </c>
      <c r="CW137" s="9">
        <f t="shared" si="296"/>
        <v>192.51499999999999</v>
      </c>
      <c r="CX137" s="9">
        <f t="shared" si="296"/>
        <v>192.51499999999999</v>
      </c>
      <c r="CY137" s="9">
        <f t="shared" si="296"/>
        <v>192.51499999999999</v>
      </c>
      <c r="CZ137" s="9">
        <f t="shared" si="296"/>
        <v>192.51499999999999</v>
      </c>
      <c r="DA137" s="9">
        <f t="shared" si="296"/>
        <v>192.51499999999999</v>
      </c>
      <c r="DB137" s="9">
        <f t="shared" si="296"/>
        <v>192.51499999999999</v>
      </c>
      <c r="DC137" s="9">
        <f t="shared" si="296"/>
        <v>192.51499999999999</v>
      </c>
      <c r="DD137" s="9">
        <f t="shared" si="296"/>
        <v>192.51499999999999</v>
      </c>
      <c r="DE137" s="9">
        <f t="shared" si="296"/>
        <v>192.51499999999999</v>
      </c>
      <c r="DF137" s="9">
        <f t="shared" si="296"/>
        <v>192.51499999999999</v>
      </c>
      <c r="DG137" s="9">
        <f t="shared" si="296"/>
        <v>192.51499999999999</v>
      </c>
    </row>
    <row r="138" spans="1:111" s="23" customFormat="1" x14ac:dyDescent="0.25">
      <c r="B138" s="1" t="s">
        <v>191</v>
      </c>
      <c r="C138" s="1"/>
      <c r="D138" s="2"/>
      <c r="E138" s="2"/>
      <c r="F138" s="2"/>
      <c r="G138" s="2"/>
      <c r="H138" s="2"/>
      <c r="I138" s="2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>
        <v>-63.15</v>
      </c>
      <c r="AP138" s="104">
        <v>-126.3</v>
      </c>
      <c r="AQ138" s="104">
        <v>117.46</v>
      </c>
      <c r="AR138" s="104">
        <v>70.62</v>
      </c>
      <c r="AS138" s="104">
        <v>-70.27</v>
      </c>
      <c r="AT138" s="104">
        <v>-14.39</v>
      </c>
      <c r="AU138" s="104">
        <v>132.54</v>
      </c>
      <c r="AV138" s="104">
        <v>49.72</v>
      </c>
      <c r="AW138" s="605">
        <v>24.85</v>
      </c>
      <c r="AX138" s="616">
        <v>34.81</v>
      </c>
      <c r="AY138" s="574">
        <f>+AX138</f>
        <v>34.81</v>
      </c>
      <c r="AZ138" s="9">
        <f t="shared" ref="AZ138:CE138" si="297">+AY138</f>
        <v>34.81</v>
      </c>
      <c r="BA138" s="9">
        <f t="shared" si="297"/>
        <v>34.81</v>
      </c>
      <c r="BB138" s="9">
        <f t="shared" si="297"/>
        <v>34.81</v>
      </c>
      <c r="BC138" s="9">
        <f t="shared" si="297"/>
        <v>34.81</v>
      </c>
      <c r="BD138" s="9">
        <f t="shared" si="297"/>
        <v>34.81</v>
      </c>
      <c r="BE138" s="9">
        <f t="shared" si="297"/>
        <v>34.81</v>
      </c>
      <c r="BF138" s="9">
        <f t="shared" si="297"/>
        <v>34.81</v>
      </c>
      <c r="BG138" s="9">
        <f t="shared" si="297"/>
        <v>34.81</v>
      </c>
      <c r="BH138" s="9">
        <f t="shared" si="297"/>
        <v>34.81</v>
      </c>
      <c r="BI138" s="9">
        <f t="shared" si="297"/>
        <v>34.81</v>
      </c>
      <c r="BJ138" s="9">
        <f t="shared" si="297"/>
        <v>34.81</v>
      </c>
      <c r="BK138" s="238">
        <f t="shared" si="297"/>
        <v>34.81</v>
      </c>
      <c r="BL138" s="9">
        <f t="shared" si="297"/>
        <v>34.81</v>
      </c>
      <c r="BM138" s="9">
        <f t="shared" si="297"/>
        <v>34.81</v>
      </c>
      <c r="BN138" s="9">
        <f t="shared" si="297"/>
        <v>34.81</v>
      </c>
      <c r="BO138" s="9">
        <f t="shared" si="297"/>
        <v>34.81</v>
      </c>
      <c r="BP138" s="9">
        <f t="shared" si="297"/>
        <v>34.81</v>
      </c>
      <c r="BQ138" s="9">
        <f t="shared" si="297"/>
        <v>34.81</v>
      </c>
      <c r="BR138" s="9">
        <f t="shared" si="297"/>
        <v>34.81</v>
      </c>
      <c r="BS138" s="9">
        <f t="shared" si="297"/>
        <v>34.81</v>
      </c>
      <c r="BT138" s="9">
        <f t="shared" si="297"/>
        <v>34.81</v>
      </c>
      <c r="BU138" s="9">
        <f t="shared" si="297"/>
        <v>34.81</v>
      </c>
      <c r="BV138" s="9">
        <f t="shared" si="297"/>
        <v>34.81</v>
      </c>
      <c r="BW138" s="238">
        <f t="shared" si="297"/>
        <v>34.81</v>
      </c>
      <c r="BX138" s="9">
        <f t="shared" si="297"/>
        <v>34.81</v>
      </c>
      <c r="BY138" s="9">
        <f t="shared" si="297"/>
        <v>34.81</v>
      </c>
      <c r="BZ138" s="9">
        <f t="shared" si="297"/>
        <v>34.81</v>
      </c>
      <c r="CA138" s="9">
        <f t="shared" si="297"/>
        <v>34.81</v>
      </c>
      <c r="CB138" s="9">
        <f t="shared" si="297"/>
        <v>34.81</v>
      </c>
      <c r="CC138" s="9">
        <f t="shared" si="297"/>
        <v>34.81</v>
      </c>
      <c r="CD138" s="9">
        <f t="shared" si="297"/>
        <v>34.81</v>
      </c>
      <c r="CE138" s="9">
        <f t="shared" si="297"/>
        <v>34.81</v>
      </c>
      <c r="CF138" s="9">
        <f t="shared" ref="CF138:DG138" si="298">+CE138</f>
        <v>34.81</v>
      </c>
      <c r="CG138" s="9">
        <f t="shared" si="298"/>
        <v>34.81</v>
      </c>
      <c r="CH138" s="9">
        <f t="shared" si="298"/>
        <v>34.81</v>
      </c>
      <c r="CI138" s="238">
        <f t="shared" si="298"/>
        <v>34.81</v>
      </c>
      <c r="CJ138" s="9">
        <f t="shared" si="298"/>
        <v>34.81</v>
      </c>
      <c r="CK138" s="9">
        <f t="shared" si="298"/>
        <v>34.81</v>
      </c>
      <c r="CL138" s="9">
        <f t="shared" si="298"/>
        <v>34.81</v>
      </c>
      <c r="CM138" s="9">
        <f t="shared" si="298"/>
        <v>34.81</v>
      </c>
      <c r="CN138" s="9">
        <f t="shared" si="298"/>
        <v>34.81</v>
      </c>
      <c r="CO138" s="9">
        <f t="shared" si="298"/>
        <v>34.81</v>
      </c>
      <c r="CP138" s="9">
        <f t="shared" si="298"/>
        <v>34.81</v>
      </c>
      <c r="CQ138" s="9">
        <f t="shared" si="298"/>
        <v>34.81</v>
      </c>
      <c r="CR138" s="9">
        <f t="shared" si="298"/>
        <v>34.81</v>
      </c>
      <c r="CS138" s="9">
        <f t="shared" si="298"/>
        <v>34.81</v>
      </c>
      <c r="CT138" s="9">
        <f t="shared" si="298"/>
        <v>34.81</v>
      </c>
      <c r="CU138" s="238">
        <f t="shared" si="298"/>
        <v>34.81</v>
      </c>
      <c r="CV138" s="9">
        <f t="shared" si="298"/>
        <v>34.81</v>
      </c>
      <c r="CW138" s="9">
        <f t="shared" si="298"/>
        <v>34.81</v>
      </c>
      <c r="CX138" s="9">
        <f t="shared" si="298"/>
        <v>34.81</v>
      </c>
      <c r="CY138" s="9">
        <f t="shared" si="298"/>
        <v>34.81</v>
      </c>
      <c r="CZ138" s="9">
        <f t="shared" si="298"/>
        <v>34.81</v>
      </c>
      <c r="DA138" s="9">
        <f t="shared" si="298"/>
        <v>34.81</v>
      </c>
      <c r="DB138" s="9">
        <f t="shared" si="298"/>
        <v>34.81</v>
      </c>
      <c r="DC138" s="9">
        <f t="shared" si="298"/>
        <v>34.81</v>
      </c>
      <c r="DD138" s="9">
        <f t="shared" si="298"/>
        <v>34.81</v>
      </c>
      <c r="DE138" s="9">
        <f t="shared" si="298"/>
        <v>34.81</v>
      </c>
      <c r="DF138" s="9">
        <f t="shared" si="298"/>
        <v>34.81</v>
      </c>
      <c r="DG138" s="9">
        <f t="shared" si="298"/>
        <v>34.81</v>
      </c>
    </row>
    <row r="139" spans="1:111" s="23" customFormat="1" x14ac:dyDescent="0.25">
      <c r="B139" s="1" t="s">
        <v>192</v>
      </c>
      <c r="C139" s="1"/>
      <c r="D139" s="2"/>
      <c r="E139" s="2"/>
      <c r="F139" s="2"/>
      <c r="G139" s="2"/>
      <c r="H139" s="2"/>
      <c r="I139" s="2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>
        <v>0</v>
      </c>
      <c r="AP139" s="104">
        <v>0</v>
      </c>
      <c r="AQ139" s="104">
        <v>-12.57</v>
      </c>
      <c r="AR139" s="104">
        <v>-25.14</v>
      </c>
      <c r="AS139" s="104">
        <v>-363.97</v>
      </c>
      <c r="AT139" s="104">
        <v>-731.8</v>
      </c>
      <c r="AU139" s="104">
        <v>-957.63</v>
      </c>
      <c r="AV139" s="104">
        <v>-1002.89</v>
      </c>
      <c r="AW139" s="605">
        <v>-1048.1500000000001</v>
      </c>
      <c r="AX139" s="616">
        <v>-1093.4100000000001</v>
      </c>
      <c r="AY139" s="574">
        <v>0</v>
      </c>
      <c r="AZ139" s="9">
        <f t="shared" ref="AZ139:CE139" si="299">+AY139</f>
        <v>0</v>
      </c>
      <c r="BA139" s="9">
        <f t="shared" si="299"/>
        <v>0</v>
      </c>
      <c r="BB139" s="9">
        <f t="shared" si="299"/>
        <v>0</v>
      </c>
      <c r="BC139" s="9">
        <f t="shared" si="299"/>
        <v>0</v>
      </c>
      <c r="BD139" s="9">
        <f t="shared" si="299"/>
        <v>0</v>
      </c>
      <c r="BE139" s="9">
        <f t="shared" si="299"/>
        <v>0</v>
      </c>
      <c r="BF139" s="9">
        <f t="shared" si="299"/>
        <v>0</v>
      </c>
      <c r="BG139" s="9">
        <f t="shared" si="299"/>
        <v>0</v>
      </c>
      <c r="BH139" s="9">
        <f t="shared" si="299"/>
        <v>0</v>
      </c>
      <c r="BI139" s="9">
        <f t="shared" si="299"/>
        <v>0</v>
      </c>
      <c r="BJ139" s="9">
        <f t="shared" si="299"/>
        <v>0</v>
      </c>
      <c r="BK139" s="238">
        <f t="shared" si="299"/>
        <v>0</v>
      </c>
      <c r="BL139" s="9">
        <f t="shared" si="299"/>
        <v>0</v>
      </c>
      <c r="BM139" s="9">
        <f t="shared" si="299"/>
        <v>0</v>
      </c>
      <c r="BN139" s="9">
        <f t="shared" si="299"/>
        <v>0</v>
      </c>
      <c r="BO139" s="9">
        <f t="shared" si="299"/>
        <v>0</v>
      </c>
      <c r="BP139" s="9">
        <f t="shared" si="299"/>
        <v>0</v>
      </c>
      <c r="BQ139" s="9">
        <f t="shared" si="299"/>
        <v>0</v>
      </c>
      <c r="BR139" s="9">
        <f t="shared" si="299"/>
        <v>0</v>
      </c>
      <c r="BS139" s="9">
        <f t="shared" si="299"/>
        <v>0</v>
      </c>
      <c r="BT139" s="9">
        <f t="shared" si="299"/>
        <v>0</v>
      </c>
      <c r="BU139" s="9">
        <f t="shared" si="299"/>
        <v>0</v>
      </c>
      <c r="BV139" s="9">
        <f t="shared" si="299"/>
        <v>0</v>
      </c>
      <c r="BW139" s="238">
        <f t="shared" si="299"/>
        <v>0</v>
      </c>
      <c r="BX139" s="9">
        <f t="shared" si="299"/>
        <v>0</v>
      </c>
      <c r="BY139" s="9">
        <f t="shared" si="299"/>
        <v>0</v>
      </c>
      <c r="BZ139" s="9">
        <f t="shared" si="299"/>
        <v>0</v>
      </c>
      <c r="CA139" s="9">
        <f t="shared" si="299"/>
        <v>0</v>
      </c>
      <c r="CB139" s="9">
        <f t="shared" si="299"/>
        <v>0</v>
      </c>
      <c r="CC139" s="9">
        <f t="shared" si="299"/>
        <v>0</v>
      </c>
      <c r="CD139" s="9">
        <f t="shared" si="299"/>
        <v>0</v>
      </c>
      <c r="CE139" s="9">
        <f t="shared" si="299"/>
        <v>0</v>
      </c>
      <c r="CF139" s="9">
        <f t="shared" ref="CF139:DG139" si="300">+CE139</f>
        <v>0</v>
      </c>
      <c r="CG139" s="9">
        <f t="shared" si="300"/>
        <v>0</v>
      </c>
      <c r="CH139" s="9">
        <f t="shared" si="300"/>
        <v>0</v>
      </c>
      <c r="CI139" s="238">
        <f t="shared" si="300"/>
        <v>0</v>
      </c>
      <c r="CJ139" s="9">
        <f t="shared" si="300"/>
        <v>0</v>
      </c>
      <c r="CK139" s="9">
        <f t="shared" si="300"/>
        <v>0</v>
      </c>
      <c r="CL139" s="9">
        <f t="shared" si="300"/>
        <v>0</v>
      </c>
      <c r="CM139" s="9">
        <f t="shared" si="300"/>
        <v>0</v>
      </c>
      <c r="CN139" s="9">
        <f t="shared" si="300"/>
        <v>0</v>
      </c>
      <c r="CO139" s="9">
        <f t="shared" si="300"/>
        <v>0</v>
      </c>
      <c r="CP139" s="9">
        <f t="shared" si="300"/>
        <v>0</v>
      </c>
      <c r="CQ139" s="9">
        <f t="shared" si="300"/>
        <v>0</v>
      </c>
      <c r="CR139" s="9">
        <f t="shared" si="300"/>
        <v>0</v>
      </c>
      <c r="CS139" s="9">
        <f t="shared" si="300"/>
        <v>0</v>
      </c>
      <c r="CT139" s="9">
        <f t="shared" si="300"/>
        <v>0</v>
      </c>
      <c r="CU139" s="238">
        <f t="shared" si="300"/>
        <v>0</v>
      </c>
      <c r="CV139" s="9">
        <f t="shared" si="300"/>
        <v>0</v>
      </c>
      <c r="CW139" s="9">
        <f t="shared" si="300"/>
        <v>0</v>
      </c>
      <c r="CX139" s="9">
        <f t="shared" si="300"/>
        <v>0</v>
      </c>
      <c r="CY139" s="9">
        <f t="shared" si="300"/>
        <v>0</v>
      </c>
      <c r="CZ139" s="9">
        <f t="shared" si="300"/>
        <v>0</v>
      </c>
      <c r="DA139" s="9">
        <f t="shared" si="300"/>
        <v>0</v>
      </c>
      <c r="DB139" s="9">
        <f t="shared" si="300"/>
        <v>0</v>
      </c>
      <c r="DC139" s="9">
        <f t="shared" si="300"/>
        <v>0</v>
      </c>
      <c r="DD139" s="9">
        <f t="shared" si="300"/>
        <v>0</v>
      </c>
      <c r="DE139" s="9">
        <f t="shared" si="300"/>
        <v>0</v>
      </c>
      <c r="DF139" s="9">
        <f t="shared" si="300"/>
        <v>0</v>
      </c>
      <c r="DG139" s="9">
        <f t="shared" si="300"/>
        <v>0</v>
      </c>
    </row>
    <row r="140" spans="1:111" s="23" customFormat="1" x14ac:dyDescent="0.25">
      <c r="B140" s="1" t="s">
        <v>193</v>
      </c>
      <c r="C140" s="1"/>
      <c r="D140" s="2"/>
      <c r="E140" s="2"/>
      <c r="F140" s="2"/>
      <c r="G140" s="2"/>
      <c r="H140" s="2"/>
      <c r="I140" s="2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>
        <v>0</v>
      </c>
      <c r="AP140" s="104">
        <v>0</v>
      </c>
      <c r="AQ140" s="104">
        <v>500</v>
      </c>
      <c r="AR140" s="104">
        <v>1000</v>
      </c>
      <c r="AS140" s="104">
        <v>1500</v>
      </c>
      <c r="AT140" s="104">
        <v>2000</v>
      </c>
      <c r="AU140" s="104">
        <v>2500</v>
      </c>
      <c r="AV140" s="104">
        <v>3000</v>
      </c>
      <c r="AW140" s="605">
        <v>3500</v>
      </c>
      <c r="AX140" s="616">
        <v>4000</v>
      </c>
      <c r="AY140" s="574">
        <f>+AX140+AY70</f>
        <v>4500</v>
      </c>
      <c r="AZ140" s="9">
        <f t="shared" ref="AZ140:CE140" si="301">+AY140</f>
        <v>4500</v>
      </c>
      <c r="BA140" s="9">
        <f t="shared" si="301"/>
        <v>4500</v>
      </c>
      <c r="BB140" s="9">
        <f t="shared" si="301"/>
        <v>4500</v>
      </c>
      <c r="BC140" s="9">
        <f t="shared" si="301"/>
        <v>4500</v>
      </c>
      <c r="BD140" s="9">
        <f t="shared" si="301"/>
        <v>4500</v>
      </c>
      <c r="BE140" s="9">
        <f t="shared" si="301"/>
        <v>4500</v>
      </c>
      <c r="BF140" s="9">
        <f t="shared" si="301"/>
        <v>4500</v>
      </c>
      <c r="BG140" s="9">
        <f t="shared" si="301"/>
        <v>4500</v>
      </c>
      <c r="BH140" s="9">
        <f t="shared" si="301"/>
        <v>4500</v>
      </c>
      <c r="BI140" s="9">
        <f t="shared" si="301"/>
        <v>4500</v>
      </c>
      <c r="BJ140" s="9">
        <f t="shared" si="301"/>
        <v>4500</v>
      </c>
      <c r="BK140" s="238">
        <f t="shared" si="301"/>
        <v>4500</v>
      </c>
      <c r="BL140" s="9">
        <f t="shared" si="301"/>
        <v>4500</v>
      </c>
      <c r="BM140" s="9">
        <f t="shared" si="301"/>
        <v>4500</v>
      </c>
      <c r="BN140" s="9">
        <f t="shared" si="301"/>
        <v>4500</v>
      </c>
      <c r="BO140" s="9">
        <f t="shared" si="301"/>
        <v>4500</v>
      </c>
      <c r="BP140" s="9">
        <f t="shared" si="301"/>
        <v>4500</v>
      </c>
      <c r="BQ140" s="9">
        <f t="shared" si="301"/>
        <v>4500</v>
      </c>
      <c r="BR140" s="9">
        <f t="shared" si="301"/>
        <v>4500</v>
      </c>
      <c r="BS140" s="9">
        <f t="shared" si="301"/>
        <v>4500</v>
      </c>
      <c r="BT140" s="9">
        <f t="shared" si="301"/>
        <v>4500</v>
      </c>
      <c r="BU140" s="9">
        <f t="shared" si="301"/>
        <v>4500</v>
      </c>
      <c r="BV140" s="9">
        <f t="shared" si="301"/>
        <v>4500</v>
      </c>
      <c r="BW140" s="238">
        <f t="shared" si="301"/>
        <v>4500</v>
      </c>
      <c r="BX140" s="9">
        <f t="shared" si="301"/>
        <v>4500</v>
      </c>
      <c r="BY140" s="9">
        <f t="shared" si="301"/>
        <v>4500</v>
      </c>
      <c r="BZ140" s="9">
        <f t="shared" si="301"/>
        <v>4500</v>
      </c>
      <c r="CA140" s="9">
        <f t="shared" si="301"/>
        <v>4500</v>
      </c>
      <c r="CB140" s="9">
        <f t="shared" si="301"/>
        <v>4500</v>
      </c>
      <c r="CC140" s="9">
        <f t="shared" si="301"/>
        <v>4500</v>
      </c>
      <c r="CD140" s="9">
        <f t="shared" si="301"/>
        <v>4500</v>
      </c>
      <c r="CE140" s="9">
        <f t="shared" si="301"/>
        <v>4500</v>
      </c>
      <c r="CF140" s="9">
        <f t="shared" ref="CF140:DG140" si="302">+CE140</f>
        <v>4500</v>
      </c>
      <c r="CG140" s="9">
        <f t="shared" si="302"/>
        <v>4500</v>
      </c>
      <c r="CH140" s="9">
        <f t="shared" si="302"/>
        <v>4500</v>
      </c>
      <c r="CI140" s="238">
        <f t="shared" si="302"/>
        <v>4500</v>
      </c>
      <c r="CJ140" s="9">
        <f t="shared" si="302"/>
        <v>4500</v>
      </c>
      <c r="CK140" s="9">
        <f t="shared" si="302"/>
        <v>4500</v>
      </c>
      <c r="CL140" s="9">
        <f t="shared" si="302"/>
        <v>4500</v>
      </c>
      <c r="CM140" s="9">
        <f t="shared" si="302"/>
        <v>4500</v>
      </c>
      <c r="CN140" s="9">
        <f t="shared" si="302"/>
        <v>4500</v>
      </c>
      <c r="CO140" s="9">
        <f t="shared" si="302"/>
        <v>4500</v>
      </c>
      <c r="CP140" s="9">
        <f t="shared" si="302"/>
        <v>4500</v>
      </c>
      <c r="CQ140" s="9">
        <f t="shared" si="302"/>
        <v>4500</v>
      </c>
      <c r="CR140" s="9">
        <f t="shared" si="302"/>
        <v>4500</v>
      </c>
      <c r="CS140" s="9">
        <f t="shared" si="302"/>
        <v>4500</v>
      </c>
      <c r="CT140" s="9">
        <f t="shared" si="302"/>
        <v>4500</v>
      </c>
      <c r="CU140" s="238">
        <f t="shared" si="302"/>
        <v>4500</v>
      </c>
      <c r="CV140" s="9">
        <f t="shared" si="302"/>
        <v>4500</v>
      </c>
      <c r="CW140" s="9">
        <f t="shared" si="302"/>
        <v>4500</v>
      </c>
      <c r="CX140" s="9">
        <f t="shared" si="302"/>
        <v>4500</v>
      </c>
      <c r="CY140" s="9">
        <f t="shared" si="302"/>
        <v>4500</v>
      </c>
      <c r="CZ140" s="9">
        <f t="shared" si="302"/>
        <v>4500</v>
      </c>
      <c r="DA140" s="9">
        <f t="shared" si="302"/>
        <v>4500</v>
      </c>
      <c r="DB140" s="9">
        <f t="shared" si="302"/>
        <v>4500</v>
      </c>
      <c r="DC140" s="9">
        <f t="shared" si="302"/>
        <v>4500</v>
      </c>
      <c r="DD140" s="9">
        <f t="shared" si="302"/>
        <v>4500</v>
      </c>
      <c r="DE140" s="9">
        <f t="shared" si="302"/>
        <v>4500</v>
      </c>
      <c r="DF140" s="9">
        <f t="shared" si="302"/>
        <v>4500</v>
      </c>
      <c r="DG140" s="9">
        <f t="shared" si="302"/>
        <v>4500</v>
      </c>
    </row>
    <row r="141" spans="1:111" x14ac:dyDescent="0.25">
      <c r="B141" s="1" t="s">
        <v>194</v>
      </c>
      <c r="C141" s="1"/>
      <c r="D141" s="2"/>
      <c r="E141" s="2"/>
      <c r="F141" s="2"/>
      <c r="G141" s="2"/>
      <c r="H141" s="2"/>
      <c r="I141" s="2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>
        <f t="shared" ref="AO141:BT141" si="303">SUM(AO136:AO140)</f>
        <v>677.9</v>
      </c>
      <c r="AP141" s="46">
        <f t="shared" si="303"/>
        <v>593.58000000000004</v>
      </c>
      <c r="AQ141" s="46">
        <f t="shared" si="303"/>
        <v>1593.75</v>
      </c>
      <c r="AR141" s="46">
        <f t="shared" si="303"/>
        <v>2235.6800000000003</v>
      </c>
      <c r="AS141" s="46">
        <f t="shared" si="303"/>
        <v>1666.03</v>
      </c>
      <c r="AT141" s="46">
        <f t="shared" si="303"/>
        <v>2154.23</v>
      </c>
      <c r="AU141" s="46">
        <f t="shared" si="303"/>
        <v>2318.98</v>
      </c>
      <c r="AV141" s="46">
        <f t="shared" si="303"/>
        <v>2346.9700000000003</v>
      </c>
      <c r="AW141" s="46">
        <f t="shared" si="303"/>
        <v>2801.71</v>
      </c>
      <c r="AX141" s="233">
        <f t="shared" si="303"/>
        <v>3326.43</v>
      </c>
      <c r="AY141" s="46">
        <f t="shared" si="303"/>
        <v>4727.3249999999998</v>
      </c>
      <c r="AZ141" s="46">
        <f t="shared" si="303"/>
        <v>4727.3249999999998</v>
      </c>
      <c r="BA141" s="46">
        <f t="shared" si="303"/>
        <v>4727.3249999999998</v>
      </c>
      <c r="BB141" s="46">
        <f t="shared" si="303"/>
        <v>4727.3249999999998</v>
      </c>
      <c r="BC141" s="46">
        <f t="shared" si="303"/>
        <v>4727.3249999999998</v>
      </c>
      <c r="BD141" s="46">
        <f t="shared" si="303"/>
        <v>4727.3249999999998</v>
      </c>
      <c r="BE141" s="46">
        <f t="shared" si="303"/>
        <v>4727.3249999999998</v>
      </c>
      <c r="BF141" s="46">
        <f t="shared" si="303"/>
        <v>4727.3249999999998</v>
      </c>
      <c r="BG141" s="46">
        <f t="shared" si="303"/>
        <v>4727.3249999999998</v>
      </c>
      <c r="BH141" s="46">
        <f t="shared" si="303"/>
        <v>4727.3249999999998</v>
      </c>
      <c r="BI141" s="46">
        <f t="shared" si="303"/>
        <v>4727.3249999999998</v>
      </c>
      <c r="BJ141" s="46">
        <f t="shared" si="303"/>
        <v>4727.3249999999998</v>
      </c>
      <c r="BK141" s="233">
        <f t="shared" si="303"/>
        <v>4727.3249999999998</v>
      </c>
      <c r="BL141" s="46">
        <f t="shared" si="303"/>
        <v>4727.3249999999998</v>
      </c>
      <c r="BM141" s="46">
        <f t="shared" si="303"/>
        <v>4727.3249999999998</v>
      </c>
      <c r="BN141" s="46">
        <f t="shared" si="303"/>
        <v>4727.3249999999998</v>
      </c>
      <c r="BO141" s="46">
        <f t="shared" si="303"/>
        <v>4727.3249999999998</v>
      </c>
      <c r="BP141" s="46">
        <f t="shared" si="303"/>
        <v>4727.3249999999998</v>
      </c>
      <c r="BQ141" s="46">
        <f t="shared" si="303"/>
        <v>4727.3249999999998</v>
      </c>
      <c r="BR141" s="46">
        <f t="shared" si="303"/>
        <v>4727.3249999999998</v>
      </c>
      <c r="BS141" s="46">
        <f t="shared" si="303"/>
        <v>4727.3249999999998</v>
      </c>
      <c r="BT141" s="46">
        <f t="shared" si="303"/>
        <v>4727.3249999999998</v>
      </c>
      <c r="BU141" s="46">
        <f t="shared" ref="BU141:CZ141" si="304">SUM(BU136:BU140)</f>
        <v>4727.3249999999998</v>
      </c>
      <c r="BV141" s="46">
        <f t="shared" si="304"/>
        <v>4727.3249999999998</v>
      </c>
      <c r="BW141" s="233">
        <f t="shared" si="304"/>
        <v>4727.3249999999998</v>
      </c>
      <c r="BX141" s="46">
        <f t="shared" si="304"/>
        <v>4727.3249999999998</v>
      </c>
      <c r="BY141" s="46">
        <f t="shared" si="304"/>
        <v>4727.3249999999998</v>
      </c>
      <c r="BZ141" s="46">
        <f t="shared" si="304"/>
        <v>4727.3249999999998</v>
      </c>
      <c r="CA141" s="46">
        <f t="shared" si="304"/>
        <v>4727.3249999999998</v>
      </c>
      <c r="CB141" s="46">
        <f t="shared" si="304"/>
        <v>4727.3249999999998</v>
      </c>
      <c r="CC141" s="46">
        <f t="shared" si="304"/>
        <v>4727.3249999999998</v>
      </c>
      <c r="CD141" s="46">
        <f t="shared" si="304"/>
        <v>4727.3249999999998</v>
      </c>
      <c r="CE141" s="46">
        <f t="shared" si="304"/>
        <v>4727.3249999999998</v>
      </c>
      <c r="CF141" s="46">
        <f t="shared" si="304"/>
        <v>4727.3249999999998</v>
      </c>
      <c r="CG141" s="46">
        <f t="shared" si="304"/>
        <v>4727.3249999999998</v>
      </c>
      <c r="CH141" s="46">
        <f t="shared" si="304"/>
        <v>4727.3249999999998</v>
      </c>
      <c r="CI141" s="233">
        <f t="shared" si="304"/>
        <v>4727.3249999999998</v>
      </c>
      <c r="CJ141" s="46">
        <f t="shared" si="304"/>
        <v>4727.3249999999998</v>
      </c>
      <c r="CK141" s="46">
        <f t="shared" si="304"/>
        <v>4727.3249999999998</v>
      </c>
      <c r="CL141" s="46">
        <f t="shared" si="304"/>
        <v>4727.3249999999998</v>
      </c>
      <c r="CM141" s="46">
        <f t="shared" si="304"/>
        <v>4727.3249999999998</v>
      </c>
      <c r="CN141" s="46">
        <f t="shared" si="304"/>
        <v>4727.3249999999998</v>
      </c>
      <c r="CO141" s="46">
        <f t="shared" si="304"/>
        <v>4727.3249999999998</v>
      </c>
      <c r="CP141" s="46">
        <f t="shared" si="304"/>
        <v>4727.3249999999998</v>
      </c>
      <c r="CQ141" s="46">
        <f t="shared" si="304"/>
        <v>4727.3249999999998</v>
      </c>
      <c r="CR141" s="46">
        <f t="shared" si="304"/>
        <v>4727.3249999999998</v>
      </c>
      <c r="CS141" s="46">
        <f t="shared" si="304"/>
        <v>4727.3249999999998</v>
      </c>
      <c r="CT141" s="46">
        <f t="shared" si="304"/>
        <v>4727.3249999999998</v>
      </c>
      <c r="CU141" s="233">
        <f t="shared" si="304"/>
        <v>4727.3249999999998</v>
      </c>
      <c r="CV141" s="46">
        <f t="shared" si="304"/>
        <v>4727.3249999999998</v>
      </c>
      <c r="CW141" s="46">
        <f t="shared" si="304"/>
        <v>4727.3249999999998</v>
      </c>
      <c r="CX141" s="46">
        <f t="shared" si="304"/>
        <v>4727.3249999999998</v>
      </c>
      <c r="CY141" s="46">
        <f t="shared" si="304"/>
        <v>4727.3249999999998</v>
      </c>
      <c r="CZ141" s="46">
        <f t="shared" si="304"/>
        <v>4727.3249999999998</v>
      </c>
      <c r="DA141" s="46">
        <f t="shared" ref="DA141:EF141" si="305">SUM(DA136:DA140)</f>
        <v>4727.3249999999998</v>
      </c>
      <c r="DB141" s="46">
        <f t="shared" si="305"/>
        <v>4727.3249999999998</v>
      </c>
      <c r="DC141" s="46">
        <f t="shared" si="305"/>
        <v>4727.3249999999998</v>
      </c>
      <c r="DD141" s="46">
        <f t="shared" si="305"/>
        <v>4727.3249999999998</v>
      </c>
      <c r="DE141" s="46">
        <f t="shared" si="305"/>
        <v>4727.3249999999998</v>
      </c>
      <c r="DF141" s="46">
        <f t="shared" si="305"/>
        <v>4727.3249999999998</v>
      </c>
      <c r="DG141" s="46">
        <f t="shared" si="305"/>
        <v>4727.3249999999998</v>
      </c>
    </row>
    <row r="142" spans="1:111" s="23" customFormat="1" x14ac:dyDescent="0.25">
      <c r="B142" s="1"/>
      <c r="C142" s="1"/>
      <c r="D142" s="2"/>
      <c r="E142" s="2"/>
      <c r="F142" s="2"/>
      <c r="G142" s="2"/>
      <c r="H142" s="2"/>
      <c r="I142" s="2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605"/>
      <c r="AX142" s="616"/>
      <c r="AY142" s="574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238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238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238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238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</row>
    <row r="143" spans="1:111" x14ac:dyDescent="0.25">
      <c r="B143" s="1" t="s">
        <v>195</v>
      </c>
      <c r="C143" s="1"/>
      <c r="D143" s="2"/>
      <c r="E143" s="2"/>
      <c r="F143" s="2"/>
      <c r="G143" s="2"/>
      <c r="H143" s="2"/>
      <c r="I143" s="2"/>
      <c r="J143" s="46">
        <f t="shared" ref="J143:AK143" si="306">SUM(J132)</f>
        <v>0</v>
      </c>
      <c r="K143" s="46">
        <f t="shared" si="306"/>
        <v>0</v>
      </c>
      <c r="L143" s="46">
        <f t="shared" si="306"/>
        <v>0</v>
      </c>
      <c r="M143" s="46">
        <f t="shared" si="306"/>
        <v>0</v>
      </c>
      <c r="N143" s="46">
        <f t="shared" si="306"/>
        <v>0</v>
      </c>
      <c r="O143" s="46">
        <f t="shared" si="306"/>
        <v>0</v>
      </c>
      <c r="P143" s="46">
        <f t="shared" si="306"/>
        <v>0</v>
      </c>
      <c r="Q143" s="46">
        <f t="shared" si="306"/>
        <v>0</v>
      </c>
      <c r="R143" s="46">
        <f t="shared" si="306"/>
        <v>0</v>
      </c>
      <c r="S143" s="46">
        <f t="shared" si="306"/>
        <v>0</v>
      </c>
      <c r="T143" s="46">
        <f t="shared" si="306"/>
        <v>0</v>
      </c>
      <c r="U143" s="46">
        <f t="shared" si="306"/>
        <v>0</v>
      </c>
      <c r="V143" s="46">
        <f t="shared" si="306"/>
        <v>0</v>
      </c>
      <c r="W143" s="46">
        <f t="shared" si="306"/>
        <v>0</v>
      </c>
      <c r="X143" s="46">
        <f t="shared" si="306"/>
        <v>0</v>
      </c>
      <c r="Y143" s="46">
        <f t="shared" si="306"/>
        <v>0</v>
      </c>
      <c r="Z143" s="46">
        <f t="shared" si="306"/>
        <v>0</v>
      </c>
      <c r="AA143" s="46">
        <f t="shared" si="306"/>
        <v>0</v>
      </c>
      <c r="AB143" s="46">
        <f t="shared" si="306"/>
        <v>0</v>
      </c>
      <c r="AC143" s="46">
        <f t="shared" si="306"/>
        <v>0</v>
      </c>
      <c r="AD143" s="46">
        <f t="shared" si="306"/>
        <v>0</v>
      </c>
      <c r="AE143" s="46">
        <f t="shared" si="306"/>
        <v>0</v>
      </c>
      <c r="AF143" s="46">
        <f t="shared" si="306"/>
        <v>285</v>
      </c>
      <c r="AG143" s="46">
        <f t="shared" si="306"/>
        <v>185</v>
      </c>
      <c r="AH143" s="46">
        <f t="shared" si="306"/>
        <v>-115</v>
      </c>
      <c r="AI143" s="46">
        <f t="shared" si="306"/>
        <v>0</v>
      </c>
      <c r="AJ143" s="46">
        <f t="shared" si="306"/>
        <v>-40</v>
      </c>
      <c r="AK143" s="46">
        <f t="shared" si="306"/>
        <v>0</v>
      </c>
      <c r="AL143" s="46">
        <f>SUM(AL132:AL135)</f>
        <v>330.08</v>
      </c>
      <c r="AM143" s="46">
        <f>SUM(AM132:AM135)</f>
        <v>1247.29</v>
      </c>
      <c r="AN143" s="46">
        <f>SUM(AN132:AN135)</f>
        <v>1025.7</v>
      </c>
      <c r="AO143" s="46">
        <f t="shared" ref="AO143:BT143" si="307">SUM(AO132:AO135)+AO141</f>
        <v>825.09999999999991</v>
      </c>
      <c r="AP143" s="46">
        <f t="shared" si="307"/>
        <v>740.78</v>
      </c>
      <c r="AQ143" s="46">
        <f t="shared" si="307"/>
        <v>1740.95</v>
      </c>
      <c r="AR143" s="46">
        <f t="shared" si="307"/>
        <v>2382.88</v>
      </c>
      <c r="AS143" s="46">
        <f t="shared" si="307"/>
        <v>1813.23</v>
      </c>
      <c r="AT143" s="46">
        <f t="shared" si="307"/>
        <v>2383.9299999999998</v>
      </c>
      <c r="AU143" s="46">
        <f t="shared" si="307"/>
        <v>2466.1799999999998</v>
      </c>
      <c r="AV143" s="46">
        <f t="shared" si="307"/>
        <v>3592.92</v>
      </c>
      <c r="AW143" s="46">
        <f t="shared" si="307"/>
        <v>3332.66</v>
      </c>
      <c r="AX143" s="233">
        <f t="shared" si="307"/>
        <v>3473.6299999999997</v>
      </c>
      <c r="AY143" s="46">
        <f t="shared" si="307"/>
        <v>4874.5249999999996</v>
      </c>
      <c r="AZ143" s="46">
        <f t="shared" si="307"/>
        <v>4874.5249999999996</v>
      </c>
      <c r="BA143" s="46">
        <f t="shared" si="307"/>
        <v>4874.5249999999996</v>
      </c>
      <c r="BB143" s="46">
        <f t="shared" si="307"/>
        <v>4874.5249999999996</v>
      </c>
      <c r="BC143" s="46">
        <f t="shared" si="307"/>
        <v>4874.5249999999996</v>
      </c>
      <c r="BD143" s="46">
        <f t="shared" si="307"/>
        <v>4874.5249999999996</v>
      </c>
      <c r="BE143" s="46">
        <f t="shared" si="307"/>
        <v>4874.5249999999996</v>
      </c>
      <c r="BF143" s="46">
        <f t="shared" si="307"/>
        <v>4874.5249999999996</v>
      </c>
      <c r="BG143" s="46">
        <f t="shared" si="307"/>
        <v>4874.5249999999996</v>
      </c>
      <c r="BH143" s="46">
        <f t="shared" si="307"/>
        <v>4874.5249999999996</v>
      </c>
      <c r="BI143" s="46">
        <f t="shared" si="307"/>
        <v>4874.5249999999996</v>
      </c>
      <c r="BJ143" s="46">
        <f t="shared" si="307"/>
        <v>4874.5249999999996</v>
      </c>
      <c r="BK143" s="233">
        <f t="shared" si="307"/>
        <v>4874.5249999999996</v>
      </c>
      <c r="BL143" s="46">
        <f t="shared" si="307"/>
        <v>4874.5249999999996</v>
      </c>
      <c r="BM143" s="46">
        <f t="shared" si="307"/>
        <v>4874.5249999999996</v>
      </c>
      <c r="BN143" s="46">
        <f t="shared" si="307"/>
        <v>4874.5249999999996</v>
      </c>
      <c r="BO143" s="46">
        <f t="shared" si="307"/>
        <v>4874.5249999999996</v>
      </c>
      <c r="BP143" s="46">
        <f t="shared" si="307"/>
        <v>4874.5249999999996</v>
      </c>
      <c r="BQ143" s="46">
        <f t="shared" si="307"/>
        <v>4874.5249999999996</v>
      </c>
      <c r="BR143" s="46">
        <f t="shared" si="307"/>
        <v>4874.5249999999996</v>
      </c>
      <c r="BS143" s="46">
        <f t="shared" si="307"/>
        <v>4874.5249999999996</v>
      </c>
      <c r="BT143" s="46">
        <f t="shared" si="307"/>
        <v>4874.5249999999996</v>
      </c>
      <c r="BU143" s="46">
        <f t="shared" ref="BU143:CZ143" si="308">SUM(BU132:BU135)+BU141</f>
        <v>4874.5249999999996</v>
      </c>
      <c r="BV143" s="46">
        <f t="shared" si="308"/>
        <v>4874.5249999999996</v>
      </c>
      <c r="BW143" s="233">
        <f t="shared" si="308"/>
        <v>4874.5249999999996</v>
      </c>
      <c r="BX143" s="46">
        <f t="shared" si="308"/>
        <v>4874.5249999999996</v>
      </c>
      <c r="BY143" s="46">
        <f t="shared" si="308"/>
        <v>4874.5249999999996</v>
      </c>
      <c r="BZ143" s="46">
        <f t="shared" si="308"/>
        <v>4874.5249999999996</v>
      </c>
      <c r="CA143" s="46">
        <f t="shared" si="308"/>
        <v>4874.5249999999996</v>
      </c>
      <c r="CB143" s="46">
        <f t="shared" si="308"/>
        <v>4874.5249999999996</v>
      </c>
      <c r="CC143" s="46">
        <f t="shared" si="308"/>
        <v>4874.5249999999996</v>
      </c>
      <c r="CD143" s="46">
        <f t="shared" si="308"/>
        <v>4874.5249999999996</v>
      </c>
      <c r="CE143" s="46">
        <f t="shared" si="308"/>
        <v>4874.5249999999996</v>
      </c>
      <c r="CF143" s="46">
        <f t="shared" si="308"/>
        <v>4874.5249999999996</v>
      </c>
      <c r="CG143" s="46">
        <f t="shared" si="308"/>
        <v>4874.5249999999996</v>
      </c>
      <c r="CH143" s="46">
        <f t="shared" si="308"/>
        <v>4874.5249999999996</v>
      </c>
      <c r="CI143" s="233">
        <f t="shared" si="308"/>
        <v>4874.5249999999996</v>
      </c>
      <c r="CJ143" s="46">
        <f t="shared" si="308"/>
        <v>4874.5249999999996</v>
      </c>
      <c r="CK143" s="46">
        <f t="shared" si="308"/>
        <v>4874.5249999999996</v>
      </c>
      <c r="CL143" s="46">
        <f t="shared" si="308"/>
        <v>4874.5249999999996</v>
      </c>
      <c r="CM143" s="46">
        <f t="shared" si="308"/>
        <v>4874.5249999999996</v>
      </c>
      <c r="CN143" s="46">
        <f t="shared" si="308"/>
        <v>4874.5249999999996</v>
      </c>
      <c r="CO143" s="46">
        <f t="shared" si="308"/>
        <v>4874.5249999999996</v>
      </c>
      <c r="CP143" s="46">
        <f t="shared" si="308"/>
        <v>4874.5249999999996</v>
      </c>
      <c r="CQ143" s="46">
        <f t="shared" si="308"/>
        <v>4874.5249999999996</v>
      </c>
      <c r="CR143" s="46">
        <f t="shared" si="308"/>
        <v>4874.5249999999996</v>
      </c>
      <c r="CS143" s="46">
        <f t="shared" si="308"/>
        <v>4874.5249999999996</v>
      </c>
      <c r="CT143" s="46">
        <f t="shared" si="308"/>
        <v>4874.5249999999996</v>
      </c>
      <c r="CU143" s="233">
        <f t="shared" si="308"/>
        <v>4874.5249999999996</v>
      </c>
      <c r="CV143" s="46">
        <f t="shared" si="308"/>
        <v>4874.5249999999996</v>
      </c>
      <c r="CW143" s="46">
        <f t="shared" si="308"/>
        <v>4874.5249999999996</v>
      </c>
      <c r="CX143" s="46">
        <f t="shared" si="308"/>
        <v>4874.5249999999996</v>
      </c>
      <c r="CY143" s="46">
        <f t="shared" si="308"/>
        <v>4874.5249999999996</v>
      </c>
      <c r="CZ143" s="46">
        <f t="shared" si="308"/>
        <v>4874.5249999999996</v>
      </c>
      <c r="DA143" s="46">
        <f t="shared" ref="DA143:DG143" si="309">SUM(DA132:DA135)+DA141</f>
        <v>4874.5249999999996</v>
      </c>
      <c r="DB143" s="46">
        <f t="shared" si="309"/>
        <v>4874.5249999999996</v>
      </c>
      <c r="DC143" s="46">
        <f t="shared" si="309"/>
        <v>4874.5249999999996</v>
      </c>
      <c r="DD143" s="46">
        <f t="shared" si="309"/>
        <v>4874.5249999999996</v>
      </c>
      <c r="DE143" s="46">
        <f t="shared" si="309"/>
        <v>4874.5249999999996</v>
      </c>
      <c r="DF143" s="46">
        <f t="shared" si="309"/>
        <v>4874.5249999999996</v>
      </c>
      <c r="DG143" s="46">
        <f t="shared" si="309"/>
        <v>4874.5249999999996</v>
      </c>
    </row>
    <row r="144" spans="1:111" x14ac:dyDescent="0.25">
      <c r="B144" s="1"/>
      <c r="C144" s="1"/>
      <c r="D144" s="2"/>
      <c r="E144" s="2"/>
      <c r="F144" s="2"/>
      <c r="G144" s="2"/>
      <c r="H144" s="2"/>
      <c r="I144" s="2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230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230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230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230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49"/>
      <c r="CU144" s="230"/>
      <c r="CV144" s="49"/>
      <c r="CW144" s="49"/>
      <c r="CX144" s="49"/>
      <c r="CY144" s="49"/>
      <c r="CZ144" s="49"/>
      <c r="DA144" s="49"/>
      <c r="DB144" s="49"/>
      <c r="DC144" s="49"/>
      <c r="DD144" s="49"/>
      <c r="DE144" s="49"/>
      <c r="DF144" s="49"/>
      <c r="DG144" s="49"/>
    </row>
    <row r="145" spans="1:111" x14ac:dyDescent="0.25">
      <c r="B145" s="1" t="s">
        <v>196</v>
      </c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15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539"/>
      <c r="AY145" s="2"/>
      <c r="BK145" s="227"/>
      <c r="BW145" s="227"/>
      <c r="CI145" s="227"/>
      <c r="CU145" s="227"/>
    </row>
    <row r="146" spans="1:111" x14ac:dyDescent="0.25">
      <c r="B146" s="1" t="s">
        <v>197</v>
      </c>
      <c r="C146" s="1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>
        <v>1036.1300000000001</v>
      </c>
      <c r="AC146" s="104">
        <v>1036.1300000000001</v>
      </c>
      <c r="AD146" s="104">
        <v>1036.1300000000001</v>
      </c>
      <c r="AE146" s="104">
        <v>1036.1300000000001</v>
      </c>
      <c r="AF146" s="104">
        <v>1036.1300000000001</v>
      </c>
      <c r="AG146" s="104">
        <v>1036.1300000000001</v>
      </c>
      <c r="AH146" s="104">
        <v>1036.1300000000001</v>
      </c>
      <c r="AI146" s="104">
        <v>1036.1300000000001</v>
      </c>
      <c r="AJ146" s="104">
        <v>1036.1300000000001</v>
      </c>
      <c r="AK146" s="104">
        <v>1036.1300000000001</v>
      </c>
      <c r="AL146" s="104">
        <v>1036.1300000000001</v>
      </c>
      <c r="AM146" s="104">
        <v>1036.1300000000001</v>
      </c>
      <c r="AN146" s="104">
        <v>1036.1300000000001</v>
      </c>
      <c r="AO146" s="104">
        <v>1036.1300000000001</v>
      </c>
      <c r="AP146" s="104">
        <v>1036.1300000000001</v>
      </c>
      <c r="AQ146" s="104">
        <v>1036.1300000000001</v>
      </c>
      <c r="AR146" s="104">
        <v>1036.1300000000001</v>
      </c>
      <c r="AS146" s="104">
        <v>1036.1300000000001</v>
      </c>
      <c r="AT146" s="104">
        <v>1036.1300000000001</v>
      </c>
      <c r="AU146" s="104">
        <v>1036.1300000000001</v>
      </c>
      <c r="AV146" s="104">
        <v>1036.1300000000001</v>
      </c>
      <c r="AW146" s="605">
        <v>1036.1300000000001</v>
      </c>
      <c r="AX146" s="616">
        <v>1036.1300000000001</v>
      </c>
      <c r="AY146" s="628">
        <f t="shared" ref="AY146:CD146" si="310">AX146+AY155</f>
        <v>1036.1300000000001</v>
      </c>
      <c r="AZ146" s="104">
        <f t="shared" si="310"/>
        <v>1036.1300000000001</v>
      </c>
      <c r="BA146" s="104">
        <f t="shared" si="310"/>
        <v>1036.1300000000001</v>
      </c>
      <c r="BB146" s="104">
        <f t="shared" si="310"/>
        <v>1036.1300000000001</v>
      </c>
      <c r="BC146" s="104">
        <f t="shared" si="310"/>
        <v>1036.1300000000001</v>
      </c>
      <c r="BD146" s="104">
        <f t="shared" si="310"/>
        <v>1036.1300000000001</v>
      </c>
      <c r="BE146" s="104">
        <f t="shared" si="310"/>
        <v>1036.1300000000001</v>
      </c>
      <c r="BF146" s="104">
        <f t="shared" si="310"/>
        <v>1036.1300000000001</v>
      </c>
      <c r="BG146" s="104">
        <f t="shared" si="310"/>
        <v>1036.1300000000001</v>
      </c>
      <c r="BH146" s="104">
        <f t="shared" si="310"/>
        <v>1036.1300000000001</v>
      </c>
      <c r="BI146" s="104">
        <f t="shared" si="310"/>
        <v>1036.1300000000001</v>
      </c>
      <c r="BJ146" s="104">
        <f t="shared" si="310"/>
        <v>1036.1300000000001</v>
      </c>
      <c r="BK146" s="228">
        <f t="shared" si="310"/>
        <v>1036.1300000000001</v>
      </c>
      <c r="BL146" s="104">
        <f t="shared" si="310"/>
        <v>1036.1300000000001</v>
      </c>
      <c r="BM146" s="104">
        <f t="shared" si="310"/>
        <v>1036.1300000000001</v>
      </c>
      <c r="BN146" s="104">
        <f t="shared" si="310"/>
        <v>1036.1300000000001</v>
      </c>
      <c r="BO146" s="104">
        <f t="shared" si="310"/>
        <v>1036.1300000000001</v>
      </c>
      <c r="BP146" s="104">
        <f t="shared" si="310"/>
        <v>1036.1300000000001</v>
      </c>
      <c r="BQ146" s="104">
        <f t="shared" si="310"/>
        <v>1036.1300000000001</v>
      </c>
      <c r="BR146" s="104">
        <f t="shared" si="310"/>
        <v>1036.1300000000001</v>
      </c>
      <c r="BS146" s="104">
        <f t="shared" si="310"/>
        <v>1036.1300000000001</v>
      </c>
      <c r="BT146" s="104">
        <f t="shared" si="310"/>
        <v>1036.1300000000001</v>
      </c>
      <c r="BU146" s="104">
        <f t="shared" si="310"/>
        <v>1036.1300000000001</v>
      </c>
      <c r="BV146" s="104">
        <f t="shared" si="310"/>
        <v>1036.1300000000001</v>
      </c>
      <c r="BW146" s="228">
        <f t="shared" si="310"/>
        <v>1036.1300000000001</v>
      </c>
      <c r="BX146" s="104">
        <f t="shared" si="310"/>
        <v>1036.1300000000001</v>
      </c>
      <c r="BY146" s="104">
        <f t="shared" si="310"/>
        <v>1036.1300000000001</v>
      </c>
      <c r="BZ146" s="104">
        <f t="shared" si="310"/>
        <v>1036.1300000000001</v>
      </c>
      <c r="CA146" s="104">
        <f t="shared" si="310"/>
        <v>1036.1300000000001</v>
      </c>
      <c r="CB146" s="104">
        <f t="shared" si="310"/>
        <v>1036.1300000000001</v>
      </c>
      <c r="CC146" s="104">
        <f t="shared" si="310"/>
        <v>1036.1300000000001</v>
      </c>
      <c r="CD146" s="104">
        <f t="shared" si="310"/>
        <v>1036.1300000000001</v>
      </c>
      <c r="CE146" s="104">
        <f t="shared" ref="CE146:DG146" si="311">CD146+CE155</f>
        <v>1036.1300000000001</v>
      </c>
      <c r="CF146" s="104">
        <f t="shared" si="311"/>
        <v>1036.1300000000001</v>
      </c>
      <c r="CG146" s="104">
        <f t="shared" si="311"/>
        <v>1036.1300000000001</v>
      </c>
      <c r="CH146" s="104">
        <f t="shared" si="311"/>
        <v>1036.1300000000001</v>
      </c>
      <c r="CI146" s="228">
        <f t="shared" si="311"/>
        <v>1036.1300000000001</v>
      </c>
      <c r="CJ146" s="104">
        <f t="shared" si="311"/>
        <v>1036.1300000000001</v>
      </c>
      <c r="CK146" s="104">
        <f t="shared" si="311"/>
        <v>1036.1300000000001</v>
      </c>
      <c r="CL146" s="104">
        <f t="shared" si="311"/>
        <v>1036.1300000000001</v>
      </c>
      <c r="CM146" s="104">
        <f t="shared" si="311"/>
        <v>1036.1300000000001</v>
      </c>
      <c r="CN146" s="104">
        <f t="shared" si="311"/>
        <v>1036.1300000000001</v>
      </c>
      <c r="CO146" s="104">
        <f t="shared" si="311"/>
        <v>1036.1300000000001</v>
      </c>
      <c r="CP146" s="104">
        <f t="shared" si="311"/>
        <v>1036.1300000000001</v>
      </c>
      <c r="CQ146" s="104">
        <f t="shared" si="311"/>
        <v>1036.1300000000001</v>
      </c>
      <c r="CR146" s="104">
        <f t="shared" si="311"/>
        <v>1036.1300000000001</v>
      </c>
      <c r="CS146" s="104">
        <f t="shared" si="311"/>
        <v>1036.1300000000001</v>
      </c>
      <c r="CT146" s="104">
        <f t="shared" si="311"/>
        <v>1036.1300000000001</v>
      </c>
      <c r="CU146" s="228">
        <f t="shared" si="311"/>
        <v>1036.1300000000001</v>
      </c>
      <c r="CV146" s="104">
        <f t="shared" si="311"/>
        <v>1036.1300000000001</v>
      </c>
      <c r="CW146" s="104">
        <f t="shared" si="311"/>
        <v>1036.1300000000001</v>
      </c>
      <c r="CX146" s="104">
        <f t="shared" si="311"/>
        <v>1036.1300000000001</v>
      </c>
      <c r="CY146" s="104">
        <f t="shared" si="311"/>
        <v>1036.1300000000001</v>
      </c>
      <c r="CZ146" s="104">
        <f t="shared" si="311"/>
        <v>1036.1300000000001</v>
      </c>
      <c r="DA146" s="104">
        <f t="shared" si="311"/>
        <v>1036.1300000000001</v>
      </c>
      <c r="DB146" s="104">
        <f t="shared" si="311"/>
        <v>1036.1300000000001</v>
      </c>
      <c r="DC146" s="104">
        <f t="shared" si="311"/>
        <v>1036.1300000000001</v>
      </c>
      <c r="DD146" s="104">
        <f t="shared" si="311"/>
        <v>1036.1300000000001</v>
      </c>
      <c r="DE146" s="104">
        <f t="shared" si="311"/>
        <v>1036.1300000000001</v>
      </c>
      <c r="DF146" s="104">
        <f t="shared" si="311"/>
        <v>1036.1300000000001</v>
      </c>
      <c r="DG146" s="104">
        <f t="shared" si="311"/>
        <v>1036.1300000000001</v>
      </c>
    </row>
    <row r="147" spans="1:111" x14ac:dyDescent="0.25">
      <c r="B147" s="1" t="s">
        <v>198</v>
      </c>
      <c r="C147" s="1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605"/>
      <c r="AX147" s="616"/>
      <c r="AY147" s="628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228"/>
      <c r="BL147" s="104"/>
      <c r="BM147" s="104"/>
      <c r="BN147" s="104"/>
      <c r="BO147" s="104"/>
      <c r="BP147" s="104"/>
      <c r="BQ147" s="104"/>
      <c r="BR147" s="104"/>
      <c r="BS147" s="104"/>
      <c r="BT147" s="104"/>
      <c r="BU147" s="104"/>
      <c r="BV147" s="104"/>
      <c r="BW147" s="228"/>
      <c r="BX147" s="104"/>
      <c r="BY147" s="104"/>
      <c r="BZ147" s="104"/>
      <c r="CA147" s="104"/>
      <c r="CB147" s="104"/>
      <c r="CC147" s="104"/>
      <c r="CD147" s="104"/>
      <c r="CE147" s="104"/>
      <c r="CF147" s="104"/>
      <c r="CG147" s="104"/>
      <c r="CH147" s="104"/>
      <c r="CI147" s="228"/>
      <c r="CJ147" s="104"/>
      <c r="CK147" s="104"/>
      <c r="CL147" s="104"/>
      <c r="CM147" s="104"/>
      <c r="CN147" s="104"/>
      <c r="CO147" s="104"/>
      <c r="CP147" s="104"/>
      <c r="CQ147" s="104"/>
      <c r="CR147" s="104"/>
      <c r="CS147" s="104"/>
      <c r="CT147" s="104"/>
      <c r="CU147" s="228"/>
      <c r="CV147" s="104"/>
      <c r="CW147" s="104"/>
      <c r="CX147" s="104"/>
      <c r="CY147" s="104"/>
      <c r="CZ147" s="104"/>
      <c r="DA147" s="104"/>
      <c r="DB147" s="104"/>
      <c r="DC147" s="104"/>
      <c r="DD147" s="104"/>
      <c r="DE147" s="104"/>
      <c r="DF147" s="104"/>
      <c r="DG147" s="104"/>
    </row>
    <row r="148" spans="1:111" x14ac:dyDescent="0.25">
      <c r="B148" s="1" t="s">
        <v>199</v>
      </c>
      <c r="C148" s="1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605"/>
      <c r="AX148" s="616"/>
      <c r="AY148" s="628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228"/>
      <c r="BL148" s="104"/>
      <c r="BM148" s="104"/>
      <c r="BN148" s="104"/>
      <c r="BO148" s="104"/>
      <c r="BP148" s="104"/>
      <c r="BQ148" s="104"/>
      <c r="BR148" s="104"/>
      <c r="BS148" s="104"/>
      <c r="BT148" s="104"/>
      <c r="BU148" s="104"/>
      <c r="BV148" s="104"/>
      <c r="BW148" s="228"/>
      <c r="BX148" s="104"/>
      <c r="BY148" s="104"/>
      <c r="BZ148" s="104"/>
      <c r="CA148" s="104"/>
      <c r="CB148" s="104"/>
      <c r="CC148" s="104"/>
      <c r="CD148" s="104"/>
      <c r="CE148" s="104"/>
      <c r="CF148" s="104"/>
      <c r="CG148" s="104"/>
      <c r="CH148" s="104"/>
      <c r="CI148" s="228"/>
      <c r="CJ148" s="104"/>
      <c r="CK148" s="104"/>
      <c r="CL148" s="104"/>
      <c r="CM148" s="104"/>
      <c r="CN148" s="104"/>
      <c r="CO148" s="104"/>
      <c r="CP148" s="104"/>
      <c r="CQ148" s="104"/>
      <c r="CR148" s="104"/>
      <c r="CS148" s="104"/>
      <c r="CT148" s="104"/>
      <c r="CU148" s="228"/>
      <c r="CV148" s="104"/>
      <c r="CW148" s="104"/>
      <c r="CX148" s="104"/>
      <c r="CY148" s="104"/>
      <c r="CZ148" s="104"/>
      <c r="DA148" s="104"/>
      <c r="DB148" s="104"/>
      <c r="DC148" s="104"/>
      <c r="DD148" s="104"/>
      <c r="DE148" s="104"/>
      <c r="DF148" s="104"/>
      <c r="DG148" s="104"/>
    </row>
    <row r="149" spans="1:111" x14ac:dyDescent="0.25">
      <c r="B149" s="1" t="s">
        <v>200</v>
      </c>
      <c r="C149" s="1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>
        <v>-4414.2</v>
      </c>
      <c r="AC149" s="104">
        <v>-9545.69</v>
      </c>
      <c r="AD149" s="104">
        <v>-13976.12</v>
      </c>
      <c r="AE149" s="104">
        <v>-21062.53</v>
      </c>
      <c r="AF149" s="104">
        <v>-24494.76</v>
      </c>
      <c r="AG149" s="104">
        <v>-27957.83</v>
      </c>
      <c r="AH149" s="104">
        <v>-30816.78</v>
      </c>
      <c r="AI149" s="104">
        <v>-36496.31</v>
      </c>
      <c r="AJ149" s="104">
        <v>-38984.080000000002</v>
      </c>
      <c r="AK149" s="104">
        <v>-41378.47</v>
      </c>
      <c r="AL149" s="104">
        <v>-43686.03</v>
      </c>
      <c r="AM149" s="104">
        <v>-47334.29</v>
      </c>
      <c r="AN149" s="104">
        <v>-50450.87</v>
      </c>
      <c r="AO149" s="104">
        <v>-52075.35</v>
      </c>
      <c r="AP149" s="104">
        <v>-53509.07</v>
      </c>
      <c r="AQ149" s="104">
        <v>-55299.18</v>
      </c>
      <c r="AR149" s="104">
        <v>-56073.83</v>
      </c>
      <c r="AS149" s="104">
        <v>-58487.14</v>
      </c>
      <c r="AT149" s="104">
        <v>-62075.15</v>
      </c>
      <c r="AU149" s="104">
        <v>-64410.37</v>
      </c>
      <c r="AV149" s="104">
        <v>-68468.28</v>
      </c>
      <c r="AW149" s="605">
        <v>-71031.839999999997</v>
      </c>
      <c r="AX149" s="616">
        <v>-72680.55</v>
      </c>
      <c r="AY149" s="628">
        <f t="shared" ref="AY149:CD149" si="312">AX149+AY154</f>
        <v>-72830.55</v>
      </c>
      <c r="AZ149" s="104">
        <f t="shared" si="312"/>
        <v>-72980.55</v>
      </c>
      <c r="BA149" s="104">
        <f t="shared" si="312"/>
        <v>-73130.55</v>
      </c>
      <c r="BB149" s="104">
        <f t="shared" si="312"/>
        <v>-73280.55</v>
      </c>
      <c r="BC149" s="104">
        <f t="shared" si="312"/>
        <v>-73430.55</v>
      </c>
      <c r="BD149" s="104">
        <f t="shared" si="312"/>
        <v>-73580.55</v>
      </c>
      <c r="BE149" s="104">
        <f t="shared" si="312"/>
        <v>-73730.55</v>
      </c>
      <c r="BF149" s="104">
        <f t="shared" si="312"/>
        <v>-73880.55</v>
      </c>
      <c r="BG149" s="104">
        <f t="shared" si="312"/>
        <v>-74030.55</v>
      </c>
      <c r="BH149" s="104">
        <f t="shared" si="312"/>
        <v>-74180.55</v>
      </c>
      <c r="BI149" s="104">
        <f t="shared" si="312"/>
        <v>-74330.55</v>
      </c>
      <c r="BJ149" s="104">
        <f t="shared" si="312"/>
        <v>-74480.55</v>
      </c>
      <c r="BK149" s="228">
        <f t="shared" si="312"/>
        <v>-74630.55</v>
      </c>
      <c r="BL149" s="104">
        <f t="shared" si="312"/>
        <v>-74780.55</v>
      </c>
      <c r="BM149" s="104">
        <f t="shared" si="312"/>
        <v>-74930.55</v>
      </c>
      <c r="BN149" s="104">
        <f t="shared" si="312"/>
        <v>-75080.55</v>
      </c>
      <c r="BO149" s="104">
        <f t="shared" si="312"/>
        <v>-75230.55</v>
      </c>
      <c r="BP149" s="104">
        <f t="shared" si="312"/>
        <v>-75380.55</v>
      </c>
      <c r="BQ149" s="104">
        <f t="shared" si="312"/>
        <v>-75530.55</v>
      </c>
      <c r="BR149" s="104">
        <f t="shared" si="312"/>
        <v>-75680.55</v>
      </c>
      <c r="BS149" s="104">
        <f t="shared" si="312"/>
        <v>-75830.55</v>
      </c>
      <c r="BT149" s="104">
        <f t="shared" si="312"/>
        <v>-75980.55</v>
      </c>
      <c r="BU149" s="104">
        <f t="shared" si="312"/>
        <v>-76130.55</v>
      </c>
      <c r="BV149" s="104">
        <f t="shared" si="312"/>
        <v>-76280.55</v>
      </c>
      <c r="BW149" s="228">
        <f t="shared" si="312"/>
        <v>-76430.55</v>
      </c>
      <c r="BX149" s="104">
        <f t="shared" si="312"/>
        <v>-76580.55</v>
      </c>
      <c r="BY149" s="104">
        <f t="shared" si="312"/>
        <v>-76730.55</v>
      </c>
      <c r="BZ149" s="104">
        <f t="shared" si="312"/>
        <v>-76880.55</v>
      </c>
      <c r="CA149" s="104">
        <f t="shared" si="312"/>
        <v>-77030.55</v>
      </c>
      <c r="CB149" s="104">
        <f t="shared" si="312"/>
        <v>-77180.55</v>
      </c>
      <c r="CC149" s="104">
        <f t="shared" si="312"/>
        <v>-77330.55</v>
      </c>
      <c r="CD149" s="104">
        <f t="shared" si="312"/>
        <v>-77480.55</v>
      </c>
      <c r="CE149" s="104">
        <f t="shared" ref="CE149:DG149" si="313">CD149+CE154</f>
        <v>-77630.55</v>
      </c>
      <c r="CF149" s="104">
        <f t="shared" si="313"/>
        <v>-77780.55</v>
      </c>
      <c r="CG149" s="104">
        <f t="shared" si="313"/>
        <v>-77930.55</v>
      </c>
      <c r="CH149" s="104">
        <f t="shared" si="313"/>
        <v>-78080.55</v>
      </c>
      <c r="CI149" s="228">
        <f t="shared" si="313"/>
        <v>-78230.55</v>
      </c>
      <c r="CJ149" s="104">
        <f t="shared" si="313"/>
        <v>-78380.55</v>
      </c>
      <c r="CK149" s="104">
        <f t="shared" si="313"/>
        <v>-78530.55</v>
      </c>
      <c r="CL149" s="104">
        <f t="shared" si="313"/>
        <v>-78680.55</v>
      </c>
      <c r="CM149" s="104">
        <f t="shared" si="313"/>
        <v>-78830.55</v>
      </c>
      <c r="CN149" s="104">
        <f t="shared" si="313"/>
        <v>-78980.55</v>
      </c>
      <c r="CO149" s="104">
        <f t="shared" si="313"/>
        <v>-79130.55</v>
      </c>
      <c r="CP149" s="104">
        <f t="shared" si="313"/>
        <v>-79280.55</v>
      </c>
      <c r="CQ149" s="104">
        <f t="shared" si="313"/>
        <v>-79430.55</v>
      </c>
      <c r="CR149" s="104">
        <f t="shared" si="313"/>
        <v>-79580.55</v>
      </c>
      <c r="CS149" s="104">
        <f t="shared" si="313"/>
        <v>-79730.55</v>
      </c>
      <c r="CT149" s="104">
        <f t="shared" si="313"/>
        <v>-79880.55</v>
      </c>
      <c r="CU149" s="228">
        <f t="shared" si="313"/>
        <v>-80030.55</v>
      </c>
      <c r="CV149" s="104">
        <f t="shared" si="313"/>
        <v>-80180.55</v>
      </c>
      <c r="CW149" s="104">
        <f t="shared" si="313"/>
        <v>-80330.55</v>
      </c>
      <c r="CX149" s="104">
        <f t="shared" si="313"/>
        <v>-80480.55</v>
      </c>
      <c r="CY149" s="104">
        <f t="shared" si="313"/>
        <v>-80630.55</v>
      </c>
      <c r="CZ149" s="104">
        <f t="shared" si="313"/>
        <v>-80780.55</v>
      </c>
      <c r="DA149" s="104">
        <f t="shared" si="313"/>
        <v>-80930.55</v>
      </c>
      <c r="DB149" s="104">
        <f t="shared" si="313"/>
        <v>-81080.55</v>
      </c>
      <c r="DC149" s="104">
        <f t="shared" si="313"/>
        <v>-81230.55</v>
      </c>
      <c r="DD149" s="104">
        <f t="shared" si="313"/>
        <v>-81380.55</v>
      </c>
      <c r="DE149" s="104">
        <f t="shared" si="313"/>
        <v>-81530.55</v>
      </c>
      <c r="DF149" s="104">
        <f t="shared" si="313"/>
        <v>-81680.55</v>
      </c>
      <c r="DG149" s="104">
        <f t="shared" si="313"/>
        <v>-81830.55</v>
      </c>
    </row>
    <row r="150" spans="1:111" s="3" customFormat="1" x14ac:dyDescent="0.25">
      <c r="B150" s="1" t="s">
        <v>201</v>
      </c>
      <c r="C150" s="1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>
        <v>0</v>
      </c>
      <c r="W150" s="104">
        <v>0</v>
      </c>
      <c r="X150" s="104">
        <v>0</v>
      </c>
      <c r="Y150" s="104">
        <v>0</v>
      </c>
      <c r="Z150" s="104">
        <v>0</v>
      </c>
      <c r="AA150" s="104">
        <v>0</v>
      </c>
      <c r="AB150" s="104">
        <v>0</v>
      </c>
      <c r="AC150" s="104">
        <v>0</v>
      </c>
      <c r="AD150" s="104">
        <v>0</v>
      </c>
      <c r="AE150" s="104">
        <v>0</v>
      </c>
      <c r="AF150" s="104">
        <v>0</v>
      </c>
      <c r="AG150" s="104">
        <v>0</v>
      </c>
      <c r="AH150" s="104">
        <v>0</v>
      </c>
      <c r="AI150" s="104">
        <v>0</v>
      </c>
      <c r="AJ150" s="104">
        <v>0</v>
      </c>
      <c r="AK150" s="104">
        <v>0</v>
      </c>
      <c r="AL150" s="104">
        <v>0</v>
      </c>
      <c r="AM150" s="104">
        <v>0</v>
      </c>
      <c r="AN150" s="104">
        <f>+AM151</f>
        <v>46971.43</v>
      </c>
      <c r="AO150" s="104">
        <f t="shared" ref="AO150:AY150" si="314">+AN150</f>
        <v>46971.43</v>
      </c>
      <c r="AP150" s="104">
        <f t="shared" si="314"/>
        <v>46971.43</v>
      </c>
      <c r="AQ150" s="104">
        <f t="shared" si="314"/>
        <v>46971.43</v>
      </c>
      <c r="AR150" s="104">
        <f t="shared" si="314"/>
        <v>46971.43</v>
      </c>
      <c r="AS150" s="104">
        <f t="shared" si="314"/>
        <v>46971.43</v>
      </c>
      <c r="AT150" s="104">
        <f t="shared" si="314"/>
        <v>46971.43</v>
      </c>
      <c r="AU150" s="104">
        <f t="shared" si="314"/>
        <v>46971.43</v>
      </c>
      <c r="AV150" s="104">
        <f t="shared" si="314"/>
        <v>46971.43</v>
      </c>
      <c r="AW150" s="605">
        <f t="shared" si="314"/>
        <v>46971.43</v>
      </c>
      <c r="AX150" s="607">
        <f t="shared" si="314"/>
        <v>46971.43</v>
      </c>
      <c r="AY150" s="605">
        <f t="shared" si="314"/>
        <v>46971.43</v>
      </c>
      <c r="AZ150" s="104">
        <f t="shared" ref="AZ150:CE150" si="315">AY150</f>
        <v>46971.43</v>
      </c>
      <c r="BA150" s="104">
        <f t="shared" si="315"/>
        <v>46971.43</v>
      </c>
      <c r="BB150" s="104">
        <f t="shared" si="315"/>
        <v>46971.43</v>
      </c>
      <c r="BC150" s="104">
        <f t="shared" si="315"/>
        <v>46971.43</v>
      </c>
      <c r="BD150" s="104">
        <f t="shared" si="315"/>
        <v>46971.43</v>
      </c>
      <c r="BE150" s="104">
        <f t="shared" si="315"/>
        <v>46971.43</v>
      </c>
      <c r="BF150" s="104">
        <f t="shared" si="315"/>
        <v>46971.43</v>
      </c>
      <c r="BG150" s="104">
        <f t="shared" si="315"/>
        <v>46971.43</v>
      </c>
      <c r="BH150" s="104">
        <f t="shared" si="315"/>
        <v>46971.43</v>
      </c>
      <c r="BI150" s="104">
        <f t="shared" si="315"/>
        <v>46971.43</v>
      </c>
      <c r="BJ150" s="104">
        <f t="shared" si="315"/>
        <v>46971.43</v>
      </c>
      <c r="BK150" s="228">
        <f t="shared" si="315"/>
        <v>46971.43</v>
      </c>
      <c r="BL150" s="104">
        <f t="shared" si="315"/>
        <v>46971.43</v>
      </c>
      <c r="BM150" s="104">
        <f t="shared" si="315"/>
        <v>46971.43</v>
      </c>
      <c r="BN150" s="104">
        <f t="shared" si="315"/>
        <v>46971.43</v>
      </c>
      <c r="BO150" s="104">
        <f t="shared" si="315"/>
        <v>46971.43</v>
      </c>
      <c r="BP150" s="104">
        <f t="shared" si="315"/>
        <v>46971.43</v>
      </c>
      <c r="BQ150" s="104">
        <f t="shared" si="315"/>
        <v>46971.43</v>
      </c>
      <c r="BR150" s="104">
        <f t="shared" si="315"/>
        <v>46971.43</v>
      </c>
      <c r="BS150" s="104">
        <f t="shared" si="315"/>
        <v>46971.43</v>
      </c>
      <c r="BT150" s="104">
        <f t="shared" si="315"/>
        <v>46971.43</v>
      </c>
      <c r="BU150" s="104">
        <f t="shared" si="315"/>
        <v>46971.43</v>
      </c>
      <c r="BV150" s="104">
        <f t="shared" si="315"/>
        <v>46971.43</v>
      </c>
      <c r="BW150" s="228">
        <f t="shared" si="315"/>
        <v>46971.43</v>
      </c>
      <c r="BX150" s="104">
        <f t="shared" si="315"/>
        <v>46971.43</v>
      </c>
      <c r="BY150" s="104">
        <f t="shared" si="315"/>
        <v>46971.43</v>
      </c>
      <c r="BZ150" s="104">
        <f t="shared" si="315"/>
        <v>46971.43</v>
      </c>
      <c r="CA150" s="104">
        <f t="shared" si="315"/>
        <v>46971.43</v>
      </c>
      <c r="CB150" s="104">
        <f t="shared" si="315"/>
        <v>46971.43</v>
      </c>
      <c r="CC150" s="104">
        <f t="shared" si="315"/>
        <v>46971.43</v>
      </c>
      <c r="CD150" s="104">
        <f t="shared" si="315"/>
        <v>46971.43</v>
      </c>
      <c r="CE150" s="104">
        <f t="shared" si="315"/>
        <v>46971.43</v>
      </c>
      <c r="CF150" s="104">
        <f t="shared" ref="CF150:DG150" si="316">CE150</f>
        <v>46971.43</v>
      </c>
      <c r="CG150" s="104">
        <f t="shared" si="316"/>
        <v>46971.43</v>
      </c>
      <c r="CH150" s="104">
        <f t="shared" si="316"/>
        <v>46971.43</v>
      </c>
      <c r="CI150" s="228">
        <f t="shared" si="316"/>
        <v>46971.43</v>
      </c>
      <c r="CJ150" s="104">
        <f t="shared" si="316"/>
        <v>46971.43</v>
      </c>
      <c r="CK150" s="104">
        <f t="shared" si="316"/>
        <v>46971.43</v>
      </c>
      <c r="CL150" s="104">
        <f t="shared" si="316"/>
        <v>46971.43</v>
      </c>
      <c r="CM150" s="104">
        <f t="shared" si="316"/>
        <v>46971.43</v>
      </c>
      <c r="CN150" s="104">
        <f t="shared" si="316"/>
        <v>46971.43</v>
      </c>
      <c r="CO150" s="104">
        <f t="shared" si="316"/>
        <v>46971.43</v>
      </c>
      <c r="CP150" s="104">
        <f t="shared" si="316"/>
        <v>46971.43</v>
      </c>
      <c r="CQ150" s="104">
        <f t="shared" si="316"/>
        <v>46971.43</v>
      </c>
      <c r="CR150" s="104">
        <f t="shared" si="316"/>
        <v>46971.43</v>
      </c>
      <c r="CS150" s="104">
        <f t="shared" si="316"/>
        <v>46971.43</v>
      </c>
      <c r="CT150" s="104">
        <f t="shared" si="316"/>
        <v>46971.43</v>
      </c>
      <c r="CU150" s="228">
        <f t="shared" si="316"/>
        <v>46971.43</v>
      </c>
      <c r="CV150" s="104">
        <f t="shared" si="316"/>
        <v>46971.43</v>
      </c>
      <c r="CW150" s="104">
        <f t="shared" si="316"/>
        <v>46971.43</v>
      </c>
      <c r="CX150" s="104">
        <f t="shared" si="316"/>
        <v>46971.43</v>
      </c>
      <c r="CY150" s="104">
        <f t="shared" si="316"/>
        <v>46971.43</v>
      </c>
      <c r="CZ150" s="104">
        <f t="shared" si="316"/>
        <v>46971.43</v>
      </c>
      <c r="DA150" s="104">
        <f t="shared" si="316"/>
        <v>46971.43</v>
      </c>
      <c r="DB150" s="104">
        <f t="shared" si="316"/>
        <v>46971.43</v>
      </c>
      <c r="DC150" s="104">
        <f t="shared" si="316"/>
        <v>46971.43</v>
      </c>
      <c r="DD150" s="104">
        <f t="shared" si="316"/>
        <v>46971.43</v>
      </c>
      <c r="DE150" s="104">
        <f t="shared" si="316"/>
        <v>46971.43</v>
      </c>
      <c r="DF150" s="104">
        <f t="shared" si="316"/>
        <v>46971.43</v>
      </c>
      <c r="DG150" s="104">
        <f t="shared" si="316"/>
        <v>46971.43</v>
      </c>
    </row>
    <row r="151" spans="1:111" x14ac:dyDescent="0.25">
      <c r="B151" s="1" t="s">
        <v>202</v>
      </c>
      <c r="C151" s="1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>
        <f t="shared" ref="V151:AA151" si="317">+V98+U151</f>
        <v>0</v>
      </c>
      <c r="W151" s="104">
        <f t="shared" si="317"/>
        <v>0</v>
      </c>
      <c r="X151" s="104">
        <f t="shared" si="317"/>
        <v>0</v>
      </c>
      <c r="Y151" s="104">
        <f t="shared" si="317"/>
        <v>0</v>
      </c>
      <c r="Z151" s="104">
        <f t="shared" si="317"/>
        <v>0</v>
      </c>
      <c r="AA151" s="104">
        <f t="shared" si="317"/>
        <v>0</v>
      </c>
      <c r="AB151" s="104">
        <f>+AB98</f>
        <v>4264.74</v>
      </c>
      <c r="AC151" s="104">
        <f t="shared" ref="AC151:AM151" si="318">+AC98+AB151</f>
        <v>9507.06</v>
      </c>
      <c r="AD151" s="104">
        <f t="shared" si="318"/>
        <v>15822.49</v>
      </c>
      <c r="AE151" s="104">
        <f t="shared" si="318"/>
        <v>22094.07</v>
      </c>
      <c r="AF151" s="104">
        <f t="shared" si="318"/>
        <v>26056.329999999998</v>
      </c>
      <c r="AG151" s="104">
        <f t="shared" si="318"/>
        <v>29698.03</v>
      </c>
      <c r="AH151" s="104">
        <f t="shared" si="318"/>
        <v>33146.54</v>
      </c>
      <c r="AI151" s="104">
        <f t="shared" si="318"/>
        <v>36902.99</v>
      </c>
      <c r="AJ151" s="104">
        <f t="shared" si="318"/>
        <v>38841.85</v>
      </c>
      <c r="AK151" s="104">
        <f t="shared" si="318"/>
        <v>43065.53</v>
      </c>
      <c r="AL151" s="104">
        <f t="shared" si="318"/>
        <v>44343.49</v>
      </c>
      <c r="AM151" s="104">
        <f t="shared" si="318"/>
        <v>46971.43</v>
      </c>
      <c r="AN151" s="104">
        <f>+AN98</f>
        <v>4061.8700000000003</v>
      </c>
      <c r="AO151" s="104">
        <f t="shared" ref="AO151:BT151" si="319">+AO98+AN151</f>
        <v>6200.2900000000009</v>
      </c>
      <c r="AP151" s="104">
        <f t="shared" si="319"/>
        <v>8641.6200000000008</v>
      </c>
      <c r="AQ151" s="104">
        <f t="shared" si="319"/>
        <v>10741.810000000001</v>
      </c>
      <c r="AR151" s="104">
        <f t="shared" si="319"/>
        <v>13010.210000000001</v>
      </c>
      <c r="AS151" s="104">
        <f t="shared" si="319"/>
        <v>15860.26</v>
      </c>
      <c r="AT151" s="104">
        <f t="shared" si="319"/>
        <v>18797.900000000001</v>
      </c>
      <c r="AU151" s="104">
        <f t="shared" si="319"/>
        <v>21871.72</v>
      </c>
      <c r="AV151" s="104">
        <f t="shared" si="319"/>
        <v>23755.45</v>
      </c>
      <c r="AW151" s="605">
        <f t="shared" si="319"/>
        <v>26047.24</v>
      </c>
      <c r="AX151" s="607">
        <f t="shared" si="319"/>
        <v>27031.180000000004</v>
      </c>
      <c r="AY151" s="605">
        <f t="shared" si="319"/>
        <v>26423.455529787927</v>
      </c>
      <c r="AZ151" s="104">
        <f t="shared" si="319"/>
        <v>25890.214164545276</v>
      </c>
      <c r="BA151" s="104">
        <f t="shared" si="319"/>
        <v>26345.567317106466</v>
      </c>
      <c r="BB151" s="104">
        <f t="shared" si="319"/>
        <v>27485.787405026647</v>
      </c>
      <c r="BC151" s="104">
        <f t="shared" si="319"/>
        <v>29805.818216313182</v>
      </c>
      <c r="BD151" s="104">
        <f t="shared" si="319"/>
        <v>31781.111920402553</v>
      </c>
      <c r="BE151" s="104">
        <f t="shared" si="319"/>
        <v>34034.546742818391</v>
      </c>
      <c r="BF151" s="104">
        <f t="shared" si="319"/>
        <v>36000.179491430041</v>
      </c>
      <c r="BG151" s="104">
        <f t="shared" si="319"/>
        <v>38392.838466556699</v>
      </c>
      <c r="BH151" s="104">
        <f t="shared" si="319"/>
        <v>38989.51202690012</v>
      </c>
      <c r="BI151" s="104">
        <f t="shared" si="319"/>
        <v>39906.287274218637</v>
      </c>
      <c r="BJ151" s="104">
        <f t="shared" si="319"/>
        <v>41372.326491686479</v>
      </c>
      <c r="BK151" s="228">
        <f t="shared" si="319"/>
        <v>42748.691771992788</v>
      </c>
      <c r="BL151" s="104">
        <f t="shared" si="319"/>
        <v>42982.339657667937</v>
      </c>
      <c r="BM151" s="104">
        <f t="shared" si="319"/>
        <v>44282.242063528472</v>
      </c>
      <c r="BN151" s="104">
        <f t="shared" si="319"/>
        <v>46498.782620789549</v>
      </c>
      <c r="BO151" s="104">
        <f t="shared" si="319"/>
        <v>49571.527466187574</v>
      </c>
      <c r="BP151" s="104">
        <f t="shared" si="319"/>
        <v>52104.101399586914</v>
      </c>
      <c r="BQ151" s="104">
        <f t="shared" si="319"/>
        <v>54902.136070865403</v>
      </c>
      <c r="BR151" s="104">
        <f t="shared" si="319"/>
        <v>57009.43262795308</v>
      </c>
      <c r="BS151" s="104">
        <f t="shared" si="319"/>
        <v>60200.497475334494</v>
      </c>
      <c r="BT151" s="104">
        <f t="shared" si="319"/>
        <v>60916.968648821035</v>
      </c>
      <c r="BU151" s="104">
        <f t="shared" ref="BU151:CZ151" si="320">+BU98+BT151</f>
        <v>61795.711037078487</v>
      </c>
      <c r="BV151" s="104">
        <f t="shared" si="320"/>
        <v>63844.271652995107</v>
      </c>
      <c r="BW151" s="228">
        <f t="shared" si="320"/>
        <v>65345.938244401099</v>
      </c>
      <c r="BX151" s="104">
        <f t="shared" si="320"/>
        <v>65589.265442786316</v>
      </c>
      <c r="BY151" s="104">
        <f t="shared" si="320"/>
        <v>67397.829406077784</v>
      </c>
      <c r="BZ151" s="104">
        <f t="shared" si="320"/>
        <v>69881.031896243177</v>
      </c>
      <c r="CA151" s="104">
        <f t="shared" si="320"/>
        <v>72577.684845026874</v>
      </c>
      <c r="CB151" s="104">
        <f t="shared" si="320"/>
        <v>76277.421765830542</v>
      </c>
      <c r="CC151" s="104">
        <f t="shared" si="320"/>
        <v>79434.392097373799</v>
      </c>
      <c r="CD151" s="104">
        <f t="shared" si="320"/>
        <v>81428.311801562581</v>
      </c>
      <c r="CE151" s="104">
        <f t="shared" si="320"/>
        <v>85347.949877047577</v>
      </c>
      <c r="CF151" s="104">
        <f t="shared" si="320"/>
        <v>85848.474196762079</v>
      </c>
      <c r="CG151" s="104">
        <f t="shared" si="320"/>
        <v>87070.116509530097</v>
      </c>
      <c r="CH151" s="104">
        <f t="shared" si="320"/>
        <v>89363.932812824045</v>
      </c>
      <c r="CI151" s="228">
        <f t="shared" si="320"/>
        <v>90417.626008998515</v>
      </c>
      <c r="CJ151" s="104">
        <f t="shared" si="320"/>
        <v>91298.405090991248</v>
      </c>
      <c r="CK151" s="104">
        <f t="shared" si="320"/>
        <v>92972.47248878493</v>
      </c>
      <c r="CL151" s="104">
        <f t="shared" si="320"/>
        <v>95378.750307226233</v>
      </c>
      <c r="CM151" s="104">
        <f t="shared" si="320"/>
        <v>98854.048533823225</v>
      </c>
      <c r="CN151" s="104">
        <f t="shared" si="320"/>
        <v>103066.14427628841</v>
      </c>
      <c r="CO151" s="104">
        <f t="shared" si="320"/>
        <v>106196.0846412169</v>
      </c>
      <c r="CP151" s="104">
        <f t="shared" si="320"/>
        <v>108839.39576640884</v>
      </c>
      <c r="CQ151" s="104">
        <f t="shared" si="320"/>
        <v>113254.15091216705</v>
      </c>
      <c r="CR151" s="104">
        <f t="shared" si="320"/>
        <v>113567.61752761957</v>
      </c>
      <c r="CS151" s="104">
        <f t="shared" si="320"/>
        <v>115357.17916588936</v>
      </c>
      <c r="CT151" s="104">
        <f t="shared" si="320"/>
        <v>118006.92768190619</v>
      </c>
      <c r="CU151" s="228">
        <f t="shared" si="320"/>
        <v>119347.20338726384</v>
      </c>
      <c r="CV151" s="104">
        <f t="shared" si="320"/>
        <v>120462.10422046921</v>
      </c>
      <c r="CW151" s="104">
        <f t="shared" si="320"/>
        <v>122435.6486091471</v>
      </c>
      <c r="CX151" s="104">
        <f t="shared" si="320"/>
        <v>124911.25164217701</v>
      </c>
      <c r="CY151" s="104">
        <f t="shared" si="320"/>
        <v>129474.39128208779</v>
      </c>
      <c r="CZ151" s="104">
        <f t="shared" si="320"/>
        <v>134329.17170700748</v>
      </c>
      <c r="DA151" s="104">
        <f t="shared" ref="DA151:DG151" si="321">+DA98+CZ151</f>
        <v>137543.11024903768</v>
      </c>
      <c r="DB151" s="104">
        <f t="shared" si="321"/>
        <v>141020.75618698404</v>
      </c>
      <c r="DC151" s="104">
        <f t="shared" si="321"/>
        <v>145594.52918309681</v>
      </c>
      <c r="DD151" s="104">
        <f t="shared" si="321"/>
        <v>146387.39986949848</v>
      </c>
      <c r="DE151" s="104">
        <f t="shared" si="321"/>
        <v>148481.64635619562</v>
      </c>
      <c r="DF151" s="104">
        <f t="shared" si="321"/>
        <v>151104.31723166537</v>
      </c>
      <c r="DG151" s="104">
        <f t="shared" si="321"/>
        <v>153000.57757871677</v>
      </c>
    </row>
    <row r="152" spans="1:111" x14ac:dyDescent="0.25">
      <c r="A152" s="5"/>
      <c r="B152" s="6" t="s">
        <v>203</v>
      </c>
      <c r="C152" s="6"/>
      <c r="D152" s="46">
        <f t="shared" ref="D152:AI152" si="322">SUM(D146:D151)</f>
        <v>0</v>
      </c>
      <c r="E152" s="46">
        <f t="shared" si="322"/>
        <v>0</v>
      </c>
      <c r="F152" s="46">
        <f t="shared" si="322"/>
        <v>0</v>
      </c>
      <c r="G152" s="46">
        <f t="shared" si="322"/>
        <v>0</v>
      </c>
      <c r="H152" s="46">
        <f t="shared" si="322"/>
        <v>0</v>
      </c>
      <c r="I152" s="46">
        <f t="shared" si="322"/>
        <v>0</v>
      </c>
      <c r="J152" s="46">
        <f t="shared" si="322"/>
        <v>0</v>
      </c>
      <c r="K152" s="46">
        <f t="shared" si="322"/>
        <v>0</v>
      </c>
      <c r="L152" s="46">
        <f t="shared" si="322"/>
        <v>0</v>
      </c>
      <c r="M152" s="46">
        <f t="shared" si="322"/>
        <v>0</v>
      </c>
      <c r="N152" s="46">
        <f t="shared" si="322"/>
        <v>0</v>
      </c>
      <c r="O152" s="46">
        <f t="shared" si="322"/>
        <v>0</v>
      </c>
      <c r="P152" s="46">
        <f t="shared" si="322"/>
        <v>0</v>
      </c>
      <c r="Q152" s="46">
        <f t="shared" si="322"/>
        <v>0</v>
      </c>
      <c r="R152" s="46">
        <f t="shared" si="322"/>
        <v>0</v>
      </c>
      <c r="S152" s="46">
        <f t="shared" si="322"/>
        <v>0</v>
      </c>
      <c r="T152" s="46">
        <f t="shared" si="322"/>
        <v>0</v>
      </c>
      <c r="U152" s="46">
        <f t="shared" si="322"/>
        <v>0</v>
      </c>
      <c r="V152" s="46">
        <f t="shared" si="322"/>
        <v>0</v>
      </c>
      <c r="W152" s="46">
        <f t="shared" si="322"/>
        <v>0</v>
      </c>
      <c r="X152" s="46">
        <f t="shared" si="322"/>
        <v>0</v>
      </c>
      <c r="Y152" s="46">
        <f t="shared" si="322"/>
        <v>0</v>
      </c>
      <c r="Z152" s="46">
        <f t="shared" si="322"/>
        <v>0</v>
      </c>
      <c r="AA152" s="46">
        <f t="shared" si="322"/>
        <v>0</v>
      </c>
      <c r="AB152" s="46">
        <f t="shared" si="322"/>
        <v>886.67000000000007</v>
      </c>
      <c r="AC152" s="46">
        <f t="shared" si="322"/>
        <v>997.49999999999818</v>
      </c>
      <c r="AD152" s="46">
        <f t="shared" si="322"/>
        <v>2882.4999999999982</v>
      </c>
      <c r="AE152" s="46">
        <f t="shared" si="322"/>
        <v>2067.6700000000019</v>
      </c>
      <c r="AF152" s="46">
        <f t="shared" si="322"/>
        <v>2597.7000000000007</v>
      </c>
      <c r="AG152" s="46">
        <f t="shared" si="322"/>
        <v>2776.3299999999981</v>
      </c>
      <c r="AH152" s="46">
        <f t="shared" si="322"/>
        <v>3365.8900000000031</v>
      </c>
      <c r="AI152" s="46">
        <f t="shared" si="322"/>
        <v>1442.8099999999977</v>
      </c>
      <c r="AJ152" s="46">
        <f t="shared" ref="AJ152:BO152" si="323">SUM(AJ146:AJ151)</f>
        <v>893.89999999999418</v>
      </c>
      <c r="AK152" s="46">
        <f t="shared" si="323"/>
        <v>2723.1899999999951</v>
      </c>
      <c r="AL152" s="46">
        <f t="shared" si="323"/>
        <v>1693.5899999999965</v>
      </c>
      <c r="AM152" s="46">
        <f t="shared" si="323"/>
        <v>673.2699999999968</v>
      </c>
      <c r="AN152" s="46">
        <f t="shared" si="323"/>
        <v>1618.5599999999954</v>
      </c>
      <c r="AO152" s="46">
        <f t="shared" si="323"/>
        <v>2132.5</v>
      </c>
      <c r="AP152" s="46">
        <f t="shared" si="323"/>
        <v>3140.1099999999988</v>
      </c>
      <c r="AQ152" s="46">
        <f t="shared" si="323"/>
        <v>3450.1899999999987</v>
      </c>
      <c r="AR152" s="46">
        <f t="shared" si="323"/>
        <v>4943.9399999999969</v>
      </c>
      <c r="AS152" s="46">
        <f t="shared" si="323"/>
        <v>5380.6799999999985</v>
      </c>
      <c r="AT152" s="46">
        <f t="shared" si="323"/>
        <v>4730.3099999999977</v>
      </c>
      <c r="AU152" s="46">
        <f t="shared" si="323"/>
        <v>5468.9099999999962</v>
      </c>
      <c r="AV152" s="46">
        <f t="shared" si="323"/>
        <v>3294.7300000000068</v>
      </c>
      <c r="AW152" s="46">
        <f t="shared" si="323"/>
        <v>3022.96000000001</v>
      </c>
      <c r="AX152" s="233">
        <f t="shared" si="323"/>
        <v>2358.190000000006</v>
      </c>
      <c r="AY152" s="46">
        <f t="shared" si="323"/>
        <v>1600.465529787929</v>
      </c>
      <c r="AZ152" s="46">
        <f t="shared" si="323"/>
        <v>917.22416454527774</v>
      </c>
      <c r="BA152" s="46">
        <f t="shared" si="323"/>
        <v>1222.5773171064684</v>
      </c>
      <c r="BB152" s="46">
        <f t="shared" si="323"/>
        <v>2212.7974050266494</v>
      </c>
      <c r="BC152" s="46">
        <f t="shared" si="323"/>
        <v>4382.8282163131844</v>
      </c>
      <c r="BD152" s="46">
        <f t="shared" si="323"/>
        <v>6208.1219204025547</v>
      </c>
      <c r="BE152" s="46">
        <f t="shared" si="323"/>
        <v>8311.5567428183931</v>
      </c>
      <c r="BF152" s="46">
        <f t="shared" si="323"/>
        <v>10127.189491430043</v>
      </c>
      <c r="BG152" s="46">
        <f t="shared" si="323"/>
        <v>12369.848466556701</v>
      </c>
      <c r="BH152" s="46">
        <f t="shared" si="323"/>
        <v>12816.522026900122</v>
      </c>
      <c r="BI152" s="46">
        <f t="shared" si="323"/>
        <v>13583.297274218639</v>
      </c>
      <c r="BJ152" s="46">
        <f t="shared" si="323"/>
        <v>14899.336491686481</v>
      </c>
      <c r="BK152" s="233">
        <f t="shared" si="323"/>
        <v>16125.70177199279</v>
      </c>
      <c r="BL152" s="46">
        <f t="shared" si="323"/>
        <v>16209.349657667939</v>
      </c>
      <c r="BM152" s="46">
        <f t="shared" si="323"/>
        <v>17359.252063528475</v>
      </c>
      <c r="BN152" s="46">
        <f t="shared" si="323"/>
        <v>19425.792620789551</v>
      </c>
      <c r="BO152" s="46">
        <f t="shared" si="323"/>
        <v>22348.537466187576</v>
      </c>
      <c r="BP152" s="46">
        <f t="shared" ref="BP152:CU152" si="324">SUM(BP146:BP151)</f>
        <v>24731.111399586916</v>
      </c>
      <c r="BQ152" s="46">
        <f t="shared" si="324"/>
        <v>27379.146070865405</v>
      </c>
      <c r="BR152" s="46">
        <f t="shared" si="324"/>
        <v>29336.442627953082</v>
      </c>
      <c r="BS152" s="46">
        <f t="shared" si="324"/>
        <v>32377.507475334496</v>
      </c>
      <c r="BT152" s="46">
        <f t="shared" si="324"/>
        <v>32943.978648821037</v>
      </c>
      <c r="BU152" s="46">
        <f t="shared" si="324"/>
        <v>33672.721037078489</v>
      </c>
      <c r="BV152" s="46">
        <f t="shared" si="324"/>
        <v>35571.281652995109</v>
      </c>
      <c r="BW152" s="233">
        <f t="shared" si="324"/>
        <v>36922.948244401101</v>
      </c>
      <c r="BX152" s="46">
        <f t="shared" si="324"/>
        <v>37016.275442786318</v>
      </c>
      <c r="BY152" s="46">
        <f t="shared" si="324"/>
        <v>38674.839406077786</v>
      </c>
      <c r="BZ152" s="46">
        <f t="shared" si="324"/>
        <v>41008.04189624318</v>
      </c>
      <c r="CA152" s="46">
        <f t="shared" si="324"/>
        <v>43554.694845026876</v>
      </c>
      <c r="CB152" s="46">
        <f t="shared" si="324"/>
        <v>47104.431765830544</v>
      </c>
      <c r="CC152" s="46">
        <f t="shared" si="324"/>
        <v>50111.402097373801</v>
      </c>
      <c r="CD152" s="46">
        <f t="shared" si="324"/>
        <v>51955.321801562583</v>
      </c>
      <c r="CE152" s="46">
        <f t="shared" si="324"/>
        <v>55724.959877047579</v>
      </c>
      <c r="CF152" s="46">
        <f t="shared" si="324"/>
        <v>56075.484196762081</v>
      </c>
      <c r="CG152" s="46">
        <f t="shared" si="324"/>
        <v>57147.126509530099</v>
      </c>
      <c r="CH152" s="46">
        <f t="shared" si="324"/>
        <v>59290.942812824047</v>
      </c>
      <c r="CI152" s="233">
        <f t="shared" si="324"/>
        <v>60194.636008998517</v>
      </c>
      <c r="CJ152" s="46">
        <f t="shared" si="324"/>
        <v>60925.41509099125</v>
      </c>
      <c r="CK152" s="46">
        <f t="shared" si="324"/>
        <v>62449.482488784932</v>
      </c>
      <c r="CL152" s="46">
        <f t="shared" si="324"/>
        <v>64705.760307226235</v>
      </c>
      <c r="CM152" s="46">
        <f t="shared" si="324"/>
        <v>68031.058533823234</v>
      </c>
      <c r="CN152" s="46">
        <f t="shared" si="324"/>
        <v>72093.154276288406</v>
      </c>
      <c r="CO152" s="46">
        <f t="shared" si="324"/>
        <v>75073.094641216914</v>
      </c>
      <c r="CP152" s="46">
        <f t="shared" si="324"/>
        <v>77566.405766408832</v>
      </c>
      <c r="CQ152" s="46">
        <f t="shared" si="324"/>
        <v>81831.160912167048</v>
      </c>
      <c r="CR152" s="46">
        <f t="shared" si="324"/>
        <v>81994.627527619567</v>
      </c>
      <c r="CS152" s="46">
        <f t="shared" si="324"/>
        <v>83634.189165889373</v>
      </c>
      <c r="CT152" s="46">
        <f t="shared" si="324"/>
        <v>86133.937681906187</v>
      </c>
      <c r="CU152" s="233">
        <f t="shared" si="324"/>
        <v>87324.213387263851</v>
      </c>
      <c r="CV152" s="46">
        <f t="shared" ref="CV152:EA152" si="325">SUM(CV146:CV151)</f>
        <v>88289.114220469201</v>
      </c>
      <c r="CW152" s="46">
        <f t="shared" si="325"/>
        <v>90112.658609147096</v>
      </c>
      <c r="CX152" s="46">
        <f t="shared" si="325"/>
        <v>92438.261642177007</v>
      </c>
      <c r="CY152" s="46">
        <f t="shared" si="325"/>
        <v>96851.401282087783</v>
      </c>
      <c r="CZ152" s="46">
        <f t="shared" si="325"/>
        <v>101556.18170700749</v>
      </c>
      <c r="DA152" s="46">
        <f t="shared" si="325"/>
        <v>104620.12024903769</v>
      </c>
      <c r="DB152" s="46">
        <f t="shared" si="325"/>
        <v>107947.76618698405</v>
      </c>
      <c r="DC152" s="46">
        <f t="shared" si="325"/>
        <v>112371.53918309681</v>
      </c>
      <c r="DD152" s="46">
        <f t="shared" si="325"/>
        <v>113014.40986949849</v>
      </c>
      <c r="DE152" s="46">
        <f t="shared" si="325"/>
        <v>114958.65635619563</v>
      </c>
      <c r="DF152" s="46">
        <f t="shared" si="325"/>
        <v>117431.32723166537</v>
      </c>
      <c r="DG152" s="46">
        <f t="shared" si="325"/>
        <v>119177.58757871678</v>
      </c>
    </row>
    <row r="153" spans="1:111" x14ac:dyDescent="0.25">
      <c r="A153" s="3"/>
      <c r="B153" s="4" t="s">
        <v>204</v>
      </c>
      <c r="C153" s="4"/>
      <c r="D153" s="47">
        <f t="shared" ref="D153:I153" si="326">D152</f>
        <v>0</v>
      </c>
      <c r="E153" s="47">
        <f t="shared" si="326"/>
        <v>0</v>
      </c>
      <c r="F153" s="47">
        <f t="shared" si="326"/>
        <v>0</v>
      </c>
      <c r="G153" s="47">
        <f t="shared" si="326"/>
        <v>0</v>
      </c>
      <c r="H153" s="47">
        <f t="shared" si="326"/>
        <v>0</v>
      </c>
      <c r="I153" s="47">
        <f t="shared" si="326"/>
        <v>0</v>
      </c>
      <c r="J153" s="47">
        <f t="shared" ref="J153:AO153" si="327">J152+J143</f>
        <v>0</v>
      </c>
      <c r="K153" s="47">
        <f t="shared" si="327"/>
        <v>0</v>
      </c>
      <c r="L153" s="47">
        <f t="shared" si="327"/>
        <v>0</v>
      </c>
      <c r="M153" s="47">
        <f t="shared" si="327"/>
        <v>0</v>
      </c>
      <c r="N153" s="47">
        <f t="shared" si="327"/>
        <v>0</v>
      </c>
      <c r="O153" s="47">
        <f t="shared" si="327"/>
        <v>0</v>
      </c>
      <c r="P153" s="47">
        <f t="shared" si="327"/>
        <v>0</v>
      </c>
      <c r="Q153" s="47">
        <f t="shared" si="327"/>
        <v>0</v>
      </c>
      <c r="R153" s="47">
        <f t="shared" si="327"/>
        <v>0</v>
      </c>
      <c r="S153" s="47">
        <f t="shared" si="327"/>
        <v>0</v>
      </c>
      <c r="T153" s="47">
        <f t="shared" si="327"/>
        <v>0</v>
      </c>
      <c r="U153" s="47">
        <f t="shared" si="327"/>
        <v>0</v>
      </c>
      <c r="V153" s="47">
        <f t="shared" si="327"/>
        <v>0</v>
      </c>
      <c r="W153" s="47">
        <f t="shared" si="327"/>
        <v>0</v>
      </c>
      <c r="X153" s="47">
        <f t="shared" si="327"/>
        <v>0</v>
      </c>
      <c r="Y153" s="47">
        <f t="shared" si="327"/>
        <v>0</v>
      </c>
      <c r="Z153" s="47">
        <f t="shared" si="327"/>
        <v>0</v>
      </c>
      <c r="AA153" s="47">
        <f t="shared" si="327"/>
        <v>0</v>
      </c>
      <c r="AB153" s="47">
        <f t="shared" si="327"/>
        <v>886.67000000000007</v>
      </c>
      <c r="AC153" s="47">
        <f t="shared" si="327"/>
        <v>997.49999999999818</v>
      </c>
      <c r="AD153" s="47">
        <f t="shared" si="327"/>
        <v>2882.4999999999982</v>
      </c>
      <c r="AE153" s="47">
        <f t="shared" si="327"/>
        <v>2067.6700000000019</v>
      </c>
      <c r="AF153" s="47">
        <f t="shared" si="327"/>
        <v>2882.7000000000007</v>
      </c>
      <c r="AG153" s="47">
        <f t="shared" si="327"/>
        <v>2961.3299999999981</v>
      </c>
      <c r="AH153" s="47">
        <f t="shared" si="327"/>
        <v>3250.8900000000031</v>
      </c>
      <c r="AI153" s="47">
        <f t="shared" si="327"/>
        <v>1442.8099999999977</v>
      </c>
      <c r="AJ153" s="47">
        <f t="shared" si="327"/>
        <v>853.89999999999418</v>
      </c>
      <c r="AK153" s="47">
        <f t="shared" si="327"/>
        <v>2723.1899999999951</v>
      </c>
      <c r="AL153" s="47">
        <f t="shared" si="327"/>
        <v>2023.6699999999964</v>
      </c>
      <c r="AM153" s="47">
        <f t="shared" si="327"/>
        <v>1920.5599999999968</v>
      </c>
      <c r="AN153" s="47">
        <f t="shared" si="327"/>
        <v>2644.2599999999957</v>
      </c>
      <c r="AO153" s="47">
        <f t="shared" si="327"/>
        <v>2957.6</v>
      </c>
      <c r="AP153" s="47">
        <f t="shared" ref="AP153:BU153" si="328">AP152+AP143</f>
        <v>3880.8899999999985</v>
      </c>
      <c r="AQ153" s="47">
        <f t="shared" si="328"/>
        <v>5191.1399999999985</v>
      </c>
      <c r="AR153" s="47">
        <f t="shared" si="328"/>
        <v>7326.819999999997</v>
      </c>
      <c r="AS153" s="47">
        <f t="shared" si="328"/>
        <v>7193.909999999998</v>
      </c>
      <c r="AT153" s="47">
        <f t="shared" si="328"/>
        <v>7114.239999999998</v>
      </c>
      <c r="AU153" s="47">
        <f t="shared" si="328"/>
        <v>7935.0899999999965</v>
      </c>
      <c r="AV153" s="47">
        <f t="shared" si="328"/>
        <v>6887.6500000000069</v>
      </c>
      <c r="AW153" s="47">
        <f t="shared" si="328"/>
        <v>6355.6200000000099</v>
      </c>
      <c r="AX153" s="229">
        <f t="shared" si="328"/>
        <v>5831.8200000000052</v>
      </c>
      <c r="AY153" s="47">
        <f t="shared" si="328"/>
        <v>6474.9905297879286</v>
      </c>
      <c r="AZ153" s="47">
        <f t="shared" si="328"/>
        <v>5791.7491645452774</v>
      </c>
      <c r="BA153" s="47">
        <f t="shared" si="328"/>
        <v>6097.102317106468</v>
      </c>
      <c r="BB153" s="47">
        <f t="shared" si="328"/>
        <v>7087.322405026649</v>
      </c>
      <c r="BC153" s="47">
        <f t="shared" si="328"/>
        <v>9257.353216313184</v>
      </c>
      <c r="BD153" s="47">
        <f t="shared" si="328"/>
        <v>11082.646920402554</v>
      </c>
      <c r="BE153" s="47">
        <f t="shared" si="328"/>
        <v>13186.081742818393</v>
      </c>
      <c r="BF153" s="47">
        <f t="shared" si="328"/>
        <v>15001.714491430042</v>
      </c>
      <c r="BG153" s="47">
        <f t="shared" si="328"/>
        <v>17244.373466556703</v>
      </c>
      <c r="BH153" s="47">
        <f t="shared" si="328"/>
        <v>17691.047026900123</v>
      </c>
      <c r="BI153" s="47">
        <f t="shared" si="328"/>
        <v>18457.822274218641</v>
      </c>
      <c r="BJ153" s="47">
        <f t="shared" si="328"/>
        <v>19773.861491686483</v>
      </c>
      <c r="BK153" s="229">
        <f t="shared" si="328"/>
        <v>21000.226771992791</v>
      </c>
      <c r="BL153" s="47">
        <f t="shared" si="328"/>
        <v>21083.87465766794</v>
      </c>
      <c r="BM153" s="47">
        <f t="shared" si="328"/>
        <v>22233.777063528476</v>
      </c>
      <c r="BN153" s="47">
        <f t="shared" si="328"/>
        <v>24300.317620789552</v>
      </c>
      <c r="BO153" s="47">
        <f t="shared" si="328"/>
        <v>27223.062466187577</v>
      </c>
      <c r="BP153" s="47">
        <f t="shared" si="328"/>
        <v>29605.636399586918</v>
      </c>
      <c r="BQ153" s="47">
        <f t="shared" si="328"/>
        <v>32253.671070865406</v>
      </c>
      <c r="BR153" s="47">
        <f t="shared" si="328"/>
        <v>34210.967627953083</v>
      </c>
      <c r="BS153" s="47">
        <f t="shared" si="328"/>
        <v>37252.032475334498</v>
      </c>
      <c r="BT153" s="47">
        <f t="shared" si="328"/>
        <v>37818.503648821039</v>
      </c>
      <c r="BU153" s="47">
        <f t="shared" si="328"/>
        <v>38547.24603707849</v>
      </c>
      <c r="BV153" s="47">
        <f t="shared" ref="BV153:DA153" si="329">BV152+BV143</f>
        <v>40445.80665299511</v>
      </c>
      <c r="BW153" s="229">
        <f t="shared" si="329"/>
        <v>41797.473244401102</v>
      </c>
      <c r="BX153" s="47">
        <f t="shared" si="329"/>
        <v>41890.80044278632</v>
      </c>
      <c r="BY153" s="47">
        <f t="shared" si="329"/>
        <v>43549.364406077788</v>
      </c>
      <c r="BZ153" s="47">
        <f t="shared" si="329"/>
        <v>45882.566896243181</v>
      </c>
      <c r="CA153" s="47">
        <f t="shared" si="329"/>
        <v>48429.219845026877</v>
      </c>
      <c r="CB153" s="47">
        <f t="shared" si="329"/>
        <v>51978.956765830546</v>
      </c>
      <c r="CC153" s="47">
        <f t="shared" si="329"/>
        <v>54985.927097373802</v>
      </c>
      <c r="CD153" s="47">
        <f t="shared" si="329"/>
        <v>56829.846801562584</v>
      </c>
      <c r="CE153" s="47">
        <f t="shared" si="329"/>
        <v>60599.48487704758</v>
      </c>
      <c r="CF153" s="47">
        <f t="shared" si="329"/>
        <v>60950.009196762083</v>
      </c>
      <c r="CG153" s="47">
        <f t="shared" si="329"/>
        <v>62021.6515095301</v>
      </c>
      <c r="CH153" s="47">
        <f t="shared" si="329"/>
        <v>64165.467812824048</v>
      </c>
      <c r="CI153" s="229">
        <f t="shared" si="329"/>
        <v>65069.161008998519</v>
      </c>
      <c r="CJ153" s="47">
        <f t="shared" si="329"/>
        <v>65799.940090991251</v>
      </c>
      <c r="CK153" s="47">
        <f t="shared" si="329"/>
        <v>67324.007488784933</v>
      </c>
      <c r="CL153" s="47">
        <f t="shared" si="329"/>
        <v>69580.285307226237</v>
      </c>
      <c r="CM153" s="47">
        <f t="shared" si="329"/>
        <v>72905.583533823228</v>
      </c>
      <c r="CN153" s="47">
        <f t="shared" si="329"/>
        <v>76967.6792762884</v>
      </c>
      <c r="CO153" s="47">
        <f t="shared" si="329"/>
        <v>79947.619641216908</v>
      </c>
      <c r="CP153" s="47">
        <f t="shared" si="329"/>
        <v>82440.930766408826</v>
      </c>
      <c r="CQ153" s="47">
        <f t="shared" si="329"/>
        <v>86705.685912167042</v>
      </c>
      <c r="CR153" s="47">
        <f t="shared" si="329"/>
        <v>86869.152527619561</v>
      </c>
      <c r="CS153" s="47">
        <f t="shared" si="329"/>
        <v>88508.714165889367</v>
      </c>
      <c r="CT153" s="47">
        <f t="shared" si="329"/>
        <v>91008.462681906181</v>
      </c>
      <c r="CU153" s="229">
        <f t="shared" si="329"/>
        <v>92198.738387263846</v>
      </c>
      <c r="CV153" s="47">
        <f t="shared" si="329"/>
        <v>93163.639220469195</v>
      </c>
      <c r="CW153" s="47">
        <f t="shared" si="329"/>
        <v>94987.18360914709</v>
      </c>
      <c r="CX153" s="47">
        <f t="shared" si="329"/>
        <v>97312.786642177001</v>
      </c>
      <c r="CY153" s="47">
        <f t="shared" si="329"/>
        <v>101725.92628208778</v>
      </c>
      <c r="CZ153" s="47">
        <f t="shared" si="329"/>
        <v>106430.70670700748</v>
      </c>
      <c r="DA153" s="47">
        <f t="shared" si="329"/>
        <v>109494.64524903768</v>
      </c>
      <c r="DB153" s="47">
        <f t="shared" ref="DB153:EG153" si="330">DB152+DB143</f>
        <v>112822.29118698405</v>
      </c>
      <c r="DC153" s="47">
        <f t="shared" si="330"/>
        <v>117246.06418309681</v>
      </c>
      <c r="DD153" s="47">
        <f t="shared" si="330"/>
        <v>117888.93486949848</v>
      </c>
      <c r="DE153" s="47">
        <f t="shared" si="330"/>
        <v>119833.18135619562</v>
      </c>
      <c r="DF153" s="47">
        <f t="shared" si="330"/>
        <v>122305.85223166537</v>
      </c>
      <c r="DG153" s="47">
        <f t="shared" si="330"/>
        <v>124052.11257871677</v>
      </c>
    </row>
    <row r="154" spans="1:111" s="155" customFormat="1" x14ac:dyDescent="0.25">
      <c r="B154" s="257"/>
      <c r="C154" s="257" t="s">
        <v>205</v>
      </c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  <c r="U154" s="258"/>
      <c r="V154" s="258"/>
      <c r="W154" s="258">
        <f t="shared" ref="W154:AX154" si="331">+W149-V149</f>
        <v>0</v>
      </c>
      <c r="X154" s="258">
        <f t="shared" si="331"/>
        <v>0</v>
      </c>
      <c r="Y154" s="258">
        <f t="shared" si="331"/>
        <v>0</v>
      </c>
      <c r="Z154" s="258">
        <f t="shared" si="331"/>
        <v>0</v>
      </c>
      <c r="AA154" s="258">
        <f t="shared" si="331"/>
        <v>0</v>
      </c>
      <c r="AB154" s="258">
        <f t="shared" si="331"/>
        <v>-4414.2</v>
      </c>
      <c r="AC154" s="258">
        <f t="shared" si="331"/>
        <v>-5131.4900000000007</v>
      </c>
      <c r="AD154" s="258">
        <f t="shared" si="331"/>
        <v>-4430.43</v>
      </c>
      <c r="AE154" s="258">
        <f t="shared" si="331"/>
        <v>-7086.409999999998</v>
      </c>
      <c r="AF154" s="258">
        <f t="shared" si="331"/>
        <v>-3432.2299999999996</v>
      </c>
      <c r="AG154" s="258">
        <f t="shared" si="331"/>
        <v>-3463.0700000000033</v>
      </c>
      <c r="AH154" s="258">
        <f t="shared" si="331"/>
        <v>-2858.9499999999971</v>
      </c>
      <c r="AI154" s="258">
        <f t="shared" si="331"/>
        <v>-5679.5299999999988</v>
      </c>
      <c r="AJ154" s="258">
        <f t="shared" si="331"/>
        <v>-2487.7700000000041</v>
      </c>
      <c r="AK154" s="258">
        <f t="shared" si="331"/>
        <v>-2394.3899999999994</v>
      </c>
      <c r="AL154" s="258">
        <f t="shared" si="331"/>
        <v>-2307.5599999999977</v>
      </c>
      <c r="AM154" s="258">
        <f t="shared" si="331"/>
        <v>-3648.260000000002</v>
      </c>
      <c r="AN154" s="258">
        <f t="shared" si="331"/>
        <v>-3116.5800000000017</v>
      </c>
      <c r="AO154" s="258">
        <f t="shared" si="331"/>
        <v>-1624.4799999999959</v>
      </c>
      <c r="AP154" s="258">
        <f t="shared" si="331"/>
        <v>-1433.7200000000012</v>
      </c>
      <c r="AQ154" s="258">
        <f t="shared" si="331"/>
        <v>-1790.1100000000006</v>
      </c>
      <c r="AR154" s="258">
        <f t="shared" si="331"/>
        <v>-774.65000000000146</v>
      </c>
      <c r="AS154" s="258">
        <f t="shared" si="331"/>
        <v>-2413.3099999999977</v>
      </c>
      <c r="AT154" s="258">
        <f t="shared" si="331"/>
        <v>-3588.010000000002</v>
      </c>
      <c r="AU154" s="258">
        <f t="shared" si="331"/>
        <v>-2335.2200000000012</v>
      </c>
      <c r="AV154" s="258">
        <f t="shared" si="331"/>
        <v>-4057.9099999999962</v>
      </c>
      <c r="AW154" s="258">
        <f t="shared" si="331"/>
        <v>-2563.5599999999977</v>
      </c>
      <c r="AX154" s="259">
        <f t="shared" si="331"/>
        <v>-1648.7100000000064</v>
      </c>
      <c r="AY154" s="258">
        <v>-150</v>
      </c>
      <c r="AZ154" s="258">
        <f t="shared" ref="AZ154:CE154" si="332">+AY154</f>
        <v>-150</v>
      </c>
      <c r="BA154" s="258">
        <f t="shared" si="332"/>
        <v>-150</v>
      </c>
      <c r="BB154" s="258">
        <f t="shared" si="332"/>
        <v>-150</v>
      </c>
      <c r="BC154" s="258">
        <f t="shared" si="332"/>
        <v>-150</v>
      </c>
      <c r="BD154" s="258">
        <f t="shared" si="332"/>
        <v>-150</v>
      </c>
      <c r="BE154" s="258">
        <f t="shared" si="332"/>
        <v>-150</v>
      </c>
      <c r="BF154" s="258">
        <f t="shared" si="332"/>
        <v>-150</v>
      </c>
      <c r="BG154" s="258">
        <f t="shared" si="332"/>
        <v>-150</v>
      </c>
      <c r="BH154" s="258">
        <f t="shared" si="332"/>
        <v>-150</v>
      </c>
      <c r="BI154" s="258">
        <f t="shared" si="332"/>
        <v>-150</v>
      </c>
      <c r="BJ154" s="258">
        <f t="shared" si="332"/>
        <v>-150</v>
      </c>
      <c r="BK154" s="259">
        <f t="shared" si="332"/>
        <v>-150</v>
      </c>
      <c r="BL154" s="258">
        <f t="shared" si="332"/>
        <v>-150</v>
      </c>
      <c r="BM154" s="258">
        <f t="shared" si="332"/>
        <v>-150</v>
      </c>
      <c r="BN154" s="258">
        <f t="shared" si="332"/>
        <v>-150</v>
      </c>
      <c r="BO154" s="258">
        <f t="shared" si="332"/>
        <v>-150</v>
      </c>
      <c r="BP154" s="258">
        <f t="shared" si="332"/>
        <v>-150</v>
      </c>
      <c r="BQ154" s="258">
        <f t="shared" si="332"/>
        <v>-150</v>
      </c>
      <c r="BR154" s="258">
        <f t="shared" si="332"/>
        <v>-150</v>
      </c>
      <c r="BS154" s="258">
        <f t="shared" si="332"/>
        <v>-150</v>
      </c>
      <c r="BT154" s="258">
        <f t="shared" si="332"/>
        <v>-150</v>
      </c>
      <c r="BU154" s="258">
        <f t="shared" si="332"/>
        <v>-150</v>
      </c>
      <c r="BV154" s="258">
        <f t="shared" si="332"/>
        <v>-150</v>
      </c>
      <c r="BW154" s="259">
        <f t="shared" si="332"/>
        <v>-150</v>
      </c>
      <c r="BX154" s="258">
        <f t="shared" si="332"/>
        <v>-150</v>
      </c>
      <c r="BY154" s="258">
        <f t="shared" si="332"/>
        <v>-150</v>
      </c>
      <c r="BZ154" s="258">
        <f t="shared" si="332"/>
        <v>-150</v>
      </c>
      <c r="CA154" s="258">
        <f t="shared" si="332"/>
        <v>-150</v>
      </c>
      <c r="CB154" s="258">
        <f t="shared" si="332"/>
        <v>-150</v>
      </c>
      <c r="CC154" s="258">
        <f t="shared" si="332"/>
        <v>-150</v>
      </c>
      <c r="CD154" s="258">
        <f t="shared" si="332"/>
        <v>-150</v>
      </c>
      <c r="CE154" s="258">
        <f t="shared" si="332"/>
        <v>-150</v>
      </c>
      <c r="CF154" s="258">
        <f t="shared" ref="CF154:DG154" si="333">+CE154</f>
        <v>-150</v>
      </c>
      <c r="CG154" s="258">
        <f t="shared" si="333"/>
        <v>-150</v>
      </c>
      <c r="CH154" s="258">
        <f t="shared" si="333"/>
        <v>-150</v>
      </c>
      <c r="CI154" s="259">
        <f t="shared" si="333"/>
        <v>-150</v>
      </c>
      <c r="CJ154" s="258">
        <f t="shared" si="333"/>
        <v>-150</v>
      </c>
      <c r="CK154" s="258">
        <f t="shared" si="333"/>
        <v>-150</v>
      </c>
      <c r="CL154" s="258">
        <f t="shared" si="333"/>
        <v>-150</v>
      </c>
      <c r="CM154" s="258">
        <f t="shared" si="333"/>
        <v>-150</v>
      </c>
      <c r="CN154" s="258">
        <f t="shared" si="333"/>
        <v>-150</v>
      </c>
      <c r="CO154" s="258">
        <f t="shared" si="333"/>
        <v>-150</v>
      </c>
      <c r="CP154" s="258">
        <f t="shared" si="333"/>
        <v>-150</v>
      </c>
      <c r="CQ154" s="258">
        <f t="shared" si="333"/>
        <v>-150</v>
      </c>
      <c r="CR154" s="258">
        <f t="shared" si="333"/>
        <v>-150</v>
      </c>
      <c r="CS154" s="258">
        <f t="shared" si="333"/>
        <v>-150</v>
      </c>
      <c r="CT154" s="258">
        <f t="shared" si="333"/>
        <v>-150</v>
      </c>
      <c r="CU154" s="259">
        <f t="shared" si="333"/>
        <v>-150</v>
      </c>
      <c r="CV154" s="258">
        <f t="shared" si="333"/>
        <v>-150</v>
      </c>
      <c r="CW154" s="258">
        <f t="shared" si="333"/>
        <v>-150</v>
      </c>
      <c r="CX154" s="258">
        <f t="shared" si="333"/>
        <v>-150</v>
      </c>
      <c r="CY154" s="258">
        <f t="shared" si="333"/>
        <v>-150</v>
      </c>
      <c r="CZ154" s="258">
        <f t="shared" si="333"/>
        <v>-150</v>
      </c>
      <c r="DA154" s="258">
        <f t="shared" si="333"/>
        <v>-150</v>
      </c>
      <c r="DB154" s="258">
        <f t="shared" si="333"/>
        <v>-150</v>
      </c>
      <c r="DC154" s="258">
        <f t="shared" si="333"/>
        <v>-150</v>
      </c>
      <c r="DD154" s="258">
        <f t="shared" si="333"/>
        <v>-150</v>
      </c>
      <c r="DE154" s="258">
        <f t="shared" si="333"/>
        <v>-150</v>
      </c>
      <c r="DF154" s="258">
        <f t="shared" si="333"/>
        <v>-150</v>
      </c>
      <c r="DG154" s="258">
        <f t="shared" si="333"/>
        <v>-150</v>
      </c>
    </row>
    <row r="155" spans="1:111" s="155" customFormat="1" x14ac:dyDescent="0.25">
      <c r="B155" s="257"/>
      <c r="C155" s="257" t="s">
        <v>206</v>
      </c>
      <c r="D155" s="258"/>
      <c r="E155" s="258"/>
      <c r="F155" s="25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  <c r="U155" s="258"/>
      <c r="V155" s="258"/>
      <c r="W155" s="258"/>
      <c r="X155" s="258"/>
      <c r="Y155" s="258"/>
      <c r="Z155" s="258"/>
      <c r="AA155" s="258"/>
      <c r="AB155" s="258"/>
      <c r="AC155" s="258"/>
      <c r="AD155" s="258"/>
      <c r="AE155" s="258"/>
      <c r="AF155" s="258"/>
      <c r="AG155" s="258"/>
      <c r="AH155" s="258"/>
      <c r="AI155" s="258"/>
      <c r="AJ155" s="258"/>
      <c r="AK155" s="258"/>
      <c r="AL155" s="258"/>
      <c r="AM155" s="258"/>
      <c r="AN155" s="258"/>
      <c r="AO155" s="258"/>
      <c r="AP155" s="258"/>
      <c r="AQ155" s="258"/>
      <c r="AR155" s="258"/>
      <c r="AS155" s="258"/>
      <c r="AT155" s="258"/>
      <c r="AU155" s="258"/>
      <c r="AV155" s="258"/>
      <c r="AW155" s="258"/>
      <c r="AX155" s="259"/>
      <c r="AY155" s="258">
        <v>0</v>
      </c>
      <c r="AZ155" s="258">
        <f t="shared" ref="AZ155:CE155" si="334">+AY155</f>
        <v>0</v>
      </c>
      <c r="BA155" s="258">
        <f t="shared" si="334"/>
        <v>0</v>
      </c>
      <c r="BB155" s="258">
        <f t="shared" si="334"/>
        <v>0</v>
      </c>
      <c r="BC155" s="258">
        <f t="shared" si="334"/>
        <v>0</v>
      </c>
      <c r="BD155" s="258">
        <f t="shared" si="334"/>
        <v>0</v>
      </c>
      <c r="BE155" s="258">
        <f t="shared" si="334"/>
        <v>0</v>
      </c>
      <c r="BF155" s="258">
        <f t="shared" si="334"/>
        <v>0</v>
      </c>
      <c r="BG155" s="258">
        <f t="shared" si="334"/>
        <v>0</v>
      </c>
      <c r="BH155" s="258">
        <f t="shared" si="334"/>
        <v>0</v>
      </c>
      <c r="BI155" s="258">
        <f t="shared" si="334"/>
        <v>0</v>
      </c>
      <c r="BJ155" s="258">
        <f t="shared" si="334"/>
        <v>0</v>
      </c>
      <c r="BK155" s="259">
        <f t="shared" si="334"/>
        <v>0</v>
      </c>
      <c r="BL155" s="258">
        <f t="shared" si="334"/>
        <v>0</v>
      </c>
      <c r="BM155" s="258">
        <f t="shared" si="334"/>
        <v>0</v>
      </c>
      <c r="BN155" s="258">
        <f t="shared" si="334"/>
        <v>0</v>
      </c>
      <c r="BO155" s="258">
        <f t="shared" si="334"/>
        <v>0</v>
      </c>
      <c r="BP155" s="258">
        <f t="shared" si="334"/>
        <v>0</v>
      </c>
      <c r="BQ155" s="258">
        <f t="shared" si="334"/>
        <v>0</v>
      </c>
      <c r="BR155" s="258">
        <f t="shared" si="334"/>
        <v>0</v>
      </c>
      <c r="BS155" s="258">
        <f t="shared" si="334"/>
        <v>0</v>
      </c>
      <c r="BT155" s="258">
        <f t="shared" si="334"/>
        <v>0</v>
      </c>
      <c r="BU155" s="258">
        <f t="shared" si="334"/>
        <v>0</v>
      </c>
      <c r="BV155" s="258">
        <f t="shared" si="334"/>
        <v>0</v>
      </c>
      <c r="BW155" s="259">
        <f t="shared" si="334"/>
        <v>0</v>
      </c>
      <c r="BX155" s="258">
        <f t="shared" si="334"/>
        <v>0</v>
      </c>
      <c r="BY155" s="258">
        <f t="shared" si="334"/>
        <v>0</v>
      </c>
      <c r="BZ155" s="258">
        <f t="shared" si="334"/>
        <v>0</v>
      </c>
      <c r="CA155" s="258">
        <f t="shared" si="334"/>
        <v>0</v>
      </c>
      <c r="CB155" s="258">
        <f t="shared" si="334"/>
        <v>0</v>
      </c>
      <c r="CC155" s="258">
        <f t="shared" si="334"/>
        <v>0</v>
      </c>
      <c r="CD155" s="258">
        <f t="shared" si="334"/>
        <v>0</v>
      </c>
      <c r="CE155" s="258">
        <f t="shared" si="334"/>
        <v>0</v>
      </c>
      <c r="CF155" s="258">
        <f t="shared" ref="CF155:CY155" si="335">+CE155</f>
        <v>0</v>
      </c>
      <c r="CG155" s="258">
        <f t="shared" si="335"/>
        <v>0</v>
      </c>
      <c r="CH155" s="258">
        <f t="shared" si="335"/>
        <v>0</v>
      </c>
      <c r="CI155" s="259">
        <f t="shared" si="335"/>
        <v>0</v>
      </c>
      <c r="CJ155" s="258">
        <f t="shared" si="335"/>
        <v>0</v>
      </c>
      <c r="CK155" s="258">
        <f t="shared" si="335"/>
        <v>0</v>
      </c>
      <c r="CL155" s="258">
        <f t="shared" si="335"/>
        <v>0</v>
      </c>
      <c r="CM155" s="258">
        <f t="shared" si="335"/>
        <v>0</v>
      </c>
      <c r="CN155" s="258">
        <f t="shared" si="335"/>
        <v>0</v>
      </c>
      <c r="CO155" s="258">
        <f t="shared" si="335"/>
        <v>0</v>
      </c>
      <c r="CP155" s="258">
        <f t="shared" si="335"/>
        <v>0</v>
      </c>
      <c r="CQ155" s="258">
        <f t="shared" si="335"/>
        <v>0</v>
      </c>
      <c r="CR155" s="258">
        <f t="shared" si="335"/>
        <v>0</v>
      </c>
      <c r="CS155" s="258">
        <f t="shared" si="335"/>
        <v>0</v>
      </c>
      <c r="CT155" s="258">
        <f t="shared" si="335"/>
        <v>0</v>
      </c>
      <c r="CU155" s="259">
        <f t="shared" si="335"/>
        <v>0</v>
      </c>
      <c r="CV155" s="258">
        <f t="shared" si="335"/>
        <v>0</v>
      </c>
      <c r="CW155" s="258">
        <f t="shared" si="335"/>
        <v>0</v>
      </c>
      <c r="CX155" s="258">
        <f t="shared" si="335"/>
        <v>0</v>
      </c>
      <c r="CY155" s="258">
        <f t="shared" si="335"/>
        <v>0</v>
      </c>
      <c r="CZ155" s="258"/>
      <c r="DA155" s="258"/>
      <c r="DB155" s="258"/>
      <c r="DC155" s="258"/>
      <c r="DD155" s="258"/>
      <c r="DE155" s="258"/>
      <c r="DF155" s="258"/>
      <c r="DG155" s="258"/>
    </row>
    <row r="156" spans="1:111" s="3" customFormat="1" x14ac:dyDescent="0.25">
      <c r="B156" s="1"/>
      <c r="C156" s="50" t="s">
        <v>207</v>
      </c>
      <c r="D156" s="49">
        <f t="shared" ref="D156:AI156" si="336">D153-D129</f>
        <v>0</v>
      </c>
      <c r="E156" s="49">
        <f t="shared" si="336"/>
        <v>0</v>
      </c>
      <c r="F156" s="49">
        <f t="shared" si="336"/>
        <v>0</v>
      </c>
      <c r="G156" s="49">
        <f t="shared" si="336"/>
        <v>0</v>
      </c>
      <c r="H156" s="49">
        <f t="shared" si="336"/>
        <v>0</v>
      </c>
      <c r="I156" s="49">
        <f t="shared" si="336"/>
        <v>0</v>
      </c>
      <c r="J156" s="49">
        <f t="shared" si="336"/>
        <v>0</v>
      </c>
      <c r="K156" s="49">
        <f t="shared" si="336"/>
        <v>0</v>
      </c>
      <c r="L156" s="49">
        <f t="shared" si="336"/>
        <v>0</v>
      </c>
      <c r="M156" s="49">
        <f t="shared" si="336"/>
        <v>0</v>
      </c>
      <c r="N156" s="49">
        <f t="shared" si="336"/>
        <v>0</v>
      </c>
      <c r="O156" s="49">
        <f t="shared" si="336"/>
        <v>0</v>
      </c>
      <c r="P156" s="49">
        <f t="shared" si="336"/>
        <v>0</v>
      </c>
      <c r="Q156" s="49">
        <f t="shared" si="336"/>
        <v>0</v>
      </c>
      <c r="R156" s="49">
        <f t="shared" si="336"/>
        <v>0</v>
      </c>
      <c r="S156" s="49">
        <f t="shared" si="336"/>
        <v>0</v>
      </c>
      <c r="T156" s="49">
        <f t="shared" si="336"/>
        <v>0</v>
      </c>
      <c r="U156" s="49">
        <f t="shared" si="336"/>
        <v>0</v>
      </c>
      <c r="V156" s="49">
        <f t="shared" si="336"/>
        <v>0</v>
      </c>
      <c r="W156" s="49">
        <f t="shared" si="336"/>
        <v>0</v>
      </c>
      <c r="X156" s="49">
        <f t="shared" si="336"/>
        <v>0</v>
      </c>
      <c r="Y156" s="49">
        <f t="shared" si="336"/>
        <v>0</v>
      </c>
      <c r="Z156" s="49">
        <f t="shared" si="336"/>
        <v>0</v>
      </c>
      <c r="AA156" s="49">
        <f t="shared" si="336"/>
        <v>0</v>
      </c>
      <c r="AB156" s="49">
        <f t="shared" si="336"/>
        <v>0</v>
      </c>
      <c r="AC156" s="49">
        <f t="shared" si="336"/>
        <v>-1.8189894035458565E-12</v>
      </c>
      <c r="AD156" s="49">
        <f t="shared" si="336"/>
        <v>0</v>
      </c>
      <c r="AE156" s="49">
        <f t="shared" si="336"/>
        <v>0</v>
      </c>
      <c r="AF156" s="49">
        <f t="shared" si="336"/>
        <v>0</v>
      </c>
      <c r="AG156" s="49">
        <f t="shared" si="336"/>
        <v>0</v>
      </c>
      <c r="AH156" s="49">
        <f t="shared" si="336"/>
        <v>0</v>
      </c>
      <c r="AI156" s="49">
        <f t="shared" si="336"/>
        <v>-2.2737367544323206E-12</v>
      </c>
      <c r="AJ156" s="49">
        <f t="shared" ref="AJ156:BO156" si="337">AJ153-AJ129</f>
        <v>-5.9117155615240335E-12</v>
      </c>
      <c r="AK156" s="49">
        <f t="shared" si="337"/>
        <v>-4.5474735088646412E-12</v>
      </c>
      <c r="AL156" s="49">
        <f t="shared" si="337"/>
        <v>-3.637978807091713E-12</v>
      </c>
      <c r="AM156" s="49">
        <f t="shared" si="337"/>
        <v>-3.1832314562052488E-12</v>
      </c>
      <c r="AN156" s="49">
        <f t="shared" si="337"/>
        <v>-4.5474735088646412E-12</v>
      </c>
      <c r="AO156" s="49">
        <f t="shared" si="337"/>
        <v>0</v>
      </c>
      <c r="AP156" s="49">
        <f t="shared" si="337"/>
        <v>0</v>
      </c>
      <c r="AQ156" s="49">
        <f t="shared" si="337"/>
        <v>0</v>
      </c>
      <c r="AR156" s="49">
        <f t="shared" si="337"/>
        <v>0</v>
      </c>
      <c r="AS156" s="49">
        <f t="shared" si="337"/>
        <v>0</v>
      </c>
      <c r="AT156" s="49">
        <f t="shared" si="337"/>
        <v>0</v>
      </c>
      <c r="AU156" s="49">
        <f t="shared" si="337"/>
        <v>0</v>
      </c>
      <c r="AV156" s="49">
        <f t="shared" si="337"/>
        <v>7.2759576141834259E-12</v>
      </c>
      <c r="AW156" s="49">
        <f t="shared" si="337"/>
        <v>1.0004441719502211E-11</v>
      </c>
      <c r="AX156" s="230">
        <f t="shared" si="337"/>
        <v>0</v>
      </c>
      <c r="AY156" s="49">
        <f t="shared" si="337"/>
        <v>0</v>
      </c>
      <c r="AZ156" s="49">
        <f t="shared" si="337"/>
        <v>0</v>
      </c>
      <c r="BA156" s="49">
        <f t="shared" si="337"/>
        <v>0</v>
      </c>
      <c r="BB156" s="49">
        <f t="shared" si="337"/>
        <v>0</v>
      </c>
      <c r="BC156" s="49">
        <f t="shared" si="337"/>
        <v>0</v>
      </c>
      <c r="BD156" s="49">
        <f t="shared" si="337"/>
        <v>0</v>
      </c>
      <c r="BE156" s="49">
        <f t="shared" si="337"/>
        <v>0</v>
      </c>
      <c r="BF156" s="49">
        <f t="shared" si="337"/>
        <v>0</v>
      </c>
      <c r="BG156" s="49">
        <f t="shared" si="337"/>
        <v>0</v>
      </c>
      <c r="BH156" s="49">
        <f t="shared" si="337"/>
        <v>0</v>
      </c>
      <c r="BI156" s="49">
        <f t="shared" si="337"/>
        <v>0</v>
      </c>
      <c r="BJ156" s="49">
        <f t="shared" si="337"/>
        <v>0</v>
      </c>
      <c r="BK156" s="230">
        <f t="shared" si="337"/>
        <v>0</v>
      </c>
      <c r="BL156" s="49">
        <f t="shared" si="337"/>
        <v>0</v>
      </c>
      <c r="BM156" s="49">
        <f t="shared" si="337"/>
        <v>0</v>
      </c>
      <c r="BN156" s="49">
        <f t="shared" si="337"/>
        <v>0</v>
      </c>
      <c r="BO156" s="49">
        <f t="shared" si="337"/>
        <v>0</v>
      </c>
      <c r="BP156" s="49">
        <f t="shared" ref="BP156:CU156" si="338">BP153-BP129</f>
        <v>0</v>
      </c>
      <c r="BQ156" s="49">
        <f t="shared" si="338"/>
        <v>0</v>
      </c>
      <c r="BR156" s="49">
        <f t="shared" si="338"/>
        <v>0</v>
      </c>
      <c r="BS156" s="49">
        <f t="shared" si="338"/>
        <v>0</v>
      </c>
      <c r="BT156" s="49">
        <f t="shared" si="338"/>
        <v>0</v>
      </c>
      <c r="BU156" s="49">
        <f t="shared" si="338"/>
        <v>0</v>
      </c>
      <c r="BV156" s="49">
        <f t="shared" si="338"/>
        <v>0</v>
      </c>
      <c r="BW156" s="230">
        <f t="shared" si="338"/>
        <v>0</v>
      </c>
      <c r="BX156" s="49">
        <f t="shared" si="338"/>
        <v>0</v>
      </c>
      <c r="BY156" s="49">
        <f t="shared" si="338"/>
        <v>0</v>
      </c>
      <c r="BZ156" s="49">
        <f t="shared" si="338"/>
        <v>0</v>
      </c>
      <c r="CA156" s="49">
        <f t="shared" si="338"/>
        <v>0</v>
      </c>
      <c r="CB156" s="49">
        <f t="shared" si="338"/>
        <v>0</v>
      </c>
      <c r="CC156" s="49">
        <f t="shared" si="338"/>
        <v>0</v>
      </c>
      <c r="CD156" s="49">
        <f t="shared" si="338"/>
        <v>0</v>
      </c>
      <c r="CE156" s="49">
        <f t="shared" si="338"/>
        <v>0</v>
      </c>
      <c r="CF156" s="49">
        <f t="shared" si="338"/>
        <v>0</v>
      </c>
      <c r="CG156" s="49">
        <f t="shared" si="338"/>
        <v>0</v>
      </c>
      <c r="CH156" s="49">
        <f t="shared" si="338"/>
        <v>0</v>
      </c>
      <c r="CI156" s="230">
        <f t="shared" si="338"/>
        <v>0</v>
      </c>
      <c r="CJ156" s="49">
        <f t="shared" si="338"/>
        <v>0</v>
      </c>
      <c r="CK156" s="49">
        <f t="shared" si="338"/>
        <v>0</v>
      </c>
      <c r="CL156" s="49">
        <f t="shared" si="338"/>
        <v>0</v>
      </c>
      <c r="CM156" s="49">
        <f t="shared" si="338"/>
        <v>0</v>
      </c>
      <c r="CN156" s="49">
        <f t="shared" si="338"/>
        <v>0</v>
      </c>
      <c r="CO156" s="49">
        <f t="shared" si="338"/>
        <v>0</v>
      </c>
      <c r="CP156" s="49">
        <f t="shared" si="338"/>
        <v>0</v>
      </c>
      <c r="CQ156" s="49">
        <f t="shared" si="338"/>
        <v>0</v>
      </c>
      <c r="CR156" s="49">
        <f t="shared" si="338"/>
        <v>0</v>
      </c>
      <c r="CS156" s="49">
        <f t="shared" si="338"/>
        <v>0</v>
      </c>
      <c r="CT156" s="49">
        <f t="shared" si="338"/>
        <v>0</v>
      </c>
      <c r="CU156" s="230">
        <f t="shared" si="338"/>
        <v>0</v>
      </c>
      <c r="CV156" s="49">
        <f t="shared" ref="CV156:DG156" si="339">CV153-CV129</f>
        <v>0</v>
      </c>
      <c r="CW156" s="49">
        <f t="shared" si="339"/>
        <v>0</v>
      </c>
      <c r="CX156" s="49">
        <f t="shared" si="339"/>
        <v>0</v>
      </c>
      <c r="CY156" s="49">
        <f t="shared" si="339"/>
        <v>0</v>
      </c>
      <c r="CZ156" s="49">
        <f t="shared" si="339"/>
        <v>0</v>
      </c>
      <c r="DA156" s="49">
        <f t="shared" si="339"/>
        <v>0</v>
      </c>
      <c r="DB156" s="49">
        <f t="shared" si="339"/>
        <v>0</v>
      </c>
      <c r="DC156" s="49">
        <f t="shared" si="339"/>
        <v>0</v>
      </c>
      <c r="DD156" s="49">
        <f t="shared" si="339"/>
        <v>0</v>
      </c>
      <c r="DE156" s="49">
        <f t="shared" si="339"/>
        <v>0</v>
      </c>
      <c r="DF156" s="49">
        <f t="shared" si="339"/>
        <v>0</v>
      </c>
      <c r="DG156" s="49">
        <f t="shared" si="339"/>
        <v>0</v>
      </c>
    </row>
    <row r="157" spans="1:111" x14ac:dyDescent="0.25">
      <c r="P157" s="152"/>
      <c r="Q157" s="152"/>
      <c r="R157" s="152"/>
      <c r="AW157" s="585"/>
      <c r="AX157" s="604"/>
      <c r="AY157" s="585"/>
      <c r="BK157" s="227"/>
      <c r="BW157" s="227"/>
      <c r="CI157" s="227"/>
      <c r="CU157" s="227"/>
    </row>
    <row r="158" spans="1:111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629"/>
      <c r="AX158" s="630"/>
      <c r="AY158" s="629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6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6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6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6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</row>
    <row r="159" spans="1:111" x14ac:dyDescent="0.25">
      <c r="AW159" s="585"/>
      <c r="AX159" s="604"/>
      <c r="AY159" s="585"/>
      <c r="BK159" s="227"/>
      <c r="BW159" s="227"/>
      <c r="CI159" s="227"/>
      <c r="CU159" s="227"/>
    </row>
    <row r="160" spans="1:111" x14ac:dyDescent="0.25">
      <c r="B160" s="1" t="s">
        <v>19</v>
      </c>
      <c r="D160" s="104">
        <f t="shared" ref="D160:AI160" si="340">D98</f>
        <v>0</v>
      </c>
      <c r="E160" s="104">
        <f t="shared" si="340"/>
        <v>0</v>
      </c>
      <c r="F160" s="104">
        <f t="shared" si="340"/>
        <v>0</v>
      </c>
      <c r="G160" s="104">
        <f t="shared" si="340"/>
        <v>0</v>
      </c>
      <c r="H160" s="104">
        <f t="shared" si="340"/>
        <v>0</v>
      </c>
      <c r="I160" s="104">
        <f t="shared" si="340"/>
        <v>0</v>
      </c>
      <c r="J160" s="104">
        <f t="shared" si="340"/>
        <v>0</v>
      </c>
      <c r="K160" s="104">
        <f t="shared" si="340"/>
        <v>0</v>
      </c>
      <c r="L160" s="104">
        <f t="shared" si="340"/>
        <v>0</v>
      </c>
      <c r="M160" s="104">
        <f t="shared" si="340"/>
        <v>0</v>
      </c>
      <c r="N160" s="104">
        <f t="shared" si="340"/>
        <v>0</v>
      </c>
      <c r="O160" s="104">
        <f t="shared" si="340"/>
        <v>0</v>
      </c>
      <c r="P160" s="104">
        <f t="shared" si="340"/>
        <v>0</v>
      </c>
      <c r="Q160" s="104">
        <f t="shared" si="340"/>
        <v>0</v>
      </c>
      <c r="R160" s="104">
        <f t="shared" si="340"/>
        <v>0</v>
      </c>
      <c r="S160" s="104">
        <f t="shared" si="340"/>
        <v>0</v>
      </c>
      <c r="T160" s="104">
        <f t="shared" si="340"/>
        <v>0</v>
      </c>
      <c r="U160" s="104">
        <f t="shared" si="340"/>
        <v>0</v>
      </c>
      <c r="V160" s="104">
        <f t="shared" si="340"/>
        <v>0</v>
      </c>
      <c r="W160" s="104">
        <f t="shared" si="340"/>
        <v>0</v>
      </c>
      <c r="X160" s="104">
        <f t="shared" si="340"/>
        <v>0</v>
      </c>
      <c r="Y160" s="104">
        <f t="shared" si="340"/>
        <v>0</v>
      </c>
      <c r="Z160" s="104">
        <f t="shared" si="340"/>
        <v>0</v>
      </c>
      <c r="AA160" s="104">
        <f t="shared" si="340"/>
        <v>0</v>
      </c>
      <c r="AB160" s="104">
        <f t="shared" si="340"/>
        <v>4264.74</v>
      </c>
      <c r="AC160" s="104">
        <f t="shared" si="340"/>
        <v>5242.32</v>
      </c>
      <c r="AD160" s="104">
        <f t="shared" si="340"/>
        <v>6315.43</v>
      </c>
      <c r="AE160" s="104">
        <f t="shared" si="340"/>
        <v>6271.58</v>
      </c>
      <c r="AF160" s="104">
        <f t="shared" si="340"/>
        <v>3962.2599999999998</v>
      </c>
      <c r="AG160" s="104">
        <f t="shared" si="340"/>
        <v>3641.6999999999994</v>
      </c>
      <c r="AH160" s="104">
        <f t="shared" si="340"/>
        <v>3448.51</v>
      </c>
      <c r="AI160" s="104">
        <f t="shared" si="340"/>
        <v>3756.45</v>
      </c>
      <c r="AJ160" s="104">
        <f t="shared" ref="AJ160:BO160" si="341">AJ98</f>
        <v>1938.8599999999997</v>
      </c>
      <c r="AK160" s="104">
        <f t="shared" si="341"/>
        <v>4223.68</v>
      </c>
      <c r="AL160" s="104">
        <f t="shared" si="341"/>
        <v>1277.96</v>
      </c>
      <c r="AM160" s="104">
        <f t="shared" si="341"/>
        <v>2627.94</v>
      </c>
      <c r="AN160" s="104">
        <f t="shared" si="341"/>
        <v>4061.8700000000003</v>
      </c>
      <c r="AO160" s="104">
        <f t="shared" si="341"/>
        <v>2138.420000000001</v>
      </c>
      <c r="AP160" s="104">
        <f t="shared" si="341"/>
        <v>2441.3299999999995</v>
      </c>
      <c r="AQ160" s="104">
        <f t="shared" si="341"/>
        <v>2100.1900000000014</v>
      </c>
      <c r="AR160" s="104">
        <f t="shared" si="341"/>
        <v>2268.3999999999996</v>
      </c>
      <c r="AS160" s="104">
        <f t="shared" si="341"/>
        <v>2850.0499999999997</v>
      </c>
      <c r="AT160" s="104">
        <f t="shared" si="341"/>
        <v>2937.6400000000003</v>
      </c>
      <c r="AU160" s="104">
        <f t="shared" si="341"/>
        <v>3073.8200000000006</v>
      </c>
      <c r="AV160" s="104">
        <f t="shared" si="341"/>
        <v>1883.7299999999998</v>
      </c>
      <c r="AW160" s="605">
        <f t="shared" si="341"/>
        <v>2291.79</v>
      </c>
      <c r="AX160" s="607">
        <f t="shared" si="341"/>
        <v>983.94000000000062</v>
      </c>
      <c r="AY160" s="605">
        <f t="shared" si="341"/>
        <v>-607.72447021207597</v>
      </c>
      <c r="AZ160" s="104">
        <f t="shared" si="341"/>
        <v>-533.24136524265202</v>
      </c>
      <c r="BA160" s="104">
        <f t="shared" si="341"/>
        <v>455.35315256119168</v>
      </c>
      <c r="BB160" s="104">
        <f t="shared" si="341"/>
        <v>1140.2200879201819</v>
      </c>
      <c r="BC160" s="104">
        <f t="shared" si="341"/>
        <v>2320.030811286535</v>
      </c>
      <c r="BD160" s="104">
        <f t="shared" si="341"/>
        <v>1975.2937040893712</v>
      </c>
      <c r="BE160" s="104">
        <f t="shared" si="341"/>
        <v>2253.4348224158375</v>
      </c>
      <c r="BF160" s="104">
        <f t="shared" si="341"/>
        <v>1965.6327486116516</v>
      </c>
      <c r="BG160" s="104">
        <f t="shared" si="341"/>
        <v>2392.6589751266574</v>
      </c>
      <c r="BH160" s="104">
        <f t="shared" si="341"/>
        <v>596.67356034342185</v>
      </c>
      <c r="BI160" s="104">
        <f t="shared" si="341"/>
        <v>916.77524731851474</v>
      </c>
      <c r="BJ160" s="104">
        <f t="shared" si="341"/>
        <v>1466.0392174678445</v>
      </c>
      <c r="BK160" s="228">
        <f t="shared" si="341"/>
        <v>1376.3652803063078</v>
      </c>
      <c r="BL160" s="104">
        <f t="shared" si="341"/>
        <v>233.64788567515109</v>
      </c>
      <c r="BM160" s="104">
        <f t="shared" si="341"/>
        <v>1299.9024058605328</v>
      </c>
      <c r="BN160" s="104">
        <f t="shared" si="341"/>
        <v>2216.5405572610744</v>
      </c>
      <c r="BO160" s="104">
        <f t="shared" si="341"/>
        <v>3072.7448453980269</v>
      </c>
      <c r="BP160" s="104">
        <f t="shared" ref="BP160:CU160" si="342">BP98</f>
        <v>2532.5739333993424</v>
      </c>
      <c r="BQ160" s="104">
        <f t="shared" si="342"/>
        <v>2798.0346712784885</v>
      </c>
      <c r="BR160" s="104">
        <f t="shared" si="342"/>
        <v>2107.2965570876804</v>
      </c>
      <c r="BS160" s="104">
        <f t="shared" si="342"/>
        <v>3191.0648473814172</v>
      </c>
      <c r="BT160" s="104">
        <f t="shared" si="342"/>
        <v>716.47117348653876</v>
      </c>
      <c r="BU160" s="104">
        <f t="shared" si="342"/>
        <v>878.74238825745044</v>
      </c>
      <c r="BV160" s="104">
        <f t="shared" si="342"/>
        <v>2048.5606159166218</v>
      </c>
      <c r="BW160" s="228">
        <f t="shared" si="342"/>
        <v>1501.6665914059904</v>
      </c>
      <c r="BX160" s="104">
        <f t="shared" si="342"/>
        <v>243.32719838522291</v>
      </c>
      <c r="BY160" s="104">
        <f t="shared" si="342"/>
        <v>1808.5639632914699</v>
      </c>
      <c r="BZ160" s="104">
        <f t="shared" si="342"/>
        <v>2483.2024901653949</v>
      </c>
      <c r="CA160" s="104">
        <f t="shared" si="342"/>
        <v>2696.6529487836924</v>
      </c>
      <c r="CB160" s="104">
        <f t="shared" si="342"/>
        <v>3699.7369208036671</v>
      </c>
      <c r="CC160" s="104">
        <f t="shared" si="342"/>
        <v>3156.9703315432544</v>
      </c>
      <c r="CD160" s="104">
        <f t="shared" si="342"/>
        <v>1993.9197041887874</v>
      </c>
      <c r="CE160" s="104">
        <f t="shared" si="342"/>
        <v>3919.6380754850024</v>
      </c>
      <c r="CF160" s="104">
        <f t="shared" si="342"/>
        <v>500.52431971449744</v>
      </c>
      <c r="CG160" s="104">
        <f t="shared" si="342"/>
        <v>1221.6423127680155</v>
      </c>
      <c r="CH160" s="104">
        <f t="shared" si="342"/>
        <v>2293.8163032939447</v>
      </c>
      <c r="CI160" s="228">
        <f t="shared" si="342"/>
        <v>1053.6931961744722</v>
      </c>
      <c r="CJ160" s="104">
        <f t="shared" si="342"/>
        <v>880.77908199273145</v>
      </c>
      <c r="CK160" s="104">
        <f t="shared" si="342"/>
        <v>1674.0673977936885</v>
      </c>
      <c r="CL160" s="104">
        <f t="shared" si="342"/>
        <v>2406.2778184412991</v>
      </c>
      <c r="CM160" s="104">
        <f t="shared" si="342"/>
        <v>3475.2982265969958</v>
      </c>
      <c r="CN160" s="104">
        <f t="shared" si="342"/>
        <v>4212.0957424651915</v>
      </c>
      <c r="CO160" s="104">
        <f t="shared" si="342"/>
        <v>3129.9403649284968</v>
      </c>
      <c r="CP160" s="104">
        <f t="shared" si="342"/>
        <v>2643.3111251919281</v>
      </c>
      <c r="CQ160" s="104">
        <f t="shared" si="342"/>
        <v>4414.7551457582103</v>
      </c>
      <c r="CR160" s="104">
        <f t="shared" si="342"/>
        <v>313.4666154525122</v>
      </c>
      <c r="CS160" s="104">
        <f t="shared" si="342"/>
        <v>1789.5616382697908</v>
      </c>
      <c r="CT160" s="104">
        <f t="shared" si="342"/>
        <v>2649.7485160168317</v>
      </c>
      <c r="CU160" s="228">
        <f t="shared" si="342"/>
        <v>1340.2757053576515</v>
      </c>
      <c r="CV160" s="104">
        <f t="shared" ref="CV160:DG160" si="343">CV98</f>
        <v>1114.9008332053691</v>
      </c>
      <c r="CW160" s="104">
        <f t="shared" si="343"/>
        <v>1973.5443886778921</v>
      </c>
      <c r="CX160" s="104">
        <f t="shared" si="343"/>
        <v>2475.6030330299145</v>
      </c>
      <c r="CY160" s="104">
        <f t="shared" si="343"/>
        <v>4563.1396399107798</v>
      </c>
      <c r="CZ160" s="104">
        <f t="shared" si="343"/>
        <v>4854.7804249197034</v>
      </c>
      <c r="DA160" s="104">
        <f t="shared" si="343"/>
        <v>3213.9385420302133</v>
      </c>
      <c r="DB160" s="104">
        <f t="shared" si="343"/>
        <v>3477.6459379463558</v>
      </c>
      <c r="DC160" s="104">
        <f t="shared" si="343"/>
        <v>4573.7729961127707</v>
      </c>
      <c r="DD160" s="104">
        <f t="shared" si="343"/>
        <v>792.87068640165865</v>
      </c>
      <c r="DE160" s="104">
        <f t="shared" si="343"/>
        <v>2094.2464866971422</v>
      </c>
      <c r="DF160" s="104">
        <f t="shared" si="343"/>
        <v>2622.6708754697374</v>
      </c>
      <c r="DG160" s="104">
        <f t="shared" si="343"/>
        <v>1896.2603470514132</v>
      </c>
    </row>
    <row r="161" spans="1:111" x14ac:dyDescent="0.25">
      <c r="B161" s="11" t="s">
        <v>208</v>
      </c>
      <c r="D161" s="104">
        <f t="shared" ref="D161:AI161" si="344">-(D115-C115)</f>
        <v>0</v>
      </c>
      <c r="E161" s="104">
        <f t="shared" si="344"/>
        <v>0</v>
      </c>
      <c r="F161" s="104">
        <f t="shared" si="344"/>
        <v>0</v>
      </c>
      <c r="G161" s="104">
        <f t="shared" si="344"/>
        <v>0</v>
      </c>
      <c r="H161" s="104">
        <f t="shared" si="344"/>
        <v>0</v>
      </c>
      <c r="I161" s="104">
        <f t="shared" si="344"/>
        <v>0</v>
      </c>
      <c r="J161" s="104">
        <f t="shared" si="344"/>
        <v>0</v>
      </c>
      <c r="K161" s="104">
        <f t="shared" si="344"/>
        <v>0</v>
      </c>
      <c r="L161" s="104">
        <f t="shared" si="344"/>
        <v>0</v>
      </c>
      <c r="M161" s="104">
        <f t="shared" si="344"/>
        <v>0</v>
      </c>
      <c r="N161" s="104">
        <f t="shared" si="344"/>
        <v>0</v>
      </c>
      <c r="O161" s="104">
        <f t="shared" si="344"/>
        <v>0</v>
      </c>
      <c r="P161" s="104">
        <f t="shared" si="344"/>
        <v>0</v>
      </c>
      <c r="Q161" s="104">
        <f t="shared" si="344"/>
        <v>0</v>
      </c>
      <c r="R161" s="104">
        <f t="shared" si="344"/>
        <v>0</v>
      </c>
      <c r="S161" s="104">
        <f t="shared" si="344"/>
        <v>0</v>
      </c>
      <c r="T161" s="104">
        <f t="shared" si="344"/>
        <v>0</v>
      </c>
      <c r="U161" s="104">
        <f t="shared" si="344"/>
        <v>0</v>
      </c>
      <c r="V161" s="104">
        <f t="shared" si="344"/>
        <v>0</v>
      </c>
      <c r="W161" s="104">
        <f t="shared" si="344"/>
        <v>0</v>
      </c>
      <c r="X161" s="104">
        <f t="shared" si="344"/>
        <v>0</v>
      </c>
      <c r="Y161" s="104">
        <f t="shared" si="344"/>
        <v>0</v>
      </c>
      <c r="Z161" s="104">
        <f t="shared" si="344"/>
        <v>0</v>
      </c>
      <c r="AA161" s="104">
        <f t="shared" si="344"/>
        <v>0</v>
      </c>
      <c r="AB161" s="104">
        <f t="shared" si="344"/>
        <v>0</v>
      </c>
      <c r="AC161" s="104">
        <f t="shared" si="344"/>
        <v>0</v>
      </c>
      <c r="AD161" s="104">
        <f t="shared" si="344"/>
        <v>-125</v>
      </c>
      <c r="AE161" s="104">
        <f t="shared" si="344"/>
        <v>-125</v>
      </c>
      <c r="AF161" s="104">
        <f t="shared" si="344"/>
        <v>0</v>
      </c>
      <c r="AG161" s="104">
        <f t="shared" si="344"/>
        <v>0</v>
      </c>
      <c r="AH161" s="104">
        <f t="shared" si="344"/>
        <v>0</v>
      </c>
      <c r="AI161" s="104">
        <f t="shared" si="344"/>
        <v>0</v>
      </c>
      <c r="AJ161" s="104">
        <f t="shared" ref="AJ161:BO161" si="345">-(AJ115-AI115)</f>
        <v>-350</v>
      </c>
      <c r="AK161" s="104">
        <f t="shared" si="345"/>
        <v>120</v>
      </c>
      <c r="AL161" s="104">
        <f t="shared" si="345"/>
        <v>0</v>
      </c>
      <c r="AM161" s="104">
        <f t="shared" si="345"/>
        <v>0</v>
      </c>
      <c r="AN161" s="104">
        <f t="shared" si="345"/>
        <v>0</v>
      </c>
      <c r="AO161" s="104">
        <f t="shared" si="345"/>
        <v>0</v>
      </c>
      <c r="AP161" s="104">
        <f t="shared" si="345"/>
        <v>0</v>
      </c>
      <c r="AQ161" s="104">
        <f t="shared" si="345"/>
        <v>0</v>
      </c>
      <c r="AR161" s="104">
        <f t="shared" si="345"/>
        <v>0</v>
      </c>
      <c r="AS161" s="104">
        <f t="shared" si="345"/>
        <v>0</v>
      </c>
      <c r="AT161" s="104">
        <f t="shared" si="345"/>
        <v>0</v>
      </c>
      <c r="AU161" s="104">
        <f t="shared" si="345"/>
        <v>0</v>
      </c>
      <c r="AV161" s="104">
        <f t="shared" si="345"/>
        <v>0</v>
      </c>
      <c r="AW161" s="605">
        <f t="shared" si="345"/>
        <v>0</v>
      </c>
      <c r="AX161" s="607">
        <f t="shared" si="345"/>
        <v>0</v>
      </c>
      <c r="AY161" s="605">
        <f t="shared" si="345"/>
        <v>296.97228298860193</v>
      </c>
      <c r="AZ161" s="104">
        <f t="shared" si="345"/>
        <v>-22.657447728184167</v>
      </c>
      <c r="BA161" s="104">
        <f t="shared" si="345"/>
        <v>-54.698055446486393</v>
      </c>
      <c r="BB161" s="104">
        <f t="shared" si="345"/>
        <v>-37.893078435181224</v>
      </c>
      <c r="BC161" s="104">
        <f t="shared" si="345"/>
        <v>-66.937751357808793</v>
      </c>
      <c r="BD161" s="104">
        <f t="shared" si="345"/>
        <v>14.89609639944365</v>
      </c>
      <c r="BE161" s="104">
        <f t="shared" si="345"/>
        <v>-9.551526244538195</v>
      </c>
      <c r="BF161" s="104">
        <f t="shared" si="345"/>
        <v>15.923832781843032</v>
      </c>
      <c r="BG161" s="104">
        <f t="shared" si="345"/>
        <v>-27.102202768771292</v>
      </c>
      <c r="BH161" s="104">
        <f t="shared" si="345"/>
        <v>106.16524378613059</v>
      </c>
      <c r="BI161" s="104">
        <f t="shared" si="345"/>
        <v>-21.030688290335036</v>
      </c>
      <c r="BJ161" s="104">
        <f t="shared" si="345"/>
        <v>-30.390286970968702</v>
      </c>
      <c r="BK161" s="228">
        <f t="shared" si="345"/>
        <v>8.2813258280480113</v>
      </c>
      <c r="BL161" s="104">
        <f t="shared" si="345"/>
        <v>44.60500470649157</v>
      </c>
      <c r="BM161" s="104">
        <f t="shared" si="345"/>
        <v>-57.722054144436299</v>
      </c>
      <c r="BN161" s="104">
        <f t="shared" si="345"/>
        <v>-49.622520706218438</v>
      </c>
      <c r="BO161" s="104">
        <f t="shared" si="345"/>
        <v>-47.97497308051652</v>
      </c>
      <c r="BP161" s="104">
        <f t="shared" ref="BP161:CU161" si="346">-(BP115-BO115)</f>
        <v>25.154577836188707</v>
      </c>
      <c r="BQ161" s="104">
        <f t="shared" si="346"/>
        <v>-8.6589880535252632</v>
      </c>
      <c r="BR161" s="104">
        <f t="shared" si="346"/>
        <v>37.393344714745467</v>
      </c>
      <c r="BS161" s="104">
        <f t="shared" si="346"/>
        <v>-62.07040898796231</v>
      </c>
      <c r="BT161" s="104">
        <f t="shared" si="346"/>
        <v>140.61133872000005</v>
      </c>
      <c r="BU161" s="104">
        <f t="shared" si="346"/>
        <v>-12.032728444166878</v>
      </c>
      <c r="BV161" s="104">
        <f t="shared" si="346"/>
        <v>-63.32851096786095</v>
      </c>
      <c r="BW161" s="228">
        <f t="shared" si="346"/>
        <v>32.854416163832013</v>
      </c>
      <c r="BX161" s="104">
        <f t="shared" si="346"/>
        <v>48.21712103133035</v>
      </c>
      <c r="BY161" s="104">
        <f t="shared" si="346"/>
        <v>-83.028530319539868</v>
      </c>
      <c r="BZ161" s="104">
        <f t="shared" si="346"/>
        <v>-35.78643604543521</v>
      </c>
      <c r="CA161" s="104">
        <f t="shared" si="346"/>
        <v>-12.913914519447133</v>
      </c>
      <c r="CB161" s="104">
        <f t="shared" si="346"/>
        <v>-57.21439357687035</v>
      </c>
      <c r="CC161" s="104">
        <f t="shared" si="346"/>
        <v>34.388057866811039</v>
      </c>
      <c r="CD161" s="104">
        <f t="shared" si="346"/>
        <v>61.694426326769815</v>
      </c>
      <c r="CE161" s="104">
        <f t="shared" si="346"/>
        <v>-105.48218127071794</v>
      </c>
      <c r="CF161" s="104">
        <f t="shared" si="346"/>
        <v>187.88258143368125</v>
      </c>
      <c r="CG161" s="104">
        <f t="shared" si="346"/>
        <v>-41.434676480568555</v>
      </c>
      <c r="CH161" s="104">
        <f t="shared" si="346"/>
        <v>-56.873843418529873</v>
      </c>
      <c r="CI161" s="228">
        <f t="shared" si="346"/>
        <v>68.96548384171723</v>
      </c>
      <c r="CJ161" s="104">
        <f t="shared" si="346"/>
        <v>-11.505673114726221</v>
      </c>
      <c r="CK161" s="104">
        <f t="shared" si="346"/>
        <v>-41.288514384522102</v>
      </c>
      <c r="CL161" s="104">
        <f t="shared" si="346"/>
        <v>-38.109574896337165</v>
      </c>
      <c r="CM161" s="104">
        <f t="shared" si="346"/>
        <v>-57.201044093538826</v>
      </c>
      <c r="CN161" s="104">
        <f t="shared" si="346"/>
        <v>-42.27841238240859</v>
      </c>
      <c r="CO161" s="104">
        <f t="shared" si="346"/>
        <v>61.814775344209579</v>
      </c>
      <c r="CP161" s="104">
        <f t="shared" si="346"/>
        <v>25.327737676945162</v>
      </c>
      <c r="CQ161" s="104">
        <f t="shared" si="346"/>
        <v>-95.467967956331847</v>
      </c>
      <c r="CR161" s="104">
        <f t="shared" si="346"/>
        <v>219.8529203774699</v>
      </c>
      <c r="CS161" s="104">
        <f t="shared" si="346"/>
        <v>-79.949597368704019</v>
      </c>
      <c r="CT161" s="104">
        <f t="shared" si="346"/>
        <v>-44.770403859253349</v>
      </c>
      <c r="CU161" s="228">
        <f t="shared" si="346"/>
        <v>71.277361226508447</v>
      </c>
      <c r="CV161" s="104">
        <f t="shared" ref="CV161:DG161" si="347">-(CV115-CU115)</f>
        <v>-10.323442429083514</v>
      </c>
      <c r="CW161" s="104">
        <f t="shared" si="347"/>
        <v>-43.903370419454745</v>
      </c>
      <c r="CX161" s="104">
        <f t="shared" si="347"/>
        <v>-25.670799594071411</v>
      </c>
      <c r="CY161" s="104">
        <f t="shared" si="347"/>
        <v>-108.27192894668019</v>
      </c>
      <c r="CZ161" s="104">
        <f t="shared" si="347"/>
        <v>-18.772815344977062</v>
      </c>
      <c r="DA161" s="104">
        <f t="shared" si="347"/>
        <v>89.292853953834651</v>
      </c>
      <c r="DB161" s="104">
        <f t="shared" si="347"/>
        <v>-13.48364337153248</v>
      </c>
      <c r="DC161" s="104">
        <f t="shared" si="347"/>
        <v>-59.257700862277602</v>
      </c>
      <c r="DD161" s="104">
        <f t="shared" si="347"/>
        <v>199.60101773536974</v>
      </c>
      <c r="DE161" s="104">
        <f t="shared" si="347"/>
        <v>-69.608611931597693</v>
      </c>
      <c r="DF161" s="104">
        <f t="shared" si="347"/>
        <v>-27.018908522745676</v>
      </c>
      <c r="DG161" s="104">
        <f t="shared" si="347"/>
        <v>40.210017894921009</v>
      </c>
    </row>
    <row r="162" spans="1:111" x14ac:dyDescent="0.25">
      <c r="B162" s="1" t="s">
        <v>209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f t="shared" ref="J162:O162" si="348">J143-H143</f>
        <v>0</v>
      </c>
      <c r="K162" s="104">
        <f t="shared" si="348"/>
        <v>0</v>
      </c>
      <c r="L162" s="104">
        <f t="shared" si="348"/>
        <v>0</v>
      </c>
      <c r="M162" s="104">
        <f t="shared" si="348"/>
        <v>0</v>
      </c>
      <c r="N162" s="104">
        <f t="shared" si="348"/>
        <v>0</v>
      </c>
      <c r="O162" s="104">
        <f t="shared" si="348"/>
        <v>0</v>
      </c>
      <c r="P162" s="104">
        <f t="shared" ref="P162:AU162" si="349">P143-O143-(P127-O127)</f>
        <v>0</v>
      </c>
      <c r="Q162" s="104">
        <f t="shared" si="349"/>
        <v>0</v>
      </c>
      <c r="R162" s="104">
        <f t="shared" si="349"/>
        <v>0</v>
      </c>
      <c r="S162" s="104">
        <f t="shared" si="349"/>
        <v>0</v>
      </c>
      <c r="T162" s="104">
        <f t="shared" si="349"/>
        <v>0</v>
      </c>
      <c r="U162" s="104">
        <f t="shared" si="349"/>
        <v>0</v>
      </c>
      <c r="V162" s="104">
        <f t="shared" si="349"/>
        <v>0</v>
      </c>
      <c r="W162" s="104">
        <f t="shared" si="349"/>
        <v>0</v>
      </c>
      <c r="X162" s="104">
        <f t="shared" si="349"/>
        <v>0</v>
      </c>
      <c r="Y162" s="104">
        <f t="shared" si="349"/>
        <v>0</v>
      </c>
      <c r="Z162" s="104">
        <f t="shared" si="349"/>
        <v>0</v>
      </c>
      <c r="AA162" s="104">
        <f t="shared" si="349"/>
        <v>0</v>
      </c>
      <c r="AB162" s="104">
        <f t="shared" si="349"/>
        <v>46.73</v>
      </c>
      <c r="AC162" s="104">
        <f t="shared" si="349"/>
        <v>1.5400000000000063</v>
      </c>
      <c r="AD162" s="104">
        <f t="shared" si="349"/>
        <v>2.3599999999999994</v>
      </c>
      <c r="AE162" s="104">
        <f t="shared" si="349"/>
        <v>-88.38</v>
      </c>
      <c r="AF162" s="104">
        <f t="shared" si="349"/>
        <v>300.58</v>
      </c>
      <c r="AG162" s="104">
        <f t="shared" si="349"/>
        <v>-168.79</v>
      </c>
      <c r="AH162" s="104">
        <f t="shared" si="349"/>
        <v>-297.19</v>
      </c>
      <c r="AI162" s="104">
        <f t="shared" si="349"/>
        <v>71.860000000000014</v>
      </c>
      <c r="AJ162" s="104">
        <f t="shared" si="349"/>
        <v>-39.140000000000015</v>
      </c>
      <c r="AK162" s="104">
        <f t="shared" si="349"/>
        <v>199.06</v>
      </c>
      <c r="AL162" s="104">
        <f t="shared" si="349"/>
        <v>594.45000000000005</v>
      </c>
      <c r="AM162" s="104">
        <f t="shared" si="349"/>
        <v>609.65000000000009</v>
      </c>
      <c r="AN162" s="104">
        <f t="shared" si="349"/>
        <v>-330.96999999999991</v>
      </c>
      <c r="AO162" s="104">
        <f t="shared" si="349"/>
        <v>-82.370000000000132</v>
      </c>
      <c r="AP162" s="104">
        <f t="shared" si="349"/>
        <v>-90.259999999999934</v>
      </c>
      <c r="AQ162" s="104">
        <f t="shared" si="349"/>
        <v>608.94000000000005</v>
      </c>
      <c r="AR162" s="104">
        <f t="shared" si="349"/>
        <v>741.93000000000006</v>
      </c>
      <c r="AS162" s="104">
        <f t="shared" si="349"/>
        <v>-269.65000000000009</v>
      </c>
      <c r="AT162" s="104">
        <f t="shared" si="349"/>
        <v>573.57999999999981</v>
      </c>
      <c r="AU162" s="104">
        <f t="shared" si="349"/>
        <v>-217.75</v>
      </c>
      <c r="AV162" s="104">
        <f t="shared" ref="AV162:CA162" si="350">AV143-AU143-(AV127-AU127)</f>
        <v>1426.7400000000002</v>
      </c>
      <c r="AW162" s="605">
        <f t="shared" si="350"/>
        <v>-260.26000000000022</v>
      </c>
      <c r="AX162" s="607">
        <f t="shared" si="350"/>
        <v>140.9699999999998</v>
      </c>
      <c r="AY162" s="605">
        <f t="shared" si="350"/>
        <v>1400.895</v>
      </c>
      <c r="AZ162" s="104">
        <f t="shared" si="350"/>
        <v>0</v>
      </c>
      <c r="BA162" s="104">
        <f t="shared" si="350"/>
        <v>0</v>
      </c>
      <c r="BB162" s="104">
        <f t="shared" si="350"/>
        <v>0</v>
      </c>
      <c r="BC162" s="104">
        <f t="shared" si="350"/>
        <v>0</v>
      </c>
      <c r="BD162" s="104">
        <f t="shared" si="350"/>
        <v>0</v>
      </c>
      <c r="BE162" s="104">
        <f t="shared" si="350"/>
        <v>0</v>
      </c>
      <c r="BF162" s="104">
        <f t="shared" si="350"/>
        <v>0</v>
      </c>
      <c r="BG162" s="104">
        <f t="shared" si="350"/>
        <v>0</v>
      </c>
      <c r="BH162" s="104">
        <f t="shared" si="350"/>
        <v>0</v>
      </c>
      <c r="BI162" s="104">
        <f t="shared" si="350"/>
        <v>0</v>
      </c>
      <c r="BJ162" s="104">
        <f t="shared" si="350"/>
        <v>0</v>
      </c>
      <c r="BK162" s="228">
        <f t="shared" si="350"/>
        <v>0</v>
      </c>
      <c r="BL162" s="104">
        <f t="shared" si="350"/>
        <v>0</v>
      </c>
      <c r="BM162" s="104">
        <f t="shared" si="350"/>
        <v>0</v>
      </c>
      <c r="BN162" s="104">
        <f t="shared" si="350"/>
        <v>0</v>
      </c>
      <c r="BO162" s="104">
        <f t="shared" si="350"/>
        <v>0</v>
      </c>
      <c r="BP162" s="104">
        <f t="shared" si="350"/>
        <v>0</v>
      </c>
      <c r="BQ162" s="104">
        <f t="shared" si="350"/>
        <v>0</v>
      </c>
      <c r="BR162" s="104">
        <f t="shared" si="350"/>
        <v>0</v>
      </c>
      <c r="BS162" s="104">
        <f t="shared" si="350"/>
        <v>0</v>
      </c>
      <c r="BT162" s="104">
        <f t="shared" si="350"/>
        <v>0</v>
      </c>
      <c r="BU162" s="104">
        <f t="shared" si="350"/>
        <v>0</v>
      </c>
      <c r="BV162" s="104">
        <f t="shared" si="350"/>
        <v>0</v>
      </c>
      <c r="BW162" s="228">
        <f t="shared" si="350"/>
        <v>0</v>
      </c>
      <c r="BX162" s="104">
        <f t="shared" si="350"/>
        <v>0</v>
      </c>
      <c r="BY162" s="104">
        <f t="shared" si="350"/>
        <v>0</v>
      </c>
      <c r="BZ162" s="104">
        <f t="shared" si="350"/>
        <v>0</v>
      </c>
      <c r="CA162" s="104">
        <f t="shared" si="350"/>
        <v>0</v>
      </c>
      <c r="CB162" s="104">
        <f t="shared" ref="CB162:DG162" si="351">CB143-CA143-(CB127-CA127)</f>
        <v>0</v>
      </c>
      <c r="CC162" s="104">
        <f t="shared" si="351"/>
        <v>0</v>
      </c>
      <c r="CD162" s="104">
        <f t="shared" si="351"/>
        <v>0</v>
      </c>
      <c r="CE162" s="104">
        <f t="shared" si="351"/>
        <v>0</v>
      </c>
      <c r="CF162" s="104">
        <f t="shared" si="351"/>
        <v>0</v>
      </c>
      <c r="CG162" s="104">
        <f t="shared" si="351"/>
        <v>0</v>
      </c>
      <c r="CH162" s="104">
        <f t="shared" si="351"/>
        <v>0</v>
      </c>
      <c r="CI162" s="228">
        <f t="shared" si="351"/>
        <v>0</v>
      </c>
      <c r="CJ162" s="104">
        <f t="shared" si="351"/>
        <v>0</v>
      </c>
      <c r="CK162" s="104">
        <f t="shared" si="351"/>
        <v>0</v>
      </c>
      <c r="CL162" s="104">
        <f t="shared" si="351"/>
        <v>0</v>
      </c>
      <c r="CM162" s="104">
        <f t="shared" si="351"/>
        <v>0</v>
      </c>
      <c r="CN162" s="104">
        <f t="shared" si="351"/>
        <v>0</v>
      </c>
      <c r="CO162" s="104">
        <f t="shared" si="351"/>
        <v>0</v>
      </c>
      <c r="CP162" s="104">
        <f t="shared" si="351"/>
        <v>0</v>
      </c>
      <c r="CQ162" s="104">
        <f t="shared" si="351"/>
        <v>0</v>
      </c>
      <c r="CR162" s="104">
        <f t="shared" si="351"/>
        <v>0</v>
      </c>
      <c r="CS162" s="104">
        <f t="shared" si="351"/>
        <v>0</v>
      </c>
      <c r="CT162" s="104">
        <f t="shared" si="351"/>
        <v>0</v>
      </c>
      <c r="CU162" s="228">
        <f t="shared" si="351"/>
        <v>0</v>
      </c>
      <c r="CV162" s="104">
        <f t="shared" si="351"/>
        <v>0</v>
      </c>
      <c r="CW162" s="104">
        <f t="shared" si="351"/>
        <v>0</v>
      </c>
      <c r="CX162" s="104">
        <f t="shared" si="351"/>
        <v>0</v>
      </c>
      <c r="CY162" s="104">
        <f t="shared" si="351"/>
        <v>0</v>
      </c>
      <c r="CZ162" s="104">
        <f t="shared" si="351"/>
        <v>0</v>
      </c>
      <c r="DA162" s="104">
        <f t="shared" si="351"/>
        <v>0</v>
      </c>
      <c r="DB162" s="104">
        <f t="shared" si="351"/>
        <v>0</v>
      </c>
      <c r="DC162" s="104">
        <f t="shared" si="351"/>
        <v>0</v>
      </c>
      <c r="DD162" s="104">
        <f t="shared" si="351"/>
        <v>0</v>
      </c>
      <c r="DE162" s="104">
        <f t="shared" si="351"/>
        <v>0</v>
      </c>
      <c r="DF162" s="104">
        <f t="shared" si="351"/>
        <v>0</v>
      </c>
      <c r="DG162" s="104">
        <f t="shared" si="351"/>
        <v>0</v>
      </c>
    </row>
    <row r="163" spans="1:111" s="3" customFormat="1" x14ac:dyDescent="0.25">
      <c r="B163" s="4" t="s">
        <v>210</v>
      </c>
      <c r="D163" s="10">
        <f t="shared" ref="D163:AI163" si="352">SUM(D160:D162)</f>
        <v>0</v>
      </c>
      <c r="E163" s="10">
        <f t="shared" si="352"/>
        <v>0</v>
      </c>
      <c r="F163" s="10">
        <f t="shared" si="352"/>
        <v>0</v>
      </c>
      <c r="G163" s="10">
        <f t="shared" si="352"/>
        <v>0</v>
      </c>
      <c r="H163" s="10">
        <f t="shared" si="352"/>
        <v>0</v>
      </c>
      <c r="I163" s="10">
        <f t="shared" si="352"/>
        <v>0</v>
      </c>
      <c r="J163" s="10">
        <f t="shared" si="352"/>
        <v>0</v>
      </c>
      <c r="K163" s="10">
        <f t="shared" si="352"/>
        <v>0</v>
      </c>
      <c r="L163" s="10">
        <f t="shared" si="352"/>
        <v>0</v>
      </c>
      <c r="M163" s="10">
        <f t="shared" si="352"/>
        <v>0</v>
      </c>
      <c r="N163" s="10">
        <f t="shared" si="352"/>
        <v>0</v>
      </c>
      <c r="O163" s="10">
        <f t="shared" si="352"/>
        <v>0</v>
      </c>
      <c r="P163" s="10">
        <f t="shared" si="352"/>
        <v>0</v>
      </c>
      <c r="Q163" s="10">
        <f t="shared" si="352"/>
        <v>0</v>
      </c>
      <c r="R163" s="10">
        <f t="shared" si="352"/>
        <v>0</v>
      </c>
      <c r="S163" s="10">
        <f t="shared" si="352"/>
        <v>0</v>
      </c>
      <c r="T163" s="10">
        <f t="shared" si="352"/>
        <v>0</v>
      </c>
      <c r="U163" s="10">
        <f t="shared" si="352"/>
        <v>0</v>
      </c>
      <c r="V163" s="10">
        <f t="shared" si="352"/>
        <v>0</v>
      </c>
      <c r="W163" s="10">
        <f t="shared" si="352"/>
        <v>0</v>
      </c>
      <c r="X163" s="10">
        <f t="shared" si="352"/>
        <v>0</v>
      </c>
      <c r="Y163" s="10">
        <f t="shared" si="352"/>
        <v>0</v>
      </c>
      <c r="Z163" s="10">
        <f t="shared" si="352"/>
        <v>0</v>
      </c>
      <c r="AA163" s="10">
        <f t="shared" si="352"/>
        <v>0</v>
      </c>
      <c r="AB163" s="10">
        <f t="shared" si="352"/>
        <v>4311.4699999999993</v>
      </c>
      <c r="AC163" s="10">
        <f t="shared" si="352"/>
        <v>5243.86</v>
      </c>
      <c r="AD163" s="10">
        <f t="shared" si="352"/>
        <v>6192.79</v>
      </c>
      <c r="AE163" s="10">
        <f t="shared" si="352"/>
        <v>6058.2</v>
      </c>
      <c r="AF163" s="10">
        <f t="shared" si="352"/>
        <v>4262.84</v>
      </c>
      <c r="AG163" s="10">
        <f t="shared" si="352"/>
        <v>3472.9099999999994</v>
      </c>
      <c r="AH163" s="10">
        <f t="shared" si="352"/>
        <v>3151.32</v>
      </c>
      <c r="AI163" s="10">
        <f t="shared" si="352"/>
        <v>3828.31</v>
      </c>
      <c r="AJ163" s="10">
        <f t="shared" ref="AJ163:BO163" si="353">SUM(AJ160:AJ162)</f>
        <v>1549.7199999999996</v>
      </c>
      <c r="AK163" s="10">
        <f t="shared" si="353"/>
        <v>4542.7400000000007</v>
      </c>
      <c r="AL163" s="10">
        <f t="shared" si="353"/>
        <v>1872.41</v>
      </c>
      <c r="AM163" s="10">
        <f t="shared" si="353"/>
        <v>3237.59</v>
      </c>
      <c r="AN163" s="10">
        <f t="shared" si="353"/>
        <v>3730.9000000000005</v>
      </c>
      <c r="AO163" s="10">
        <f t="shared" si="353"/>
        <v>2056.0500000000006</v>
      </c>
      <c r="AP163" s="10">
        <f t="shared" si="353"/>
        <v>2351.0699999999997</v>
      </c>
      <c r="AQ163" s="10">
        <f t="shared" si="353"/>
        <v>2709.1300000000015</v>
      </c>
      <c r="AR163" s="10">
        <f t="shared" si="353"/>
        <v>3010.33</v>
      </c>
      <c r="AS163" s="10">
        <f t="shared" si="353"/>
        <v>2580.3999999999996</v>
      </c>
      <c r="AT163" s="10">
        <f t="shared" si="353"/>
        <v>3511.2200000000003</v>
      </c>
      <c r="AU163" s="10">
        <f t="shared" si="353"/>
        <v>2856.0700000000006</v>
      </c>
      <c r="AV163" s="10">
        <f t="shared" si="353"/>
        <v>3310.4700000000003</v>
      </c>
      <c r="AW163" s="622">
        <f t="shared" si="353"/>
        <v>2031.5299999999997</v>
      </c>
      <c r="AX163" s="631">
        <f t="shared" si="353"/>
        <v>1124.9100000000003</v>
      </c>
      <c r="AY163" s="622">
        <f t="shared" si="353"/>
        <v>1090.1428127765259</v>
      </c>
      <c r="AZ163" s="10">
        <f t="shared" si="353"/>
        <v>-555.89881297083616</v>
      </c>
      <c r="BA163" s="10">
        <f t="shared" si="353"/>
        <v>400.65509711470531</v>
      </c>
      <c r="BB163" s="10">
        <f t="shared" si="353"/>
        <v>1102.3270094850006</v>
      </c>
      <c r="BC163" s="10">
        <f t="shared" si="353"/>
        <v>2253.0930599287262</v>
      </c>
      <c r="BD163" s="10">
        <f t="shared" si="353"/>
        <v>1990.1898004888149</v>
      </c>
      <c r="BE163" s="10">
        <f t="shared" si="353"/>
        <v>2243.8832961712992</v>
      </c>
      <c r="BF163" s="10">
        <f t="shared" si="353"/>
        <v>1981.5565813934945</v>
      </c>
      <c r="BG163" s="10">
        <f t="shared" si="353"/>
        <v>2365.5567723578861</v>
      </c>
      <c r="BH163" s="10">
        <f t="shared" si="353"/>
        <v>702.8388041295525</v>
      </c>
      <c r="BI163" s="10">
        <f t="shared" si="353"/>
        <v>895.74455902817976</v>
      </c>
      <c r="BJ163" s="10">
        <f t="shared" si="353"/>
        <v>1435.6489304968759</v>
      </c>
      <c r="BK163" s="237">
        <f t="shared" si="353"/>
        <v>1384.6466061343558</v>
      </c>
      <c r="BL163" s="10">
        <f t="shared" si="353"/>
        <v>278.25289038164266</v>
      </c>
      <c r="BM163" s="10">
        <f t="shared" si="353"/>
        <v>1242.1803517160965</v>
      </c>
      <c r="BN163" s="10">
        <f t="shared" si="353"/>
        <v>2166.9180365548559</v>
      </c>
      <c r="BO163" s="10">
        <f t="shared" si="353"/>
        <v>3024.7698723175104</v>
      </c>
      <c r="BP163" s="10">
        <f t="shared" ref="BP163:CU163" si="354">SUM(BP160:BP162)</f>
        <v>2557.7285112355312</v>
      </c>
      <c r="BQ163" s="10">
        <f t="shared" si="354"/>
        <v>2789.3756832249633</v>
      </c>
      <c r="BR163" s="10">
        <f t="shared" si="354"/>
        <v>2144.689901802426</v>
      </c>
      <c r="BS163" s="10">
        <f t="shared" si="354"/>
        <v>3128.9944383934549</v>
      </c>
      <c r="BT163" s="10">
        <f t="shared" si="354"/>
        <v>857.08251220653881</v>
      </c>
      <c r="BU163" s="10">
        <f t="shared" si="354"/>
        <v>866.70965981328357</v>
      </c>
      <c r="BV163" s="10">
        <f t="shared" si="354"/>
        <v>1985.2321049487609</v>
      </c>
      <c r="BW163" s="237">
        <f t="shared" si="354"/>
        <v>1534.5210075698224</v>
      </c>
      <c r="BX163" s="10">
        <f t="shared" si="354"/>
        <v>291.54431941655326</v>
      </c>
      <c r="BY163" s="10">
        <f t="shared" si="354"/>
        <v>1725.53543297193</v>
      </c>
      <c r="BZ163" s="10">
        <f t="shared" si="354"/>
        <v>2447.4160541199599</v>
      </c>
      <c r="CA163" s="10">
        <f t="shared" si="354"/>
        <v>2683.7390342642452</v>
      </c>
      <c r="CB163" s="10">
        <f t="shared" si="354"/>
        <v>3642.5225272267967</v>
      </c>
      <c r="CC163" s="10">
        <f t="shared" si="354"/>
        <v>3191.3583894100652</v>
      </c>
      <c r="CD163" s="10">
        <f t="shared" si="354"/>
        <v>2055.614130515557</v>
      </c>
      <c r="CE163" s="10">
        <f t="shared" si="354"/>
        <v>3814.1558942142847</v>
      </c>
      <c r="CF163" s="10">
        <f t="shared" si="354"/>
        <v>688.40690114817869</v>
      </c>
      <c r="CG163" s="10">
        <f t="shared" si="354"/>
        <v>1180.2076362874468</v>
      </c>
      <c r="CH163" s="10">
        <f t="shared" si="354"/>
        <v>2236.9424598754149</v>
      </c>
      <c r="CI163" s="237">
        <f t="shared" si="354"/>
        <v>1122.6586800161895</v>
      </c>
      <c r="CJ163" s="10">
        <f t="shared" si="354"/>
        <v>869.27340887800528</v>
      </c>
      <c r="CK163" s="10">
        <f t="shared" si="354"/>
        <v>1632.7788834091664</v>
      </c>
      <c r="CL163" s="10">
        <f t="shared" si="354"/>
        <v>2368.168243544962</v>
      </c>
      <c r="CM163" s="10">
        <f t="shared" si="354"/>
        <v>3418.0971825034571</v>
      </c>
      <c r="CN163" s="10">
        <f t="shared" si="354"/>
        <v>4169.817330082783</v>
      </c>
      <c r="CO163" s="10">
        <f t="shared" si="354"/>
        <v>3191.7551402727063</v>
      </c>
      <c r="CP163" s="10">
        <f t="shared" si="354"/>
        <v>2668.6388628688733</v>
      </c>
      <c r="CQ163" s="10">
        <f t="shared" si="354"/>
        <v>4319.2871778018789</v>
      </c>
      <c r="CR163" s="10">
        <f t="shared" si="354"/>
        <v>533.3195358299821</v>
      </c>
      <c r="CS163" s="10">
        <f t="shared" si="354"/>
        <v>1709.6120409010869</v>
      </c>
      <c r="CT163" s="10">
        <f t="shared" si="354"/>
        <v>2604.9781121575784</v>
      </c>
      <c r="CU163" s="237">
        <f t="shared" si="354"/>
        <v>1411.55306658416</v>
      </c>
      <c r="CV163" s="10">
        <f t="shared" ref="CV163:EA163" si="355">SUM(CV160:CV162)</f>
        <v>1104.5773907762855</v>
      </c>
      <c r="CW163" s="10">
        <f t="shared" si="355"/>
        <v>1929.6410182584373</v>
      </c>
      <c r="CX163" s="10">
        <f t="shared" si="355"/>
        <v>2449.932233435843</v>
      </c>
      <c r="CY163" s="10">
        <f t="shared" si="355"/>
        <v>4454.8677109640994</v>
      </c>
      <c r="CZ163" s="10">
        <f t="shared" si="355"/>
        <v>4836.0076095747263</v>
      </c>
      <c r="DA163" s="10">
        <f t="shared" si="355"/>
        <v>3303.231395984048</v>
      </c>
      <c r="DB163" s="10">
        <f t="shared" si="355"/>
        <v>3464.1622945748231</v>
      </c>
      <c r="DC163" s="10">
        <f t="shared" si="355"/>
        <v>4514.5152952504932</v>
      </c>
      <c r="DD163" s="10">
        <f t="shared" si="355"/>
        <v>992.47170413702838</v>
      </c>
      <c r="DE163" s="10">
        <f t="shared" si="355"/>
        <v>2024.6378747655444</v>
      </c>
      <c r="DF163" s="10">
        <f t="shared" si="355"/>
        <v>2595.6519669469917</v>
      </c>
      <c r="DG163" s="10">
        <f t="shared" si="355"/>
        <v>1936.4703649463343</v>
      </c>
    </row>
    <row r="164" spans="1:111" x14ac:dyDescent="0.25">
      <c r="AW164" s="585"/>
      <c r="AX164" s="604"/>
      <c r="AY164" s="585"/>
      <c r="BK164" s="227"/>
      <c r="BW164" s="227"/>
      <c r="CI164" s="227"/>
      <c r="CU164" s="227"/>
    </row>
    <row r="165" spans="1:111" x14ac:dyDescent="0.25">
      <c r="AW165" s="585"/>
      <c r="AX165" s="604"/>
      <c r="AY165" s="585"/>
      <c r="BK165" s="227"/>
      <c r="BW165" s="227"/>
      <c r="CI165" s="227"/>
      <c r="CU165" s="227"/>
    </row>
    <row r="166" spans="1:111" x14ac:dyDescent="0.25">
      <c r="B166" s="1" t="s">
        <v>211</v>
      </c>
      <c r="E166" s="104">
        <f t="shared" ref="E166:AJ166" si="356">E146-D146</f>
        <v>0</v>
      </c>
      <c r="F166" s="104">
        <f t="shared" si="356"/>
        <v>0</v>
      </c>
      <c r="G166" s="104">
        <f t="shared" si="356"/>
        <v>0</v>
      </c>
      <c r="H166" s="104">
        <f t="shared" si="356"/>
        <v>0</v>
      </c>
      <c r="I166" s="104">
        <f t="shared" si="356"/>
        <v>0</v>
      </c>
      <c r="J166" s="104">
        <f t="shared" si="356"/>
        <v>0</v>
      </c>
      <c r="K166" s="104">
        <f t="shared" si="356"/>
        <v>0</v>
      </c>
      <c r="L166" s="104">
        <f t="shared" si="356"/>
        <v>0</v>
      </c>
      <c r="M166" s="104">
        <f t="shared" si="356"/>
        <v>0</v>
      </c>
      <c r="N166" s="104">
        <f t="shared" si="356"/>
        <v>0</v>
      </c>
      <c r="O166" s="104">
        <f t="shared" si="356"/>
        <v>0</v>
      </c>
      <c r="P166" s="104">
        <f t="shared" si="356"/>
        <v>0</v>
      </c>
      <c r="Q166" s="104">
        <f t="shared" si="356"/>
        <v>0</v>
      </c>
      <c r="R166" s="104">
        <f t="shared" si="356"/>
        <v>0</v>
      </c>
      <c r="S166" s="104">
        <f t="shared" si="356"/>
        <v>0</v>
      </c>
      <c r="T166" s="104">
        <f t="shared" si="356"/>
        <v>0</v>
      </c>
      <c r="U166" s="104">
        <f t="shared" si="356"/>
        <v>0</v>
      </c>
      <c r="V166" s="104">
        <f t="shared" si="356"/>
        <v>0</v>
      </c>
      <c r="W166" s="104">
        <f t="shared" si="356"/>
        <v>0</v>
      </c>
      <c r="X166" s="104">
        <f t="shared" si="356"/>
        <v>0</v>
      </c>
      <c r="Y166" s="104">
        <f t="shared" si="356"/>
        <v>0</v>
      </c>
      <c r="Z166" s="104">
        <f t="shared" si="356"/>
        <v>0</v>
      </c>
      <c r="AA166" s="104">
        <f t="shared" si="356"/>
        <v>0</v>
      </c>
      <c r="AB166" s="104">
        <f t="shared" si="356"/>
        <v>1036.1300000000001</v>
      </c>
      <c r="AC166" s="104">
        <f t="shared" si="356"/>
        <v>0</v>
      </c>
      <c r="AD166" s="104">
        <f t="shared" si="356"/>
        <v>0</v>
      </c>
      <c r="AE166" s="104">
        <f t="shared" si="356"/>
        <v>0</v>
      </c>
      <c r="AF166" s="104">
        <f t="shared" si="356"/>
        <v>0</v>
      </c>
      <c r="AG166" s="104">
        <f t="shared" si="356"/>
        <v>0</v>
      </c>
      <c r="AH166" s="104">
        <f t="shared" si="356"/>
        <v>0</v>
      </c>
      <c r="AI166" s="104">
        <f t="shared" si="356"/>
        <v>0</v>
      </c>
      <c r="AJ166" s="104">
        <f t="shared" si="356"/>
        <v>0</v>
      </c>
      <c r="AK166" s="104">
        <f t="shared" ref="AK166:BP166" si="357">AK146-AJ146</f>
        <v>0</v>
      </c>
      <c r="AL166" s="104">
        <f t="shared" si="357"/>
        <v>0</v>
      </c>
      <c r="AM166" s="104">
        <f t="shared" si="357"/>
        <v>0</v>
      </c>
      <c r="AN166" s="104">
        <f t="shared" si="357"/>
        <v>0</v>
      </c>
      <c r="AO166" s="104">
        <f t="shared" si="357"/>
        <v>0</v>
      </c>
      <c r="AP166" s="104">
        <f t="shared" si="357"/>
        <v>0</v>
      </c>
      <c r="AQ166" s="104">
        <f t="shared" si="357"/>
        <v>0</v>
      </c>
      <c r="AR166" s="104">
        <f t="shared" si="357"/>
        <v>0</v>
      </c>
      <c r="AS166" s="104">
        <f t="shared" si="357"/>
        <v>0</v>
      </c>
      <c r="AT166" s="104">
        <f t="shared" si="357"/>
        <v>0</v>
      </c>
      <c r="AU166" s="104">
        <f t="shared" si="357"/>
        <v>0</v>
      </c>
      <c r="AV166" s="104">
        <f t="shared" si="357"/>
        <v>0</v>
      </c>
      <c r="AW166" s="605">
        <f t="shared" si="357"/>
        <v>0</v>
      </c>
      <c r="AX166" s="607">
        <f t="shared" si="357"/>
        <v>0</v>
      </c>
      <c r="AY166" s="605">
        <f t="shared" si="357"/>
        <v>0</v>
      </c>
      <c r="AZ166" s="104">
        <f t="shared" si="357"/>
        <v>0</v>
      </c>
      <c r="BA166" s="104">
        <f t="shared" si="357"/>
        <v>0</v>
      </c>
      <c r="BB166" s="104">
        <f t="shared" si="357"/>
        <v>0</v>
      </c>
      <c r="BC166" s="104">
        <f t="shared" si="357"/>
        <v>0</v>
      </c>
      <c r="BD166" s="104">
        <f t="shared" si="357"/>
        <v>0</v>
      </c>
      <c r="BE166" s="104">
        <f t="shared" si="357"/>
        <v>0</v>
      </c>
      <c r="BF166" s="104">
        <f t="shared" si="357"/>
        <v>0</v>
      </c>
      <c r="BG166" s="104">
        <f t="shared" si="357"/>
        <v>0</v>
      </c>
      <c r="BH166" s="104">
        <f t="shared" si="357"/>
        <v>0</v>
      </c>
      <c r="BI166" s="104">
        <f t="shared" si="357"/>
        <v>0</v>
      </c>
      <c r="BJ166" s="104">
        <f t="shared" si="357"/>
        <v>0</v>
      </c>
      <c r="BK166" s="228">
        <f t="shared" si="357"/>
        <v>0</v>
      </c>
      <c r="BL166" s="104">
        <f t="shared" si="357"/>
        <v>0</v>
      </c>
      <c r="BM166" s="104">
        <f t="shared" si="357"/>
        <v>0</v>
      </c>
      <c r="BN166" s="104">
        <f t="shared" si="357"/>
        <v>0</v>
      </c>
      <c r="BO166" s="104">
        <f t="shared" si="357"/>
        <v>0</v>
      </c>
      <c r="BP166" s="104">
        <f t="shared" si="357"/>
        <v>0</v>
      </c>
      <c r="BQ166" s="104">
        <f t="shared" ref="BQ166:CV166" si="358">BQ146-BP146</f>
        <v>0</v>
      </c>
      <c r="BR166" s="104">
        <f t="shared" si="358"/>
        <v>0</v>
      </c>
      <c r="BS166" s="104">
        <f t="shared" si="358"/>
        <v>0</v>
      </c>
      <c r="BT166" s="104">
        <f t="shared" si="358"/>
        <v>0</v>
      </c>
      <c r="BU166" s="104">
        <f t="shared" si="358"/>
        <v>0</v>
      </c>
      <c r="BV166" s="104">
        <f t="shared" si="358"/>
        <v>0</v>
      </c>
      <c r="BW166" s="228">
        <f t="shared" si="358"/>
        <v>0</v>
      </c>
      <c r="BX166" s="104">
        <f t="shared" si="358"/>
        <v>0</v>
      </c>
      <c r="BY166" s="104">
        <f t="shared" si="358"/>
        <v>0</v>
      </c>
      <c r="BZ166" s="104">
        <f t="shared" si="358"/>
        <v>0</v>
      </c>
      <c r="CA166" s="104">
        <f t="shared" si="358"/>
        <v>0</v>
      </c>
      <c r="CB166" s="104">
        <f t="shared" si="358"/>
        <v>0</v>
      </c>
      <c r="CC166" s="104">
        <f t="shared" si="358"/>
        <v>0</v>
      </c>
      <c r="CD166" s="104">
        <f t="shared" si="358"/>
        <v>0</v>
      </c>
      <c r="CE166" s="104">
        <f t="shared" si="358"/>
        <v>0</v>
      </c>
      <c r="CF166" s="104">
        <f t="shared" si="358"/>
        <v>0</v>
      </c>
      <c r="CG166" s="104">
        <f t="shared" si="358"/>
        <v>0</v>
      </c>
      <c r="CH166" s="104">
        <f t="shared" si="358"/>
        <v>0</v>
      </c>
      <c r="CI166" s="228">
        <f t="shared" si="358"/>
        <v>0</v>
      </c>
      <c r="CJ166" s="104">
        <f t="shared" si="358"/>
        <v>0</v>
      </c>
      <c r="CK166" s="104">
        <f t="shared" si="358"/>
        <v>0</v>
      </c>
      <c r="CL166" s="104">
        <f t="shared" si="358"/>
        <v>0</v>
      </c>
      <c r="CM166" s="104">
        <f t="shared" si="358"/>
        <v>0</v>
      </c>
      <c r="CN166" s="104">
        <f t="shared" si="358"/>
        <v>0</v>
      </c>
      <c r="CO166" s="104">
        <f t="shared" si="358"/>
        <v>0</v>
      </c>
      <c r="CP166" s="104">
        <f t="shared" si="358"/>
        <v>0</v>
      </c>
      <c r="CQ166" s="104">
        <f t="shared" si="358"/>
        <v>0</v>
      </c>
      <c r="CR166" s="104">
        <f t="shared" si="358"/>
        <v>0</v>
      </c>
      <c r="CS166" s="104">
        <f t="shared" si="358"/>
        <v>0</v>
      </c>
      <c r="CT166" s="104">
        <f t="shared" si="358"/>
        <v>0</v>
      </c>
      <c r="CU166" s="228">
        <f t="shared" si="358"/>
        <v>0</v>
      </c>
      <c r="CV166" s="104">
        <f t="shared" si="358"/>
        <v>0</v>
      </c>
      <c r="CW166" s="104">
        <f t="shared" ref="CW166:DG166" si="359">CW146-CV146</f>
        <v>0</v>
      </c>
      <c r="CX166" s="104">
        <f t="shared" si="359"/>
        <v>0</v>
      </c>
      <c r="CY166" s="104">
        <f t="shared" si="359"/>
        <v>0</v>
      </c>
      <c r="CZ166" s="104">
        <f t="shared" si="359"/>
        <v>0</v>
      </c>
      <c r="DA166" s="104">
        <f t="shared" si="359"/>
        <v>0</v>
      </c>
      <c r="DB166" s="104">
        <f t="shared" si="359"/>
        <v>0</v>
      </c>
      <c r="DC166" s="104">
        <f t="shared" si="359"/>
        <v>0</v>
      </c>
      <c r="DD166" s="104">
        <f t="shared" si="359"/>
        <v>0</v>
      </c>
      <c r="DE166" s="104">
        <f t="shared" si="359"/>
        <v>0</v>
      </c>
      <c r="DF166" s="104">
        <f t="shared" si="359"/>
        <v>0</v>
      </c>
      <c r="DG166" s="104">
        <f t="shared" si="359"/>
        <v>0</v>
      </c>
    </row>
    <row r="167" spans="1:111" x14ac:dyDescent="0.25">
      <c r="B167" s="1" t="s">
        <v>212</v>
      </c>
      <c r="E167" s="104">
        <f t="shared" ref="E167:AJ167" si="360">+E149-D149</f>
        <v>0</v>
      </c>
      <c r="F167" s="104">
        <f t="shared" si="360"/>
        <v>0</v>
      </c>
      <c r="G167" s="104">
        <f t="shared" si="360"/>
        <v>0</v>
      </c>
      <c r="H167" s="104">
        <f t="shared" si="360"/>
        <v>0</v>
      </c>
      <c r="I167" s="104">
        <f t="shared" si="360"/>
        <v>0</v>
      </c>
      <c r="J167" s="104">
        <f t="shared" si="360"/>
        <v>0</v>
      </c>
      <c r="K167" s="104">
        <f t="shared" si="360"/>
        <v>0</v>
      </c>
      <c r="L167" s="104">
        <f t="shared" si="360"/>
        <v>0</v>
      </c>
      <c r="M167" s="104">
        <f t="shared" si="360"/>
        <v>0</v>
      </c>
      <c r="N167" s="104">
        <f t="shared" si="360"/>
        <v>0</v>
      </c>
      <c r="O167" s="104">
        <f t="shared" si="360"/>
        <v>0</v>
      </c>
      <c r="P167" s="104">
        <f t="shared" si="360"/>
        <v>0</v>
      </c>
      <c r="Q167" s="104">
        <f t="shared" si="360"/>
        <v>0</v>
      </c>
      <c r="R167" s="104">
        <f t="shared" si="360"/>
        <v>0</v>
      </c>
      <c r="S167" s="104">
        <f t="shared" si="360"/>
        <v>0</v>
      </c>
      <c r="T167" s="104">
        <f t="shared" si="360"/>
        <v>0</v>
      </c>
      <c r="U167" s="104">
        <f t="shared" si="360"/>
        <v>0</v>
      </c>
      <c r="V167" s="104">
        <f t="shared" si="360"/>
        <v>0</v>
      </c>
      <c r="W167" s="104">
        <f t="shared" si="360"/>
        <v>0</v>
      </c>
      <c r="X167" s="104">
        <f t="shared" si="360"/>
        <v>0</v>
      </c>
      <c r="Y167" s="104">
        <f t="shared" si="360"/>
        <v>0</v>
      </c>
      <c r="Z167" s="104">
        <f t="shared" si="360"/>
        <v>0</v>
      </c>
      <c r="AA167" s="104">
        <f t="shared" si="360"/>
        <v>0</v>
      </c>
      <c r="AB167" s="104">
        <f t="shared" si="360"/>
        <v>-4414.2</v>
      </c>
      <c r="AC167" s="104">
        <f t="shared" si="360"/>
        <v>-5131.4900000000007</v>
      </c>
      <c r="AD167" s="104">
        <f t="shared" si="360"/>
        <v>-4430.43</v>
      </c>
      <c r="AE167" s="104">
        <f t="shared" si="360"/>
        <v>-7086.409999999998</v>
      </c>
      <c r="AF167" s="104">
        <f t="shared" si="360"/>
        <v>-3432.2299999999996</v>
      </c>
      <c r="AG167" s="104">
        <f t="shared" si="360"/>
        <v>-3463.0700000000033</v>
      </c>
      <c r="AH167" s="104">
        <f t="shared" si="360"/>
        <v>-2858.9499999999971</v>
      </c>
      <c r="AI167" s="104">
        <f t="shared" si="360"/>
        <v>-5679.5299999999988</v>
      </c>
      <c r="AJ167" s="104">
        <f t="shared" si="360"/>
        <v>-2487.7700000000041</v>
      </c>
      <c r="AK167" s="104">
        <f t="shared" ref="AK167:BP167" si="361">+AK149-AJ149</f>
        <v>-2394.3899999999994</v>
      </c>
      <c r="AL167" s="104">
        <f t="shared" si="361"/>
        <v>-2307.5599999999977</v>
      </c>
      <c r="AM167" s="104">
        <f t="shared" si="361"/>
        <v>-3648.260000000002</v>
      </c>
      <c r="AN167" s="104">
        <f t="shared" si="361"/>
        <v>-3116.5800000000017</v>
      </c>
      <c r="AO167" s="104">
        <f t="shared" si="361"/>
        <v>-1624.4799999999959</v>
      </c>
      <c r="AP167" s="104">
        <f t="shared" si="361"/>
        <v>-1433.7200000000012</v>
      </c>
      <c r="AQ167" s="104">
        <f t="shared" si="361"/>
        <v>-1790.1100000000006</v>
      </c>
      <c r="AR167" s="104">
        <f t="shared" si="361"/>
        <v>-774.65000000000146</v>
      </c>
      <c r="AS167" s="104">
        <f t="shared" si="361"/>
        <v>-2413.3099999999977</v>
      </c>
      <c r="AT167" s="104">
        <f t="shared" si="361"/>
        <v>-3588.010000000002</v>
      </c>
      <c r="AU167" s="104">
        <f t="shared" si="361"/>
        <v>-2335.2200000000012</v>
      </c>
      <c r="AV167" s="104">
        <f t="shared" si="361"/>
        <v>-4057.9099999999962</v>
      </c>
      <c r="AW167" s="605">
        <f t="shared" si="361"/>
        <v>-2563.5599999999977</v>
      </c>
      <c r="AX167" s="607">
        <f t="shared" si="361"/>
        <v>-1648.7100000000064</v>
      </c>
      <c r="AY167" s="605">
        <f t="shared" si="361"/>
        <v>-150</v>
      </c>
      <c r="AZ167" s="104">
        <f t="shared" si="361"/>
        <v>-150</v>
      </c>
      <c r="BA167" s="104">
        <f t="shared" si="361"/>
        <v>-150</v>
      </c>
      <c r="BB167" s="104">
        <f t="shared" si="361"/>
        <v>-150</v>
      </c>
      <c r="BC167" s="104">
        <f t="shared" si="361"/>
        <v>-150</v>
      </c>
      <c r="BD167" s="104">
        <f t="shared" si="361"/>
        <v>-150</v>
      </c>
      <c r="BE167" s="104">
        <f t="shared" si="361"/>
        <v>-150</v>
      </c>
      <c r="BF167" s="104">
        <f t="shared" si="361"/>
        <v>-150</v>
      </c>
      <c r="BG167" s="104">
        <f t="shared" si="361"/>
        <v>-150</v>
      </c>
      <c r="BH167" s="104">
        <f t="shared" si="361"/>
        <v>-150</v>
      </c>
      <c r="BI167" s="104">
        <f t="shared" si="361"/>
        <v>-150</v>
      </c>
      <c r="BJ167" s="104">
        <f t="shared" si="361"/>
        <v>-150</v>
      </c>
      <c r="BK167" s="228">
        <f t="shared" si="361"/>
        <v>-150</v>
      </c>
      <c r="BL167" s="104">
        <f t="shared" si="361"/>
        <v>-150</v>
      </c>
      <c r="BM167" s="104">
        <f t="shared" si="361"/>
        <v>-150</v>
      </c>
      <c r="BN167" s="104">
        <f t="shared" si="361"/>
        <v>-150</v>
      </c>
      <c r="BO167" s="104">
        <f t="shared" si="361"/>
        <v>-150</v>
      </c>
      <c r="BP167" s="104">
        <f t="shared" si="361"/>
        <v>-150</v>
      </c>
      <c r="BQ167" s="104">
        <f t="shared" ref="BQ167:CV167" si="362">+BQ149-BP149</f>
        <v>-150</v>
      </c>
      <c r="BR167" s="104">
        <f t="shared" si="362"/>
        <v>-150</v>
      </c>
      <c r="BS167" s="104">
        <f t="shared" si="362"/>
        <v>-150</v>
      </c>
      <c r="BT167" s="104">
        <f t="shared" si="362"/>
        <v>-150</v>
      </c>
      <c r="BU167" s="104">
        <f t="shared" si="362"/>
        <v>-150</v>
      </c>
      <c r="BV167" s="104">
        <f t="shared" si="362"/>
        <v>-150</v>
      </c>
      <c r="BW167" s="228">
        <f t="shared" si="362"/>
        <v>-150</v>
      </c>
      <c r="BX167" s="104">
        <f t="shared" si="362"/>
        <v>-150</v>
      </c>
      <c r="BY167" s="104">
        <f t="shared" si="362"/>
        <v>-150</v>
      </c>
      <c r="BZ167" s="104">
        <f t="shared" si="362"/>
        <v>-150</v>
      </c>
      <c r="CA167" s="104">
        <f t="shared" si="362"/>
        <v>-150</v>
      </c>
      <c r="CB167" s="104">
        <f t="shared" si="362"/>
        <v>-150</v>
      </c>
      <c r="CC167" s="104">
        <f t="shared" si="362"/>
        <v>-150</v>
      </c>
      <c r="CD167" s="104">
        <f t="shared" si="362"/>
        <v>-150</v>
      </c>
      <c r="CE167" s="104">
        <f t="shared" si="362"/>
        <v>-150</v>
      </c>
      <c r="CF167" s="104">
        <f t="shared" si="362"/>
        <v>-150</v>
      </c>
      <c r="CG167" s="104">
        <f t="shared" si="362"/>
        <v>-150</v>
      </c>
      <c r="CH167" s="104">
        <f t="shared" si="362"/>
        <v>-150</v>
      </c>
      <c r="CI167" s="228">
        <f t="shared" si="362"/>
        <v>-150</v>
      </c>
      <c r="CJ167" s="104">
        <f t="shared" si="362"/>
        <v>-150</v>
      </c>
      <c r="CK167" s="104">
        <f t="shared" si="362"/>
        <v>-150</v>
      </c>
      <c r="CL167" s="104">
        <f t="shared" si="362"/>
        <v>-150</v>
      </c>
      <c r="CM167" s="104">
        <f t="shared" si="362"/>
        <v>-150</v>
      </c>
      <c r="CN167" s="104">
        <f t="shared" si="362"/>
        <v>-150</v>
      </c>
      <c r="CO167" s="104">
        <f t="shared" si="362"/>
        <v>-150</v>
      </c>
      <c r="CP167" s="104">
        <f t="shared" si="362"/>
        <v>-150</v>
      </c>
      <c r="CQ167" s="104">
        <f t="shared" si="362"/>
        <v>-150</v>
      </c>
      <c r="CR167" s="104">
        <f t="shared" si="362"/>
        <v>-150</v>
      </c>
      <c r="CS167" s="104">
        <f t="shared" si="362"/>
        <v>-150</v>
      </c>
      <c r="CT167" s="104">
        <f t="shared" si="362"/>
        <v>-150</v>
      </c>
      <c r="CU167" s="228">
        <f t="shared" si="362"/>
        <v>-150</v>
      </c>
      <c r="CV167" s="104">
        <f t="shared" si="362"/>
        <v>-150</v>
      </c>
      <c r="CW167" s="104">
        <f t="shared" ref="CW167:DG167" si="363">+CW149-CV149</f>
        <v>-150</v>
      </c>
      <c r="CX167" s="104">
        <f t="shared" si="363"/>
        <v>-150</v>
      </c>
      <c r="CY167" s="104">
        <f t="shared" si="363"/>
        <v>-150</v>
      </c>
      <c r="CZ167" s="104">
        <f t="shared" si="363"/>
        <v>-150</v>
      </c>
      <c r="DA167" s="104">
        <f t="shared" si="363"/>
        <v>-150</v>
      </c>
      <c r="DB167" s="104">
        <f t="shared" si="363"/>
        <v>-150</v>
      </c>
      <c r="DC167" s="104">
        <f t="shared" si="363"/>
        <v>-150</v>
      </c>
      <c r="DD167" s="104">
        <f t="shared" si="363"/>
        <v>-150</v>
      </c>
      <c r="DE167" s="104">
        <f t="shared" si="363"/>
        <v>-150</v>
      </c>
      <c r="DF167" s="104">
        <f t="shared" si="363"/>
        <v>-150</v>
      </c>
      <c r="DG167" s="104">
        <f t="shared" si="363"/>
        <v>-150</v>
      </c>
    </row>
    <row r="168" spans="1:111" x14ac:dyDescent="0.25">
      <c r="A168" s="3"/>
      <c r="B168" s="4" t="s">
        <v>213</v>
      </c>
      <c r="C168" s="3"/>
      <c r="D168" s="10">
        <v>0</v>
      </c>
      <c r="E168" s="10">
        <f t="shared" ref="E168:U168" si="364">E166</f>
        <v>0</v>
      </c>
      <c r="F168" s="10">
        <f t="shared" si="364"/>
        <v>0</v>
      </c>
      <c r="G168" s="10">
        <f t="shared" si="364"/>
        <v>0</v>
      </c>
      <c r="H168" s="10">
        <f t="shared" si="364"/>
        <v>0</v>
      </c>
      <c r="I168" s="10">
        <f t="shared" si="364"/>
        <v>0</v>
      </c>
      <c r="J168" s="10">
        <f t="shared" si="364"/>
        <v>0</v>
      </c>
      <c r="K168" s="10">
        <f t="shared" si="364"/>
        <v>0</v>
      </c>
      <c r="L168" s="10">
        <f t="shared" si="364"/>
        <v>0</v>
      </c>
      <c r="M168" s="10">
        <f t="shared" si="364"/>
        <v>0</v>
      </c>
      <c r="N168" s="10">
        <f t="shared" si="364"/>
        <v>0</v>
      </c>
      <c r="O168" s="10">
        <f t="shared" si="364"/>
        <v>0</v>
      </c>
      <c r="P168" s="10">
        <f t="shared" si="364"/>
        <v>0</v>
      </c>
      <c r="Q168" s="10">
        <f t="shared" si="364"/>
        <v>0</v>
      </c>
      <c r="R168" s="10">
        <f t="shared" si="364"/>
        <v>0</v>
      </c>
      <c r="S168" s="10">
        <f t="shared" si="364"/>
        <v>0</v>
      </c>
      <c r="T168" s="10">
        <f t="shared" si="364"/>
        <v>0</v>
      </c>
      <c r="U168" s="10">
        <f t="shared" si="364"/>
        <v>0</v>
      </c>
      <c r="V168" s="10">
        <f t="shared" ref="V168:BA168" si="365">SUM(V166:V167)</f>
        <v>0</v>
      </c>
      <c r="W168" s="10">
        <f t="shared" si="365"/>
        <v>0</v>
      </c>
      <c r="X168" s="10">
        <f t="shared" si="365"/>
        <v>0</v>
      </c>
      <c r="Y168" s="10">
        <f t="shared" si="365"/>
        <v>0</v>
      </c>
      <c r="Z168" s="10">
        <f t="shared" si="365"/>
        <v>0</v>
      </c>
      <c r="AA168" s="10">
        <f t="shared" si="365"/>
        <v>0</v>
      </c>
      <c r="AB168" s="10">
        <f t="shared" si="365"/>
        <v>-3378.0699999999997</v>
      </c>
      <c r="AC168" s="10">
        <f t="shared" si="365"/>
        <v>-5131.4900000000007</v>
      </c>
      <c r="AD168" s="10">
        <f t="shared" si="365"/>
        <v>-4430.43</v>
      </c>
      <c r="AE168" s="10">
        <f t="shared" si="365"/>
        <v>-7086.409999999998</v>
      </c>
      <c r="AF168" s="10">
        <f t="shared" si="365"/>
        <v>-3432.2299999999996</v>
      </c>
      <c r="AG168" s="10">
        <f t="shared" si="365"/>
        <v>-3463.0700000000033</v>
      </c>
      <c r="AH168" s="10">
        <f t="shared" si="365"/>
        <v>-2858.9499999999971</v>
      </c>
      <c r="AI168" s="10">
        <f t="shared" si="365"/>
        <v>-5679.5299999999988</v>
      </c>
      <c r="AJ168" s="10">
        <f t="shared" si="365"/>
        <v>-2487.7700000000041</v>
      </c>
      <c r="AK168" s="10">
        <f t="shared" si="365"/>
        <v>-2394.3899999999994</v>
      </c>
      <c r="AL168" s="10">
        <f t="shared" si="365"/>
        <v>-2307.5599999999977</v>
      </c>
      <c r="AM168" s="10">
        <f t="shared" si="365"/>
        <v>-3648.260000000002</v>
      </c>
      <c r="AN168" s="10">
        <f t="shared" si="365"/>
        <v>-3116.5800000000017</v>
      </c>
      <c r="AO168" s="10">
        <f t="shared" si="365"/>
        <v>-1624.4799999999959</v>
      </c>
      <c r="AP168" s="10">
        <f t="shared" si="365"/>
        <v>-1433.7200000000012</v>
      </c>
      <c r="AQ168" s="10">
        <f t="shared" si="365"/>
        <v>-1790.1100000000006</v>
      </c>
      <c r="AR168" s="10">
        <f t="shared" si="365"/>
        <v>-774.65000000000146</v>
      </c>
      <c r="AS168" s="10">
        <f t="shared" si="365"/>
        <v>-2413.3099999999977</v>
      </c>
      <c r="AT168" s="10">
        <f t="shared" si="365"/>
        <v>-3588.010000000002</v>
      </c>
      <c r="AU168" s="10">
        <f t="shared" si="365"/>
        <v>-2335.2200000000012</v>
      </c>
      <c r="AV168" s="10">
        <f t="shared" si="365"/>
        <v>-4057.9099999999962</v>
      </c>
      <c r="AW168" s="622">
        <f t="shared" si="365"/>
        <v>-2563.5599999999977</v>
      </c>
      <c r="AX168" s="631">
        <f t="shared" si="365"/>
        <v>-1648.7100000000064</v>
      </c>
      <c r="AY168" s="622">
        <f t="shared" si="365"/>
        <v>-150</v>
      </c>
      <c r="AZ168" s="10">
        <f t="shared" si="365"/>
        <v>-150</v>
      </c>
      <c r="BA168" s="10">
        <f t="shared" si="365"/>
        <v>-150</v>
      </c>
      <c r="BB168" s="10">
        <f t="shared" ref="BB168:CG168" si="366">SUM(BB166:BB167)</f>
        <v>-150</v>
      </c>
      <c r="BC168" s="10">
        <f t="shared" si="366"/>
        <v>-150</v>
      </c>
      <c r="BD168" s="10">
        <f t="shared" si="366"/>
        <v>-150</v>
      </c>
      <c r="BE168" s="10">
        <f t="shared" si="366"/>
        <v>-150</v>
      </c>
      <c r="BF168" s="10">
        <f t="shared" si="366"/>
        <v>-150</v>
      </c>
      <c r="BG168" s="10">
        <f t="shared" si="366"/>
        <v>-150</v>
      </c>
      <c r="BH168" s="10">
        <f t="shared" si="366"/>
        <v>-150</v>
      </c>
      <c r="BI168" s="10">
        <f t="shared" si="366"/>
        <v>-150</v>
      </c>
      <c r="BJ168" s="10">
        <f t="shared" si="366"/>
        <v>-150</v>
      </c>
      <c r="BK168" s="237">
        <f t="shared" si="366"/>
        <v>-150</v>
      </c>
      <c r="BL168" s="10">
        <f t="shared" si="366"/>
        <v>-150</v>
      </c>
      <c r="BM168" s="10">
        <f t="shared" si="366"/>
        <v>-150</v>
      </c>
      <c r="BN168" s="10">
        <f t="shared" si="366"/>
        <v>-150</v>
      </c>
      <c r="BO168" s="10">
        <f t="shared" si="366"/>
        <v>-150</v>
      </c>
      <c r="BP168" s="10">
        <f t="shared" si="366"/>
        <v>-150</v>
      </c>
      <c r="BQ168" s="10">
        <f t="shared" si="366"/>
        <v>-150</v>
      </c>
      <c r="BR168" s="10">
        <f t="shared" si="366"/>
        <v>-150</v>
      </c>
      <c r="BS168" s="10">
        <f t="shared" si="366"/>
        <v>-150</v>
      </c>
      <c r="BT168" s="10">
        <f t="shared" si="366"/>
        <v>-150</v>
      </c>
      <c r="BU168" s="10">
        <f t="shared" si="366"/>
        <v>-150</v>
      </c>
      <c r="BV168" s="10">
        <f t="shared" si="366"/>
        <v>-150</v>
      </c>
      <c r="BW168" s="237">
        <f t="shared" si="366"/>
        <v>-150</v>
      </c>
      <c r="BX168" s="10">
        <f t="shared" si="366"/>
        <v>-150</v>
      </c>
      <c r="BY168" s="10">
        <f t="shared" si="366"/>
        <v>-150</v>
      </c>
      <c r="BZ168" s="10">
        <f t="shared" si="366"/>
        <v>-150</v>
      </c>
      <c r="CA168" s="10">
        <f t="shared" si="366"/>
        <v>-150</v>
      </c>
      <c r="CB168" s="10">
        <f t="shared" si="366"/>
        <v>-150</v>
      </c>
      <c r="CC168" s="10">
        <f t="shared" si="366"/>
        <v>-150</v>
      </c>
      <c r="CD168" s="10">
        <f t="shared" si="366"/>
        <v>-150</v>
      </c>
      <c r="CE168" s="10">
        <f t="shared" si="366"/>
        <v>-150</v>
      </c>
      <c r="CF168" s="10">
        <f t="shared" si="366"/>
        <v>-150</v>
      </c>
      <c r="CG168" s="10">
        <f t="shared" si="366"/>
        <v>-150</v>
      </c>
      <c r="CH168" s="10">
        <f t="shared" ref="CH168:DM168" si="367">SUM(CH166:CH167)</f>
        <v>-150</v>
      </c>
      <c r="CI168" s="237">
        <f t="shared" si="367"/>
        <v>-150</v>
      </c>
      <c r="CJ168" s="10">
        <f t="shared" si="367"/>
        <v>-150</v>
      </c>
      <c r="CK168" s="10">
        <f t="shared" si="367"/>
        <v>-150</v>
      </c>
      <c r="CL168" s="10">
        <f t="shared" si="367"/>
        <v>-150</v>
      </c>
      <c r="CM168" s="10">
        <f t="shared" si="367"/>
        <v>-150</v>
      </c>
      <c r="CN168" s="10">
        <f t="shared" si="367"/>
        <v>-150</v>
      </c>
      <c r="CO168" s="10">
        <f t="shared" si="367"/>
        <v>-150</v>
      </c>
      <c r="CP168" s="10">
        <f t="shared" si="367"/>
        <v>-150</v>
      </c>
      <c r="CQ168" s="10">
        <f t="shared" si="367"/>
        <v>-150</v>
      </c>
      <c r="CR168" s="10">
        <f t="shared" si="367"/>
        <v>-150</v>
      </c>
      <c r="CS168" s="10">
        <f t="shared" si="367"/>
        <v>-150</v>
      </c>
      <c r="CT168" s="10">
        <f t="shared" si="367"/>
        <v>-150</v>
      </c>
      <c r="CU168" s="237">
        <f t="shared" si="367"/>
        <v>-150</v>
      </c>
      <c r="CV168" s="10">
        <f t="shared" si="367"/>
        <v>-150</v>
      </c>
      <c r="CW168" s="10">
        <f t="shared" si="367"/>
        <v>-150</v>
      </c>
      <c r="CX168" s="10">
        <f t="shared" si="367"/>
        <v>-150</v>
      </c>
      <c r="CY168" s="10">
        <f t="shared" si="367"/>
        <v>-150</v>
      </c>
      <c r="CZ168" s="10">
        <f t="shared" si="367"/>
        <v>-150</v>
      </c>
      <c r="DA168" s="10">
        <f t="shared" si="367"/>
        <v>-150</v>
      </c>
      <c r="DB168" s="10">
        <f t="shared" si="367"/>
        <v>-150</v>
      </c>
      <c r="DC168" s="10">
        <f t="shared" si="367"/>
        <v>-150</v>
      </c>
      <c r="DD168" s="10">
        <f t="shared" si="367"/>
        <v>-150</v>
      </c>
      <c r="DE168" s="10">
        <f t="shared" si="367"/>
        <v>-150</v>
      </c>
      <c r="DF168" s="10">
        <f t="shared" si="367"/>
        <v>-150</v>
      </c>
      <c r="DG168" s="10">
        <f t="shared" si="367"/>
        <v>-150</v>
      </c>
    </row>
    <row r="169" spans="1:111" x14ac:dyDescent="0.25">
      <c r="AW169" s="585"/>
      <c r="AX169" s="604"/>
      <c r="AY169" s="585"/>
      <c r="BK169" s="227"/>
      <c r="BW169" s="227"/>
      <c r="CI169" s="227"/>
      <c r="CU169" s="227"/>
    </row>
    <row r="170" spans="1:111" x14ac:dyDescent="0.25">
      <c r="B170" s="1" t="s">
        <v>214</v>
      </c>
      <c r="D170" s="9">
        <f t="shared" ref="D170:AI170" si="368">D168+D163</f>
        <v>0</v>
      </c>
      <c r="E170" s="9">
        <f t="shared" si="368"/>
        <v>0</v>
      </c>
      <c r="F170" s="9">
        <f t="shared" si="368"/>
        <v>0</v>
      </c>
      <c r="G170" s="9">
        <f t="shared" si="368"/>
        <v>0</v>
      </c>
      <c r="H170" s="9">
        <f t="shared" si="368"/>
        <v>0</v>
      </c>
      <c r="I170" s="9">
        <f t="shared" si="368"/>
        <v>0</v>
      </c>
      <c r="J170" s="9">
        <f t="shared" si="368"/>
        <v>0</v>
      </c>
      <c r="K170" s="9">
        <f t="shared" si="368"/>
        <v>0</v>
      </c>
      <c r="L170" s="9">
        <f t="shared" si="368"/>
        <v>0</v>
      </c>
      <c r="M170" s="9">
        <f t="shared" si="368"/>
        <v>0</v>
      </c>
      <c r="N170" s="9">
        <f t="shared" si="368"/>
        <v>0</v>
      </c>
      <c r="O170" s="9">
        <f t="shared" si="368"/>
        <v>0</v>
      </c>
      <c r="P170" s="9">
        <f t="shared" si="368"/>
        <v>0</v>
      </c>
      <c r="Q170" s="9">
        <f t="shared" si="368"/>
        <v>0</v>
      </c>
      <c r="R170" s="9">
        <f t="shared" si="368"/>
        <v>0</v>
      </c>
      <c r="S170" s="9">
        <f t="shared" si="368"/>
        <v>0</v>
      </c>
      <c r="T170" s="9">
        <f t="shared" si="368"/>
        <v>0</v>
      </c>
      <c r="U170" s="9">
        <f t="shared" si="368"/>
        <v>0</v>
      </c>
      <c r="V170" s="9">
        <f t="shared" si="368"/>
        <v>0</v>
      </c>
      <c r="W170" s="9">
        <f t="shared" si="368"/>
        <v>0</v>
      </c>
      <c r="X170" s="9">
        <f t="shared" si="368"/>
        <v>0</v>
      </c>
      <c r="Y170" s="9">
        <f t="shared" si="368"/>
        <v>0</v>
      </c>
      <c r="Z170" s="9">
        <f t="shared" si="368"/>
        <v>0</v>
      </c>
      <c r="AA170" s="9">
        <f t="shared" si="368"/>
        <v>0</v>
      </c>
      <c r="AB170" s="9">
        <f t="shared" si="368"/>
        <v>933.39999999999964</v>
      </c>
      <c r="AC170" s="9">
        <f t="shared" si="368"/>
        <v>112.36999999999898</v>
      </c>
      <c r="AD170" s="9">
        <f t="shared" si="368"/>
        <v>1762.3599999999997</v>
      </c>
      <c r="AE170" s="9">
        <f t="shared" si="368"/>
        <v>-1028.2099999999982</v>
      </c>
      <c r="AF170" s="9">
        <f t="shared" si="368"/>
        <v>830.61000000000058</v>
      </c>
      <c r="AG170" s="9">
        <f t="shared" si="368"/>
        <v>9.8399999999960528</v>
      </c>
      <c r="AH170" s="9">
        <f t="shared" si="368"/>
        <v>292.37000000000307</v>
      </c>
      <c r="AI170" s="9">
        <f t="shared" si="368"/>
        <v>-1851.2199999999989</v>
      </c>
      <c r="AJ170" s="9">
        <f t="shared" ref="AJ170:BO170" si="369">AJ168+AJ163</f>
        <v>-938.0500000000045</v>
      </c>
      <c r="AK170" s="9">
        <f t="shared" si="369"/>
        <v>2148.3500000000013</v>
      </c>
      <c r="AL170" s="9">
        <f t="shared" si="369"/>
        <v>-435.14999999999759</v>
      </c>
      <c r="AM170" s="9">
        <f t="shared" si="369"/>
        <v>-410.67000000000189</v>
      </c>
      <c r="AN170" s="9">
        <f t="shared" si="369"/>
        <v>614.3199999999988</v>
      </c>
      <c r="AO170" s="9">
        <f t="shared" si="369"/>
        <v>431.57000000000471</v>
      </c>
      <c r="AP170" s="9">
        <f t="shared" si="369"/>
        <v>917.34999999999854</v>
      </c>
      <c r="AQ170" s="9">
        <f t="shared" si="369"/>
        <v>919.02000000000089</v>
      </c>
      <c r="AR170" s="9">
        <f t="shared" si="369"/>
        <v>2235.6799999999985</v>
      </c>
      <c r="AS170" s="9">
        <f t="shared" si="369"/>
        <v>167.09000000000196</v>
      </c>
      <c r="AT170" s="9">
        <f t="shared" si="369"/>
        <v>-76.790000000001783</v>
      </c>
      <c r="AU170" s="9">
        <f t="shared" si="369"/>
        <v>520.84999999999945</v>
      </c>
      <c r="AV170" s="9">
        <f t="shared" si="369"/>
        <v>-747.43999999999596</v>
      </c>
      <c r="AW170" s="603">
        <f t="shared" si="369"/>
        <v>-532.02999999999793</v>
      </c>
      <c r="AX170" s="632">
        <f t="shared" si="369"/>
        <v>-523.80000000000609</v>
      </c>
      <c r="AY170" s="603">
        <f t="shared" si="369"/>
        <v>940.14281277652594</v>
      </c>
      <c r="AZ170" s="9">
        <f t="shared" si="369"/>
        <v>-705.89881297083616</v>
      </c>
      <c r="BA170" s="9">
        <f t="shared" si="369"/>
        <v>250.65509711470531</v>
      </c>
      <c r="BB170" s="9">
        <f t="shared" si="369"/>
        <v>952.32700948500064</v>
      </c>
      <c r="BC170" s="9">
        <f t="shared" si="369"/>
        <v>2103.0930599287262</v>
      </c>
      <c r="BD170" s="9">
        <f t="shared" si="369"/>
        <v>1840.1898004888149</v>
      </c>
      <c r="BE170" s="9">
        <f t="shared" si="369"/>
        <v>2093.8832961712992</v>
      </c>
      <c r="BF170" s="9">
        <f t="shared" si="369"/>
        <v>1831.5565813934945</v>
      </c>
      <c r="BG170" s="9">
        <f t="shared" si="369"/>
        <v>2215.5567723578861</v>
      </c>
      <c r="BH170" s="9">
        <f t="shared" si="369"/>
        <v>552.8388041295525</v>
      </c>
      <c r="BI170" s="9">
        <f t="shared" si="369"/>
        <v>745.74455902817976</v>
      </c>
      <c r="BJ170" s="9">
        <f t="shared" si="369"/>
        <v>1285.6489304968759</v>
      </c>
      <c r="BK170" s="238">
        <f t="shared" si="369"/>
        <v>1234.6466061343558</v>
      </c>
      <c r="BL170" s="9">
        <f t="shared" si="369"/>
        <v>128.25289038164266</v>
      </c>
      <c r="BM170" s="9">
        <f t="shared" si="369"/>
        <v>1092.1803517160965</v>
      </c>
      <c r="BN170" s="9">
        <f t="shared" si="369"/>
        <v>2016.9180365548559</v>
      </c>
      <c r="BO170" s="9">
        <f t="shared" si="369"/>
        <v>2874.7698723175104</v>
      </c>
      <c r="BP170" s="9">
        <f t="shared" ref="BP170:CU170" si="370">BP168+BP163</f>
        <v>2407.7285112355312</v>
      </c>
      <c r="BQ170" s="9">
        <f t="shared" si="370"/>
        <v>2639.3756832249633</v>
      </c>
      <c r="BR170" s="9">
        <f t="shared" si="370"/>
        <v>1994.689901802426</v>
      </c>
      <c r="BS170" s="9">
        <f t="shared" si="370"/>
        <v>2978.9944383934549</v>
      </c>
      <c r="BT170" s="9">
        <f t="shared" si="370"/>
        <v>707.08251220653881</v>
      </c>
      <c r="BU170" s="9">
        <f t="shared" si="370"/>
        <v>716.70965981328357</v>
      </c>
      <c r="BV170" s="9">
        <f t="shared" si="370"/>
        <v>1835.2321049487609</v>
      </c>
      <c r="BW170" s="238">
        <f t="shared" si="370"/>
        <v>1384.5210075698224</v>
      </c>
      <c r="BX170" s="9">
        <f t="shared" si="370"/>
        <v>141.54431941655326</v>
      </c>
      <c r="BY170" s="9">
        <f t="shared" si="370"/>
        <v>1575.53543297193</v>
      </c>
      <c r="BZ170" s="9">
        <f t="shared" si="370"/>
        <v>2297.4160541199599</v>
      </c>
      <c r="CA170" s="9">
        <f t="shared" si="370"/>
        <v>2533.7390342642452</v>
      </c>
      <c r="CB170" s="9">
        <f t="shared" si="370"/>
        <v>3492.5225272267967</v>
      </c>
      <c r="CC170" s="9">
        <f t="shared" si="370"/>
        <v>3041.3583894100652</v>
      </c>
      <c r="CD170" s="9">
        <f t="shared" si="370"/>
        <v>1905.614130515557</v>
      </c>
      <c r="CE170" s="9">
        <f t="shared" si="370"/>
        <v>3664.1558942142847</v>
      </c>
      <c r="CF170" s="9">
        <f t="shared" si="370"/>
        <v>538.40690114817869</v>
      </c>
      <c r="CG170" s="9">
        <f t="shared" si="370"/>
        <v>1030.2076362874468</v>
      </c>
      <c r="CH170" s="9">
        <f t="shared" si="370"/>
        <v>2086.9424598754149</v>
      </c>
      <c r="CI170" s="238">
        <f t="shared" si="370"/>
        <v>972.65868001618946</v>
      </c>
      <c r="CJ170" s="9">
        <f t="shared" si="370"/>
        <v>719.27340887800528</v>
      </c>
      <c r="CK170" s="9">
        <f t="shared" si="370"/>
        <v>1482.7788834091664</v>
      </c>
      <c r="CL170" s="9">
        <f t="shared" si="370"/>
        <v>2218.168243544962</v>
      </c>
      <c r="CM170" s="9">
        <f t="shared" si="370"/>
        <v>3268.0971825034571</v>
      </c>
      <c r="CN170" s="9">
        <f t="shared" si="370"/>
        <v>4019.817330082783</v>
      </c>
      <c r="CO170" s="9">
        <f t="shared" si="370"/>
        <v>3041.7551402727063</v>
      </c>
      <c r="CP170" s="9">
        <f t="shared" si="370"/>
        <v>2518.6388628688733</v>
      </c>
      <c r="CQ170" s="9">
        <f t="shared" si="370"/>
        <v>4169.2871778018789</v>
      </c>
      <c r="CR170" s="9">
        <f t="shared" si="370"/>
        <v>383.3195358299821</v>
      </c>
      <c r="CS170" s="9">
        <f t="shared" si="370"/>
        <v>1559.6120409010869</v>
      </c>
      <c r="CT170" s="9">
        <f t="shared" si="370"/>
        <v>2454.9781121575784</v>
      </c>
      <c r="CU170" s="238">
        <f t="shared" si="370"/>
        <v>1261.55306658416</v>
      </c>
      <c r="CV170" s="9">
        <f t="shared" ref="CV170:DG170" si="371">CV168+CV163</f>
        <v>954.57739077628548</v>
      </c>
      <c r="CW170" s="9">
        <f t="shared" si="371"/>
        <v>1779.6410182584373</v>
      </c>
      <c r="CX170" s="9">
        <f t="shared" si="371"/>
        <v>2299.932233435843</v>
      </c>
      <c r="CY170" s="9">
        <f t="shared" si="371"/>
        <v>4304.8677109640994</v>
      </c>
      <c r="CZ170" s="9">
        <f t="shared" si="371"/>
        <v>4686.0076095747263</v>
      </c>
      <c r="DA170" s="9">
        <f t="shared" si="371"/>
        <v>3153.231395984048</v>
      </c>
      <c r="DB170" s="9">
        <f t="shared" si="371"/>
        <v>3314.1622945748231</v>
      </c>
      <c r="DC170" s="9">
        <f t="shared" si="371"/>
        <v>4364.5152952504932</v>
      </c>
      <c r="DD170" s="9">
        <f t="shared" si="371"/>
        <v>842.47170413702838</v>
      </c>
      <c r="DE170" s="9">
        <f t="shared" si="371"/>
        <v>1874.6378747655444</v>
      </c>
      <c r="DF170" s="9">
        <f t="shared" si="371"/>
        <v>2445.6519669469917</v>
      </c>
      <c r="DG170" s="9">
        <f t="shared" si="371"/>
        <v>1786.4703649463343</v>
      </c>
    </row>
    <row r="171" spans="1:111" x14ac:dyDescent="0.25">
      <c r="AW171" s="585"/>
      <c r="AX171" s="604"/>
      <c r="AY171" s="585"/>
      <c r="BK171" s="227"/>
      <c r="BW171" s="227"/>
      <c r="CI171" s="227"/>
      <c r="CU171" s="227"/>
    </row>
    <row r="172" spans="1:111" x14ac:dyDescent="0.25">
      <c r="B172" s="1" t="s">
        <v>215</v>
      </c>
      <c r="D172" s="9">
        <v>0</v>
      </c>
      <c r="E172" s="9">
        <f t="shared" ref="E172:AJ172" si="372">D173</f>
        <v>0</v>
      </c>
      <c r="F172" s="9">
        <f t="shared" si="372"/>
        <v>0</v>
      </c>
      <c r="G172" s="9">
        <f t="shared" si="372"/>
        <v>0</v>
      </c>
      <c r="H172" s="9">
        <f t="shared" si="372"/>
        <v>0</v>
      </c>
      <c r="I172" s="9">
        <f t="shared" si="372"/>
        <v>0</v>
      </c>
      <c r="J172" s="9">
        <f t="shared" si="372"/>
        <v>0</v>
      </c>
      <c r="K172" s="9">
        <f t="shared" si="372"/>
        <v>0</v>
      </c>
      <c r="L172" s="9">
        <f t="shared" si="372"/>
        <v>0</v>
      </c>
      <c r="M172" s="9">
        <f t="shared" si="372"/>
        <v>0</v>
      </c>
      <c r="N172" s="9">
        <f t="shared" si="372"/>
        <v>0</v>
      </c>
      <c r="O172" s="9">
        <f t="shared" si="372"/>
        <v>0</v>
      </c>
      <c r="P172" s="9">
        <f t="shared" si="372"/>
        <v>0</v>
      </c>
      <c r="Q172" s="9">
        <f t="shared" si="372"/>
        <v>0</v>
      </c>
      <c r="R172" s="9">
        <f t="shared" si="372"/>
        <v>0</v>
      </c>
      <c r="S172" s="9">
        <f t="shared" si="372"/>
        <v>0</v>
      </c>
      <c r="T172" s="9">
        <f t="shared" si="372"/>
        <v>0</v>
      </c>
      <c r="U172" s="9">
        <f t="shared" si="372"/>
        <v>0</v>
      </c>
      <c r="V172" s="9">
        <f t="shared" si="372"/>
        <v>0</v>
      </c>
      <c r="W172" s="9">
        <f t="shared" si="372"/>
        <v>0</v>
      </c>
      <c r="X172" s="9">
        <f t="shared" si="372"/>
        <v>0</v>
      </c>
      <c r="Y172" s="9">
        <f t="shared" si="372"/>
        <v>0</v>
      </c>
      <c r="Z172" s="9">
        <f t="shared" si="372"/>
        <v>0</v>
      </c>
      <c r="AA172" s="9">
        <f t="shared" si="372"/>
        <v>0</v>
      </c>
      <c r="AB172" s="9">
        <f t="shared" si="372"/>
        <v>0</v>
      </c>
      <c r="AC172" s="9">
        <f t="shared" si="372"/>
        <v>933.39999999999964</v>
      </c>
      <c r="AD172" s="9">
        <f t="shared" si="372"/>
        <v>1045.7699999999986</v>
      </c>
      <c r="AE172" s="9">
        <f t="shared" si="372"/>
        <v>2808.1299999999983</v>
      </c>
      <c r="AF172" s="9">
        <f t="shared" si="372"/>
        <v>1779.92</v>
      </c>
      <c r="AG172" s="9">
        <f t="shared" si="372"/>
        <v>2610.5300000000007</v>
      </c>
      <c r="AH172" s="9">
        <f t="shared" si="372"/>
        <v>2620.3699999999967</v>
      </c>
      <c r="AI172" s="9">
        <f t="shared" si="372"/>
        <v>2912.74</v>
      </c>
      <c r="AJ172" s="9">
        <f t="shared" si="372"/>
        <v>1061.5200000000009</v>
      </c>
      <c r="AK172" s="9">
        <f t="shared" ref="AK172:BP172" si="373">AJ173</f>
        <v>123.46999999999639</v>
      </c>
      <c r="AL172" s="9">
        <f t="shared" si="373"/>
        <v>2271.8199999999979</v>
      </c>
      <c r="AM172" s="9">
        <f t="shared" si="373"/>
        <v>1836.6700000000003</v>
      </c>
      <c r="AN172" s="9">
        <f t="shared" si="373"/>
        <v>1425.9999999999984</v>
      </c>
      <c r="AO172" s="9">
        <f t="shared" si="373"/>
        <v>2040.3199999999972</v>
      </c>
      <c r="AP172" s="9">
        <f t="shared" si="373"/>
        <v>2471.8900000000021</v>
      </c>
      <c r="AQ172" s="9">
        <f t="shared" si="373"/>
        <v>3389.2400000000007</v>
      </c>
      <c r="AR172" s="9">
        <f t="shared" si="373"/>
        <v>4308.260000000002</v>
      </c>
      <c r="AS172" s="9">
        <f t="shared" si="373"/>
        <v>6543.9400000000005</v>
      </c>
      <c r="AT172" s="9">
        <f t="shared" si="373"/>
        <v>6711.0300000000025</v>
      </c>
      <c r="AU172" s="9">
        <f t="shared" si="373"/>
        <v>6634.2400000000007</v>
      </c>
      <c r="AV172" s="9">
        <f t="shared" si="373"/>
        <v>7155.09</v>
      </c>
      <c r="AW172" s="603">
        <f t="shared" si="373"/>
        <v>6407.6500000000042</v>
      </c>
      <c r="AX172" s="632">
        <f t="shared" si="373"/>
        <v>5875.6200000000063</v>
      </c>
      <c r="AY172" s="603">
        <f t="shared" si="373"/>
        <v>5351.82</v>
      </c>
      <c r="AZ172" s="9">
        <f t="shared" si="373"/>
        <v>6291.9628127765254</v>
      </c>
      <c r="BA172" s="9">
        <f t="shared" si="373"/>
        <v>5586.0639998056895</v>
      </c>
      <c r="BB172" s="9">
        <f t="shared" si="373"/>
        <v>5836.7190969203948</v>
      </c>
      <c r="BC172" s="9">
        <f t="shared" si="373"/>
        <v>6789.0461064053952</v>
      </c>
      <c r="BD172" s="9">
        <f t="shared" si="373"/>
        <v>8892.1391663341219</v>
      </c>
      <c r="BE172" s="9">
        <f t="shared" si="373"/>
        <v>10732.328966822937</v>
      </c>
      <c r="BF172" s="9">
        <f t="shared" si="373"/>
        <v>12826.212262994237</v>
      </c>
      <c r="BG172" s="9">
        <f t="shared" si="373"/>
        <v>14657.76884438773</v>
      </c>
      <c r="BH172" s="9">
        <f t="shared" si="373"/>
        <v>16873.325616745617</v>
      </c>
      <c r="BI172" s="9">
        <f t="shared" si="373"/>
        <v>17426.164420875168</v>
      </c>
      <c r="BJ172" s="9">
        <f t="shared" si="373"/>
        <v>18171.908979903346</v>
      </c>
      <c r="BK172" s="238">
        <f t="shared" si="373"/>
        <v>19457.557910400221</v>
      </c>
      <c r="BL172" s="9">
        <f t="shared" si="373"/>
        <v>20692.204516534577</v>
      </c>
      <c r="BM172" s="9">
        <f t="shared" si="373"/>
        <v>20820.457406916219</v>
      </c>
      <c r="BN172" s="9">
        <f t="shared" si="373"/>
        <v>21912.637758632314</v>
      </c>
      <c r="BO172" s="9">
        <f t="shared" si="373"/>
        <v>23929.555795187171</v>
      </c>
      <c r="BP172" s="9">
        <f t="shared" si="373"/>
        <v>26804.32566750468</v>
      </c>
      <c r="BQ172" s="9">
        <f t="shared" ref="BQ172:CV172" si="374">BP173</f>
        <v>29212.054178740211</v>
      </c>
      <c r="BR172" s="9">
        <f t="shared" si="374"/>
        <v>31851.429861965174</v>
      </c>
      <c r="BS172" s="9">
        <f t="shared" si="374"/>
        <v>33846.119763767601</v>
      </c>
      <c r="BT172" s="9">
        <f t="shared" si="374"/>
        <v>36825.114202161058</v>
      </c>
      <c r="BU172" s="9">
        <f t="shared" si="374"/>
        <v>37532.196714367594</v>
      </c>
      <c r="BV172" s="9">
        <f t="shared" si="374"/>
        <v>38248.906374180879</v>
      </c>
      <c r="BW172" s="238">
        <f t="shared" si="374"/>
        <v>40084.138479129637</v>
      </c>
      <c r="BX172" s="9">
        <f t="shared" si="374"/>
        <v>41468.659486699456</v>
      </c>
      <c r="BY172" s="9">
        <f t="shared" si="374"/>
        <v>41610.203806116013</v>
      </c>
      <c r="BZ172" s="9">
        <f t="shared" si="374"/>
        <v>43185.739239087939</v>
      </c>
      <c r="CA172" s="9">
        <f t="shared" si="374"/>
        <v>45483.155293207899</v>
      </c>
      <c r="CB172" s="9">
        <f t="shared" si="374"/>
        <v>48016.894327472146</v>
      </c>
      <c r="CC172" s="9">
        <f t="shared" si="374"/>
        <v>51509.416854698946</v>
      </c>
      <c r="CD172" s="9">
        <f t="shared" si="374"/>
        <v>54550.775244109012</v>
      </c>
      <c r="CE172" s="9">
        <f t="shared" si="374"/>
        <v>56456.389374624567</v>
      </c>
      <c r="CF172" s="9">
        <f t="shared" si="374"/>
        <v>60120.545268838854</v>
      </c>
      <c r="CG172" s="9">
        <f t="shared" si="374"/>
        <v>60658.952169987031</v>
      </c>
      <c r="CH172" s="9">
        <f t="shared" si="374"/>
        <v>61689.159806274474</v>
      </c>
      <c r="CI172" s="238">
        <f t="shared" si="374"/>
        <v>63776.102266149886</v>
      </c>
      <c r="CJ172" s="9">
        <f t="shared" si="374"/>
        <v>64748.760946166076</v>
      </c>
      <c r="CK172" s="9">
        <f t="shared" si="374"/>
        <v>65468.034355044081</v>
      </c>
      <c r="CL172" s="9">
        <f t="shared" si="374"/>
        <v>66950.813238453251</v>
      </c>
      <c r="CM172" s="9">
        <f t="shared" si="374"/>
        <v>69168.981481998213</v>
      </c>
      <c r="CN172" s="9">
        <f t="shared" si="374"/>
        <v>72437.078664501663</v>
      </c>
      <c r="CO172" s="9">
        <f t="shared" si="374"/>
        <v>76456.89599458444</v>
      </c>
      <c r="CP172" s="9">
        <f t="shared" si="374"/>
        <v>79498.651134857151</v>
      </c>
      <c r="CQ172" s="9">
        <f t="shared" si="374"/>
        <v>82017.289997726024</v>
      </c>
      <c r="CR172" s="9">
        <f t="shared" si="374"/>
        <v>86186.577175527898</v>
      </c>
      <c r="CS172" s="9">
        <f t="shared" si="374"/>
        <v>86569.896711357884</v>
      </c>
      <c r="CT172" s="9">
        <f t="shared" si="374"/>
        <v>88129.508752258975</v>
      </c>
      <c r="CU172" s="238">
        <f t="shared" si="374"/>
        <v>90584.486864416554</v>
      </c>
      <c r="CV172" s="9">
        <f t="shared" si="374"/>
        <v>91846.03993100072</v>
      </c>
      <c r="CW172" s="9">
        <f t="shared" ref="CW172:DG172" si="375">CV173</f>
        <v>92800.617321777012</v>
      </c>
      <c r="CX172" s="9">
        <f t="shared" si="375"/>
        <v>94580.258340035449</v>
      </c>
      <c r="CY172" s="9">
        <f t="shared" si="375"/>
        <v>96880.190573471293</v>
      </c>
      <c r="CZ172" s="9">
        <f t="shared" si="375"/>
        <v>101185.05828443539</v>
      </c>
      <c r="DA172" s="9">
        <f t="shared" si="375"/>
        <v>105871.06589401011</v>
      </c>
      <c r="DB172" s="9">
        <f t="shared" si="375"/>
        <v>109024.29728999417</v>
      </c>
      <c r="DC172" s="9">
        <f t="shared" si="375"/>
        <v>112338.45958456899</v>
      </c>
      <c r="DD172" s="9">
        <f t="shared" si="375"/>
        <v>116702.97487981948</v>
      </c>
      <c r="DE172" s="9">
        <f t="shared" si="375"/>
        <v>117545.44658395651</v>
      </c>
      <c r="DF172" s="9">
        <f t="shared" si="375"/>
        <v>119420.08445872205</v>
      </c>
      <c r="DG172" s="9">
        <f t="shared" si="375"/>
        <v>121865.73642566903</v>
      </c>
    </row>
    <row r="173" spans="1:111" x14ac:dyDescent="0.25">
      <c r="B173" s="1" t="s">
        <v>216</v>
      </c>
      <c r="D173" s="9">
        <v>0</v>
      </c>
      <c r="E173" s="9">
        <f t="shared" ref="E173:AJ173" si="376">E172+E170</f>
        <v>0</v>
      </c>
      <c r="F173" s="9">
        <f t="shared" si="376"/>
        <v>0</v>
      </c>
      <c r="G173" s="9">
        <f t="shared" si="376"/>
        <v>0</v>
      </c>
      <c r="H173" s="9">
        <f t="shared" si="376"/>
        <v>0</v>
      </c>
      <c r="I173" s="9">
        <f t="shared" si="376"/>
        <v>0</v>
      </c>
      <c r="J173" s="9">
        <f t="shared" si="376"/>
        <v>0</v>
      </c>
      <c r="K173" s="9">
        <f t="shared" si="376"/>
        <v>0</v>
      </c>
      <c r="L173" s="9">
        <f t="shared" si="376"/>
        <v>0</v>
      </c>
      <c r="M173" s="9">
        <f t="shared" si="376"/>
        <v>0</v>
      </c>
      <c r="N173" s="9">
        <f t="shared" si="376"/>
        <v>0</v>
      </c>
      <c r="O173" s="9">
        <f t="shared" si="376"/>
        <v>0</v>
      </c>
      <c r="P173" s="9">
        <f t="shared" si="376"/>
        <v>0</v>
      </c>
      <c r="Q173" s="9">
        <f t="shared" si="376"/>
        <v>0</v>
      </c>
      <c r="R173" s="9">
        <f t="shared" si="376"/>
        <v>0</v>
      </c>
      <c r="S173" s="9">
        <f t="shared" si="376"/>
        <v>0</v>
      </c>
      <c r="T173" s="9">
        <f t="shared" si="376"/>
        <v>0</v>
      </c>
      <c r="U173" s="9">
        <f t="shared" si="376"/>
        <v>0</v>
      </c>
      <c r="V173" s="9">
        <f t="shared" si="376"/>
        <v>0</v>
      </c>
      <c r="W173" s="9">
        <f t="shared" si="376"/>
        <v>0</v>
      </c>
      <c r="X173" s="9">
        <f t="shared" si="376"/>
        <v>0</v>
      </c>
      <c r="Y173" s="9">
        <f t="shared" si="376"/>
        <v>0</v>
      </c>
      <c r="Z173" s="9">
        <f t="shared" si="376"/>
        <v>0</v>
      </c>
      <c r="AA173" s="9">
        <f t="shared" si="376"/>
        <v>0</v>
      </c>
      <c r="AB173" s="9">
        <f t="shared" si="376"/>
        <v>933.39999999999964</v>
      </c>
      <c r="AC173" s="9">
        <f t="shared" si="376"/>
        <v>1045.7699999999986</v>
      </c>
      <c r="AD173" s="9">
        <f t="shared" si="376"/>
        <v>2808.1299999999983</v>
      </c>
      <c r="AE173" s="9">
        <f t="shared" si="376"/>
        <v>1779.92</v>
      </c>
      <c r="AF173" s="9">
        <f t="shared" si="376"/>
        <v>2610.5300000000007</v>
      </c>
      <c r="AG173" s="9">
        <f t="shared" si="376"/>
        <v>2620.3699999999967</v>
      </c>
      <c r="AH173" s="9">
        <f t="shared" si="376"/>
        <v>2912.74</v>
      </c>
      <c r="AI173" s="9">
        <f t="shared" si="376"/>
        <v>1061.5200000000009</v>
      </c>
      <c r="AJ173" s="9">
        <f t="shared" si="376"/>
        <v>123.46999999999639</v>
      </c>
      <c r="AK173" s="9">
        <f t="shared" ref="AK173:BP173" si="377">AK172+AK170</f>
        <v>2271.8199999999979</v>
      </c>
      <c r="AL173" s="9">
        <f t="shared" si="377"/>
        <v>1836.6700000000003</v>
      </c>
      <c r="AM173" s="9">
        <f t="shared" si="377"/>
        <v>1425.9999999999984</v>
      </c>
      <c r="AN173" s="9">
        <f t="shared" si="377"/>
        <v>2040.3199999999972</v>
      </c>
      <c r="AO173" s="9">
        <f t="shared" si="377"/>
        <v>2471.8900000000021</v>
      </c>
      <c r="AP173" s="9">
        <f t="shared" si="377"/>
        <v>3389.2400000000007</v>
      </c>
      <c r="AQ173" s="9">
        <f t="shared" si="377"/>
        <v>4308.260000000002</v>
      </c>
      <c r="AR173" s="9">
        <f t="shared" si="377"/>
        <v>6543.9400000000005</v>
      </c>
      <c r="AS173" s="9">
        <f t="shared" si="377"/>
        <v>6711.0300000000025</v>
      </c>
      <c r="AT173" s="9">
        <f t="shared" si="377"/>
        <v>6634.2400000000007</v>
      </c>
      <c r="AU173" s="9">
        <f t="shared" si="377"/>
        <v>7155.09</v>
      </c>
      <c r="AV173" s="9">
        <f t="shared" si="377"/>
        <v>6407.6500000000042</v>
      </c>
      <c r="AW173" s="603">
        <f t="shared" si="377"/>
        <v>5875.6200000000063</v>
      </c>
      <c r="AX173" s="632">
        <f t="shared" si="377"/>
        <v>5351.82</v>
      </c>
      <c r="AY173" s="603">
        <f t="shared" si="377"/>
        <v>6291.9628127765254</v>
      </c>
      <c r="AZ173" s="9">
        <f t="shared" si="377"/>
        <v>5586.0639998056895</v>
      </c>
      <c r="BA173" s="9">
        <f t="shared" si="377"/>
        <v>5836.7190969203948</v>
      </c>
      <c r="BB173" s="9">
        <f t="shared" si="377"/>
        <v>6789.0461064053952</v>
      </c>
      <c r="BC173" s="9">
        <f t="shared" si="377"/>
        <v>8892.1391663341219</v>
      </c>
      <c r="BD173" s="9">
        <f t="shared" si="377"/>
        <v>10732.328966822937</v>
      </c>
      <c r="BE173" s="9">
        <f t="shared" si="377"/>
        <v>12826.212262994237</v>
      </c>
      <c r="BF173" s="9">
        <f t="shared" si="377"/>
        <v>14657.76884438773</v>
      </c>
      <c r="BG173" s="9">
        <f t="shared" si="377"/>
        <v>16873.325616745617</v>
      </c>
      <c r="BH173" s="9">
        <f t="shared" si="377"/>
        <v>17426.164420875168</v>
      </c>
      <c r="BI173" s="9">
        <f t="shared" si="377"/>
        <v>18171.908979903346</v>
      </c>
      <c r="BJ173" s="9">
        <f t="shared" si="377"/>
        <v>19457.557910400221</v>
      </c>
      <c r="BK173" s="238">
        <f t="shared" si="377"/>
        <v>20692.204516534577</v>
      </c>
      <c r="BL173" s="9">
        <f t="shared" si="377"/>
        <v>20820.457406916219</v>
      </c>
      <c r="BM173" s="9">
        <f t="shared" si="377"/>
        <v>21912.637758632314</v>
      </c>
      <c r="BN173" s="9">
        <f t="shared" si="377"/>
        <v>23929.555795187171</v>
      </c>
      <c r="BO173" s="9">
        <f t="shared" si="377"/>
        <v>26804.32566750468</v>
      </c>
      <c r="BP173" s="9">
        <f t="shared" si="377"/>
        <v>29212.054178740211</v>
      </c>
      <c r="BQ173" s="9">
        <f t="shared" ref="BQ173:CV173" si="378">BQ172+BQ170</f>
        <v>31851.429861965174</v>
      </c>
      <c r="BR173" s="9">
        <f t="shared" si="378"/>
        <v>33846.119763767601</v>
      </c>
      <c r="BS173" s="9">
        <f t="shared" si="378"/>
        <v>36825.114202161058</v>
      </c>
      <c r="BT173" s="9">
        <f t="shared" si="378"/>
        <v>37532.196714367594</v>
      </c>
      <c r="BU173" s="9">
        <f t="shared" si="378"/>
        <v>38248.906374180879</v>
      </c>
      <c r="BV173" s="9">
        <f t="shared" si="378"/>
        <v>40084.138479129637</v>
      </c>
      <c r="BW173" s="238">
        <f t="shared" si="378"/>
        <v>41468.659486699456</v>
      </c>
      <c r="BX173" s="9">
        <f t="shared" si="378"/>
        <v>41610.203806116013</v>
      </c>
      <c r="BY173" s="9">
        <f t="shared" si="378"/>
        <v>43185.739239087939</v>
      </c>
      <c r="BZ173" s="9">
        <f t="shared" si="378"/>
        <v>45483.155293207899</v>
      </c>
      <c r="CA173" s="9">
        <f t="shared" si="378"/>
        <v>48016.894327472146</v>
      </c>
      <c r="CB173" s="9">
        <f t="shared" si="378"/>
        <v>51509.416854698946</v>
      </c>
      <c r="CC173" s="9">
        <f t="shared" si="378"/>
        <v>54550.775244109012</v>
      </c>
      <c r="CD173" s="9">
        <f t="shared" si="378"/>
        <v>56456.389374624567</v>
      </c>
      <c r="CE173" s="9">
        <f t="shared" si="378"/>
        <v>60120.545268838854</v>
      </c>
      <c r="CF173" s="9">
        <f t="shared" si="378"/>
        <v>60658.952169987031</v>
      </c>
      <c r="CG173" s="9">
        <f t="shared" si="378"/>
        <v>61689.159806274474</v>
      </c>
      <c r="CH173" s="9">
        <f t="shared" si="378"/>
        <v>63776.102266149886</v>
      </c>
      <c r="CI173" s="238">
        <f t="shared" si="378"/>
        <v>64748.760946166076</v>
      </c>
      <c r="CJ173" s="9">
        <f t="shared" si="378"/>
        <v>65468.034355044081</v>
      </c>
      <c r="CK173" s="9">
        <f t="shared" si="378"/>
        <v>66950.813238453251</v>
      </c>
      <c r="CL173" s="9">
        <f t="shared" si="378"/>
        <v>69168.981481998213</v>
      </c>
      <c r="CM173" s="9">
        <f t="shared" si="378"/>
        <v>72437.078664501663</v>
      </c>
      <c r="CN173" s="9">
        <f t="shared" si="378"/>
        <v>76456.89599458444</v>
      </c>
      <c r="CO173" s="9">
        <f t="shared" si="378"/>
        <v>79498.651134857151</v>
      </c>
      <c r="CP173" s="9">
        <f t="shared" si="378"/>
        <v>82017.289997726024</v>
      </c>
      <c r="CQ173" s="9">
        <f t="shared" si="378"/>
        <v>86186.577175527898</v>
      </c>
      <c r="CR173" s="9">
        <f t="shared" si="378"/>
        <v>86569.896711357884</v>
      </c>
      <c r="CS173" s="9">
        <f t="shared" si="378"/>
        <v>88129.508752258975</v>
      </c>
      <c r="CT173" s="9">
        <f t="shared" si="378"/>
        <v>90584.486864416554</v>
      </c>
      <c r="CU173" s="238">
        <f t="shared" si="378"/>
        <v>91846.03993100072</v>
      </c>
      <c r="CV173" s="9">
        <f t="shared" si="378"/>
        <v>92800.617321777012</v>
      </c>
      <c r="CW173" s="9">
        <f t="shared" ref="CW173:EB173" si="379">CW172+CW170</f>
        <v>94580.258340035449</v>
      </c>
      <c r="CX173" s="9">
        <f t="shared" si="379"/>
        <v>96880.190573471293</v>
      </c>
      <c r="CY173" s="9">
        <f t="shared" si="379"/>
        <v>101185.05828443539</v>
      </c>
      <c r="CZ173" s="9">
        <f t="shared" si="379"/>
        <v>105871.06589401011</v>
      </c>
      <c r="DA173" s="9">
        <f t="shared" si="379"/>
        <v>109024.29728999417</v>
      </c>
      <c r="DB173" s="9">
        <f t="shared" si="379"/>
        <v>112338.45958456899</v>
      </c>
      <c r="DC173" s="9">
        <f t="shared" si="379"/>
        <v>116702.97487981948</v>
      </c>
      <c r="DD173" s="9">
        <f t="shared" si="379"/>
        <v>117545.44658395651</v>
      </c>
      <c r="DE173" s="9">
        <f t="shared" si="379"/>
        <v>119420.08445872205</v>
      </c>
      <c r="DF173" s="9">
        <f t="shared" si="379"/>
        <v>121865.73642566903</v>
      </c>
      <c r="DG173" s="9">
        <f t="shared" si="379"/>
        <v>123652.20679061537</v>
      </c>
    </row>
    <row r="174" spans="1:111" x14ac:dyDescent="0.25">
      <c r="C174" s="8" t="s">
        <v>207</v>
      </c>
      <c r="D174" s="9">
        <f t="shared" ref="D174:AI174" si="380">D173-D111</f>
        <v>0</v>
      </c>
      <c r="E174" s="9">
        <f t="shared" si="380"/>
        <v>0</v>
      </c>
      <c r="F174" s="9">
        <f t="shared" si="380"/>
        <v>0</v>
      </c>
      <c r="G174" s="9">
        <f t="shared" si="380"/>
        <v>0</v>
      </c>
      <c r="H174" s="9">
        <f t="shared" si="380"/>
        <v>0</v>
      </c>
      <c r="I174" s="9">
        <f t="shared" si="380"/>
        <v>0</v>
      </c>
      <c r="J174" s="9">
        <f t="shared" si="380"/>
        <v>0</v>
      </c>
      <c r="K174" s="9">
        <f t="shared" si="380"/>
        <v>0</v>
      </c>
      <c r="L174" s="9">
        <f t="shared" si="380"/>
        <v>0</v>
      </c>
      <c r="M174" s="9">
        <f t="shared" si="380"/>
        <v>0</v>
      </c>
      <c r="N174" s="123">
        <f t="shared" si="380"/>
        <v>0</v>
      </c>
      <c r="O174" s="123">
        <f t="shared" si="380"/>
        <v>0</v>
      </c>
      <c r="P174" s="123">
        <f t="shared" si="380"/>
        <v>0</v>
      </c>
      <c r="Q174" s="9">
        <f t="shared" si="380"/>
        <v>0</v>
      </c>
      <c r="R174" s="123">
        <f t="shared" si="380"/>
        <v>0</v>
      </c>
      <c r="S174" s="9">
        <f t="shared" si="380"/>
        <v>0</v>
      </c>
      <c r="T174" s="9">
        <f t="shared" si="380"/>
        <v>0</v>
      </c>
      <c r="U174" s="9">
        <f t="shared" si="380"/>
        <v>0</v>
      </c>
      <c r="V174" s="123">
        <f t="shared" si="380"/>
        <v>0</v>
      </c>
      <c r="W174" s="123">
        <f t="shared" si="380"/>
        <v>0</v>
      </c>
      <c r="X174" s="123">
        <f t="shared" si="380"/>
        <v>0</v>
      </c>
      <c r="Y174" s="123">
        <f t="shared" si="380"/>
        <v>0</v>
      </c>
      <c r="Z174" s="123">
        <f t="shared" si="380"/>
        <v>0</v>
      </c>
      <c r="AA174" s="123">
        <f t="shared" si="380"/>
        <v>0</v>
      </c>
      <c r="AB174" s="123">
        <f t="shared" si="380"/>
        <v>0</v>
      </c>
      <c r="AC174" s="123">
        <f t="shared" si="380"/>
        <v>0</v>
      </c>
      <c r="AD174" s="123">
        <f t="shared" si="380"/>
        <v>0</v>
      </c>
      <c r="AE174" s="123">
        <f t="shared" si="380"/>
        <v>0</v>
      </c>
      <c r="AF174" s="123">
        <f t="shared" si="380"/>
        <v>0</v>
      </c>
      <c r="AG174" s="123">
        <f t="shared" si="380"/>
        <v>0</v>
      </c>
      <c r="AH174" s="123">
        <f t="shared" si="380"/>
        <v>0</v>
      </c>
      <c r="AI174" s="123">
        <f t="shared" si="380"/>
        <v>0</v>
      </c>
      <c r="AJ174" s="123">
        <f t="shared" ref="AJ174:BO174" si="381">AJ173-AJ111</f>
        <v>-3.6237679523765109E-12</v>
      </c>
      <c r="AK174" s="123">
        <f t="shared" si="381"/>
        <v>0</v>
      </c>
      <c r="AL174" s="123">
        <f t="shared" si="381"/>
        <v>0</v>
      </c>
      <c r="AM174" s="123">
        <f t="shared" si="381"/>
        <v>0</v>
      </c>
      <c r="AN174" s="123">
        <f t="shared" si="381"/>
        <v>-2.9558577807620168E-12</v>
      </c>
      <c r="AO174" s="123">
        <f t="shared" si="381"/>
        <v>0</v>
      </c>
      <c r="AP174" s="123">
        <f t="shared" si="381"/>
        <v>0</v>
      </c>
      <c r="AQ174" s="123">
        <f t="shared" si="381"/>
        <v>0</v>
      </c>
      <c r="AR174" s="123">
        <f t="shared" si="381"/>
        <v>0</v>
      </c>
      <c r="AS174" s="123">
        <f t="shared" si="381"/>
        <v>0</v>
      </c>
      <c r="AT174" s="123">
        <f t="shared" si="381"/>
        <v>0</v>
      </c>
      <c r="AU174" s="123">
        <f t="shared" si="381"/>
        <v>0</v>
      </c>
      <c r="AV174" s="123">
        <f t="shared" si="381"/>
        <v>0</v>
      </c>
      <c r="AW174" s="633">
        <f t="shared" si="381"/>
        <v>0</v>
      </c>
      <c r="AX174" s="634">
        <f t="shared" si="381"/>
        <v>0</v>
      </c>
      <c r="AY174" s="603">
        <f t="shared" si="381"/>
        <v>0</v>
      </c>
      <c r="AZ174" s="9">
        <f t="shared" si="381"/>
        <v>0</v>
      </c>
      <c r="BA174" s="9">
        <f t="shared" si="381"/>
        <v>0</v>
      </c>
      <c r="BB174" s="9">
        <f t="shared" si="381"/>
        <v>0</v>
      </c>
      <c r="BC174" s="9">
        <f t="shared" si="381"/>
        <v>0</v>
      </c>
      <c r="BD174" s="9">
        <f t="shared" si="381"/>
        <v>0</v>
      </c>
      <c r="BE174" s="9">
        <f t="shared" si="381"/>
        <v>0</v>
      </c>
      <c r="BF174" s="9">
        <f t="shared" si="381"/>
        <v>0</v>
      </c>
      <c r="BG174" s="9">
        <f t="shared" si="381"/>
        <v>0</v>
      </c>
      <c r="BH174" s="9">
        <f t="shared" si="381"/>
        <v>0</v>
      </c>
      <c r="BI174" s="9">
        <f t="shared" si="381"/>
        <v>0</v>
      </c>
      <c r="BJ174" s="9">
        <f t="shared" si="381"/>
        <v>0</v>
      </c>
      <c r="BK174" s="238">
        <f t="shared" si="381"/>
        <v>0</v>
      </c>
      <c r="BL174" s="9">
        <f t="shared" si="381"/>
        <v>0</v>
      </c>
      <c r="BM174" s="9">
        <f t="shared" si="381"/>
        <v>0</v>
      </c>
      <c r="BN174" s="9">
        <f t="shared" si="381"/>
        <v>0</v>
      </c>
      <c r="BO174" s="9">
        <f t="shared" si="381"/>
        <v>0</v>
      </c>
      <c r="BP174" s="9">
        <f t="shared" ref="BP174:CU174" si="382">BP173-BP111</f>
        <v>0</v>
      </c>
      <c r="BQ174" s="9">
        <f t="shared" si="382"/>
        <v>0</v>
      </c>
      <c r="BR174" s="9">
        <f t="shared" si="382"/>
        <v>0</v>
      </c>
      <c r="BS174" s="9">
        <f t="shared" si="382"/>
        <v>0</v>
      </c>
      <c r="BT174" s="9">
        <f t="shared" si="382"/>
        <v>0</v>
      </c>
      <c r="BU174" s="9">
        <f t="shared" si="382"/>
        <v>0</v>
      </c>
      <c r="BV174" s="9">
        <f t="shared" si="382"/>
        <v>0</v>
      </c>
      <c r="BW174" s="238">
        <f t="shared" si="382"/>
        <v>0</v>
      </c>
      <c r="BX174" s="9">
        <f t="shared" si="382"/>
        <v>0</v>
      </c>
      <c r="BY174" s="9">
        <f t="shared" si="382"/>
        <v>0</v>
      </c>
      <c r="BZ174" s="9">
        <f t="shared" si="382"/>
        <v>0</v>
      </c>
      <c r="CA174" s="9">
        <f t="shared" si="382"/>
        <v>0</v>
      </c>
      <c r="CB174" s="9">
        <f t="shared" si="382"/>
        <v>0</v>
      </c>
      <c r="CC174" s="9">
        <f t="shared" si="382"/>
        <v>0</v>
      </c>
      <c r="CD174" s="9">
        <f t="shared" si="382"/>
        <v>0</v>
      </c>
      <c r="CE174" s="9">
        <f t="shared" si="382"/>
        <v>0</v>
      </c>
      <c r="CF174" s="9">
        <f t="shared" si="382"/>
        <v>0</v>
      </c>
      <c r="CG174" s="9">
        <f t="shared" si="382"/>
        <v>0</v>
      </c>
      <c r="CH174" s="9">
        <f t="shared" si="382"/>
        <v>0</v>
      </c>
      <c r="CI174" s="238">
        <f t="shared" si="382"/>
        <v>0</v>
      </c>
      <c r="CJ174" s="9">
        <f t="shared" si="382"/>
        <v>0</v>
      </c>
      <c r="CK174" s="9">
        <f t="shared" si="382"/>
        <v>0</v>
      </c>
      <c r="CL174" s="9">
        <f t="shared" si="382"/>
        <v>0</v>
      </c>
      <c r="CM174" s="9">
        <f t="shared" si="382"/>
        <v>0</v>
      </c>
      <c r="CN174" s="9">
        <f t="shared" si="382"/>
        <v>0</v>
      </c>
      <c r="CO174" s="9">
        <f t="shared" si="382"/>
        <v>0</v>
      </c>
      <c r="CP174" s="9">
        <f t="shared" si="382"/>
        <v>0</v>
      </c>
      <c r="CQ174" s="9">
        <f t="shared" si="382"/>
        <v>0</v>
      </c>
      <c r="CR174" s="9">
        <f t="shared" si="382"/>
        <v>0</v>
      </c>
      <c r="CS174" s="9">
        <f t="shared" si="382"/>
        <v>0</v>
      </c>
      <c r="CT174" s="9">
        <f t="shared" si="382"/>
        <v>0</v>
      </c>
      <c r="CU174" s="238">
        <f t="shared" si="382"/>
        <v>0</v>
      </c>
      <c r="CV174" s="9">
        <f t="shared" ref="CV174:EA174" si="383">CV173-CV111</f>
        <v>0</v>
      </c>
      <c r="CW174" s="9">
        <f t="shared" si="383"/>
        <v>0</v>
      </c>
      <c r="CX174" s="9">
        <f t="shared" si="383"/>
        <v>0</v>
      </c>
      <c r="CY174" s="9">
        <f t="shared" si="383"/>
        <v>0</v>
      </c>
      <c r="CZ174" s="9">
        <f t="shared" si="383"/>
        <v>0</v>
      </c>
      <c r="DA174" s="9">
        <f t="shared" si="383"/>
        <v>0</v>
      </c>
      <c r="DB174" s="9">
        <f t="shared" si="383"/>
        <v>0</v>
      </c>
      <c r="DC174" s="9">
        <f t="shared" si="383"/>
        <v>0</v>
      </c>
      <c r="DD174" s="9">
        <f t="shared" si="383"/>
        <v>0</v>
      </c>
      <c r="DE174" s="9">
        <f t="shared" si="383"/>
        <v>0</v>
      </c>
      <c r="DF174" s="9">
        <f t="shared" si="383"/>
        <v>0</v>
      </c>
      <c r="DG174" s="9">
        <f t="shared" si="383"/>
        <v>0</v>
      </c>
    </row>
    <row r="175" spans="1:11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51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635"/>
      <c r="AX175" s="635"/>
      <c r="AY175" s="635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</row>
  </sheetData>
  <conditionalFormatting sqref="A173:XFD173">
    <cfRule type="cellIs" dxfId="0" priority="1" operator="lessThan">
      <formula>0</formula>
    </cfRule>
  </conditionalFormatting>
  <pageMargins left="0.7" right="0.7" top="0.75" bottom="0.75" header="0.3" footer="0.3"/>
  <pageSetup scale="1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showGridLines="0" zoomScaleNormal="100" workbookViewId="0">
      <selection activeCell="A2" sqref="A2"/>
    </sheetView>
  </sheetViews>
  <sheetFormatPr defaultColWidth="8.71093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defaultColWidth="9.140625" defaultRowHeight="15" x14ac:dyDescent="0.25"/>
  <cols>
    <col min="1" max="1" width="17.28515625" style="31" bestFit="1" customWidth="1"/>
    <col min="2" max="2" width="7.42578125" style="31" bestFit="1" customWidth="1"/>
    <col min="3" max="3" width="8.42578125" style="31" bestFit="1" customWidth="1"/>
    <col min="4" max="4" width="12.7109375" style="31" bestFit="1" customWidth="1"/>
    <col min="5" max="5" width="7.28515625" style="31" bestFit="1" customWidth="1"/>
    <col min="6" max="6" width="31.42578125" style="31" bestFit="1" customWidth="1"/>
    <col min="7" max="7" width="21" style="31" bestFit="1" customWidth="1"/>
    <col min="8" max="8" width="43.28515625" style="31" bestFit="1" customWidth="1"/>
    <col min="9" max="9" width="7" style="31" bestFit="1" customWidth="1"/>
    <col min="10" max="10" width="106.140625" style="31" bestFit="1" customWidth="1"/>
    <col min="11" max="11" width="8.42578125" style="31" bestFit="1" customWidth="1"/>
    <col min="12" max="13" width="9.140625" style="31" customWidth="1"/>
    <col min="14" max="14" width="39.140625" style="31" bestFit="1" customWidth="1"/>
    <col min="15" max="15" width="17.28515625" style="31" bestFit="1" customWidth="1"/>
    <col min="16" max="16" width="12.7109375" style="31" bestFit="1" customWidth="1"/>
    <col min="17" max="17" width="11.42578125" style="31" bestFit="1" customWidth="1"/>
    <col min="18" max="19" width="9.140625" style="31" customWidth="1"/>
    <col min="20" max="16384" width="9.140625" style="31"/>
  </cols>
  <sheetData>
    <row r="1" spans="1:14" x14ac:dyDescent="0.25">
      <c r="A1" s="31" t="s">
        <v>217</v>
      </c>
      <c r="B1" s="31" t="s">
        <v>218</v>
      </c>
      <c r="C1" s="31" t="s">
        <v>219</v>
      </c>
      <c r="D1" s="31" t="s">
        <v>220</v>
      </c>
      <c r="E1" s="31" t="s">
        <v>221</v>
      </c>
      <c r="F1" s="31" t="s">
        <v>222</v>
      </c>
      <c r="G1" s="31" t="s">
        <v>223</v>
      </c>
      <c r="H1" s="31" t="s">
        <v>224</v>
      </c>
      <c r="I1" s="31" t="s">
        <v>225</v>
      </c>
      <c r="J1" s="32" t="s">
        <v>226</v>
      </c>
      <c r="K1" s="31" t="s">
        <v>227</v>
      </c>
    </row>
    <row r="2" spans="1:14" x14ac:dyDescent="0.25">
      <c r="A2" s="33" t="s">
        <v>228</v>
      </c>
      <c r="B2" s="34">
        <v>44836</v>
      </c>
      <c r="C2" s="33">
        <v>1</v>
      </c>
      <c r="D2" s="33">
        <v>50</v>
      </c>
      <c r="E2" s="33">
        <v>50</v>
      </c>
      <c r="F2" s="33" t="s">
        <v>229</v>
      </c>
      <c r="G2" s="33" t="s">
        <v>229</v>
      </c>
      <c r="H2" s="33" t="s">
        <v>230</v>
      </c>
      <c r="I2" s="33" t="s">
        <v>231</v>
      </c>
      <c r="J2" s="35" t="s">
        <v>231</v>
      </c>
      <c r="K2" s="33">
        <v>50</v>
      </c>
      <c r="N2" s="31" t="s">
        <v>232</v>
      </c>
    </row>
    <row r="3" spans="1:14" x14ac:dyDescent="0.25">
      <c r="A3" s="33" t="s">
        <v>228</v>
      </c>
      <c r="B3" s="34">
        <v>44846</v>
      </c>
      <c r="C3" s="33">
        <v>2</v>
      </c>
      <c r="D3" s="33">
        <v>50</v>
      </c>
      <c r="E3" s="33">
        <v>100</v>
      </c>
      <c r="F3" s="33" t="s">
        <v>229</v>
      </c>
      <c r="G3" s="33" t="s">
        <v>229</v>
      </c>
      <c r="H3" s="33" t="s">
        <v>233</v>
      </c>
      <c r="I3" s="33" t="s">
        <v>231</v>
      </c>
      <c r="J3" s="33" t="s">
        <v>234</v>
      </c>
      <c r="K3" s="33">
        <v>100</v>
      </c>
    </row>
    <row r="4" spans="1:14" x14ac:dyDescent="0.25">
      <c r="A4" s="33" t="s">
        <v>228</v>
      </c>
      <c r="B4" s="34">
        <v>44858</v>
      </c>
      <c r="C4" s="33">
        <v>1</v>
      </c>
      <c r="D4" s="33">
        <v>50</v>
      </c>
      <c r="E4" s="33">
        <v>50</v>
      </c>
      <c r="F4" s="33" t="s">
        <v>229</v>
      </c>
      <c r="G4" s="33" t="s">
        <v>229</v>
      </c>
      <c r="H4" s="33" t="s">
        <v>235</v>
      </c>
      <c r="I4" s="33" t="s">
        <v>231</v>
      </c>
      <c r="J4" s="33" t="s">
        <v>234</v>
      </c>
      <c r="K4" s="33">
        <v>50</v>
      </c>
    </row>
    <row r="5" spans="1:14" x14ac:dyDescent="0.25">
      <c r="A5" s="33" t="s">
        <v>228</v>
      </c>
      <c r="B5" s="34">
        <v>44859</v>
      </c>
      <c r="C5" s="33">
        <v>0.75</v>
      </c>
      <c r="D5" s="33">
        <v>50</v>
      </c>
      <c r="E5" s="33">
        <v>37.5</v>
      </c>
      <c r="F5" s="33" t="s">
        <v>229</v>
      </c>
      <c r="G5" s="33" t="s">
        <v>229</v>
      </c>
      <c r="H5" s="33" t="s">
        <v>236</v>
      </c>
      <c r="I5" s="33" t="s">
        <v>231</v>
      </c>
      <c r="J5" s="33" t="s">
        <v>234</v>
      </c>
      <c r="K5" s="33">
        <v>37.5</v>
      </c>
    </row>
    <row r="6" spans="1:14" x14ac:dyDescent="0.25">
      <c r="A6" s="33" t="s">
        <v>228</v>
      </c>
      <c r="B6" s="34">
        <v>44861</v>
      </c>
      <c r="C6" s="33">
        <v>1</v>
      </c>
      <c r="D6" s="33">
        <v>50</v>
      </c>
      <c r="E6" s="33">
        <v>50</v>
      </c>
      <c r="F6" s="33" t="s">
        <v>229</v>
      </c>
      <c r="G6" s="33" t="s">
        <v>229</v>
      </c>
      <c r="H6" s="33" t="s">
        <v>237</v>
      </c>
      <c r="I6" s="33" t="s">
        <v>231</v>
      </c>
      <c r="J6" s="33" t="s">
        <v>234</v>
      </c>
      <c r="K6" s="33">
        <v>50</v>
      </c>
    </row>
    <row r="7" spans="1:14" x14ac:dyDescent="0.25">
      <c r="A7" s="33" t="s">
        <v>238</v>
      </c>
      <c r="B7" s="34">
        <v>44849</v>
      </c>
      <c r="C7" s="33">
        <v>1</v>
      </c>
      <c r="D7" s="33">
        <v>60</v>
      </c>
      <c r="E7" s="33">
        <v>60</v>
      </c>
      <c r="F7" s="33" t="s">
        <v>229</v>
      </c>
      <c r="G7" s="33" t="s">
        <v>229</v>
      </c>
      <c r="H7" s="33" t="s">
        <v>239</v>
      </c>
      <c r="I7" s="33" t="s">
        <v>231</v>
      </c>
      <c r="J7" s="33" t="s">
        <v>234</v>
      </c>
      <c r="K7" s="33">
        <v>60</v>
      </c>
    </row>
    <row r="8" spans="1:14" x14ac:dyDescent="0.25">
      <c r="A8" s="33" t="s">
        <v>240</v>
      </c>
      <c r="B8" s="34">
        <v>44852</v>
      </c>
      <c r="C8" s="33">
        <v>3.5</v>
      </c>
      <c r="D8" s="33">
        <v>50</v>
      </c>
      <c r="E8" s="33">
        <v>175</v>
      </c>
      <c r="F8" s="33" t="s">
        <v>229</v>
      </c>
      <c r="G8" s="33" t="s">
        <v>229</v>
      </c>
      <c r="H8" s="33" t="s">
        <v>241</v>
      </c>
      <c r="I8" s="33" t="s">
        <v>229</v>
      </c>
      <c r="J8" s="33" t="s">
        <v>242</v>
      </c>
      <c r="K8" s="33">
        <v>200</v>
      </c>
    </row>
    <row r="9" spans="1:14" x14ac:dyDescent="0.25">
      <c r="A9" s="33" t="s">
        <v>240</v>
      </c>
      <c r="B9" s="34">
        <v>44857</v>
      </c>
      <c r="C9" s="33">
        <v>1</v>
      </c>
      <c r="D9" s="33">
        <v>50</v>
      </c>
      <c r="E9" s="33">
        <v>50</v>
      </c>
      <c r="F9" s="33" t="s">
        <v>229</v>
      </c>
      <c r="G9" s="33" t="s">
        <v>229</v>
      </c>
      <c r="H9" s="33" t="s">
        <v>243</v>
      </c>
      <c r="I9" s="33" t="s">
        <v>231</v>
      </c>
      <c r="J9" s="33" t="s">
        <v>244</v>
      </c>
      <c r="K9" s="33">
        <v>50</v>
      </c>
    </row>
    <row r="10" spans="1:14" x14ac:dyDescent="0.25">
      <c r="A10" s="33" t="s">
        <v>245</v>
      </c>
      <c r="B10" s="34">
        <v>44837</v>
      </c>
      <c r="C10" s="33">
        <v>1</v>
      </c>
      <c r="D10" s="33">
        <v>50</v>
      </c>
      <c r="E10" s="33">
        <v>50</v>
      </c>
      <c r="F10" s="33" t="s">
        <v>229</v>
      </c>
      <c r="G10" s="33" t="s">
        <v>229</v>
      </c>
      <c r="H10" s="33" t="s">
        <v>246</v>
      </c>
      <c r="I10" s="33" t="s">
        <v>231</v>
      </c>
      <c r="J10" s="33" t="s">
        <v>234</v>
      </c>
      <c r="K10" s="33">
        <v>50</v>
      </c>
    </row>
    <row r="11" spans="1:14" x14ac:dyDescent="0.25">
      <c r="A11" s="33" t="s">
        <v>247</v>
      </c>
      <c r="B11" s="34">
        <v>44842</v>
      </c>
      <c r="C11" s="33">
        <v>1</v>
      </c>
      <c r="D11" s="33">
        <v>60</v>
      </c>
      <c r="E11" s="33">
        <v>60</v>
      </c>
      <c r="F11" s="33" t="s">
        <v>229</v>
      </c>
      <c r="G11" s="33" t="s">
        <v>229</v>
      </c>
      <c r="H11" s="33" t="s">
        <v>248</v>
      </c>
      <c r="I11" s="33" t="s">
        <v>231</v>
      </c>
      <c r="J11" s="33" t="s">
        <v>234</v>
      </c>
      <c r="K11" s="33">
        <v>60</v>
      </c>
    </row>
    <row r="12" spans="1:14" x14ac:dyDescent="0.25">
      <c r="A12" s="33" t="s">
        <v>247</v>
      </c>
      <c r="B12" s="34">
        <v>44846</v>
      </c>
      <c r="C12" s="33">
        <v>1</v>
      </c>
      <c r="D12" s="33">
        <v>60</v>
      </c>
      <c r="E12" s="33">
        <v>60</v>
      </c>
      <c r="F12" s="33" t="s">
        <v>229</v>
      </c>
      <c r="G12" s="33" t="s">
        <v>229</v>
      </c>
      <c r="H12" s="33" t="s">
        <v>248</v>
      </c>
      <c r="I12" s="33" t="s">
        <v>231</v>
      </c>
      <c r="J12" s="33" t="s">
        <v>234</v>
      </c>
      <c r="K12" s="33">
        <v>60</v>
      </c>
    </row>
    <row r="13" spans="1:14" x14ac:dyDescent="0.25">
      <c r="A13" s="33" t="s">
        <v>247</v>
      </c>
      <c r="B13" s="34">
        <v>44853</v>
      </c>
      <c r="C13" s="33">
        <v>1.25</v>
      </c>
      <c r="D13" s="33">
        <v>60</v>
      </c>
      <c r="E13" s="33">
        <v>75</v>
      </c>
      <c r="F13" s="33" t="s">
        <v>229</v>
      </c>
      <c r="G13" s="33" t="s">
        <v>229</v>
      </c>
      <c r="H13" s="33" t="s">
        <v>249</v>
      </c>
      <c r="I13" s="33" t="s">
        <v>231</v>
      </c>
      <c r="J13" s="33" t="s">
        <v>234</v>
      </c>
      <c r="K13" s="33">
        <v>75</v>
      </c>
    </row>
    <row r="14" spans="1:14" x14ac:dyDescent="0.25">
      <c r="A14" s="33" t="s">
        <v>250</v>
      </c>
      <c r="B14" s="34">
        <v>44856</v>
      </c>
      <c r="C14" s="33">
        <v>1</v>
      </c>
      <c r="D14" s="33">
        <v>60</v>
      </c>
      <c r="E14" s="33">
        <v>60</v>
      </c>
      <c r="F14" s="33" t="s">
        <v>229</v>
      </c>
      <c r="G14" s="33" t="s">
        <v>229</v>
      </c>
      <c r="H14" s="33" t="s">
        <v>248</v>
      </c>
      <c r="I14" s="33" t="s">
        <v>231</v>
      </c>
      <c r="J14" s="33" t="s">
        <v>234</v>
      </c>
      <c r="K14" s="33">
        <v>60</v>
      </c>
      <c r="N14" s="31" t="s">
        <v>251</v>
      </c>
    </row>
    <row r="15" spans="1:14" x14ac:dyDescent="0.25">
      <c r="A15" s="33" t="s">
        <v>252</v>
      </c>
      <c r="B15" s="34">
        <v>44845</v>
      </c>
      <c r="C15" s="33">
        <v>1</v>
      </c>
      <c r="D15" s="33">
        <v>50</v>
      </c>
      <c r="E15" s="33">
        <v>50</v>
      </c>
      <c r="F15" s="33" t="s">
        <v>229</v>
      </c>
      <c r="G15" s="33" t="s">
        <v>229</v>
      </c>
      <c r="H15" s="33" t="s">
        <v>253</v>
      </c>
      <c r="I15" s="33" t="s">
        <v>231</v>
      </c>
      <c r="J15" s="33" t="s">
        <v>234</v>
      </c>
      <c r="K15" s="33">
        <v>50</v>
      </c>
    </row>
    <row r="16" spans="1:14" x14ac:dyDescent="0.25">
      <c r="A16" s="33" t="s">
        <v>252</v>
      </c>
      <c r="B16" s="34">
        <v>44851</v>
      </c>
      <c r="C16" s="33">
        <v>1.5</v>
      </c>
      <c r="D16" s="33">
        <v>50</v>
      </c>
      <c r="E16" s="33">
        <v>75</v>
      </c>
      <c r="F16" s="33" t="s">
        <v>229</v>
      </c>
      <c r="G16" s="33" t="s">
        <v>229</v>
      </c>
      <c r="H16" s="33" t="s">
        <v>254</v>
      </c>
      <c r="I16" s="33" t="s">
        <v>231</v>
      </c>
      <c r="J16" s="33" t="s">
        <v>234</v>
      </c>
      <c r="K16" s="33">
        <v>75</v>
      </c>
    </row>
    <row r="17" spans="1:17" x14ac:dyDescent="0.25">
      <c r="A17" s="33" t="s">
        <v>255</v>
      </c>
      <c r="B17" s="34">
        <v>44851</v>
      </c>
      <c r="C17" s="33">
        <v>1.5</v>
      </c>
      <c r="D17" s="33">
        <v>50</v>
      </c>
      <c r="E17" s="33">
        <v>75</v>
      </c>
      <c r="F17" s="33" t="s">
        <v>229</v>
      </c>
      <c r="G17" s="33" t="s">
        <v>229</v>
      </c>
      <c r="H17" s="33" t="s">
        <v>256</v>
      </c>
      <c r="I17" s="33" t="s">
        <v>231</v>
      </c>
      <c r="J17" s="33" t="s">
        <v>234</v>
      </c>
      <c r="K17" s="33">
        <v>75</v>
      </c>
    </row>
    <row r="18" spans="1:17" x14ac:dyDescent="0.25">
      <c r="A18" s="33" t="s">
        <v>255</v>
      </c>
      <c r="B18" s="34">
        <v>44857</v>
      </c>
      <c r="C18" s="33">
        <v>1.5</v>
      </c>
      <c r="D18" s="33">
        <v>50</v>
      </c>
      <c r="E18" s="33">
        <v>75</v>
      </c>
      <c r="F18" s="33" t="s">
        <v>229</v>
      </c>
      <c r="G18" s="33" t="s">
        <v>229</v>
      </c>
      <c r="H18" s="33" t="s">
        <v>256</v>
      </c>
      <c r="I18" s="33" t="s">
        <v>231</v>
      </c>
      <c r="J18" s="33" t="s">
        <v>234</v>
      </c>
      <c r="K18" s="33">
        <v>75</v>
      </c>
      <c r="O18" s="41" t="s">
        <v>257</v>
      </c>
      <c r="P18" t="s">
        <v>258</v>
      </c>
      <c r="Q18" t="s">
        <v>259</v>
      </c>
    </row>
    <row r="19" spans="1:17" x14ac:dyDescent="0.25">
      <c r="A19" s="33" t="s">
        <v>260</v>
      </c>
      <c r="B19" s="34">
        <v>44836</v>
      </c>
      <c r="C19" s="33">
        <v>1.5</v>
      </c>
      <c r="D19" s="33">
        <v>50</v>
      </c>
      <c r="E19" s="33">
        <v>75</v>
      </c>
      <c r="F19" s="33" t="s">
        <v>229</v>
      </c>
      <c r="G19" s="33" t="s">
        <v>229</v>
      </c>
      <c r="H19" s="33" t="s">
        <v>261</v>
      </c>
      <c r="I19" s="33" t="s">
        <v>231</v>
      </c>
      <c r="J19" s="35" t="s">
        <v>231</v>
      </c>
      <c r="K19" s="33">
        <v>75</v>
      </c>
      <c r="O19" s="42" t="s">
        <v>228</v>
      </c>
      <c r="P19">
        <v>5.75</v>
      </c>
      <c r="Q19">
        <v>287.5</v>
      </c>
    </row>
    <row r="20" spans="1:17" x14ac:dyDescent="0.25">
      <c r="A20" s="33" t="s">
        <v>262</v>
      </c>
      <c r="B20" s="34">
        <v>44836</v>
      </c>
      <c r="C20" s="33">
        <v>2</v>
      </c>
      <c r="D20" s="33">
        <v>50</v>
      </c>
      <c r="E20" s="33">
        <v>100</v>
      </c>
      <c r="F20" s="33" t="s">
        <v>229</v>
      </c>
      <c r="G20" s="33" t="s">
        <v>229</v>
      </c>
      <c r="H20" s="33" t="s">
        <v>263</v>
      </c>
      <c r="I20" s="33" t="s">
        <v>231</v>
      </c>
      <c r="J20" s="35" t="s">
        <v>231</v>
      </c>
      <c r="K20" s="33">
        <v>100</v>
      </c>
      <c r="O20" s="42" t="s">
        <v>238</v>
      </c>
      <c r="P20">
        <v>1</v>
      </c>
      <c r="Q20">
        <v>60</v>
      </c>
    </row>
    <row r="21" spans="1:17" ht="14.25" customHeight="1" x14ac:dyDescent="0.25">
      <c r="A21" s="33" t="s">
        <v>262</v>
      </c>
      <c r="B21" s="34">
        <v>44854</v>
      </c>
      <c r="C21" s="33">
        <v>1.5</v>
      </c>
      <c r="D21" s="33">
        <v>50</v>
      </c>
      <c r="E21" s="33">
        <v>75</v>
      </c>
      <c r="F21" s="33" t="s">
        <v>229</v>
      </c>
      <c r="G21" s="33" t="s">
        <v>229</v>
      </c>
      <c r="H21" s="33" t="s">
        <v>263</v>
      </c>
      <c r="I21" s="33" t="s">
        <v>231</v>
      </c>
      <c r="J21" s="33" t="s">
        <v>264</v>
      </c>
      <c r="K21" s="33">
        <v>75</v>
      </c>
      <c r="O21" s="42" t="s">
        <v>240</v>
      </c>
      <c r="P21">
        <v>4.5</v>
      </c>
      <c r="Q21">
        <v>225</v>
      </c>
    </row>
    <row r="22" spans="1:17" x14ac:dyDescent="0.25">
      <c r="A22" s="33" t="s">
        <v>265</v>
      </c>
      <c r="B22" s="34">
        <v>44847</v>
      </c>
      <c r="C22" s="33">
        <v>2</v>
      </c>
      <c r="D22" s="33">
        <v>50</v>
      </c>
      <c r="E22" s="33">
        <v>100</v>
      </c>
      <c r="F22" s="33" t="s">
        <v>229</v>
      </c>
      <c r="G22" s="33" t="s">
        <v>229</v>
      </c>
      <c r="H22" s="33" t="s">
        <v>266</v>
      </c>
      <c r="I22" s="33" t="s">
        <v>231</v>
      </c>
      <c r="J22" s="33" t="s">
        <v>234</v>
      </c>
      <c r="K22" s="33">
        <v>100</v>
      </c>
      <c r="O22" s="42" t="s">
        <v>245</v>
      </c>
      <c r="P22">
        <v>1</v>
      </c>
      <c r="Q22">
        <v>50</v>
      </c>
    </row>
    <row r="23" spans="1:17" x14ac:dyDescent="0.25">
      <c r="A23" s="33" t="s">
        <v>267</v>
      </c>
      <c r="B23" s="34">
        <v>44856</v>
      </c>
      <c r="C23" s="33">
        <v>0.5</v>
      </c>
      <c r="D23" s="33">
        <v>60</v>
      </c>
      <c r="E23" s="33">
        <v>30</v>
      </c>
      <c r="F23" s="33" t="s">
        <v>229</v>
      </c>
      <c r="G23" s="33" t="s">
        <v>229</v>
      </c>
      <c r="H23" s="33" t="s">
        <v>268</v>
      </c>
      <c r="I23" s="33" t="s">
        <v>231</v>
      </c>
      <c r="J23" s="33" t="s">
        <v>234</v>
      </c>
      <c r="K23" s="33">
        <v>30</v>
      </c>
      <c r="O23" s="42" t="s">
        <v>247</v>
      </c>
      <c r="P23">
        <v>3.25</v>
      </c>
      <c r="Q23">
        <v>195</v>
      </c>
    </row>
    <row r="24" spans="1:17" x14ac:dyDescent="0.25">
      <c r="A24" s="33" t="s">
        <v>269</v>
      </c>
      <c r="B24" s="34">
        <v>44857</v>
      </c>
      <c r="C24" s="33">
        <v>2</v>
      </c>
      <c r="D24" s="33">
        <v>50</v>
      </c>
      <c r="E24" s="33">
        <v>100</v>
      </c>
      <c r="F24" s="33" t="s">
        <v>229</v>
      </c>
      <c r="G24" s="33" t="s">
        <v>229</v>
      </c>
      <c r="H24" s="33" t="s">
        <v>270</v>
      </c>
      <c r="I24" s="33" t="s">
        <v>231</v>
      </c>
      <c r="J24" s="33" t="s">
        <v>234</v>
      </c>
      <c r="K24" s="33">
        <v>100</v>
      </c>
      <c r="O24" s="42" t="s">
        <v>250</v>
      </c>
      <c r="P24">
        <v>1</v>
      </c>
      <c r="Q24">
        <v>60</v>
      </c>
    </row>
    <row r="25" spans="1:17" x14ac:dyDescent="0.25">
      <c r="A25" s="33" t="s">
        <v>269</v>
      </c>
      <c r="B25" s="34">
        <v>44863</v>
      </c>
      <c r="C25" s="33">
        <v>1</v>
      </c>
      <c r="D25" s="33">
        <v>50</v>
      </c>
      <c r="E25" s="33">
        <v>50</v>
      </c>
      <c r="F25" s="33" t="s">
        <v>229</v>
      </c>
      <c r="G25" s="33" t="s">
        <v>229</v>
      </c>
      <c r="H25" s="33" t="s">
        <v>271</v>
      </c>
      <c r="I25" s="33" t="s">
        <v>231</v>
      </c>
      <c r="J25" s="33" t="s">
        <v>234</v>
      </c>
      <c r="K25" s="33">
        <v>50</v>
      </c>
      <c r="O25" s="42" t="s">
        <v>252</v>
      </c>
      <c r="P25">
        <v>2.5</v>
      </c>
      <c r="Q25">
        <v>125</v>
      </c>
    </row>
    <row r="26" spans="1:17" x14ac:dyDescent="0.25">
      <c r="A26" s="33" t="s">
        <v>269</v>
      </c>
      <c r="B26" s="34">
        <v>44865</v>
      </c>
      <c r="C26" s="33">
        <v>1</v>
      </c>
      <c r="D26" s="33">
        <v>50</v>
      </c>
      <c r="E26" s="33">
        <v>50</v>
      </c>
      <c r="F26" s="33" t="s">
        <v>229</v>
      </c>
      <c r="G26" s="33" t="s">
        <v>229</v>
      </c>
      <c r="H26" s="33" t="s">
        <v>271</v>
      </c>
      <c r="I26" s="33" t="s">
        <v>231</v>
      </c>
      <c r="J26" s="33" t="s">
        <v>234</v>
      </c>
      <c r="K26" s="33">
        <v>50</v>
      </c>
      <c r="O26" s="42" t="s">
        <v>255</v>
      </c>
      <c r="P26">
        <v>3</v>
      </c>
      <c r="Q26">
        <v>150</v>
      </c>
    </row>
    <row r="27" spans="1:17" x14ac:dyDescent="0.25">
      <c r="A27" s="33" t="s">
        <v>272</v>
      </c>
      <c r="B27" s="34">
        <v>44838</v>
      </c>
      <c r="C27" s="33">
        <v>1</v>
      </c>
      <c r="D27" s="33">
        <v>50</v>
      </c>
      <c r="E27" s="33">
        <v>50</v>
      </c>
      <c r="F27" s="33" t="s">
        <v>229</v>
      </c>
      <c r="G27" s="33" t="s">
        <v>229</v>
      </c>
      <c r="H27" s="33" t="s">
        <v>273</v>
      </c>
      <c r="I27" s="33" t="s">
        <v>231</v>
      </c>
      <c r="J27" s="33" t="s">
        <v>234</v>
      </c>
      <c r="K27" s="33">
        <v>50</v>
      </c>
      <c r="O27" s="42" t="s">
        <v>260</v>
      </c>
      <c r="P27">
        <v>1.5</v>
      </c>
      <c r="Q27">
        <v>75</v>
      </c>
    </row>
    <row r="28" spans="1:17" x14ac:dyDescent="0.25">
      <c r="A28" s="33" t="s">
        <v>272</v>
      </c>
      <c r="B28" s="34">
        <v>44840</v>
      </c>
      <c r="C28" s="33">
        <v>2</v>
      </c>
      <c r="D28" s="33">
        <v>50</v>
      </c>
      <c r="E28" s="33">
        <v>100</v>
      </c>
      <c r="F28" s="33" t="s">
        <v>229</v>
      </c>
      <c r="G28" s="33" t="s">
        <v>229</v>
      </c>
      <c r="H28" s="33" t="s">
        <v>273</v>
      </c>
      <c r="I28" s="33" t="s">
        <v>231</v>
      </c>
      <c r="J28" s="33" t="s">
        <v>234</v>
      </c>
      <c r="K28" s="33">
        <v>100</v>
      </c>
      <c r="O28" s="42" t="s">
        <v>262</v>
      </c>
      <c r="P28">
        <v>3.5</v>
      </c>
      <c r="Q28">
        <v>175</v>
      </c>
    </row>
    <row r="29" spans="1:17" x14ac:dyDescent="0.25">
      <c r="A29" s="33" t="s">
        <v>272</v>
      </c>
      <c r="B29" s="34">
        <v>44851</v>
      </c>
      <c r="C29" s="33">
        <v>1.5</v>
      </c>
      <c r="D29" s="33">
        <v>50</v>
      </c>
      <c r="E29" s="33">
        <v>75</v>
      </c>
      <c r="F29" s="33" t="s">
        <v>229</v>
      </c>
      <c r="G29" s="33" t="s">
        <v>229</v>
      </c>
      <c r="H29" s="33" t="s">
        <v>274</v>
      </c>
      <c r="I29" s="33" t="s">
        <v>231</v>
      </c>
      <c r="J29" s="33" t="s">
        <v>234</v>
      </c>
      <c r="K29" s="33">
        <v>75</v>
      </c>
      <c r="O29" s="42" t="s">
        <v>265</v>
      </c>
      <c r="P29">
        <v>2</v>
      </c>
      <c r="Q29">
        <v>100</v>
      </c>
    </row>
    <row r="30" spans="1:17" x14ac:dyDescent="0.25">
      <c r="A30" s="33" t="s">
        <v>272</v>
      </c>
      <c r="B30" s="34">
        <v>44857</v>
      </c>
      <c r="C30" s="33">
        <v>1</v>
      </c>
      <c r="D30" s="33">
        <v>50</v>
      </c>
      <c r="E30" s="33">
        <v>75</v>
      </c>
      <c r="F30" s="33" t="s">
        <v>229</v>
      </c>
      <c r="G30" s="33" t="s">
        <v>229</v>
      </c>
      <c r="H30" s="33" t="s">
        <v>273</v>
      </c>
      <c r="I30" s="33" t="s">
        <v>231</v>
      </c>
      <c r="J30" s="33" t="s">
        <v>234</v>
      </c>
      <c r="K30" s="33">
        <v>75</v>
      </c>
      <c r="O30" s="42" t="s">
        <v>267</v>
      </c>
      <c r="P30">
        <v>0.5</v>
      </c>
      <c r="Q30">
        <v>30</v>
      </c>
    </row>
    <row r="31" spans="1:17" x14ac:dyDescent="0.25">
      <c r="A31" s="33" t="s">
        <v>272</v>
      </c>
      <c r="B31" s="34">
        <v>44858</v>
      </c>
      <c r="C31" s="33">
        <v>1</v>
      </c>
      <c r="D31" s="33">
        <v>50</v>
      </c>
      <c r="E31" s="33">
        <v>50</v>
      </c>
      <c r="F31" s="33" t="s">
        <v>229</v>
      </c>
      <c r="G31" s="33" t="s">
        <v>229</v>
      </c>
      <c r="H31" s="33" t="s">
        <v>273</v>
      </c>
      <c r="I31" s="33" t="s">
        <v>231</v>
      </c>
      <c r="J31" s="33" t="s">
        <v>234</v>
      </c>
      <c r="K31" s="33">
        <v>50</v>
      </c>
      <c r="O31" s="42" t="s">
        <v>269</v>
      </c>
      <c r="P31">
        <v>4</v>
      </c>
      <c r="Q31">
        <v>200</v>
      </c>
    </row>
    <row r="32" spans="1:17" x14ac:dyDescent="0.25">
      <c r="A32" s="33" t="s">
        <v>272</v>
      </c>
      <c r="B32" s="34">
        <v>44859</v>
      </c>
      <c r="C32" s="33">
        <v>1</v>
      </c>
      <c r="D32" s="33">
        <v>50</v>
      </c>
      <c r="E32" s="33">
        <v>50</v>
      </c>
      <c r="F32" s="33" t="s">
        <v>229</v>
      </c>
      <c r="G32" s="33" t="s">
        <v>229</v>
      </c>
      <c r="H32" s="33" t="s">
        <v>273</v>
      </c>
      <c r="I32" s="33" t="s">
        <v>231</v>
      </c>
      <c r="J32" s="33" t="s">
        <v>234</v>
      </c>
      <c r="K32" s="33">
        <v>50</v>
      </c>
      <c r="O32" s="42" t="s">
        <v>272</v>
      </c>
      <c r="P32">
        <v>8.75</v>
      </c>
      <c r="Q32">
        <v>462.5</v>
      </c>
    </row>
    <row r="33" spans="1:17" x14ac:dyDescent="0.25">
      <c r="A33" s="33" t="s">
        <v>272</v>
      </c>
      <c r="B33" s="34">
        <v>44860</v>
      </c>
      <c r="C33" s="33">
        <v>1.25</v>
      </c>
      <c r="D33" s="33">
        <v>50</v>
      </c>
      <c r="E33" s="33">
        <v>62.5</v>
      </c>
      <c r="F33" s="33" t="s">
        <v>229</v>
      </c>
      <c r="G33" s="33" t="s">
        <v>229</v>
      </c>
      <c r="H33" s="33" t="s">
        <v>273</v>
      </c>
      <c r="I33" s="33" t="s">
        <v>231</v>
      </c>
      <c r="J33" s="33" t="s">
        <v>234</v>
      </c>
      <c r="K33" s="33">
        <v>62.5</v>
      </c>
      <c r="O33" s="42" t="s">
        <v>275</v>
      </c>
      <c r="P33">
        <v>1.5</v>
      </c>
      <c r="Q33">
        <v>75</v>
      </c>
    </row>
    <row r="34" spans="1:17" x14ac:dyDescent="0.25">
      <c r="A34" s="33" t="s">
        <v>275</v>
      </c>
      <c r="B34" s="34">
        <v>44846</v>
      </c>
      <c r="C34" s="33">
        <v>1.5</v>
      </c>
      <c r="D34" s="33">
        <v>50</v>
      </c>
      <c r="E34" s="33">
        <v>75</v>
      </c>
      <c r="F34" s="33" t="s">
        <v>229</v>
      </c>
      <c r="G34" s="33" t="s">
        <v>229</v>
      </c>
      <c r="H34" s="33" t="s">
        <v>276</v>
      </c>
      <c r="I34" s="33" t="s">
        <v>231</v>
      </c>
      <c r="J34" s="33" t="s">
        <v>234</v>
      </c>
      <c r="K34" s="33">
        <v>75</v>
      </c>
      <c r="O34" s="42" t="s">
        <v>277</v>
      </c>
      <c r="P34">
        <v>2</v>
      </c>
      <c r="Q34">
        <v>120</v>
      </c>
    </row>
    <row r="35" spans="1:17" x14ac:dyDescent="0.25">
      <c r="A35" s="33" t="s">
        <v>277</v>
      </c>
      <c r="B35" s="34">
        <v>44860</v>
      </c>
      <c r="C35" s="33">
        <v>1</v>
      </c>
      <c r="D35" s="33">
        <v>60</v>
      </c>
      <c r="E35" s="33">
        <v>60</v>
      </c>
      <c r="F35" s="33" t="s">
        <v>278</v>
      </c>
      <c r="G35" s="33" t="s">
        <v>229</v>
      </c>
      <c r="H35" s="33" t="s">
        <v>279</v>
      </c>
      <c r="I35" s="33" t="s">
        <v>231</v>
      </c>
      <c r="J35" s="33" t="s">
        <v>234</v>
      </c>
      <c r="K35" s="33">
        <v>60</v>
      </c>
      <c r="O35" s="42" t="s">
        <v>280</v>
      </c>
      <c r="P35">
        <v>11.5</v>
      </c>
      <c r="Q35">
        <v>450</v>
      </c>
    </row>
    <row r="36" spans="1:17" x14ac:dyDescent="0.25">
      <c r="A36" s="33" t="s">
        <v>277</v>
      </c>
      <c r="B36" s="34">
        <v>44861</v>
      </c>
      <c r="C36" s="33">
        <v>1</v>
      </c>
      <c r="D36" s="33">
        <v>60</v>
      </c>
      <c r="E36" s="33">
        <v>60</v>
      </c>
      <c r="F36" s="33" t="s">
        <v>229</v>
      </c>
      <c r="G36" s="33" t="s">
        <v>229</v>
      </c>
      <c r="H36" s="33" t="s">
        <v>279</v>
      </c>
      <c r="I36" s="33" t="s">
        <v>231</v>
      </c>
      <c r="J36" s="33" t="s">
        <v>234</v>
      </c>
      <c r="K36" s="33">
        <v>60</v>
      </c>
      <c r="O36" s="42" t="s">
        <v>281</v>
      </c>
      <c r="P36">
        <v>57.25</v>
      </c>
      <c r="Q36">
        <v>2840</v>
      </c>
    </row>
    <row r="37" spans="1:17" x14ac:dyDescent="0.25">
      <c r="A37" s="33" t="s">
        <v>280</v>
      </c>
      <c r="B37" s="34">
        <v>44840</v>
      </c>
      <c r="C37" s="33">
        <v>1.5</v>
      </c>
      <c r="D37" s="33">
        <v>50</v>
      </c>
      <c r="E37" s="33">
        <v>75</v>
      </c>
      <c r="F37" s="33" t="s">
        <v>229</v>
      </c>
      <c r="G37" s="33" t="s">
        <v>229</v>
      </c>
      <c r="H37" s="33" t="s">
        <v>282</v>
      </c>
      <c r="I37" s="33" t="s">
        <v>231</v>
      </c>
      <c r="J37" s="33" t="s">
        <v>234</v>
      </c>
      <c r="K37" s="33">
        <v>75</v>
      </c>
    </row>
    <row r="38" spans="1:17" x14ac:dyDescent="0.25">
      <c r="A38" s="33" t="s">
        <v>280</v>
      </c>
      <c r="B38" s="34">
        <v>44855</v>
      </c>
      <c r="C38" s="33">
        <v>2</v>
      </c>
      <c r="D38" s="33">
        <v>50</v>
      </c>
      <c r="E38" s="33">
        <v>100</v>
      </c>
      <c r="F38" s="33" t="s">
        <v>229</v>
      </c>
      <c r="G38" s="33" t="s">
        <v>229</v>
      </c>
      <c r="H38" s="33" t="s">
        <v>266</v>
      </c>
      <c r="I38" s="33" t="s">
        <v>231</v>
      </c>
      <c r="J38" s="33" t="s">
        <v>234</v>
      </c>
      <c r="K38" s="33">
        <v>100</v>
      </c>
    </row>
    <row r="39" spans="1:17" x14ac:dyDescent="0.25">
      <c r="A39" s="33" t="s">
        <v>280</v>
      </c>
      <c r="B39" s="34">
        <v>44857</v>
      </c>
      <c r="C39" s="33">
        <v>0.5</v>
      </c>
      <c r="D39" s="33">
        <v>50</v>
      </c>
      <c r="E39" s="33">
        <v>25</v>
      </c>
      <c r="F39" s="33" t="s">
        <v>231</v>
      </c>
      <c r="G39" s="33" t="s">
        <v>229</v>
      </c>
      <c r="H39" s="33" t="s">
        <v>266</v>
      </c>
      <c r="I39" s="33" t="s">
        <v>231</v>
      </c>
      <c r="J39" s="33" t="s">
        <v>234</v>
      </c>
      <c r="K39" s="33">
        <v>25</v>
      </c>
    </row>
    <row r="40" spans="1:17" x14ac:dyDescent="0.25">
      <c r="A40" s="33" t="s">
        <v>280</v>
      </c>
      <c r="B40" s="34">
        <v>44863</v>
      </c>
      <c r="C40" s="33">
        <v>5</v>
      </c>
      <c r="D40" s="33">
        <v>50</v>
      </c>
      <c r="E40" s="33">
        <v>125</v>
      </c>
      <c r="F40" s="33" t="s">
        <v>229</v>
      </c>
      <c r="G40" s="33" t="s">
        <v>229</v>
      </c>
      <c r="H40" s="33" t="s">
        <v>266</v>
      </c>
      <c r="I40" s="33" t="s">
        <v>231</v>
      </c>
      <c r="J40" s="33" t="s">
        <v>234</v>
      </c>
      <c r="K40" s="33">
        <v>250</v>
      </c>
    </row>
    <row r="41" spans="1:17" x14ac:dyDescent="0.25">
      <c r="A41" s="33" t="s">
        <v>280</v>
      </c>
      <c r="B41" s="34">
        <v>44864</v>
      </c>
      <c r="C41" s="33">
        <v>2.5</v>
      </c>
      <c r="D41" s="33">
        <v>50</v>
      </c>
      <c r="E41" s="33">
        <v>125</v>
      </c>
      <c r="F41" s="33" t="s">
        <v>229</v>
      </c>
      <c r="G41" s="33" t="s">
        <v>229</v>
      </c>
      <c r="H41" s="33" t="s">
        <v>266</v>
      </c>
      <c r="I41" s="33" t="s">
        <v>231</v>
      </c>
      <c r="J41" s="33" t="s">
        <v>283</v>
      </c>
      <c r="K41" s="33">
        <v>125</v>
      </c>
    </row>
    <row r="42" spans="1:17" x14ac:dyDescent="0.25">
      <c r="B42" s="36"/>
    </row>
    <row r="43" spans="1:17" x14ac:dyDescent="0.25">
      <c r="B43" s="36"/>
      <c r="K43" s="31">
        <f>SUM(K2:K41)</f>
        <v>2990</v>
      </c>
    </row>
  </sheetData>
  <autoFilter ref="A1:K41" xr:uid="{00000000-0009-0000-0000-00000C000000}">
    <sortState xmlns:xlrd2="http://schemas.microsoft.com/office/spreadsheetml/2017/richdata2" ref="A2:K41">
      <sortCondition ref="A1:A41"/>
    </sortState>
  </autoFilter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0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6.28515625" style="31" bestFit="1" customWidth="1"/>
    <col min="2" max="2" width="7" style="31" bestFit="1" customWidth="1"/>
    <col min="3" max="3" width="6.140625" style="31" bestFit="1" customWidth="1"/>
    <col min="4" max="4" width="10.42578125" style="31" bestFit="1" customWidth="1"/>
    <col min="5" max="5" width="5" style="31" bestFit="1" customWidth="1"/>
    <col min="6" max="6" width="7.140625" style="31" bestFit="1" customWidth="1"/>
    <col min="7" max="7" width="38.42578125" style="31" bestFit="1" customWidth="1"/>
    <col min="8" max="8" width="27.140625" style="31" bestFit="1" customWidth="1"/>
    <col min="9" max="9" width="4.7109375" style="31" bestFit="1" customWidth="1"/>
    <col min="10" max="10" width="6.28515625" style="31" bestFit="1" customWidth="1"/>
    <col min="11" max="14" width="9.140625" style="31" customWidth="1"/>
    <col min="15" max="15" width="16.28515625" style="31" bestFit="1" customWidth="1"/>
    <col min="16" max="16" width="12.7109375" style="31" bestFit="1" customWidth="1"/>
    <col min="17" max="17" width="11.42578125" style="31" bestFit="1" customWidth="1"/>
    <col min="18" max="19" width="9.140625" style="31" customWidth="1"/>
    <col min="20" max="16384" width="9.140625" style="31"/>
  </cols>
  <sheetData>
    <row r="1" spans="1:17" x14ac:dyDescent="0.25">
      <c r="A1" s="31" t="s">
        <v>217</v>
      </c>
      <c r="B1" s="31" t="s">
        <v>218</v>
      </c>
      <c r="C1" s="31" t="s">
        <v>219</v>
      </c>
      <c r="D1" s="31" t="s">
        <v>220</v>
      </c>
      <c r="E1" s="31" t="s">
        <v>221</v>
      </c>
      <c r="F1" s="31" t="s">
        <v>222</v>
      </c>
      <c r="G1" s="31" t="s">
        <v>223</v>
      </c>
      <c r="H1" s="31" t="s">
        <v>224</v>
      </c>
      <c r="I1" s="31" t="s">
        <v>225</v>
      </c>
      <c r="J1" s="31" t="s">
        <v>227</v>
      </c>
    </row>
    <row r="2" spans="1:17" x14ac:dyDescent="0.25">
      <c r="A2" s="37" t="s">
        <v>272</v>
      </c>
      <c r="B2" s="38">
        <v>44822</v>
      </c>
      <c r="C2" s="37">
        <v>1</v>
      </c>
      <c r="D2" s="37">
        <v>50</v>
      </c>
      <c r="E2" s="37">
        <v>50</v>
      </c>
      <c r="F2" s="37" t="s">
        <v>229</v>
      </c>
      <c r="G2" s="37" t="s">
        <v>229</v>
      </c>
      <c r="H2" s="37" t="s">
        <v>284</v>
      </c>
      <c r="I2" s="37" t="s">
        <v>231</v>
      </c>
      <c r="J2" s="37">
        <v>50</v>
      </c>
      <c r="M2" s="31" t="s">
        <v>232</v>
      </c>
    </row>
    <row r="3" spans="1:17" x14ac:dyDescent="0.25">
      <c r="A3" s="37" t="s">
        <v>262</v>
      </c>
      <c r="B3" s="38">
        <v>44822</v>
      </c>
      <c r="C3" s="37">
        <v>2</v>
      </c>
      <c r="D3" s="37">
        <v>50</v>
      </c>
      <c r="E3" s="37">
        <v>100</v>
      </c>
      <c r="F3" s="37" t="s">
        <v>229</v>
      </c>
      <c r="G3" s="37" t="s">
        <v>229</v>
      </c>
      <c r="H3" s="37" t="s">
        <v>266</v>
      </c>
      <c r="I3" s="37" t="s">
        <v>231</v>
      </c>
      <c r="J3" s="37">
        <v>100</v>
      </c>
    </row>
    <row r="4" spans="1:17" x14ac:dyDescent="0.25">
      <c r="A4" s="37" t="s">
        <v>240</v>
      </c>
      <c r="B4" s="38">
        <v>44822</v>
      </c>
      <c r="C4" s="37">
        <v>1.5</v>
      </c>
      <c r="D4" s="37">
        <v>50</v>
      </c>
      <c r="E4" s="37">
        <v>75</v>
      </c>
      <c r="F4" s="37" t="s">
        <v>229</v>
      </c>
      <c r="G4" s="37" t="s">
        <v>229</v>
      </c>
      <c r="H4" s="37" t="s">
        <v>285</v>
      </c>
      <c r="I4" s="37">
        <v>25</v>
      </c>
      <c r="J4" s="37">
        <v>100</v>
      </c>
    </row>
    <row r="5" spans="1:17" x14ac:dyDescent="0.25">
      <c r="A5" s="37" t="s">
        <v>255</v>
      </c>
      <c r="B5" s="38">
        <v>44822</v>
      </c>
      <c r="C5" s="37">
        <v>1.5</v>
      </c>
      <c r="D5" s="37">
        <v>50</v>
      </c>
      <c r="E5" s="37">
        <v>75</v>
      </c>
      <c r="F5" s="37" t="s">
        <v>229</v>
      </c>
      <c r="G5" s="37" t="s">
        <v>229</v>
      </c>
      <c r="H5" s="37" t="s">
        <v>286</v>
      </c>
      <c r="I5" s="37" t="s">
        <v>231</v>
      </c>
      <c r="J5" s="37">
        <v>75</v>
      </c>
    </row>
    <row r="6" spans="1:17" x14ac:dyDescent="0.25">
      <c r="A6" s="37" t="s">
        <v>260</v>
      </c>
      <c r="B6" s="38">
        <v>44822</v>
      </c>
      <c r="C6" s="37">
        <v>1.5</v>
      </c>
      <c r="D6" s="37">
        <v>50</v>
      </c>
      <c r="E6" s="37">
        <v>75</v>
      </c>
      <c r="F6" s="37" t="s">
        <v>229</v>
      </c>
      <c r="G6" s="37" t="s">
        <v>229</v>
      </c>
      <c r="H6" s="37" t="s">
        <v>266</v>
      </c>
      <c r="I6" s="37" t="s">
        <v>231</v>
      </c>
      <c r="J6" s="37">
        <v>75</v>
      </c>
    </row>
    <row r="7" spans="1:17" x14ac:dyDescent="0.25">
      <c r="A7" s="37" t="s">
        <v>228</v>
      </c>
      <c r="B7" s="38">
        <v>44823</v>
      </c>
      <c r="C7" s="37">
        <v>2</v>
      </c>
      <c r="D7" s="37">
        <v>50</v>
      </c>
      <c r="E7" s="37">
        <v>100</v>
      </c>
      <c r="F7" s="37" t="s">
        <v>229</v>
      </c>
      <c r="G7" s="37" t="s">
        <v>229</v>
      </c>
      <c r="H7" s="37" t="s">
        <v>287</v>
      </c>
      <c r="I7" s="37" t="s">
        <v>231</v>
      </c>
      <c r="J7" s="37">
        <v>100</v>
      </c>
    </row>
    <row r="8" spans="1:17" x14ac:dyDescent="0.25">
      <c r="A8" s="37" t="s">
        <v>255</v>
      </c>
      <c r="B8" s="38">
        <v>44823</v>
      </c>
      <c r="C8" s="37">
        <v>1</v>
      </c>
      <c r="D8" s="37">
        <v>50</v>
      </c>
      <c r="E8" s="37">
        <v>50</v>
      </c>
      <c r="F8" s="37" t="s">
        <v>229</v>
      </c>
      <c r="G8" s="37" t="s">
        <v>229</v>
      </c>
      <c r="H8" s="37" t="s">
        <v>286</v>
      </c>
      <c r="I8" s="37" t="s">
        <v>231</v>
      </c>
      <c r="J8" s="37">
        <v>50</v>
      </c>
    </row>
    <row r="9" spans="1:17" x14ac:dyDescent="0.25">
      <c r="A9" s="37" t="s">
        <v>262</v>
      </c>
      <c r="B9" s="38">
        <v>44826</v>
      </c>
      <c r="C9" s="37">
        <v>1</v>
      </c>
      <c r="D9" s="37">
        <v>50</v>
      </c>
      <c r="E9" s="37">
        <v>50</v>
      </c>
      <c r="F9" s="37" t="s">
        <v>229</v>
      </c>
      <c r="G9" s="37" t="s">
        <v>229</v>
      </c>
      <c r="H9" s="37" t="s">
        <v>288</v>
      </c>
      <c r="I9" s="37" t="s">
        <v>231</v>
      </c>
      <c r="J9" s="37">
        <v>50</v>
      </c>
    </row>
    <row r="10" spans="1:17" x14ac:dyDescent="0.25">
      <c r="A10" s="37" t="s">
        <v>289</v>
      </c>
      <c r="B10" s="38">
        <v>44827</v>
      </c>
      <c r="C10" s="37">
        <v>0.5</v>
      </c>
      <c r="D10" s="37">
        <v>50</v>
      </c>
      <c r="E10" s="37">
        <v>25</v>
      </c>
      <c r="F10" s="37" t="s">
        <v>231</v>
      </c>
      <c r="G10" s="37" t="s">
        <v>290</v>
      </c>
      <c r="H10" s="37" t="s">
        <v>291</v>
      </c>
      <c r="I10" s="37"/>
      <c r="J10" s="37"/>
      <c r="O10" s="41" t="s">
        <v>257</v>
      </c>
      <c r="P10" t="s">
        <v>258</v>
      </c>
      <c r="Q10" t="s">
        <v>259</v>
      </c>
    </row>
    <row r="11" spans="1:17" x14ac:dyDescent="0.25">
      <c r="A11" s="37" t="s">
        <v>262</v>
      </c>
      <c r="B11" s="38">
        <v>44827</v>
      </c>
      <c r="C11" s="37">
        <v>1</v>
      </c>
      <c r="D11" s="37">
        <v>50</v>
      </c>
      <c r="E11" s="37">
        <v>50</v>
      </c>
      <c r="F11" s="37" t="s">
        <v>229</v>
      </c>
      <c r="G11" s="37" t="s">
        <v>229</v>
      </c>
      <c r="H11" s="37" t="s">
        <v>292</v>
      </c>
      <c r="I11" s="37" t="s">
        <v>231</v>
      </c>
      <c r="J11" s="37">
        <v>50</v>
      </c>
      <c r="O11" s="42" t="s">
        <v>228</v>
      </c>
      <c r="P11">
        <v>2</v>
      </c>
      <c r="Q11">
        <v>100</v>
      </c>
    </row>
    <row r="12" spans="1:17" x14ac:dyDescent="0.25">
      <c r="A12" s="37" t="s">
        <v>245</v>
      </c>
      <c r="B12" s="38">
        <v>44829</v>
      </c>
      <c r="C12" s="37">
        <v>1</v>
      </c>
      <c r="D12" s="37">
        <v>50</v>
      </c>
      <c r="E12" s="37">
        <v>50</v>
      </c>
      <c r="F12" s="37" t="s">
        <v>229</v>
      </c>
      <c r="G12" s="37" t="s">
        <v>229</v>
      </c>
      <c r="H12" s="37" t="s">
        <v>293</v>
      </c>
      <c r="I12" s="37" t="s">
        <v>231</v>
      </c>
      <c r="J12" s="37">
        <v>50</v>
      </c>
      <c r="O12" s="42" t="s">
        <v>240</v>
      </c>
      <c r="P12">
        <v>1.5</v>
      </c>
      <c r="Q12">
        <v>75</v>
      </c>
    </row>
    <row r="13" spans="1:17" x14ac:dyDescent="0.25">
      <c r="A13" s="37" t="s">
        <v>262</v>
      </c>
      <c r="B13" s="38">
        <v>44829</v>
      </c>
      <c r="C13" s="37">
        <v>2</v>
      </c>
      <c r="D13" s="37">
        <v>100</v>
      </c>
      <c r="E13" s="37">
        <v>100</v>
      </c>
      <c r="F13" s="37" t="s">
        <v>229</v>
      </c>
      <c r="G13" s="37" t="s">
        <v>229</v>
      </c>
      <c r="H13" s="37" t="s">
        <v>282</v>
      </c>
      <c r="I13" s="37" t="s">
        <v>231</v>
      </c>
      <c r="J13" s="37">
        <v>100</v>
      </c>
      <c r="O13" s="42" t="s">
        <v>245</v>
      </c>
      <c r="P13">
        <v>2</v>
      </c>
      <c r="Q13">
        <v>100</v>
      </c>
    </row>
    <row r="14" spans="1:17" x14ac:dyDescent="0.25">
      <c r="A14" s="37" t="s">
        <v>294</v>
      </c>
      <c r="B14" s="38">
        <v>44829</v>
      </c>
      <c r="C14" s="37">
        <v>2</v>
      </c>
      <c r="D14" s="37">
        <v>100</v>
      </c>
      <c r="E14" s="37">
        <v>100</v>
      </c>
      <c r="F14" s="37" t="s">
        <v>229</v>
      </c>
      <c r="G14" s="37" t="s">
        <v>229</v>
      </c>
      <c r="H14" s="37" t="s">
        <v>282</v>
      </c>
      <c r="I14" s="37" t="s">
        <v>231</v>
      </c>
      <c r="J14" s="37">
        <v>100</v>
      </c>
      <c r="O14" s="42" t="s">
        <v>255</v>
      </c>
      <c r="P14">
        <v>2.5</v>
      </c>
      <c r="Q14">
        <v>125</v>
      </c>
    </row>
    <row r="15" spans="1:17" x14ac:dyDescent="0.25">
      <c r="A15" s="37" t="s">
        <v>245</v>
      </c>
      <c r="B15" s="38">
        <v>44830</v>
      </c>
      <c r="C15" s="37">
        <v>1</v>
      </c>
      <c r="D15" s="37">
        <v>50</v>
      </c>
      <c r="E15" s="37">
        <v>50</v>
      </c>
      <c r="F15" s="37" t="s">
        <v>229</v>
      </c>
      <c r="G15" s="37" t="s">
        <v>229</v>
      </c>
      <c r="H15" s="37" t="s">
        <v>293</v>
      </c>
      <c r="I15" s="37" t="s">
        <v>231</v>
      </c>
      <c r="J15" s="37">
        <v>50</v>
      </c>
      <c r="O15" s="42" t="s">
        <v>260</v>
      </c>
      <c r="P15">
        <v>1.5</v>
      </c>
      <c r="Q15">
        <v>75</v>
      </c>
    </row>
    <row r="16" spans="1:17" x14ac:dyDescent="0.25">
      <c r="A16" s="37" t="s">
        <v>262</v>
      </c>
      <c r="B16" s="38">
        <v>44832</v>
      </c>
      <c r="C16" s="37">
        <v>1.5</v>
      </c>
      <c r="D16" s="37">
        <v>50</v>
      </c>
      <c r="E16" s="37">
        <v>75</v>
      </c>
      <c r="F16" s="37" t="s">
        <v>229</v>
      </c>
      <c r="G16" s="37" t="s">
        <v>229</v>
      </c>
      <c r="H16" s="37" t="s">
        <v>282</v>
      </c>
      <c r="I16" s="37" t="s">
        <v>231</v>
      </c>
      <c r="J16" s="37">
        <v>75</v>
      </c>
      <c r="O16" s="42" t="s">
        <v>262</v>
      </c>
      <c r="P16">
        <v>7.5</v>
      </c>
      <c r="Q16">
        <v>375</v>
      </c>
    </row>
    <row r="17" spans="2:17" x14ac:dyDescent="0.25">
      <c r="B17" s="36"/>
      <c r="O17" s="42" t="s">
        <v>289</v>
      </c>
      <c r="P17">
        <v>0.5</v>
      </c>
      <c r="Q17">
        <v>25</v>
      </c>
    </row>
    <row r="18" spans="2:17" x14ac:dyDescent="0.25">
      <c r="J18" s="31">
        <f>SUM(J2:J16)</f>
        <v>1025</v>
      </c>
      <c r="O18" s="42" t="s">
        <v>272</v>
      </c>
      <c r="P18">
        <v>1</v>
      </c>
      <c r="Q18">
        <v>50</v>
      </c>
    </row>
    <row r="19" spans="2:17" x14ac:dyDescent="0.25">
      <c r="O19" s="42" t="s">
        <v>294</v>
      </c>
      <c r="P19">
        <v>2</v>
      </c>
      <c r="Q19">
        <v>100</v>
      </c>
    </row>
    <row r="20" spans="2:17" x14ac:dyDescent="0.25">
      <c r="O20" s="42" t="s">
        <v>281</v>
      </c>
      <c r="P20">
        <v>20.5</v>
      </c>
      <c r="Q20">
        <v>1025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defaultColWidth="9.140625" defaultRowHeight="15" x14ac:dyDescent="0.25"/>
  <cols>
    <col min="1" max="1" width="15.140625" style="31" bestFit="1" customWidth="1"/>
    <col min="2" max="2" width="9.7109375" style="31" bestFit="1" customWidth="1"/>
    <col min="3" max="3" width="6.140625" style="31" bestFit="1" customWidth="1"/>
    <col min="4" max="6" width="9.140625" style="31" customWidth="1"/>
    <col min="7" max="7" width="18.7109375" style="31" bestFit="1" customWidth="1"/>
    <col min="8" max="14" width="9.140625" style="31" customWidth="1"/>
    <col min="15" max="15" width="16.28515625" style="31" bestFit="1" customWidth="1"/>
    <col min="16" max="16" width="12.7109375" style="31" bestFit="1" customWidth="1"/>
    <col min="17" max="17" width="11.42578125" style="31" bestFit="1" customWidth="1"/>
    <col min="18" max="19" width="9.140625" style="31" customWidth="1"/>
    <col min="20" max="16384" width="9.140625" style="31"/>
  </cols>
  <sheetData>
    <row r="1" spans="1:17" x14ac:dyDescent="0.25">
      <c r="A1" s="31" t="s">
        <v>217</v>
      </c>
      <c r="B1" s="31" t="s">
        <v>218</v>
      </c>
      <c r="C1" s="31" t="s">
        <v>219</v>
      </c>
      <c r="D1" s="31" t="s">
        <v>220</v>
      </c>
      <c r="E1" s="31" t="s">
        <v>221</v>
      </c>
      <c r="F1" s="31" t="s">
        <v>222</v>
      </c>
      <c r="G1" s="31" t="s">
        <v>223</v>
      </c>
      <c r="H1" s="31" t="s">
        <v>224</v>
      </c>
      <c r="I1" s="31" t="s">
        <v>225</v>
      </c>
      <c r="J1" s="31" t="s">
        <v>227</v>
      </c>
    </row>
    <row r="2" spans="1:17" x14ac:dyDescent="0.25">
      <c r="A2" s="39" t="s">
        <v>240</v>
      </c>
      <c r="B2" s="40">
        <v>44793</v>
      </c>
      <c r="C2" s="39">
        <v>0.5</v>
      </c>
      <c r="D2" s="39">
        <v>50</v>
      </c>
      <c r="E2" s="39">
        <f t="shared" ref="E2:E7" si="0">C2*D2</f>
        <v>25</v>
      </c>
      <c r="F2" s="39" t="s">
        <v>229</v>
      </c>
      <c r="G2" s="39" t="s">
        <v>229</v>
      </c>
      <c r="H2" s="39" t="s">
        <v>295</v>
      </c>
      <c r="I2" s="39">
        <v>10</v>
      </c>
      <c r="J2" s="39">
        <f t="shared" ref="J2:J7" si="1">E2+I2</f>
        <v>35</v>
      </c>
    </row>
    <row r="3" spans="1:17" x14ac:dyDescent="0.25">
      <c r="A3" s="39" t="s">
        <v>269</v>
      </c>
      <c r="B3" s="40">
        <v>44794</v>
      </c>
      <c r="C3" s="39">
        <v>1.5</v>
      </c>
      <c r="D3" s="39">
        <v>50</v>
      </c>
      <c r="E3" s="39">
        <f t="shared" si="0"/>
        <v>75</v>
      </c>
      <c r="F3" s="39" t="s">
        <v>231</v>
      </c>
      <c r="G3" s="39" t="s">
        <v>229</v>
      </c>
      <c r="H3" s="39" t="s">
        <v>296</v>
      </c>
      <c r="I3" s="39">
        <v>0</v>
      </c>
      <c r="J3" s="39">
        <f t="shared" si="1"/>
        <v>75</v>
      </c>
    </row>
    <row r="4" spans="1:17" x14ac:dyDescent="0.25">
      <c r="A4" s="39" t="s">
        <v>262</v>
      </c>
      <c r="B4" s="40">
        <v>44794</v>
      </c>
      <c r="C4" s="39">
        <v>1</v>
      </c>
      <c r="D4" s="39">
        <v>50</v>
      </c>
      <c r="E4" s="39">
        <f t="shared" si="0"/>
        <v>50</v>
      </c>
      <c r="F4" s="39" t="s">
        <v>231</v>
      </c>
      <c r="G4" s="39" t="s">
        <v>231</v>
      </c>
      <c r="H4" s="39" t="s">
        <v>297</v>
      </c>
      <c r="I4" s="39"/>
      <c r="J4" s="39">
        <f t="shared" si="1"/>
        <v>50</v>
      </c>
    </row>
    <row r="5" spans="1:17" x14ac:dyDescent="0.25">
      <c r="A5" s="39" t="s">
        <v>280</v>
      </c>
      <c r="B5" s="40">
        <v>44796</v>
      </c>
      <c r="C5" s="39">
        <v>2</v>
      </c>
      <c r="D5" s="39">
        <v>50</v>
      </c>
      <c r="E5" s="39">
        <f t="shared" si="0"/>
        <v>100</v>
      </c>
      <c r="F5" s="39" t="s">
        <v>229</v>
      </c>
      <c r="G5" s="39" t="s">
        <v>229</v>
      </c>
      <c r="H5" s="39" t="s">
        <v>298</v>
      </c>
      <c r="I5" s="39"/>
      <c r="J5" s="39">
        <f t="shared" si="1"/>
        <v>100</v>
      </c>
      <c r="O5" s="41" t="s">
        <v>257</v>
      </c>
      <c r="P5" t="s">
        <v>258</v>
      </c>
      <c r="Q5" t="s">
        <v>259</v>
      </c>
    </row>
    <row r="6" spans="1:17" x14ac:dyDescent="0.25">
      <c r="A6" s="39" t="s">
        <v>262</v>
      </c>
      <c r="B6" s="40">
        <v>44796</v>
      </c>
      <c r="C6" s="39">
        <v>2</v>
      </c>
      <c r="D6" s="39">
        <v>50</v>
      </c>
      <c r="E6" s="39">
        <f t="shared" si="0"/>
        <v>100</v>
      </c>
      <c r="F6" s="39" t="s">
        <v>231</v>
      </c>
      <c r="G6" s="39" t="s">
        <v>231</v>
      </c>
      <c r="H6" s="39" t="s">
        <v>299</v>
      </c>
      <c r="I6" s="39"/>
      <c r="J6" s="39">
        <f t="shared" si="1"/>
        <v>100</v>
      </c>
      <c r="O6" s="42" t="s">
        <v>240</v>
      </c>
      <c r="P6">
        <v>0.5</v>
      </c>
      <c r="Q6">
        <v>25</v>
      </c>
    </row>
    <row r="7" spans="1:17" x14ac:dyDescent="0.25">
      <c r="A7" s="39" t="s">
        <v>300</v>
      </c>
      <c r="B7" s="40">
        <v>44796</v>
      </c>
      <c r="C7" s="39">
        <v>0.5</v>
      </c>
      <c r="D7" s="39">
        <v>50</v>
      </c>
      <c r="E7" s="39">
        <f t="shared" si="0"/>
        <v>25</v>
      </c>
      <c r="F7" s="39" t="s">
        <v>229</v>
      </c>
      <c r="G7" s="39" t="s">
        <v>229</v>
      </c>
      <c r="H7" s="39" t="s">
        <v>301</v>
      </c>
      <c r="I7" s="39"/>
      <c r="J7" s="39">
        <f t="shared" si="1"/>
        <v>25</v>
      </c>
      <c r="O7" s="42" t="s">
        <v>262</v>
      </c>
      <c r="P7">
        <v>3</v>
      </c>
      <c r="Q7">
        <v>150</v>
      </c>
    </row>
    <row r="8" spans="1:17" x14ac:dyDescent="0.25">
      <c r="O8" s="42" t="s">
        <v>300</v>
      </c>
      <c r="P8">
        <v>0.5</v>
      </c>
      <c r="Q8">
        <v>25</v>
      </c>
    </row>
    <row r="9" spans="1:17" x14ac:dyDescent="0.25">
      <c r="O9" s="42" t="s">
        <v>269</v>
      </c>
      <c r="P9">
        <v>1.5</v>
      </c>
      <c r="Q9">
        <v>75</v>
      </c>
    </row>
    <row r="10" spans="1:17" x14ac:dyDescent="0.25">
      <c r="J10" s="31">
        <f>SUM(J2:J7)</f>
        <v>385</v>
      </c>
      <c r="O10" s="42" t="s">
        <v>280</v>
      </c>
      <c r="P10">
        <v>2</v>
      </c>
      <c r="Q10">
        <v>100</v>
      </c>
    </row>
    <row r="11" spans="1:17" x14ac:dyDescent="0.25">
      <c r="O11" s="42" t="s">
        <v>281</v>
      </c>
      <c r="P11">
        <v>7.5</v>
      </c>
      <c r="Q11">
        <v>375</v>
      </c>
    </row>
    <row r="12" spans="1:17" x14ac:dyDescent="0.25">
      <c r="J12" s="31" t="s">
        <v>232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-0.499984740745262"/>
    <pageSetUpPr fitToPage="1"/>
  </sheetPr>
  <dimension ref="B1:AV61"/>
  <sheetViews>
    <sheetView showGridLines="0" topLeftCell="A15" zoomScale="55" zoomScaleNormal="100" workbookViewId="0">
      <selection activeCell="C1" sqref="B1:BK59"/>
    </sheetView>
  </sheetViews>
  <sheetFormatPr defaultColWidth="8.7109375" defaultRowHeight="15" outlineLevelCol="1" x14ac:dyDescent="0.25"/>
  <cols>
    <col min="2" max="2" width="4.7109375" style="312" bestFit="1" customWidth="1"/>
    <col min="3" max="3" width="28.7109375" style="312" bestFit="1" customWidth="1"/>
    <col min="4" max="4" width="13.140625" hidden="1" customWidth="1" outlineLevel="1"/>
    <col min="5" max="5" width="12.42578125" hidden="1" customWidth="1" outlineLevel="1"/>
    <col min="6" max="6" width="13" hidden="1" customWidth="1" outlineLevel="1"/>
    <col min="7" max="14" width="12.42578125" hidden="1" customWidth="1" outlineLevel="1" collapsed="1"/>
    <col min="15" max="15" width="12.42578125" hidden="1" customWidth="1" outlineLevel="1"/>
    <col min="16" max="16" width="12.42578125" hidden="1" customWidth="1" outlineLevel="1" collapsed="1"/>
    <col min="17" max="17" width="12.42578125" hidden="1" customWidth="1" outlineLevel="1"/>
    <col min="18" max="18" width="12.7109375" hidden="1" customWidth="1" outlineLevel="1" collapsed="1"/>
    <col min="19" max="19" width="13.140625" bestFit="1" customWidth="1" collapsed="1"/>
    <col min="20" max="20" width="12.85546875" hidden="1" customWidth="1" outlineLevel="1"/>
    <col min="21" max="21" width="13.85546875" hidden="1" customWidth="1" outlineLevel="1"/>
    <col min="22" max="22" width="11.7109375" hidden="1" customWidth="1" outlineLevel="1" collapsed="1"/>
    <col min="23" max="23" width="12.42578125" hidden="1" customWidth="1" outlineLevel="1" collapsed="1"/>
    <col min="24" max="26" width="11.7109375" hidden="1" customWidth="1" outlineLevel="1" collapsed="1"/>
    <col min="27" max="27" width="12.42578125" hidden="1" customWidth="1" outlineLevel="1" collapsed="1"/>
    <col min="28" max="28" width="13.42578125" hidden="1" customWidth="1" outlineLevel="1" collapsed="1"/>
    <col min="29" max="29" width="13.42578125" hidden="1" customWidth="1" outlineLevel="1"/>
    <col min="30" max="30" width="13.42578125" hidden="1" customWidth="1" outlineLevel="1" collapsed="1"/>
    <col min="31" max="31" width="13.42578125" hidden="1" customWidth="1" outlineLevel="1"/>
    <col min="32" max="32" width="13.42578125" hidden="1" customWidth="1" outlineLevel="1" collapsed="1"/>
    <col min="33" max="33" width="13" hidden="1" customWidth="1" outlineLevel="1"/>
    <col min="34" max="34" width="13.140625" bestFit="1" customWidth="1" collapsed="1"/>
    <col min="35" max="36" width="13.42578125" hidden="1" customWidth="1" outlineLevel="1" collapsed="1"/>
    <col min="37" max="37" width="13" hidden="1" customWidth="1" outlineLevel="1"/>
    <col min="38" max="38" width="14.140625" hidden="1" customWidth="1" outlineLevel="1" collapsed="1"/>
    <col min="39" max="41" width="10.7109375" hidden="1" customWidth="1" outlineLevel="1"/>
    <col min="42" max="42" width="12.85546875" hidden="1" customWidth="1" outlineLevel="1" collapsed="1"/>
    <col min="43" max="44" width="10.7109375" hidden="1" customWidth="1" outlineLevel="1"/>
    <col min="45" max="45" width="16.28515625" bestFit="1" customWidth="1" collapsed="1"/>
    <col min="46" max="46" width="20.140625" hidden="1" customWidth="1" outlineLevel="1"/>
    <col min="47" max="47" width="20.42578125" bestFit="1" customWidth="1" collapsed="1"/>
    <col min="48" max="48" width="19.140625" bestFit="1" customWidth="1"/>
  </cols>
  <sheetData>
    <row r="1" spans="2:48" x14ac:dyDescent="0.25">
      <c r="S1" s="585"/>
      <c r="AH1" s="585"/>
    </row>
    <row r="2" spans="2:48" x14ac:dyDescent="0.25">
      <c r="S2" s="585"/>
      <c r="AH2" s="585"/>
    </row>
    <row r="3" spans="2:48" x14ac:dyDescent="0.25">
      <c r="S3" s="585"/>
      <c r="AH3" s="585"/>
    </row>
    <row r="4" spans="2:48" x14ac:dyDescent="0.25">
      <c r="S4" s="585"/>
      <c r="AH4" s="585"/>
    </row>
    <row r="5" spans="2:48" x14ac:dyDescent="0.25">
      <c r="S5" s="585"/>
      <c r="AH5" s="585"/>
    </row>
    <row r="6" spans="2:48" x14ac:dyDescent="0.25">
      <c r="S6" s="585"/>
      <c r="AH6" s="585"/>
    </row>
    <row r="7" spans="2:48" x14ac:dyDescent="0.25">
      <c r="S7" s="585"/>
      <c r="AH7" s="585"/>
    </row>
    <row r="8" spans="2:48" x14ac:dyDescent="0.25">
      <c r="S8" s="585"/>
      <c r="AH8" s="585"/>
    </row>
    <row r="9" spans="2:48" x14ac:dyDescent="0.25">
      <c r="S9" s="585"/>
      <c r="AH9" s="585"/>
    </row>
    <row r="10" spans="2:48" x14ac:dyDescent="0.25">
      <c r="S10" s="585"/>
      <c r="AH10" s="585"/>
    </row>
    <row r="11" spans="2:48" x14ac:dyDescent="0.25">
      <c r="S11" s="585"/>
      <c r="AH11" s="585"/>
    </row>
    <row r="12" spans="2:48" x14ac:dyDescent="0.25">
      <c r="S12" s="585"/>
      <c r="AH12" s="585"/>
    </row>
    <row r="13" spans="2:48" ht="15.75" customHeight="1" thickBot="1" x14ac:dyDescent="0.3">
      <c r="S13" s="585"/>
      <c r="AH13" s="585"/>
    </row>
    <row r="14" spans="2:48" ht="17.25" customHeight="1" thickTop="1" thickBot="1" x14ac:dyDescent="0.3">
      <c r="B14" s="656">
        <v>45991</v>
      </c>
      <c r="C14" s="657"/>
      <c r="D14" s="657"/>
      <c r="E14" s="657"/>
      <c r="F14" s="657"/>
      <c r="G14" s="657"/>
      <c r="H14" s="657"/>
      <c r="I14" s="657"/>
      <c r="J14" s="657"/>
      <c r="K14" s="657"/>
      <c r="L14" s="657"/>
      <c r="M14" s="657"/>
      <c r="N14" s="657"/>
      <c r="O14" s="657"/>
      <c r="P14" s="657"/>
      <c r="Q14" s="657"/>
      <c r="R14" s="657"/>
      <c r="S14" s="657"/>
      <c r="T14" s="657"/>
      <c r="U14" s="657"/>
      <c r="V14" s="657"/>
      <c r="W14" s="657"/>
      <c r="X14" s="657"/>
      <c r="Y14" s="657"/>
      <c r="Z14" s="657"/>
      <c r="AA14" s="657"/>
      <c r="AB14" s="657"/>
      <c r="AC14" s="657"/>
      <c r="AD14" s="657"/>
      <c r="AE14" s="657"/>
      <c r="AF14" s="657"/>
      <c r="AG14" s="657"/>
      <c r="AH14" s="657"/>
      <c r="AI14" s="657"/>
      <c r="AJ14" s="657"/>
      <c r="AK14" s="657"/>
      <c r="AL14" s="657"/>
      <c r="AM14" s="657"/>
      <c r="AN14" s="657"/>
      <c r="AO14" s="657"/>
      <c r="AP14" s="657"/>
      <c r="AQ14" s="657"/>
      <c r="AR14" s="657"/>
      <c r="AS14" s="657"/>
      <c r="AT14" s="657"/>
      <c r="AU14" s="657"/>
      <c r="AV14" s="658"/>
    </row>
    <row r="15" spans="2:48" ht="15.75" customHeight="1" thickTop="1" x14ac:dyDescent="0.25">
      <c r="B15" s="313"/>
      <c r="C15" s="344"/>
      <c r="D15" s="523">
        <v>45535</v>
      </c>
      <c r="E15" s="523">
        <v>45565</v>
      </c>
      <c r="F15" s="523">
        <v>45596</v>
      </c>
      <c r="G15" s="523">
        <v>45626</v>
      </c>
      <c r="H15" s="523">
        <v>45657</v>
      </c>
      <c r="I15" s="522">
        <v>45688</v>
      </c>
      <c r="J15" s="523">
        <v>45716</v>
      </c>
      <c r="K15" s="522">
        <v>45747</v>
      </c>
      <c r="L15" s="523">
        <v>45777</v>
      </c>
      <c r="M15" s="522">
        <v>45808</v>
      </c>
      <c r="N15" s="523">
        <v>45838</v>
      </c>
      <c r="O15" s="523">
        <v>45869</v>
      </c>
      <c r="P15" s="523">
        <v>45900</v>
      </c>
      <c r="Q15" s="523">
        <v>45930</v>
      </c>
      <c r="R15" s="314" t="s">
        <v>302</v>
      </c>
      <c r="S15" s="315" t="s">
        <v>303</v>
      </c>
      <c r="T15" s="523">
        <v>45565</v>
      </c>
      <c r="U15" s="523">
        <v>45596</v>
      </c>
      <c r="V15" s="523">
        <v>45626</v>
      </c>
      <c r="W15" s="523">
        <v>45657</v>
      </c>
      <c r="X15" s="522">
        <v>45688</v>
      </c>
      <c r="Y15" s="523">
        <v>45716</v>
      </c>
      <c r="Z15" s="522">
        <v>45747</v>
      </c>
      <c r="AA15" s="523">
        <v>45777</v>
      </c>
      <c r="AB15" s="523">
        <v>45808</v>
      </c>
      <c r="AC15" s="523">
        <v>45838</v>
      </c>
      <c r="AD15" s="523">
        <v>45869</v>
      </c>
      <c r="AE15" s="523">
        <v>45900</v>
      </c>
      <c r="AF15" s="523">
        <v>45930</v>
      </c>
      <c r="AG15" s="315" t="s">
        <v>302</v>
      </c>
      <c r="AH15" s="315" t="s">
        <v>304</v>
      </c>
      <c r="AI15" s="522">
        <v>45688</v>
      </c>
      <c r="AJ15" s="522">
        <v>45716</v>
      </c>
      <c r="AK15" s="522">
        <v>45747</v>
      </c>
      <c r="AL15" s="522">
        <v>45777</v>
      </c>
      <c r="AM15" s="522">
        <v>45808</v>
      </c>
      <c r="AN15" s="522">
        <v>45838</v>
      </c>
      <c r="AO15" s="522">
        <v>45869</v>
      </c>
      <c r="AP15" s="522">
        <v>45900</v>
      </c>
      <c r="AQ15" s="522">
        <v>45930</v>
      </c>
      <c r="AR15" s="499" t="s">
        <v>302</v>
      </c>
      <c r="AS15" s="315" t="s">
        <v>305</v>
      </c>
      <c r="AT15" s="522">
        <v>46022</v>
      </c>
      <c r="AU15" s="316" t="s">
        <v>306</v>
      </c>
      <c r="AV15" s="316" t="s">
        <v>307</v>
      </c>
    </row>
    <row r="16" spans="2:48" x14ac:dyDescent="0.25">
      <c r="B16" s="644" t="s">
        <v>2</v>
      </c>
      <c r="C16" s="645"/>
      <c r="D16" s="317">
        <v>12767.593177718411</v>
      </c>
      <c r="E16" s="317">
        <v>6113.1711943761493</v>
      </c>
      <c r="F16" s="317">
        <v>6127.5857542320337</v>
      </c>
      <c r="G16" s="317">
        <v>6569.6085756122666</v>
      </c>
      <c r="H16" s="317">
        <v>5526.4559582071479</v>
      </c>
      <c r="I16" s="317">
        <v>7567.276701019865</v>
      </c>
      <c r="J16" s="317">
        <v>7549.4577058940104</v>
      </c>
      <c r="K16" s="317">
        <v>6427.3261486218844</v>
      </c>
      <c r="L16" s="317">
        <v>5052.1015643449282</v>
      </c>
      <c r="M16" s="502">
        <v>5184.0236073104797</v>
      </c>
      <c r="N16" s="318">
        <v>5656.0279656004059</v>
      </c>
      <c r="O16" s="318">
        <v>7290.1838387748558</v>
      </c>
      <c r="P16" s="318">
        <v>6944.7902569927001</v>
      </c>
      <c r="Q16" s="318">
        <v>7864.4086591995456</v>
      </c>
      <c r="R16" s="318">
        <v>8702.9839764959288</v>
      </c>
      <c r="S16" s="586">
        <v>5277.0751849216276</v>
      </c>
      <c r="T16" s="318">
        <v>4188</v>
      </c>
      <c r="U16" s="318">
        <v>4938.75</v>
      </c>
      <c r="V16" s="318">
        <v>4938.75</v>
      </c>
      <c r="W16" s="318">
        <v>6152</v>
      </c>
      <c r="X16" s="318">
        <v>6721.05</v>
      </c>
      <c r="Y16" s="318">
        <v>6501.14</v>
      </c>
      <c r="Z16" s="318">
        <v>7108.5</v>
      </c>
      <c r="AA16" s="318">
        <v>7861.75</v>
      </c>
      <c r="AB16" s="318">
        <v>7877.62</v>
      </c>
      <c r="AC16" s="318">
        <v>6887.45</v>
      </c>
      <c r="AD16" s="318">
        <v>7418.55</v>
      </c>
      <c r="AE16" s="318">
        <v>7653.35</v>
      </c>
      <c r="AF16" s="318">
        <v>6170.45</v>
      </c>
      <c r="AG16" s="318">
        <v>6170.45</v>
      </c>
      <c r="AH16" s="586">
        <f>+SUMIF('Monthly Detail'!$4:$4, $B$14,'Monthly Detail'!$13:$13)</f>
        <v>5263</v>
      </c>
      <c r="AI16" s="318">
        <v>7249.7138221771829</v>
      </c>
      <c r="AJ16" s="318">
        <v>4913.4871726024867</v>
      </c>
      <c r="AK16" s="318">
        <v>6536.715075223894</v>
      </c>
      <c r="AL16" s="318">
        <v>9380.6105949641606</v>
      </c>
      <c r="AM16" s="318">
        <v>10754.416700710421</v>
      </c>
      <c r="AN16" s="318">
        <v>10296.469025833439</v>
      </c>
      <c r="AO16" s="318">
        <v>8231.4189836152764</v>
      </c>
      <c r="AP16" s="318">
        <v>7580.1792553820114</v>
      </c>
      <c r="AQ16" s="318">
        <v>6911.5121495078683</v>
      </c>
      <c r="AR16" s="318">
        <v>7871.841058711183</v>
      </c>
      <c r="AS16" s="318">
        <v>7017.707274880775</v>
      </c>
      <c r="AT16" s="318">
        <v>8571.1672628560773</v>
      </c>
      <c r="AU16" s="334">
        <f>AH16-S16</f>
        <v>-14.075184921627624</v>
      </c>
      <c r="AV16" s="334">
        <f t="shared" ref="AV16:AV59" si="0">AH16-AS16</f>
        <v>-1754.707274880775</v>
      </c>
    </row>
    <row r="17" spans="2:48" x14ac:dyDescent="0.25">
      <c r="B17" s="654" t="s">
        <v>308</v>
      </c>
      <c r="C17" s="352" t="s">
        <v>83</v>
      </c>
      <c r="D17" s="319">
        <v>256.51065311043118</v>
      </c>
      <c r="E17" s="319">
        <v>54.700956375467307</v>
      </c>
      <c r="F17" s="319">
        <v>60.509581172091607</v>
      </c>
      <c r="G17" s="319">
        <v>80.177126323356731</v>
      </c>
      <c r="H17" s="319">
        <v>67.422003065502309</v>
      </c>
      <c r="I17" s="319">
        <v>74.919583286148907</v>
      </c>
      <c r="J17" s="319">
        <v>82.981115455643277</v>
      </c>
      <c r="K17" s="319">
        <v>86.779038688271072</v>
      </c>
      <c r="L17" s="319">
        <v>108.8789426823022</v>
      </c>
      <c r="M17" s="503">
        <v>114.89662036418611</v>
      </c>
      <c r="N17" s="320">
        <v>112.5985825634105</v>
      </c>
      <c r="O17" s="320">
        <v>88.894304962013294</v>
      </c>
      <c r="P17" s="320">
        <v>90.046534000187862</v>
      </c>
      <c r="Q17" s="320">
        <v>58.764254085682659</v>
      </c>
      <c r="R17" s="320">
        <v>79.39651691981237</v>
      </c>
      <c r="S17" s="587">
        <v>48.305711946181027</v>
      </c>
      <c r="T17" s="320">
        <v>48</v>
      </c>
      <c r="U17" s="320">
        <v>50</v>
      </c>
      <c r="V17" s="320">
        <v>50</v>
      </c>
      <c r="W17" s="320">
        <v>61</v>
      </c>
      <c r="X17" s="320">
        <v>66</v>
      </c>
      <c r="Y17" s="320">
        <v>69</v>
      </c>
      <c r="Z17" s="320">
        <v>68</v>
      </c>
      <c r="AA17" s="320">
        <v>82</v>
      </c>
      <c r="AB17" s="320">
        <v>83</v>
      </c>
      <c r="AC17" s="320">
        <v>72</v>
      </c>
      <c r="AD17" s="320">
        <v>76</v>
      </c>
      <c r="AE17" s="320">
        <v>73</v>
      </c>
      <c r="AF17" s="320">
        <v>62</v>
      </c>
      <c r="AG17" s="320">
        <v>62</v>
      </c>
      <c r="AH17" s="587">
        <f>+SUMIF('Monthly Detail'!$4:$4, $B$14,'Monthly Detail'!15:15)</f>
        <v>57</v>
      </c>
      <c r="AI17" s="320">
        <v>80.370052335922722</v>
      </c>
      <c r="AJ17" s="320">
        <v>59.794008464817153</v>
      </c>
      <c r="AK17" s="320">
        <v>75.75967415903979</v>
      </c>
      <c r="AL17" s="320">
        <v>108.7200518775831</v>
      </c>
      <c r="AM17" s="320">
        <v>130.3078436724258</v>
      </c>
      <c r="AN17" s="320">
        <v>113.65212523692119</v>
      </c>
      <c r="AO17" s="320">
        <v>95.401071163235301</v>
      </c>
      <c r="AP17" s="320">
        <v>92.036777644691625</v>
      </c>
      <c r="AQ17" s="320">
        <v>76.462454067750741</v>
      </c>
      <c r="AR17" s="320">
        <v>91.233609967202582</v>
      </c>
      <c r="AS17" s="320">
        <v>85.852883775497602</v>
      </c>
      <c r="AT17" s="320">
        <v>94.608294624172601</v>
      </c>
      <c r="AU17" s="407">
        <f t="shared" ref="AU16:AU59" si="1">AH17-S17</f>
        <v>8.6942880538189726</v>
      </c>
      <c r="AV17" s="407">
        <f t="shared" si="0"/>
        <v>-28.852883775497602</v>
      </c>
    </row>
    <row r="18" spans="2:48" x14ac:dyDescent="0.25">
      <c r="B18" s="655"/>
      <c r="C18" s="353" t="s">
        <v>84</v>
      </c>
      <c r="D18" s="357">
        <v>165.87293965570609</v>
      </c>
      <c r="E18" s="357">
        <v>50.532061316828923</v>
      </c>
      <c r="F18" s="357">
        <v>52.404371684836853</v>
      </c>
      <c r="G18" s="357">
        <v>68.511632193168566</v>
      </c>
      <c r="H18" s="357">
        <v>57.612335182992737</v>
      </c>
      <c r="I18" s="357">
        <v>64.01904345467689</v>
      </c>
      <c r="J18" s="357">
        <v>70.907650620295641</v>
      </c>
      <c r="K18" s="357">
        <v>74.152989179354037</v>
      </c>
      <c r="L18" s="357">
        <v>92.128336115794127</v>
      </c>
      <c r="M18" s="504">
        <v>96.681302501571267</v>
      </c>
      <c r="N18" s="520">
        <v>97.585438221622425</v>
      </c>
      <c r="O18" s="520">
        <v>72.731704059829056</v>
      </c>
      <c r="P18" s="520">
        <v>79.094928513678525</v>
      </c>
      <c r="Q18" s="520">
        <v>51.418722324972329</v>
      </c>
      <c r="R18" s="322">
        <v>64.693458230958228</v>
      </c>
      <c r="S18" s="588">
        <v>44.441254990486549</v>
      </c>
      <c r="T18" s="322">
        <v>42</v>
      </c>
      <c r="U18" s="322">
        <v>46</v>
      </c>
      <c r="V18" s="322">
        <v>46</v>
      </c>
      <c r="W18" s="322">
        <v>54</v>
      </c>
      <c r="X18" s="322">
        <v>59</v>
      </c>
      <c r="Y18" s="322">
        <v>59</v>
      </c>
      <c r="Z18" s="322">
        <v>63</v>
      </c>
      <c r="AA18" s="322">
        <v>69</v>
      </c>
      <c r="AB18" s="322">
        <v>78</v>
      </c>
      <c r="AC18" s="322">
        <v>62</v>
      </c>
      <c r="AD18" s="322">
        <v>67</v>
      </c>
      <c r="AE18" s="322">
        <v>60</v>
      </c>
      <c r="AF18" s="322">
        <v>54</v>
      </c>
      <c r="AG18" s="322">
        <v>54</v>
      </c>
      <c r="AH18" s="588">
        <f>+SUMIF('Monthly Detail'!$4:$4, $B$14,'Monthly Detail'!16:16)</f>
        <v>51</v>
      </c>
      <c r="AI18" s="322">
        <v>65.975416096652978</v>
      </c>
      <c r="AJ18" s="322">
        <v>55.753872757734911</v>
      </c>
      <c r="AK18" s="322">
        <v>66.904647309281899</v>
      </c>
      <c r="AL18" s="322">
        <v>91.993890050262607</v>
      </c>
      <c r="AM18" s="322">
        <v>109.64928309021199</v>
      </c>
      <c r="AN18" s="322">
        <v>98.498508538665007</v>
      </c>
      <c r="AO18" s="322">
        <v>78.055421860828872</v>
      </c>
      <c r="AP18" s="322">
        <v>80.843115498715619</v>
      </c>
      <c r="AQ18" s="322">
        <v>66.904647309281899</v>
      </c>
      <c r="AR18" s="322">
        <v>74.338497010313219</v>
      </c>
      <c r="AS18" s="322">
        <v>78.984653073457793</v>
      </c>
      <c r="AT18" s="322">
        <v>80.843115498715619</v>
      </c>
      <c r="AU18" s="408">
        <f t="shared" si="1"/>
        <v>6.5587450095134514</v>
      </c>
      <c r="AV18" s="408">
        <f t="shared" si="0"/>
        <v>-27.984653073457793</v>
      </c>
    </row>
    <row r="19" spans="2:48" x14ac:dyDescent="0.25">
      <c r="B19" s="655"/>
      <c r="C19" s="354" t="s">
        <v>85</v>
      </c>
      <c r="D19" s="321">
        <v>100.62958339112831</v>
      </c>
      <c r="E19" s="321">
        <v>26.84515757456537</v>
      </c>
      <c r="F19" s="321">
        <v>46.165756008070559</v>
      </c>
      <c r="G19" s="321">
        <v>30.103595963664979</v>
      </c>
      <c r="H19" s="321">
        <v>35.068377937473841</v>
      </c>
      <c r="I19" s="321">
        <v>29.638446043831891</v>
      </c>
      <c r="J19" s="321">
        <v>42.063860537463519</v>
      </c>
      <c r="K19" s="321">
        <v>40.218570402361507</v>
      </c>
      <c r="L19" s="321">
        <v>45.332990787136787</v>
      </c>
      <c r="M19" s="505">
        <v>42.035348913726637</v>
      </c>
      <c r="N19" s="322">
        <v>47.541623748995541</v>
      </c>
      <c r="O19" s="322">
        <v>43.404404035704438</v>
      </c>
      <c r="P19" s="322">
        <v>40.1377249173891</v>
      </c>
      <c r="Q19" s="322">
        <v>27.423318573318571</v>
      </c>
      <c r="R19" s="322">
        <v>43.128972153972157</v>
      </c>
      <c r="S19" s="588">
        <v>25.285541632518211</v>
      </c>
      <c r="T19" s="322">
        <v>37</v>
      </c>
      <c r="U19" s="322">
        <v>28</v>
      </c>
      <c r="V19" s="322">
        <v>28</v>
      </c>
      <c r="W19" s="322">
        <v>25</v>
      </c>
      <c r="X19" s="322">
        <v>35</v>
      </c>
      <c r="Y19" s="322">
        <v>32</v>
      </c>
      <c r="Z19" s="322">
        <v>31</v>
      </c>
      <c r="AA19" s="322">
        <v>30</v>
      </c>
      <c r="AB19" s="322">
        <v>38</v>
      </c>
      <c r="AC19" s="322">
        <v>37</v>
      </c>
      <c r="AD19" s="322">
        <v>34</v>
      </c>
      <c r="AE19" s="322">
        <v>32</v>
      </c>
      <c r="AF19" s="322">
        <v>36</v>
      </c>
      <c r="AG19" s="322">
        <v>36</v>
      </c>
      <c r="AH19" s="588">
        <f>+SUMIF('Monthly Detail'!$4:$4, $B$14,'Monthly Detail'!17:17)</f>
        <v>31</v>
      </c>
      <c r="AI19" s="322">
        <v>40.158948928397457</v>
      </c>
      <c r="AJ19" s="322">
        <v>33.937139939490812</v>
      </c>
      <c r="AK19" s="322">
        <v>40.724567927388982</v>
      </c>
      <c r="AL19" s="322">
        <v>55.996280900159853</v>
      </c>
      <c r="AM19" s="322">
        <v>66.743041880998604</v>
      </c>
      <c r="AN19" s="322">
        <v>59.955613893100427</v>
      </c>
      <c r="AO19" s="322">
        <v>47.51199591528713</v>
      </c>
      <c r="AP19" s="322">
        <v>49.208852912261683</v>
      </c>
      <c r="AQ19" s="322">
        <v>40.724567927388968</v>
      </c>
      <c r="AR19" s="322">
        <v>45.249519919321088</v>
      </c>
      <c r="AS19" s="322">
        <v>48.077614914278662</v>
      </c>
      <c r="AT19" s="322">
        <v>49.208852912261683</v>
      </c>
      <c r="AU19" s="408">
        <f t="shared" si="1"/>
        <v>5.7144583674817895</v>
      </c>
      <c r="AV19" s="408">
        <f t="shared" si="0"/>
        <v>-17.077614914278662</v>
      </c>
    </row>
    <row r="20" spans="2:48" x14ac:dyDescent="0.25">
      <c r="B20" s="655"/>
      <c r="C20" s="355" t="s">
        <v>309</v>
      </c>
      <c r="D20" s="321">
        <v>19</v>
      </c>
      <c r="E20" s="454">
        <v>-19</v>
      </c>
      <c r="F20" s="454">
        <v>14</v>
      </c>
      <c r="G20" s="454">
        <v>4</v>
      </c>
      <c r="H20" s="454">
        <v>15</v>
      </c>
      <c r="I20" s="454">
        <v>12</v>
      </c>
      <c r="J20" s="454">
        <v>12</v>
      </c>
      <c r="K20" s="454">
        <v>14</v>
      </c>
      <c r="L20" s="454">
        <v>31</v>
      </c>
      <c r="M20" s="506">
        <v>30</v>
      </c>
      <c r="N20" s="453">
        <v>21</v>
      </c>
      <c r="O20" s="453">
        <v>11</v>
      </c>
      <c r="P20" s="453">
        <v>8</v>
      </c>
      <c r="Q20" s="453">
        <v>-12</v>
      </c>
      <c r="R20" s="327">
        <v>12</v>
      </c>
      <c r="S20" s="589">
        <v>-14</v>
      </c>
      <c r="T20" s="453">
        <v>-23</v>
      </c>
      <c r="U20" s="453">
        <v>-20</v>
      </c>
      <c r="V20" s="453">
        <v>-20</v>
      </c>
      <c r="W20" s="453">
        <v>8</v>
      </c>
      <c r="X20" s="453">
        <v>5</v>
      </c>
      <c r="Y20" s="453">
        <v>0</v>
      </c>
      <c r="Z20" s="453">
        <v>4</v>
      </c>
      <c r="AA20" s="453">
        <v>6</v>
      </c>
      <c r="AB20" s="453">
        <v>9</v>
      </c>
      <c r="AC20" s="453">
        <v>-15</v>
      </c>
      <c r="AD20" s="453">
        <v>5</v>
      </c>
      <c r="AE20" s="453">
        <v>-7</v>
      </c>
      <c r="AF20" s="453">
        <v>-6</v>
      </c>
      <c r="AG20" s="453">
        <v>-6</v>
      </c>
      <c r="AH20" s="589">
        <f>+SUMIF('Monthly Detail'!$4:$4, $B$14,'Monthly Detail'!18:18)</f>
        <v>-5</v>
      </c>
      <c r="AI20" s="453">
        <v>9</v>
      </c>
      <c r="AJ20" s="453">
        <v>-11</v>
      </c>
      <c r="AK20" s="453">
        <v>12</v>
      </c>
      <c r="AL20" s="453">
        <v>27</v>
      </c>
      <c r="AM20" s="453">
        <v>19</v>
      </c>
      <c r="AN20" s="453">
        <v>-12</v>
      </c>
      <c r="AO20" s="453">
        <v>-22</v>
      </c>
      <c r="AP20" s="453">
        <v>3</v>
      </c>
      <c r="AQ20" s="453">
        <v>-15</v>
      </c>
      <c r="AR20" s="453">
        <v>8</v>
      </c>
      <c r="AS20" s="453">
        <v>5</v>
      </c>
      <c r="AT20" s="453">
        <v>2</v>
      </c>
      <c r="AU20" s="408">
        <f t="shared" si="1"/>
        <v>9</v>
      </c>
      <c r="AV20" s="408">
        <f t="shared" si="0"/>
        <v>-10</v>
      </c>
    </row>
    <row r="21" spans="2:48" x14ac:dyDescent="0.25">
      <c r="B21" s="655"/>
      <c r="C21" s="355" t="s">
        <v>89</v>
      </c>
      <c r="D21" s="321">
        <v>283.23351514911798</v>
      </c>
      <c r="E21" s="321">
        <v>61.120073210808833</v>
      </c>
      <c r="F21" s="321">
        <v>65.670948446448648</v>
      </c>
      <c r="G21" s="321">
        <v>88.973898358212793</v>
      </c>
      <c r="H21" s="321">
        <v>72.95425430582317</v>
      </c>
      <c r="I21" s="321">
        <v>81.803715152875711</v>
      </c>
      <c r="J21" s="321">
        <v>89.24796527249309</v>
      </c>
      <c r="K21" s="321">
        <v>92.278226887459269</v>
      </c>
      <c r="L21" s="321">
        <v>114.05626725962669</v>
      </c>
      <c r="M21" s="505">
        <v>120.8528480204138</v>
      </c>
      <c r="N21" s="322">
        <v>118.4457973106252</v>
      </c>
      <c r="O21" s="322">
        <v>93.836717504425835</v>
      </c>
      <c r="P21" s="322">
        <v>96.266988220642077</v>
      </c>
      <c r="Q21" s="322">
        <v>65.510345956774529</v>
      </c>
      <c r="R21" s="322">
        <v>85.463765031178127</v>
      </c>
      <c r="S21" s="588">
        <v>54.916460743307532</v>
      </c>
      <c r="T21" s="322">
        <v>52</v>
      </c>
      <c r="U21" s="322">
        <v>55</v>
      </c>
      <c r="V21" s="322">
        <v>55</v>
      </c>
      <c r="W21" s="322">
        <v>66</v>
      </c>
      <c r="X21" s="322">
        <v>70</v>
      </c>
      <c r="Y21" s="322">
        <v>74</v>
      </c>
      <c r="Z21" s="322">
        <v>72</v>
      </c>
      <c r="AA21" s="322">
        <v>90</v>
      </c>
      <c r="AB21" s="322">
        <v>90</v>
      </c>
      <c r="AC21" s="322">
        <v>77</v>
      </c>
      <c r="AD21" s="322">
        <v>88</v>
      </c>
      <c r="AE21" s="322">
        <v>84</v>
      </c>
      <c r="AF21" s="322">
        <v>68</v>
      </c>
      <c r="AG21" s="322">
        <v>68</v>
      </c>
      <c r="AH21" s="588">
        <f>+SUMIF('Monthly Detail'!$4:$4, $B$14,'Monthly Detail'!21:21)</f>
        <v>58</v>
      </c>
      <c r="AI21" s="322">
        <v>87.112252642472953</v>
      </c>
      <c r="AJ21" s="322">
        <v>67.831013698409421</v>
      </c>
      <c r="AK21" s="322">
        <v>81.739075005521499</v>
      </c>
      <c r="AL21" s="322">
        <v>116.29601929348711</v>
      </c>
      <c r="AM21" s="322">
        <v>141.17984886018411</v>
      </c>
      <c r="AN21" s="322">
        <v>126.6829096041637</v>
      </c>
      <c r="AO21" s="322">
        <v>106.76628368692739</v>
      </c>
      <c r="AP21" s="322">
        <v>101.57688476101519</v>
      </c>
      <c r="AQ21" s="322">
        <v>85.666131832219904</v>
      </c>
      <c r="AR21" s="322">
        <v>98.879855373977662</v>
      </c>
      <c r="AS21" s="322">
        <v>94.976244772217854</v>
      </c>
      <c r="AT21" s="322">
        <v>103.1935830017224</v>
      </c>
      <c r="AU21" s="408">
        <f t="shared" si="1"/>
        <v>3.0835392566924682</v>
      </c>
      <c r="AV21" s="408">
        <f t="shared" si="0"/>
        <v>-36.976244772217854</v>
      </c>
    </row>
    <row r="22" spans="2:48" x14ac:dyDescent="0.25">
      <c r="B22" s="655"/>
      <c r="C22" s="355" t="s">
        <v>90</v>
      </c>
      <c r="D22" s="321">
        <v>175</v>
      </c>
      <c r="E22" s="321">
        <v>57</v>
      </c>
      <c r="F22" s="321">
        <v>57</v>
      </c>
      <c r="G22" s="321">
        <v>74</v>
      </c>
      <c r="H22" s="321">
        <v>62</v>
      </c>
      <c r="I22" s="321">
        <v>69</v>
      </c>
      <c r="J22" s="321">
        <v>75</v>
      </c>
      <c r="K22" s="321">
        <v>78</v>
      </c>
      <c r="L22" s="321">
        <v>96</v>
      </c>
      <c r="M22" s="505">
        <v>100</v>
      </c>
      <c r="N22" s="322">
        <v>101</v>
      </c>
      <c r="O22" s="322">
        <v>75</v>
      </c>
      <c r="P22" s="322">
        <v>82</v>
      </c>
      <c r="Q22" s="322">
        <v>54</v>
      </c>
      <c r="R22" s="322">
        <v>68</v>
      </c>
      <c r="S22" s="588">
        <v>47</v>
      </c>
      <c r="T22" s="322">
        <v>43</v>
      </c>
      <c r="U22" s="322">
        <v>47</v>
      </c>
      <c r="V22" s="322">
        <v>47</v>
      </c>
      <c r="W22" s="322">
        <v>57</v>
      </c>
      <c r="X22" s="322">
        <v>63</v>
      </c>
      <c r="Y22" s="322">
        <v>64</v>
      </c>
      <c r="Z22" s="322">
        <v>65</v>
      </c>
      <c r="AA22" s="322">
        <v>70</v>
      </c>
      <c r="AB22" s="322">
        <v>80</v>
      </c>
      <c r="AC22" s="322">
        <v>64</v>
      </c>
      <c r="AD22" s="322">
        <v>74</v>
      </c>
      <c r="AE22" s="322">
        <v>66</v>
      </c>
      <c r="AF22" s="322">
        <v>56</v>
      </c>
      <c r="AG22" s="322">
        <v>56</v>
      </c>
      <c r="AH22" s="588">
        <f>+SUMIF('Monthly Detail'!$4:$4, $B$14,'Monthly Detail'!22:22)</f>
        <v>52</v>
      </c>
      <c r="AI22" s="322">
        <v>71</v>
      </c>
      <c r="AJ22" s="322">
        <v>60</v>
      </c>
      <c r="AK22" s="322">
        <v>72</v>
      </c>
      <c r="AL22" s="322">
        <v>99</v>
      </c>
      <c r="AM22" s="322">
        <v>118</v>
      </c>
      <c r="AN22" s="322">
        <v>106</v>
      </c>
      <c r="AO22" s="322">
        <v>84</v>
      </c>
      <c r="AP22" s="322">
        <v>87</v>
      </c>
      <c r="AQ22" s="322">
        <v>72</v>
      </c>
      <c r="AR22" s="322">
        <v>80</v>
      </c>
      <c r="AS22" s="322">
        <v>85</v>
      </c>
      <c r="AT22" s="322">
        <v>87</v>
      </c>
      <c r="AU22" s="408">
        <f t="shared" si="1"/>
        <v>5</v>
      </c>
      <c r="AV22" s="408">
        <f t="shared" si="0"/>
        <v>-33</v>
      </c>
    </row>
    <row r="23" spans="2:48" x14ac:dyDescent="0.25">
      <c r="B23" s="655"/>
      <c r="C23" s="355" t="s">
        <v>91</v>
      </c>
      <c r="D23" s="358">
        <v>0.1156833854488607</v>
      </c>
      <c r="E23" s="358">
        <v>0.11462708634538429</v>
      </c>
      <c r="F23" s="358">
        <v>0.1075284848824383</v>
      </c>
      <c r="G23" s="358">
        <v>0.1086021238871118</v>
      </c>
      <c r="H23" s="358">
        <v>0.11064502480641721</v>
      </c>
      <c r="I23" s="358">
        <v>0.1128546207660132</v>
      </c>
      <c r="J23" s="358">
        <v>9.4952269952269963E-2</v>
      </c>
      <c r="K23" s="358">
        <v>7.9698379698379715E-2</v>
      </c>
      <c r="L23" s="358">
        <v>7.6137126137126143E-2</v>
      </c>
      <c r="M23" s="507">
        <v>7.2636922636922632E-2</v>
      </c>
      <c r="N23" s="345">
        <v>7.0448370448370448E-2</v>
      </c>
      <c r="O23" s="345">
        <v>6.8644618644618641E-2</v>
      </c>
      <c r="P23" s="345">
        <v>8.1848081848081844E-2</v>
      </c>
      <c r="Q23" s="345">
        <v>9.2412217412217404E-2</v>
      </c>
      <c r="R23" s="345">
        <v>9.7858840505899325E-2</v>
      </c>
      <c r="S23" s="590">
        <v>9.181595551564592E-2</v>
      </c>
      <c r="T23" s="345">
        <v>7.6923076923076927E-2</v>
      </c>
      <c r="U23" s="345">
        <v>9.0909090909090912E-2</v>
      </c>
      <c r="V23" s="345">
        <v>9.0909090909090912E-2</v>
      </c>
      <c r="W23" s="345">
        <v>7.575757575757576E-2</v>
      </c>
      <c r="X23" s="345">
        <v>5.7142857142857141E-2</v>
      </c>
      <c r="Y23" s="345">
        <v>6.7567567567567571E-2</v>
      </c>
      <c r="Z23" s="345">
        <v>5.5555555555555552E-2</v>
      </c>
      <c r="AA23" s="345">
        <v>8.8888888888888892E-2</v>
      </c>
      <c r="AB23" s="345">
        <v>7.7777777777777779E-2</v>
      </c>
      <c r="AC23" s="345">
        <v>6.4935064935064929E-2</v>
      </c>
      <c r="AD23" s="345">
        <v>0.13636363636363641</v>
      </c>
      <c r="AE23" s="345">
        <v>0.13095238095238099</v>
      </c>
      <c r="AF23" s="345">
        <v>8.8235294117647065E-2</v>
      </c>
      <c r="AG23" s="345">
        <v>8.8235294117647065E-2</v>
      </c>
      <c r="AH23" s="590">
        <f>+SUMIF('Monthly Detail'!$4:$4, $B$14,'Monthly Detail'!23:23)</f>
        <v>1.7241379310344827E-2</v>
      </c>
      <c r="AI23" s="345">
        <v>0.1</v>
      </c>
      <c r="AJ23" s="345">
        <v>0.1</v>
      </c>
      <c r="AK23" s="345">
        <v>0.1</v>
      </c>
      <c r="AL23" s="345">
        <v>0.1</v>
      </c>
      <c r="AM23" s="345">
        <v>0.1</v>
      </c>
      <c r="AN23" s="345">
        <v>0.1</v>
      </c>
      <c r="AO23" s="345">
        <v>0.1</v>
      </c>
      <c r="AP23" s="345">
        <v>0.1</v>
      </c>
      <c r="AQ23" s="345">
        <v>0.1</v>
      </c>
      <c r="AR23" s="345">
        <v>0.1</v>
      </c>
      <c r="AS23" s="345">
        <v>0.1</v>
      </c>
      <c r="AT23" s="345">
        <v>0.1</v>
      </c>
      <c r="AU23" s="409">
        <f t="shared" si="1"/>
        <v>-7.4574576205301085E-2</v>
      </c>
      <c r="AV23" s="409">
        <f t="shared" si="0"/>
        <v>-8.2758620689655171E-2</v>
      </c>
    </row>
    <row r="24" spans="2:48" x14ac:dyDescent="0.25">
      <c r="B24" s="655"/>
      <c r="C24" s="355" t="s">
        <v>92</v>
      </c>
      <c r="D24" s="358">
        <v>0.1058195977047072</v>
      </c>
      <c r="E24" s="358">
        <v>-0.21043654192454811</v>
      </c>
      <c r="F24" s="358">
        <v>0.24772313535325829</v>
      </c>
      <c r="G24" s="358">
        <v>3.805503322982684E-2</v>
      </c>
      <c r="H24" s="358">
        <v>0.25244206919549428</v>
      </c>
      <c r="I24" s="358">
        <v>0.18553784175327581</v>
      </c>
      <c r="J24" s="358">
        <v>0.20182458678467199</v>
      </c>
      <c r="K24" s="358">
        <v>0.25683032507379733</v>
      </c>
      <c r="L24" s="358">
        <v>0.46235454152054167</v>
      </c>
      <c r="M24" s="507">
        <v>0.40117829712422132</v>
      </c>
      <c r="N24" s="345">
        <v>0.25109536181567221</v>
      </c>
      <c r="O24" s="345">
        <v>0.17309200096498481</v>
      </c>
      <c r="P24" s="345">
        <v>0.18052132109967939</v>
      </c>
      <c r="Q24" s="345">
        <v>-0.14302129458379451</v>
      </c>
      <c r="R24" s="345">
        <v>0.19802700427700429</v>
      </c>
      <c r="S24" s="590">
        <v>-0.23377146568126639</v>
      </c>
      <c r="T24" s="345">
        <v>-0.35384615384615381</v>
      </c>
      <c r="U24" s="345">
        <v>-0.30303030303030298</v>
      </c>
      <c r="V24" s="345">
        <v>-0.30303030303030298</v>
      </c>
      <c r="W24" s="345">
        <v>0.173913043478261</v>
      </c>
      <c r="X24" s="345">
        <v>9.259259259259256E-2</v>
      </c>
      <c r="Y24" s="345">
        <v>0</v>
      </c>
      <c r="Z24" s="345">
        <v>6.7796610169491567E-2</v>
      </c>
      <c r="AA24" s="345">
        <v>9.5238095238095344E-2</v>
      </c>
      <c r="AB24" s="345">
        <v>0.13043478260869559</v>
      </c>
      <c r="AC24" s="345">
        <v>-0.2051282051282052</v>
      </c>
      <c r="AD24" s="345">
        <v>8.0645161290322509E-2</v>
      </c>
      <c r="AE24" s="345">
        <v>-0.1044776119402985</v>
      </c>
      <c r="AF24" s="345">
        <v>-9.9999999999999978E-2</v>
      </c>
      <c r="AG24" s="345">
        <v>-9.9999999999999978E-2</v>
      </c>
      <c r="AH24" s="590">
        <f>+SUMIF('Monthly Detail'!$4:$4, $B$14,'Monthly Detail'!24:24)</f>
        <v>-0.12068965517241381</v>
      </c>
      <c r="AI24" s="345">
        <v>0.14516129032258071</v>
      </c>
      <c r="AJ24" s="345">
        <v>-0.15492957746478869</v>
      </c>
      <c r="AK24" s="345">
        <v>0.20000000000000021</v>
      </c>
      <c r="AL24" s="345">
        <v>0.375</v>
      </c>
      <c r="AM24" s="345">
        <v>0.19191919191919179</v>
      </c>
      <c r="AN24" s="345">
        <v>-0.10169491525423741</v>
      </c>
      <c r="AO24" s="345">
        <v>-0.20754716981132079</v>
      </c>
      <c r="AP24" s="345">
        <v>3.5714285714285809E-2</v>
      </c>
      <c r="AQ24" s="345">
        <v>-0.1724137931034482</v>
      </c>
      <c r="AR24" s="345">
        <v>0.1111111111111112</v>
      </c>
      <c r="AS24" s="345">
        <v>6.25E-2</v>
      </c>
      <c r="AT24" s="345">
        <v>2.3529411764705799E-2</v>
      </c>
      <c r="AU24" s="409">
        <f t="shared" si="1"/>
        <v>0.11308181050885258</v>
      </c>
      <c r="AV24" s="409">
        <f t="shared" si="0"/>
        <v>-0.18318965517241381</v>
      </c>
    </row>
    <row r="25" spans="2:48" x14ac:dyDescent="0.25">
      <c r="B25" s="655"/>
      <c r="C25" s="355" t="s">
        <v>93</v>
      </c>
      <c r="D25" s="358">
        <v>0.94784536946117759</v>
      </c>
      <c r="E25" s="358">
        <v>0.88652739152331439</v>
      </c>
      <c r="F25" s="358">
        <v>0.91937494183924295</v>
      </c>
      <c r="G25" s="358">
        <v>0.92583286747525084</v>
      </c>
      <c r="H25" s="358">
        <v>0.92923121262891517</v>
      </c>
      <c r="I25" s="358">
        <v>0.92781222398082441</v>
      </c>
      <c r="J25" s="358">
        <v>0.94543534160394183</v>
      </c>
      <c r="K25" s="358">
        <v>0.95067934845325697</v>
      </c>
      <c r="L25" s="358">
        <v>0.95967016787285553</v>
      </c>
      <c r="M25" s="507">
        <v>0.96681302501571265</v>
      </c>
      <c r="N25" s="345">
        <v>0.96619245763982597</v>
      </c>
      <c r="O25" s="345">
        <v>0.96975605413105415</v>
      </c>
      <c r="P25" s="345">
        <v>0.96457229894729901</v>
      </c>
      <c r="Q25" s="345">
        <v>0.95219856157356164</v>
      </c>
      <c r="R25" s="345">
        <v>0.95137438574938571</v>
      </c>
      <c r="S25" s="590">
        <v>0.94555861681886266</v>
      </c>
      <c r="T25" s="345">
        <v>0.97674418604651159</v>
      </c>
      <c r="U25" s="345">
        <v>0.97872340425531912</v>
      </c>
      <c r="V25" s="345">
        <v>0.97872340425531912</v>
      </c>
      <c r="W25" s="345">
        <v>0.94736842105263153</v>
      </c>
      <c r="X25" s="345">
        <v>0.93650793650793651</v>
      </c>
      <c r="Y25" s="345">
        <v>0.921875</v>
      </c>
      <c r="Z25" s="345">
        <v>0.96923076923076923</v>
      </c>
      <c r="AA25" s="345">
        <v>0.98571428571428577</v>
      </c>
      <c r="AB25" s="345">
        <v>0.97499999999999998</v>
      </c>
      <c r="AC25" s="345">
        <v>0.96875</v>
      </c>
      <c r="AD25" s="345">
        <v>0.90540540540540537</v>
      </c>
      <c r="AE25" s="345">
        <v>0.90909090909090906</v>
      </c>
      <c r="AF25" s="345">
        <v>0.9642857142857143</v>
      </c>
      <c r="AG25" s="345">
        <v>0.9642857142857143</v>
      </c>
      <c r="AH25" s="590">
        <f>+SUMIF('Monthly Detail'!$4:$4, $B$14,'Monthly Detail'!25:25)</f>
        <v>0.98076923076923073</v>
      </c>
      <c r="AI25" s="345">
        <v>0.92923121262891517</v>
      </c>
      <c r="AJ25" s="345">
        <v>0.92923121262891517</v>
      </c>
      <c r="AK25" s="345">
        <v>0.92923121262891517</v>
      </c>
      <c r="AL25" s="345">
        <v>0.92923121262891517</v>
      </c>
      <c r="AM25" s="345">
        <v>0.92923121262891517</v>
      </c>
      <c r="AN25" s="345">
        <v>0.92923121262891517</v>
      </c>
      <c r="AO25" s="345">
        <v>0.92923121262891517</v>
      </c>
      <c r="AP25" s="345">
        <v>0.92923121262891517</v>
      </c>
      <c r="AQ25" s="345">
        <v>0.92923121262891517</v>
      </c>
      <c r="AR25" s="345">
        <v>0.92923121262891517</v>
      </c>
      <c r="AS25" s="345">
        <v>0.92923121262891517</v>
      </c>
      <c r="AT25" s="345">
        <v>0.92923121262891517</v>
      </c>
      <c r="AU25" s="409">
        <f t="shared" si="1"/>
        <v>3.5210613950368064E-2</v>
      </c>
      <c r="AV25" s="409">
        <f t="shared" si="0"/>
        <v>5.1538018140315556E-2</v>
      </c>
    </row>
    <row r="26" spans="2:48" x14ac:dyDescent="0.25">
      <c r="B26" s="655"/>
      <c r="C26" s="355" t="s">
        <v>94</v>
      </c>
      <c r="D26" s="359">
        <v>1.546428571428571</v>
      </c>
      <c r="E26" s="359">
        <v>1.1499999999999999</v>
      </c>
      <c r="F26" s="359">
        <v>1.154666666666667</v>
      </c>
      <c r="G26" s="359">
        <v>1.1702702702702701</v>
      </c>
      <c r="H26" s="359">
        <v>1.1702702702702701</v>
      </c>
      <c r="I26" s="359">
        <v>1.1702702702702701</v>
      </c>
      <c r="J26" s="359">
        <v>1.1702702702702701</v>
      </c>
      <c r="K26" s="359">
        <v>1.1702702702702701</v>
      </c>
      <c r="L26" s="359">
        <v>1.1818181818181821</v>
      </c>
      <c r="M26" s="508">
        <v>1.188405797101449</v>
      </c>
      <c r="N26" s="348">
        <v>1.153846153846154</v>
      </c>
      <c r="O26" s="348">
        <v>1.2222222222222221</v>
      </c>
      <c r="P26" s="348">
        <v>1.138461538461538</v>
      </c>
      <c r="Q26" s="348">
        <v>1.142857142857143</v>
      </c>
      <c r="R26" s="348">
        <v>1.2272727272727271</v>
      </c>
      <c r="S26" s="591">
        <v>1.0869565217391304</v>
      </c>
      <c r="T26" s="348">
        <v>1.142857142857143</v>
      </c>
      <c r="U26" s="348">
        <v>1.0869565217391299</v>
      </c>
      <c r="V26" s="348">
        <v>1.0869565217391299</v>
      </c>
      <c r="W26" s="348">
        <v>1.12962962962963</v>
      </c>
      <c r="X26" s="348">
        <v>1.1186440677966101</v>
      </c>
      <c r="Y26" s="348">
        <v>1.169491525423729</v>
      </c>
      <c r="Z26" s="348">
        <v>1.0793650793650791</v>
      </c>
      <c r="AA26" s="348">
        <v>1.188405797101449</v>
      </c>
      <c r="AB26" s="348">
        <v>1.0641025641025641</v>
      </c>
      <c r="AC26" s="348">
        <v>1.161290322580645</v>
      </c>
      <c r="AD26" s="348">
        <v>1.1343283582089549</v>
      </c>
      <c r="AE26" s="348">
        <v>1.216666666666667</v>
      </c>
      <c r="AF26" s="348">
        <v>1.1481481481481479</v>
      </c>
      <c r="AG26" s="348">
        <v>1.1481481481481479</v>
      </c>
      <c r="AH26" s="591">
        <f>+SUMIF('Monthly Detail'!$4:$4, $B$14,'Monthly Detail'!26:26)</f>
        <v>1.1176470588235294</v>
      </c>
      <c r="AI26" s="348">
        <v>1.218181818181818</v>
      </c>
      <c r="AJ26" s="348">
        <v>1.0724637681159419</v>
      </c>
      <c r="AK26" s="348">
        <v>1.132352941176471</v>
      </c>
      <c r="AL26" s="348">
        <v>1.1818181818181821</v>
      </c>
      <c r="AM26" s="348">
        <v>1.188405797101449</v>
      </c>
      <c r="AN26" s="348">
        <v>1.153846153846154</v>
      </c>
      <c r="AO26" s="348">
        <v>1.2222222222222221</v>
      </c>
      <c r="AP26" s="348">
        <v>1.138461538461538</v>
      </c>
      <c r="AQ26" s="348">
        <v>1.142857142857143</v>
      </c>
      <c r="AR26" s="348">
        <v>1.2272727272727271</v>
      </c>
      <c r="AS26" s="348">
        <v>1.0869565217391299</v>
      </c>
      <c r="AT26" s="348">
        <v>1.1702702702702701</v>
      </c>
      <c r="AU26" s="410">
        <f t="shared" si="1"/>
        <v>3.0690537084399061E-2</v>
      </c>
      <c r="AV26" s="410">
        <f t="shared" si="0"/>
        <v>3.0690537084399505E-2</v>
      </c>
    </row>
    <row r="27" spans="2:48" x14ac:dyDescent="0.25">
      <c r="B27" s="655"/>
      <c r="C27" s="355" t="s">
        <v>98</v>
      </c>
      <c r="D27" s="324">
        <v>169.29703105288459</v>
      </c>
      <c r="E27" s="324">
        <v>68.923205033088806</v>
      </c>
      <c r="F27" s="324">
        <v>69.586018347905366</v>
      </c>
      <c r="G27" s="324">
        <v>76.168270007188895</v>
      </c>
      <c r="H27" s="324">
        <v>64.050902912227201</v>
      </c>
      <c r="I27" s="324">
        <v>86.157520779071248</v>
      </c>
      <c r="J27" s="324">
        <v>82.981115455643277</v>
      </c>
      <c r="K27" s="324">
        <v>127.5651868717585</v>
      </c>
      <c r="L27" s="324">
        <v>108.8789426823022</v>
      </c>
      <c r="M27" s="509">
        <v>109.9011151309606</v>
      </c>
      <c r="N27" s="325">
        <v>118.22851169158101</v>
      </c>
      <c r="O27" s="325">
        <v>147.56454623694199</v>
      </c>
      <c r="P27" s="325">
        <v>142.68282614757041</v>
      </c>
      <c r="Q27" s="325">
        <v>157.74121371027621</v>
      </c>
      <c r="R27" s="189">
        <v>173.98619448477399</v>
      </c>
      <c r="S27" s="592">
        <v>103.42507168266549</v>
      </c>
      <c r="T27" s="189">
        <v>48</v>
      </c>
      <c r="U27" s="189">
        <v>50</v>
      </c>
      <c r="V27" s="189">
        <v>50</v>
      </c>
      <c r="W27" s="189">
        <v>61</v>
      </c>
      <c r="X27" s="189">
        <v>66</v>
      </c>
      <c r="Y27" s="189">
        <v>143.75</v>
      </c>
      <c r="Z27" s="189">
        <v>155.5</v>
      </c>
      <c r="AA27" s="189">
        <v>170.75</v>
      </c>
      <c r="AB27" s="189">
        <v>168.75</v>
      </c>
      <c r="AC27" s="189">
        <v>135</v>
      </c>
      <c r="AD27" s="189">
        <v>146</v>
      </c>
      <c r="AE27" s="189">
        <v>150.85</v>
      </c>
      <c r="AF27" s="189">
        <v>124</v>
      </c>
      <c r="AG27" s="189">
        <v>124</v>
      </c>
      <c r="AH27" s="592">
        <f>+SUMIF('Monthly Detail'!$4:$4, $B$14,'Monthly Detail'!30:30)</f>
        <v>107.25</v>
      </c>
      <c r="AI27" s="189">
        <v>84.02323653301012</v>
      </c>
      <c r="AJ27" s="189">
        <v>56.946674728397277</v>
      </c>
      <c r="AK27" s="189">
        <v>75.75967415903979</v>
      </c>
      <c r="AL27" s="189">
        <v>108.7200518775831</v>
      </c>
      <c r="AM27" s="189">
        <v>124.6422852518856</v>
      </c>
      <c r="AN27" s="189">
        <v>119.3347314987672</v>
      </c>
      <c r="AO27" s="189">
        <v>95.401071163235301</v>
      </c>
      <c r="AP27" s="189">
        <v>87.853287751751097</v>
      </c>
      <c r="AQ27" s="189">
        <v>80.103523309072202</v>
      </c>
      <c r="AR27" s="189">
        <v>91.233609967202582</v>
      </c>
      <c r="AS27" s="189">
        <v>81.334310945208259</v>
      </c>
      <c r="AT27" s="189">
        <v>99.338709355381241</v>
      </c>
      <c r="AU27" s="411">
        <f t="shared" si="1"/>
        <v>3.8249283173345106</v>
      </c>
      <c r="AV27" s="411">
        <f t="shared" si="0"/>
        <v>25.915689054791741</v>
      </c>
    </row>
    <row r="28" spans="2:48" x14ac:dyDescent="0.25">
      <c r="B28" s="655"/>
      <c r="C28" s="355" t="s">
        <v>100</v>
      </c>
      <c r="D28" s="350">
        <v>75.415340117394592</v>
      </c>
      <c r="E28" s="350">
        <v>86.436561218253942</v>
      </c>
      <c r="F28" s="350">
        <v>84.88071657270342</v>
      </c>
      <c r="G28" s="350">
        <v>83.730254486896499</v>
      </c>
      <c r="H28" s="350">
        <v>83.625002529116458</v>
      </c>
      <c r="I28" s="350">
        <v>85.650420167034099</v>
      </c>
      <c r="J28" s="350">
        <v>88.96199189699189</v>
      </c>
      <c r="K28" s="350">
        <v>48.977397137192433</v>
      </c>
      <c r="L28" s="350">
        <v>44.757100303680758</v>
      </c>
      <c r="M28" s="510">
        <v>45.364761760358498</v>
      </c>
      <c r="N28" s="346">
        <v>45.983801775159947</v>
      </c>
      <c r="O28" s="346">
        <v>47.00030656666474</v>
      </c>
      <c r="P28" s="346">
        <v>46.181382861030983</v>
      </c>
      <c r="Q28" s="346">
        <v>47.304226568963337</v>
      </c>
      <c r="R28" s="346">
        <v>47.583410079568708</v>
      </c>
      <c r="S28" s="593">
        <v>48.504563638138158</v>
      </c>
      <c r="T28" s="346">
        <v>80.538461538461533</v>
      </c>
      <c r="U28" s="346">
        <v>89.795454545454547</v>
      </c>
      <c r="V28" s="346">
        <v>89.795454545454547</v>
      </c>
      <c r="W28" s="346">
        <v>93.212121212121218</v>
      </c>
      <c r="X28" s="346">
        <v>96.015000000000001</v>
      </c>
      <c r="Y28" s="346">
        <v>41.146455696202537</v>
      </c>
      <c r="Z28" s="346">
        <v>43.947449768160737</v>
      </c>
      <c r="AA28" s="346">
        <v>42.324360699865409</v>
      </c>
      <c r="AB28" s="346">
        <v>43.462731034482758</v>
      </c>
      <c r="AC28" s="346">
        <v>48.163986013986012</v>
      </c>
      <c r="AD28" s="346">
        <v>43.131104651162786</v>
      </c>
      <c r="AE28" s="346">
        <v>44.795727246122333</v>
      </c>
      <c r="AF28" s="346">
        <v>45.622550831792978</v>
      </c>
      <c r="AG28" s="346">
        <v>45.622550831792978</v>
      </c>
      <c r="AH28" s="593">
        <f>+SUMIF('Monthly Detail'!$4:$4, $B$14,'Monthly Detail'!32:32)</f>
        <v>48.06392694063927</v>
      </c>
      <c r="AI28" s="346">
        <v>83.625002529116458</v>
      </c>
      <c r="AJ28" s="346">
        <v>83.625002529116458</v>
      </c>
      <c r="AK28" s="346">
        <v>83.625002529116458</v>
      </c>
      <c r="AL28" s="346">
        <v>83.625002529116458</v>
      </c>
      <c r="AM28" s="346">
        <v>83.625002529116458</v>
      </c>
      <c r="AN28" s="346">
        <v>83.625002529116458</v>
      </c>
      <c r="AO28" s="346">
        <v>83.625002529116458</v>
      </c>
      <c r="AP28" s="346">
        <v>83.625002529116458</v>
      </c>
      <c r="AQ28" s="346">
        <v>83.625002529116458</v>
      </c>
      <c r="AR28" s="346">
        <v>83.625002529116458</v>
      </c>
      <c r="AS28" s="346">
        <v>83.625002529116458</v>
      </c>
      <c r="AT28" s="346">
        <v>83.625002529116458</v>
      </c>
      <c r="AU28" s="412">
        <f t="shared" si="1"/>
        <v>-0.44063669749888845</v>
      </c>
      <c r="AV28" s="412">
        <f t="shared" si="0"/>
        <v>-35.561075588477188</v>
      </c>
    </row>
    <row r="29" spans="2:48" hidden="1" x14ac:dyDescent="0.25">
      <c r="B29" s="323"/>
      <c r="C29" s="355" t="s">
        <v>102</v>
      </c>
      <c r="D29" s="326">
        <v>0</v>
      </c>
      <c r="E29" s="326">
        <v>0</v>
      </c>
      <c r="F29" s="326">
        <v>0</v>
      </c>
      <c r="G29" s="326">
        <v>0</v>
      </c>
      <c r="H29" s="326">
        <v>0</v>
      </c>
      <c r="I29" s="326">
        <v>0</v>
      </c>
      <c r="J29" s="326">
        <v>0</v>
      </c>
      <c r="K29" s="326">
        <v>0</v>
      </c>
      <c r="L29" s="326">
        <v>0</v>
      </c>
      <c r="M29" s="511">
        <v>0</v>
      </c>
      <c r="N29" s="327">
        <v>0</v>
      </c>
      <c r="O29" s="327">
        <v>0</v>
      </c>
      <c r="P29" s="327">
        <v>0</v>
      </c>
      <c r="Q29" s="327">
        <v>0</v>
      </c>
      <c r="R29" s="325">
        <v>0</v>
      </c>
      <c r="S29" s="594">
        <v>0</v>
      </c>
      <c r="T29" s="325">
        <v>0</v>
      </c>
      <c r="U29" s="325">
        <v>0</v>
      </c>
      <c r="V29" s="325">
        <v>0</v>
      </c>
      <c r="W29" s="325">
        <v>0</v>
      </c>
      <c r="X29" s="325">
        <v>0</v>
      </c>
      <c r="Y29" s="325">
        <v>0</v>
      </c>
      <c r="Z29" s="325">
        <v>0</v>
      </c>
      <c r="AA29" s="325">
        <v>0</v>
      </c>
      <c r="AB29" s="325">
        <v>0</v>
      </c>
      <c r="AC29" s="325">
        <v>0</v>
      </c>
      <c r="AD29" s="325">
        <v>0</v>
      </c>
      <c r="AE29" s="325">
        <v>0</v>
      </c>
      <c r="AF29" s="325">
        <v>0</v>
      </c>
      <c r="AG29" s="325">
        <v>0</v>
      </c>
      <c r="AH29" s="594">
        <f>+SUMIF('Monthly Detail'!$4:$4, O14,'Monthly Detail'!30:30)</f>
        <v>0</v>
      </c>
      <c r="AI29" s="325">
        <v>0</v>
      </c>
      <c r="AJ29" s="325">
        <v>0</v>
      </c>
      <c r="AK29" s="325">
        <v>0</v>
      </c>
      <c r="AL29" s="325">
        <v>0</v>
      </c>
      <c r="AM29" s="325">
        <v>0</v>
      </c>
      <c r="AN29" s="325">
        <v>0</v>
      </c>
      <c r="AO29" s="325">
        <v>0</v>
      </c>
      <c r="AP29" s="325">
        <v>0</v>
      </c>
      <c r="AQ29" s="325">
        <v>0</v>
      </c>
      <c r="AR29" s="325">
        <v>0</v>
      </c>
      <c r="AS29" s="325">
        <v>0</v>
      </c>
      <c r="AT29" s="325">
        <v>0</v>
      </c>
      <c r="AU29" s="413">
        <f t="shared" si="1"/>
        <v>0</v>
      </c>
      <c r="AV29" s="413">
        <f t="shared" si="0"/>
        <v>0</v>
      </c>
    </row>
    <row r="30" spans="2:48" ht="2.65" customHeight="1" x14ac:dyDescent="0.25">
      <c r="B30" s="328"/>
      <c r="C30" s="355"/>
      <c r="D30" s="326"/>
      <c r="E30" s="326"/>
      <c r="F30" s="326"/>
      <c r="G30" s="326"/>
      <c r="H30" s="326"/>
      <c r="I30" s="326"/>
      <c r="J30" s="326"/>
      <c r="K30" s="326"/>
      <c r="L30" s="326"/>
      <c r="M30" s="511"/>
      <c r="N30" s="327"/>
      <c r="O30" s="327"/>
      <c r="P30" s="327"/>
      <c r="Q30" s="327"/>
      <c r="R30" s="327"/>
      <c r="S30" s="595"/>
      <c r="T30" s="327"/>
      <c r="U30" s="327"/>
      <c r="V30" s="327"/>
      <c r="W30" s="327"/>
      <c r="X30" s="327"/>
      <c r="Y30" s="327"/>
      <c r="Z30" s="327"/>
      <c r="AA30" s="327"/>
      <c r="AB30" s="327"/>
      <c r="AC30" s="327"/>
      <c r="AD30" s="327"/>
      <c r="AE30" s="327"/>
      <c r="AF30" s="327"/>
      <c r="AG30" s="327"/>
      <c r="AH30" s="595"/>
      <c r="AI30" s="327"/>
      <c r="AJ30" s="327"/>
      <c r="AK30" s="327"/>
      <c r="AL30" s="327"/>
      <c r="AM30" s="327"/>
      <c r="AN30" s="327"/>
      <c r="AO30" s="327"/>
      <c r="AP30" s="327"/>
      <c r="AQ30" s="327"/>
      <c r="AR30" s="327"/>
      <c r="AS30" s="327"/>
      <c r="AT30" s="327"/>
      <c r="AU30" s="413">
        <f t="shared" si="1"/>
        <v>0</v>
      </c>
      <c r="AV30" s="413">
        <f t="shared" si="0"/>
        <v>0</v>
      </c>
    </row>
    <row r="31" spans="2:48" ht="15.75" customHeight="1" thickBot="1" x14ac:dyDescent="0.3">
      <c r="B31" s="329"/>
      <c r="C31" s="356" t="s">
        <v>112</v>
      </c>
      <c r="D31" s="330">
        <v>3.7499999999999999E-3</v>
      </c>
      <c r="E31" s="330">
        <v>7.4999999999999997E-3</v>
      </c>
      <c r="F31" s="330">
        <v>6.2500000000000003E-3</v>
      </c>
      <c r="G31" s="330">
        <v>6.2500000000000003E-3</v>
      </c>
      <c r="H31" s="330">
        <v>6.2500000000000003E-3</v>
      </c>
      <c r="I31" s="330">
        <v>6.2500000000000003E-3</v>
      </c>
      <c r="J31" s="330">
        <v>6.2500000000000003E-3</v>
      </c>
      <c r="K31" s="330">
        <v>8.7500000000000008E-3</v>
      </c>
      <c r="L31" s="330">
        <v>5.681818181818182E-3</v>
      </c>
      <c r="M31" s="512">
        <v>5.434782608695652E-3</v>
      </c>
      <c r="N31" s="331">
        <v>6.2500000000000003E-3</v>
      </c>
      <c r="O31" s="331">
        <v>9.4318181818181818E-3</v>
      </c>
      <c r="P31" s="331">
        <v>9.4318181818181818E-3</v>
      </c>
      <c r="Q31" s="331">
        <v>1.525173611111111E-2</v>
      </c>
      <c r="R31" s="331">
        <v>1.1909554482018249E-2</v>
      </c>
      <c r="S31" s="596">
        <v>1.4868421052631579E-2</v>
      </c>
      <c r="T31" s="331">
        <v>5.9523809523809521E-3</v>
      </c>
      <c r="U31" s="331">
        <v>6.5789473684210531E-3</v>
      </c>
      <c r="V31" s="331">
        <v>6.5789473684210531E-3</v>
      </c>
      <c r="W31" s="331">
        <v>6.5789473684210531E-3</v>
      </c>
      <c r="X31" s="331">
        <v>5.434782608695652E-3</v>
      </c>
      <c r="Y31" s="331">
        <v>1.302083333333333E-2</v>
      </c>
      <c r="Z31" s="331">
        <v>1.361169467787115E-2</v>
      </c>
      <c r="AA31" s="331">
        <v>1.1831347006651879E-2</v>
      </c>
      <c r="AB31" s="331">
        <v>1.1551889375684561E-2</v>
      </c>
      <c r="AC31" s="331">
        <v>1.1160714285714289E-2</v>
      </c>
      <c r="AD31" s="331">
        <v>1.091507177033493E-2</v>
      </c>
      <c r="AE31" s="331">
        <v>1.230022831050228E-2</v>
      </c>
      <c r="AF31" s="331">
        <v>1.136363636363636E-2</v>
      </c>
      <c r="AG31" s="331">
        <v>1.136363636363636E-2</v>
      </c>
      <c r="AH31" s="596">
        <f>+SUMIF('Monthly Detail'!$4:$4, $B$14,'Monthly Detail'!46:46)</f>
        <v>1.3066520467836257E-2</v>
      </c>
      <c r="AI31" s="331">
        <v>5.681818181818182E-3</v>
      </c>
      <c r="AJ31" s="331">
        <v>5.9523809523809521E-3</v>
      </c>
      <c r="AK31" s="331">
        <v>5.9523809523809521E-3</v>
      </c>
      <c r="AL31" s="331">
        <v>5.681818181818182E-3</v>
      </c>
      <c r="AM31" s="331">
        <v>5.434782608695652E-3</v>
      </c>
      <c r="AN31" s="331">
        <v>6.2500000000000003E-3</v>
      </c>
      <c r="AO31" s="331">
        <v>5.681818181818182E-3</v>
      </c>
      <c r="AP31" s="331">
        <v>5.681818181818182E-3</v>
      </c>
      <c r="AQ31" s="331">
        <v>5.9523809523809521E-3</v>
      </c>
      <c r="AR31" s="331">
        <v>5.434782608695652E-3</v>
      </c>
      <c r="AS31" s="331">
        <v>6.5789473684210531E-3</v>
      </c>
      <c r="AT31" s="331">
        <v>6.2500000000000003E-3</v>
      </c>
      <c r="AU31" s="414">
        <f t="shared" si="1"/>
        <v>-1.8019005847953219E-3</v>
      </c>
      <c r="AV31" s="414">
        <f t="shared" si="0"/>
        <v>6.4875730994152043E-3</v>
      </c>
    </row>
    <row r="32" spans="2:48" ht="3.4" customHeight="1" x14ac:dyDescent="0.25">
      <c r="B32" s="642"/>
      <c r="C32" s="643"/>
      <c r="D32" s="317"/>
      <c r="E32" s="317"/>
      <c r="F32" s="317"/>
      <c r="G32" s="317"/>
      <c r="H32" s="317"/>
      <c r="I32" s="317"/>
      <c r="J32" s="317"/>
      <c r="K32" s="317"/>
      <c r="L32" s="317"/>
      <c r="M32" s="502"/>
      <c r="N32" s="318"/>
      <c r="O32" s="318"/>
      <c r="P32" s="318"/>
      <c r="Q32" s="318"/>
      <c r="R32" s="318"/>
      <c r="S32" s="586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586"/>
      <c r="AI32" s="318"/>
      <c r="AJ32" s="318"/>
      <c r="AK32" s="318"/>
      <c r="AL32" s="318"/>
      <c r="AM32" s="318"/>
      <c r="AN32" s="318"/>
      <c r="AO32" s="318"/>
      <c r="AP32" s="318"/>
      <c r="AQ32" s="318"/>
      <c r="AR32" s="318"/>
      <c r="AS32" s="318"/>
      <c r="AT32" s="318"/>
      <c r="AU32" s="334">
        <f t="shared" si="1"/>
        <v>0</v>
      </c>
      <c r="AV32" s="334">
        <f t="shared" si="0"/>
        <v>0</v>
      </c>
    </row>
    <row r="33" spans="2:48" x14ac:dyDescent="0.25">
      <c r="B33" s="642" t="s">
        <v>114</v>
      </c>
      <c r="C33" s="643"/>
      <c r="D33" s="317"/>
      <c r="E33" s="317"/>
      <c r="F33" s="317"/>
      <c r="G33" s="317"/>
      <c r="H33" s="317"/>
      <c r="I33" s="317"/>
      <c r="J33" s="317"/>
      <c r="K33" s="317"/>
      <c r="L33" s="317"/>
      <c r="M33" s="502"/>
      <c r="N33" s="318"/>
      <c r="O33" s="318"/>
      <c r="P33" s="318"/>
      <c r="Q33" s="318"/>
      <c r="R33" s="318"/>
      <c r="S33" s="586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586"/>
      <c r="AI33" s="318"/>
      <c r="AJ33" s="318"/>
      <c r="AK33" s="318"/>
      <c r="AL33" s="318"/>
      <c r="AM33" s="318"/>
      <c r="AN33" s="318"/>
      <c r="AO33" s="318"/>
      <c r="AP33" s="318"/>
      <c r="AQ33" s="318"/>
      <c r="AR33" s="318"/>
      <c r="AS33" s="318"/>
      <c r="AT33" s="318"/>
      <c r="AU33" s="334">
        <f t="shared" si="1"/>
        <v>0</v>
      </c>
      <c r="AV33" s="334">
        <f t="shared" si="0"/>
        <v>0</v>
      </c>
    </row>
    <row r="34" spans="2:48" x14ac:dyDescent="0.25">
      <c r="B34" s="642" t="s">
        <v>310</v>
      </c>
      <c r="C34" s="643"/>
      <c r="D34" s="317">
        <v>447.17993697454938</v>
      </c>
      <c r="E34" s="317">
        <v>163.213676426566</v>
      </c>
      <c r="F34" s="317">
        <v>166.8000223364692</v>
      </c>
      <c r="G34" s="317">
        <v>185.2697404533788</v>
      </c>
      <c r="H34" s="317">
        <v>163.6541684993515</v>
      </c>
      <c r="I34" s="317">
        <v>219.35717727454659</v>
      </c>
      <c r="J34" s="317">
        <v>219.19167202721911</v>
      </c>
      <c r="K34" s="317">
        <v>191.81129032078371</v>
      </c>
      <c r="L34" s="317">
        <v>152.37538751291569</v>
      </c>
      <c r="M34" s="502">
        <v>157.6212876963003</v>
      </c>
      <c r="N34" s="318">
        <v>170.15145128905741</v>
      </c>
      <c r="O34" s="318">
        <v>217.58497478204291</v>
      </c>
      <c r="P34" s="318">
        <v>203.90092738957861</v>
      </c>
      <c r="Q34" s="318">
        <v>228.9702160231939</v>
      </c>
      <c r="R34" s="318">
        <v>261.82208877828219</v>
      </c>
      <c r="S34" s="586">
        <v>166.47624926994015</v>
      </c>
      <c r="T34" s="318">
        <v>128.31</v>
      </c>
      <c r="U34" s="318">
        <v>160.15</v>
      </c>
      <c r="V34" s="318">
        <v>160.15</v>
      </c>
      <c r="W34" s="318">
        <v>171.4</v>
      </c>
      <c r="X34" s="318">
        <v>197.3</v>
      </c>
      <c r="Y34" s="318">
        <v>202.11</v>
      </c>
      <c r="Z34" s="318">
        <v>214.54</v>
      </c>
      <c r="AA34" s="318">
        <v>247.79</v>
      </c>
      <c r="AB34" s="318">
        <v>240.23</v>
      </c>
      <c r="AC34" s="318">
        <v>182.1</v>
      </c>
      <c r="AD34" s="318">
        <v>216.6</v>
      </c>
      <c r="AE34" s="318">
        <v>205.55</v>
      </c>
      <c r="AF34" s="318">
        <v>222.12</v>
      </c>
      <c r="AG34" s="318">
        <v>222.12</v>
      </c>
      <c r="AH34" s="586">
        <f>+SUMIF('Monthly Detail'!$4:$4, $B$14,'Monthly Detail'!58:58)</f>
        <v>248.07</v>
      </c>
      <c r="AI34" s="318">
        <v>214.6847629654431</v>
      </c>
      <c r="AJ34" s="318">
        <v>145.50240945471211</v>
      </c>
      <c r="AK34" s="318">
        <v>193.5708306449593</v>
      </c>
      <c r="AL34" s="318">
        <v>277.78671150997411</v>
      </c>
      <c r="AM34" s="318">
        <v>318.46903986208031</v>
      </c>
      <c r="AN34" s="318">
        <v>304.9078993201195</v>
      </c>
      <c r="AO34" s="318">
        <v>243.75586081217111</v>
      </c>
      <c r="AP34" s="318">
        <v>224.4707896881566</v>
      </c>
      <c r="AQ34" s="318">
        <v>204.6696440638637</v>
      </c>
      <c r="AR34" s="318">
        <v>233.1077299384398</v>
      </c>
      <c r="AS34" s="318">
        <v>207.81438548096989</v>
      </c>
      <c r="AT34" s="318">
        <v>253.81677915816229</v>
      </c>
      <c r="AU34" s="334">
        <f t="shared" si="1"/>
        <v>81.593750730059838</v>
      </c>
      <c r="AV34" s="334">
        <f t="shared" si="0"/>
        <v>40.255614519030104</v>
      </c>
    </row>
    <row r="35" spans="2:48" x14ac:dyDescent="0.25">
      <c r="B35" s="642" t="s">
        <v>311</v>
      </c>
      <c r="C35" s="643"/>
      <c r="D35" s="317">
        <v>93.188842154669175</v>
      </c>
      <c r="E35" s="317">
        <v>209.70961070767819</v>
      </c>
      <c r="F35" s="317">
        <v>174.10753876287069</v>
      </c>
      <c r="G35" s="317">
        <v>245.00488244366909</v>
      </c>
      <c r="H35" s="317">
        <v>186.33407758706781</v>
      </c>
      <c r="I35" s="317">
        <v>319.58204438095919</v>
      </c>
      <c r="J35" s="317">
        <v>330.9607799661776</v>
      </c>
      <c r="K35" s="317">
        <v>365.80507356133648</v>
      </c>
      <c r="L35" s="317">
        <v>372.17717486226661</v>
      </c>
      <c r="M35" s="502">
        <v>416.83871223405328</v>
      </c>
      <c r="N35" s="318">
        <v>477.04278757425232</v>
      </c>
      <c r="O35" s="318">
        <v>587.36946746526985</v>
      </c>
      <c r="P35" s="318">
        <v>601.14480572110983</v>
      </c>
      <c r="Q35" s="318">
        <v>720.0463235612375</v>
      </c>
      <c r="R35" s="318">
        <v>780.64705247611505</v>
      </c>
      <c r="S35" s="586">
        <v>506.58574029274047</v>
      </c>
      <c r="T35" s="318">
        <v>28.36</v>
      </c>
      <c r="U35" s="318">
        <v>356.29</v>
      </c>
      <c r="V35" s="318">
        <v>356.29</v>
      </c>
      <c r="W35" s="318">
        <v>589.19000000000005</v>
      </c>
      <c r="X35" s="318">
        <v>249.98</v>
      </c>
      <c r="Y35" s="318">
        <v>544.29</v>
      </c>
      <c r="Z35" s="318">
        <v>810.15</v>
      </c>
      <c r="AA35" s="318">
        <v>682.78</v>
      </c>
      <c r="AB35" s="318">
        <v>754.25</v>
      </c>
      <c r="AC35" s="318">
        <v>503.73</v>
      </c>
      <c r="AD35" s="318">
        <v>588.11</v>
      </c>
      <c r="AE35" s="318">
        <v>768.16</v>
      </c>
      <c r="AF35" s="318">
        <v>893.43</v>
      </c>
      <c r="AG35" s="318">
        <v>893.43</v>
      </c>
      <c r="AH35" s="586">
        <f>+SUMIF('Monthly Detail'!$4:$4, $B$14,'Monthly Detail'!59:59)</f>
        <v>528.58000000000004</v>
      </c>
      <c r="AI35" s="318">
        <v>244.43671460359201</v>
      </c>
      <c r="AJ35" s="318">
        <v>165.66676853420361</v>
      </c>
      <c r="AK35" s="318">
        <v>220.3967213712246</v>
      </c>
      <c r="AL35" s="318">
        <v>316.28360664312112</v>
      </c>
      <c r="AM35" s="318">
        <v>362.60386965318901</v>
      </c>
      <c r="AN35" s="318">
        <v>347.16336705502329</v>
      </c>
      <c r="AO35" s="318">
        <v>277.5366120970977</v>
      </c>
      <c r="AP35" s="318">
        <v>255.57893162952999</v>
      </c>
      <c r="AQ35" s="318">
        <v>233.03365680456011</v>
      </c>
      <c r="AR35" s="318">
        <v>265.41281676345818</v>
      </c>
      <c r="AS35" s="318">
        <v>236.61421021532561</v>
      </c>
      <c r="AT35" s="318">
        <v>288.99181642748118</v>
      </c>
      <c r="AU35" s="334">
        <f t="shared" si="1"/>
        <v>21.994259707259573</v>
      </c>
      <c r="AV35" s="334">
        <f t="shared" si="0"/>
        <v>291.96578978467443</v>
      </c>
    </row>
    <row r="36" spans="2:48" x14ac:dyDescent="0.25">
      <c r="B36" s="653" t="s">
        <v>312</v>
      </c>
      <c r="C36" s="645"/>
      <c r="D36" s="317"/>
      <c r="E36" s="317">
        <v>450</v>
      </c>
      <c r="F36" s="317">
        <v>540</v>
      </c>
      <c r="G36" s="317">
        <v>540</v>
      </c>
      <c r="H36" s="317">
        <v>600</v>
      </c>
      <c r="I36" s="317">
        <v>0</v>
      </c>
      <c r="J36" s="317">
        <v>300</v>
      </c>
      <c r="K36" s="317">
        <v>1103.4778030763771</v>
      </c>
      <c r="L36" s="317">
        <v>448.18414023453232</v>
      </c>
      <c r="M36" s="502">
        <v>0</v>
      </c>
      <c r="N36" s="318">
        <v>0</v>
      </c>
      <c r="O36" s="318">
        <v>998.46819355413072</v>
      </c>
      <c r="P36" s="318">
        <v>925.24239221355617</v>
      </c>
      <c r="Q36" s="318">
        <v>1091.1182056541429</v>
      </c>
      <c r="R36" s="318">
        <v>1394.792917271611</v>
      </c>
      <c r="S36" s="586">
        <v>276.37607523998236</v>
      </c>
      <c r="T36" s="318">
        <v>210</v>
      </c>
      <c r="U36" s="318">
        <v>432</v>
      </c>
      <c r="V36" s="318">
        <v>432</v>
      </c>
      <c r="W36" s="318">
        <v>470</v>
      </c>
      <c r="X36" s="318">
        <v>50</v>
      </c>
      <c r="Y36" s="318">
        <v>45</v>
      </c>
      <c r="Z36" s="318">
        <v>0</v>
      </c>
      <c r="AA36" s="318">
        <v>0</v>
      </c>
      <c r="AB36" s="318">
        <v>629</v>
      </c>
      <c r="AC36" s="318">
        <v>0</v>
      </c>
      <c r="AD36" s="318">
        <v>0</v>
      </c>
      <c r="AE36" s="318">
        <v>0</v>
      </c>
      <c r="AF36" s="318">
        <v>30</v>
      </c>
      <c r="AG36" s="318">
        <v>30</v>
      </c>
      <c r="AH36" s="586">
        <f>+SUMIF('Monthly Detail'!$4:$4, $B$14,'Monthly Detail'!60:60)</f>
        <v>0</v>
      </c>
      <c r="AI36" s="318">
        <v>0</v>
      </c>
      <c r="AJ36" s="318">
        <v>300</v>
      </c>
      <c r="AK36" s="318">
        <v>540</v>
      </c>
      <c r="AL36" s="318">
        <v>940.80077816374637</v>
      </c>
      <c r="AM36" s="318">
        <v>1179.6342787782839</v>
      </c>
      <c r="AN36" s="318">
        <v>980.02097248150812</v>
      </c>
      <c r="AO36" s="318">
        <v>381.0160674485295</v>
      </c>
      <c r="AP36" s="318">
        <v>540</v>
      </c>
      <c r="AQ36" s="318">
        <v>300</v>
      </c>
      <c r="AR36" s="318">
        <v>558.50414950803872</v>
      </c>
      <c r="AS36" s="318">
        <v>540</v>
      </c>
      <c r="AT36" s="318">
        <v>680.08064033071855</v>
      </c>
      <c r="AU36" s="334">
        <f t="shared" si="1"/>
        <v>-276.37607523998236</v>
      </c>
      <c r="AV36" s="334">
        <f t="shared" si="0"/>
        <v>-540</v>
      </c>
    </row>
    <row r="37" spans="2:48" x14ac:dyDescent="0.25">
      <c r="B37" s="650" t="s">
        <v>147</v>
      </c>
      <c r="C37" s="651"/>
      <c r="D37" s="332">
        <v>540.36877912921864</v>
      </c>
      <c r="E37" s="332">
        <v>822.92328713424422</v>
      </c>
      <c r="F37" s="332">
        <v>880.90756109933989</v>
      </c>
      <c r="G37" s="332">
        <v>970.27462289704783</v>
      </c>
      <c r="H37" s="332">
        <v>949.98824608641928</v>
      </c>
      <c r="I37" s="332">
        <v>538.93922165550589</v>
      </c>
      <c r="J37" s="332">
        <v>850.15245199339665</v>
      </c>
      <c r="K37" s="332">
        <v>1661.0941669584979</v>
      </c>
      <c r="L37" s="332">
        <v>972.73670260971448</v>
      </c>
      <c r="M37" s="513">
        <v>574.45999993035366</v>
      </c>
      <c r="N37" s="159">
        <v>647.19423886330969</v>
      </c>
      <c r="O37" s="159">
        <v>1803.422635801443</v>
      </c>
      <c r="P37" s="159">
        <v>1730.288125324244</v>
      </c>
      <c r="Q37" s="159">
        <v>2040.1347452385751</v>
      </c>
      <c r="R37" s="159">
        <v>2437.2620585260079</v>
      </c>
      <c r="S37" s="597">
        <v>949.43806480266301</v>
      </c>
      <c r="T37" s="159">
        <v>366.67</v>
      </c>
      <c r="U37" s="159">
        <v>948.44</v>
      </c>
      <c r="V37" s="159">
        <v>948.44</v>
      </c>
      <c r="W37" s="159">
        <v>1230.5899999999999</v>
      </c>
      <c r="X37" s="159">
        <v>497.28</v>
      </c>
      <c r="Y37" s="159">
        <v>791.4</v>
      </c>
      <c r="Z37" s="159">
        <v>1024.69</v>
      </c>
      <c r="AA37" s="159">
        <v>930.56999999999994</v>
      </c>
      <c r="AB37" s="159">
        <v>1623.48</v>
      </c>
      <c r="AC37" s="159">
        <v>685.83</v>
      </c>
      <c r="AD37" s="159">
        <v>804.71</v>
      </c>
      <c r="AE37" s="159">
        <v>973.71</v>
      </c>
      <c r="AF37" s="159">
        <v>1145.55</v>
      </c>
      <c r="AG37" s="159">
        <v>1145.55</v>
      </c>
      <c r="AH37" s="597">
        <f>+SUM(AF34:AF36)</f>
        <v>1145.55</v>
      </c>
      <c r="AI37" s="159">
        <v>459.12147756903511</v>
      </c>
      <c r="AJ37" s="159">
        <v>611.16917798891564</v>
      </c>
      <c r="AK37" s="159">
        <v>953.96755201618396</v>
      </c>
      <c r="AL37" s="159">
        <v>1534.871096316841</v>
      </c>
      <c r="AM37" s="159">
        <v>1860.7071882935529</v>
      </c>
      <c r="AN37" s="159">
        <v>1632.092238856651</v>
      </c>
      <c r="AO37" s="159">
        <v>902.30854035779828</v>
      </c>
      <c r="AP37" s="159">
        <v>1020.049721317687</v>
      </c>
      <c r="AQ37" s="159">
        <v>737.70330086842387</v>
      </c>
      <c r="AR37" s="159">
        <v>1057.024696209937</v>
      </c>
      <c r="AS37" s="159">
        <v>984.42859569629547</v>
      </c>
      <c r="AT37" s="159">
        <v>1222.8892359163619</v>
      </c>
      <c r="AU37" s="415">
        <f t="shared" si="1"/>
        <v>196.11193519733695</v>
      </c>
      <c r="AV37" s="415">
        <f t="shared" si="0"/>
        <v>161.12140430370448</v>
      </c>
    </row>
    <row r="38" spans="2:48" x14ac:dyDescent="0.25">
      <c r="B38" s="653" t="s">
        <v>121</v>
      </c>
      <c r="C38" s="645"/>
      <c r="D38" s="333">
        <v>12227.224398589189</v>
      </c>
      <c r="E38" s="333">
        <v>5290.2479072419046</v>
      </c>
      <c r="F38" s="333">
        <v>5246.6781931326941</v>
      </c>
      <c r="G38" s="333">
        <v>5599.3339527152193</v>
      </c>
      <c r="H38" s="333">
        <v>4576.4677121207287</v>
      </c>
      <c r="I38" s="333">
        <v>7028.3374793643588</v>
      </c>
      <c r="J38" s="333">
        <v>6699.3052539006139</v>
      </c>
      <c r="K38" s="333">
        <v>4766.2319816633863</v>
      </c>
      <c r="L38" s="333">
        <v>4079.3648617352142</v>
      </c>
      <c r="M38" s="514">
        <v>4609.5636073801261</v>
      </c>
      <c r="N38" s="158">
        <v>5008.8337267370962</v>
      </c>
      <c r="O38" s="158">
        <v>5486.7612029734119</v>
      </c>
      <c r="P38" s="158">
        <v>5214.5021316684561</v>
      </c>
      <c r="Q38" s="158">
        <v>5824.2739139609712</v>
      </c>
      <c r="R38" s="158">
        <v>6265.7219179699196</v>
      </c>
      <c r="S38" s="586">
        <v>4327.637120118965</v>
      </c>
      <c r="T38" s="158">
        <v>3821.33</v>
      </c>
      <c r="U38" s="158">
        <v>3990.31</v>
      </c>
      <c r="V38" s="158">
        <v>3990.31</v>
      </c>
      <c r="W38" s="158">
        <v>4921.41</v>
      </c>
      <c r="X38" s="158">
        <v>6223.77</v>
      </c>
      <c r="Y38" s="158">
        <v>5709.7400000000007</v>
      </c>
      <c r="Z38" s="158">
        <v>6083.8099999999986</v>
      </c>
      <c r="AA38" s="158">
        <v>6931.18</v>
      </c>
      <c r="AB38" s="158">
        <v>6254.1399999999994</v>
      </c>
      <c r="AC38" s="158">
        <v>6201.62</v>
      </c>
      <c r="AD38" s="158">
        <v>6613.84</v>
      </c>
      <c r="AE38" s="158">
        <v>6679.64</v>
      </c>
      <c r="AF38" s="158">
        <v>5024.8999999999996</v>
      </c>
      <c r="AG38" s="158">
        <v>5024.8999999999996</v>
      </c>
      <c r="AH38" s="586">
        <f>+AF16-AF37</f>
        <v>5024.8999999999996</v>
      </c>
      <c r="AI38" s="158">
        <v>6790.5923446081479</v>
      </c>
      <c r="AJ38" s="158">
        <v>4302.3179946135706</v>
      </c>
      <c r="AK38" s="158">
        <v>5582.7475232077104</v>
      </c>
      <c r="AL38" s="158">
        <v>7845.7394986473191</v>
      </c>
      <c r="AM38" s="158">
        <v>8893.7095124168718</v>
      </c>
      <c r="AN38" s="158">
        <v>8664.3767869767908</v>
      </c>
      <c r="AO38" s="158">
        <v>7329.1104432574784</v>
      </c>
      <c r="AP38" s="158">
        <v>6560.1295340643246</v>
      </c>
      <c r="AQ38" s="158">
        <v>6173.8088486394436</v>
      </c>
      <c r="AR38" s="158">
        <v>6814.8163625012457</v>
      </c>
      <c r="AS38" s="158">
        <v>6033.2786791844792</v>
      </c>
      <c r="AT38" s="158">
        <v>7348.2780269397153</v>
      </c>
      <c r="AU38" s="334">
        <f t="shared" si="1"/>
        <v>697.26287988103468</v>
      </c>
      <c r="AV38" s="334">
        <f t="shared" si="0"/>
        <v>-1008.3786791844796</v>
      </c>
    </row>
    <row r="39" spans="2:48" x14ac:dyDescent="0.25">
      <c r="B39" s="652" t="s">
        <v>122</v>
      </c>
      <c r="C39" s="651"/>
      <c r="D39" s="351">
        <v>0.95767653530249897</v>
      </c>
      <c r="E39" s="351">
        <v>0.86538520499944482</v>
      </c>
      <c r="F39" s="351">
        <v>0.85623904806376017</v>
      </c>
      <c r="G39" s="351">
        <v>0.85230860990730772</v>
      </c>
      <c r="H39" s="351">
        <v>0.82810172499870838</v>
      </c>
      <c r="I39" s="351">
        <v>0.92878029402798612</v>
      </c>
      <c r="J39" s="351">
        <v>0.88738893770745075</v>
      </c>
      <c r="K39" s="351">
        <v>0.7415575110787459</v>
      </c>
      <c r="L39" s="351">
        <v>0.80745899696974077</v>
      </c>
      <c r="M39" s="515">
        <v>0.88918646143504176</v>
      </c>
      <c r="N39" s="349">
        <v>0.88557442735440794</v>
      </c>
      <c r="O39" s="349">
        <v>0.75262316072066071</v>
      </c>
      <c r="P39" s="349">
        <v>0.75085091683193472</v>
      </c>
      <c r="Q39" s="349">
        <v>0.74058637671987115</v>
      </c>
      <c r="R39" s="349">
        <v>0.71995098863696638</v>
      </c>
      <c r="S39" s="598">
        <v>0.82008252080328026</v>
      </c>
      <c r="T39" s="349">
        <v>0.91244746895893025</v>
      </c>
      <c r="U39" s="349">
        <v>0.80795950392305749</v>
      </c>
      <c r="V39" s="349">
        <v>0.80795950392305749</v>
      </c>
      <c r="W39" s="349">
        <v>0.7999691157347204</v>
      </c>
      <c r="X39" s="349">
        <v>0.92601156069364166</v>
      </c>
      <c r="Y39" s="349">
        <v>0.87826750385317043</v>
      </c>
      <c r="Z39" s="349">
        <v>0.85585003868608001</v>
      </c>
      <c r="AA39" s="349">
        <v>0.8816332241549274</v>
      </c>
      <c r="AB39" s="349">
        <v>0.79391237454967356</v>
      </c>
      <c r="AC39" s="349">
        <v>0.9004232335624941</v>
      </c>
      <c r="AD39" s="349">
        <v>0.8915273200288466</v>
      </c>
      <c r="AE39" s="349">
        <v>0.87277336068519018</v>
      </c>
      <c r="AF39" s="349">
        <v>0.81434903451125928</v>
      </c>
      <c r="AG39" s="349">
        <v>0.81434903451125928</v>
      </c>
      <c r="AH39" s="598">
        <f>+AF38/AF16</f>
        <v>0.81434903451125928</v>
      </c>
      <c r="AI39" s="349">
        <v>0.93667039984881018</v>
      </c>
      <c r="AJ39" s="349">
        <v>0.87561396692011673</v>
      </c>
      <c r="AK39" s="349">
        <v>0.85406009883588074</v>
      </c>
      <c r="AL39" s="349">
        <v>0.83637833797931938</v>
      </c>
      <c r="AM39" s="349">
        <v>0.82698204467280534</v>
      </c>
      <c r="AN39" s="349">
        <v>0.8414901035722252</v>
      </c>
      <c r="AO39" s="349">
        <v>0.89038238216839016</v>
      </c>
      <c r="AP39" s="349">
        <v>0.86543197898737811</v>
      </c>
      <c r="AQ39" s="349">
        <v>0.89326455847712694</v>
      </c>
      <c r="AR39" s="349">
        <v>0.86572077760129484</v>
      </c>
      <c r="AS39" s="349">
        <v>0.85972219171637931</v>
      </c>
      <c r="AT39" s="349">
        <v>0.85732523956032658</v>
      </c>
      <c r="AU39" s="416">
        <f t="shared" si="1"/>
        <v>-5.7334862920209728E-3</v>
      </c>
      <c r="AV39" s="416">
        <f t="shared" si="0"/>
        <v>-4.5373157205120029E-2</v>
      </c>
    </row>
    <row r="40" spans="2:48" ht="4.9000000000000004" customHeight="1" x14ac:dyDescent="0.25">
      <c r="B40" s="642"/>
      <c r="C40" s="643"/>
      <c r="D40" s="317"/>
      <c r="E40" s="317"/>
      <c r="F40" s="317"/>
      <c r="G40" s="317"/>
      <c r="H40" s="317"/>
      <c r="I40" s="317"/>
      <c r="J40" s="317"/>
      <c r="K40" s="317"/>
      <c r="L40" s="317"/>
      <c r="M40" s="502"/>
      <c r="N40" s="318"/>
      <c r="O40" s="318"/>
      <c r="P40" s="318"/>
      <c r="Q40" s="318"/>
      <c r="R40" s="318"/>
      <c r="S40" s="586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586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34">
        <f t="shared" si="1"/>
        <v>0</v>
      </c>
      <c r="AV40" s="334">
        <f t="shared" si="0"/>
        <v>0</v>
      </c>
    </row>
    <row r="41" spans="2:48" x14ac:dyDescent="0.25">
      <c r="B41" s="642" t="s">
        <v>123</v>
      </c>
      <c r="C41" s="643"/>
      <c r="D41" s="317"/>
      <c r="E41" s="317"/>
      <c r="F41" s="317"/>
      <c r="G41" s="317"/>
      <c r="H41" s="317"/>
      <c r="I41" s="317"/>
      <c r="J41" s="317"/>
      <c r="K41" s="317"/>
      <c r="L41" s="317"/>
      <c r="M41" s="502"/>
      <c r="N41" s="318"/>
      <c r="O41" s="318"/>
      <c r="P41" s="318"/>
      <c r="Q41" s="318"/>
      <c r="R41" s="318"/>
      <c r="S41" s="586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586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34">
        <f t="shared" si="1"/>
        <v>0</v>
      </c>
      <c r="AV41" s="334">
        <f t="shared" si="0"/>
        <v>0</v>
      </c>
    </row>
    <row r="42" spans="2:48" x14ac:dyDescent="0.25">
      <c r="B42" s="642" t="s">
        <v>313</v>
      </c>
      <c r="C42" s="643"/>
      <c r="D42" s="317"/>
      <c r="E42" s="317"/>
      <c r="F42" s="317"/>
      <c r="G42" s="317"/>
      <c r="H42" s="317"/>
      <c r="I42" s="317"/>
      <c r="J42" s="317">
        <v>3813.1</v>
      </c>
      <c r="K42" s="317">
        <v>1906.55</v>
      </c>
      <c r="L42" s="317">
        <v>1906.55</v>
      </c>
      <c r="M42" s="502">
        <v>2599.1750000000002</v>
      </c>
      <c r="N42" s="318">
        <v>2659.6256060606061</v>
      </c>
      <c r="O42" s="318">
        <v>2659.649523809524</v>
      </c>
      <c r="P42" s="318">
        <v>2659.6761904761911</v>
      </c>
      <c r="Q42" s="318">
        <v>2655.33</v>
      </c>
      <c r="R42" s="318">
        <v>2636.670572390572</v>
      </c>
      <c r="S42" s="586">
        <v>2605.4824242424243</v>
      </c>
      <c r="T42" s="318"/>
      <c r="U42" s="318"/>
      <c r="V42" s="318"/>
      <c r="W42" s="318"/>
      <c r="X42" s="318"/>
      <c r="Y42" s="318">
        <v>739.41</v>
      </c>
      <c r="Z42" s="318">
        <v>1583.73</v>
      </c>
      <c r="AA42" s="318">
        <v>2659.62</v>
      </c>
      <c r="AB42" s="318">
        <v>2803.6</v>
      </c>
      <c r="AC42" s="318">
        <v>1219.9000000000001</v>
      </c>
      <c r="AD42" s="318">
        <v>1215.98</v>
      </c>
      <c r="AE42" s="318">
        <v>1219.9000000000001</v>
      </c>
      <c r="AF42" s="318">
        <v>982.41</v>
      </c>
      <c r="AG42" s="318">
        <v>982.41</v>
      </c>
      <c r="AH42" s="586">
        <f>+SUMIF('Monthly Detail'!$4:$4, $B$14,'Monthly Detail'!71:71)</f>
        <v>919.83999999999992</v>
      </c>
      <c r="AI42" s="318"/>
      <c r="AJ42" s="318">
        <v>0</v>
      </c>
      <c r="AK42" s="318">
        <v>0</v>
      </c>
      <c r="AL42" s="318"/>
      <c r="AM42" s="318"/>
      <c r="AN42" s="318"/>
      <c r="AO42" s="318"/>
      <c r="AP42" s="318"/>
      <c r="AQ42" s="318"/>
      <c r="AR42" s="318">
        <v>0</v>
      </c>
      <c r="AS42" s="318"/>
      <c r="AT42" s="318"/>
      <c r="AU42" s="334">
        <f t="shared" si="1"/>
        <v>-1685.6424242424243</v>
      </c>
      <c r="AV42" s="334">
        <f t="shared" si="0"/>
        <v>919.83999999999992</v>
      </c>
    </row>
    <row r="43" spans="2:48" ht="14.65" customHeight="1" x14ac:dyDescent="0.25">
      <c r="B43" s="642" t="s">
        <v>314</v>
      </c>
      <c r="C43" s="643"/>
      <c r="D43" s="317">
        <v>55</v>
      </c>
      <c r="E43" s="317">
        <v>39.479999999999997</v>
      </c>
      <c r="F43" s="317">
        <v>38.703333333333333</v>
      </c>
      <c r="G43" s="317">
        <v>294.04000000000002</v>
      </c>
      <c r="H43" s="317">
        <v>289.01666666666671</v>
      </c>
      <c r="I43" s="317">
        <v>293.82</v>
      </c>
      <c r="J43" s="317">
        <v>214.41</v>
      </c>
      <c r="K43" s="317">
        <v>214.41</v>
      </c>
      <c r="L43" s="317">
        <v>141.31</v>
      </c>
      <c r="M43" s="502">
        <v>114.41</v>
      </c>
      <c r="N43" s="318">
        <v>78.819999999999993</v>
      </c>
      <c r="O43" s="318">
        <v>78.819999999999993</v>
      </c>
      <c r="P43" s="318">
        <v>78.819999999999993</v>
      </c>
      <c r="Q43" s="318">
        <v>78.819999999999993</v>
      </c>
      <c r="R43" s="318">
        <v>64.41</v>
      </c>
      <c r="S43" s="586">
        <v>78.819999999999993</v>
      </c>
      <c r="T43" s="318">
        <v>14.41</v>
      </c>
      <c r="U43" s="318">
        <v>183.38</v>
      </c>
      <c r="V43" s="318">
        <v>183.38</v>
      </c>
      <c r="W43" s="318">
        <v>28.82</v>
      </c>
      <c r="X43" s="318">
        <v>14.41</v>
      </c>
      <c r="Y43" s="318">
        <v>14.41</v>
      </c>
      <c r="Z43" s="318">
        <v>41.31</v>
      </c>
      <c r="AA43" s="318">
        <v>14.41</v>
      </c>
      <c r="AB43" s="318">
        <v>28.82</v>
      </c>
      <c r="AC43" s="318">
        <v>28.82</v>
      </c>
      <c r="AD43" s="318">
        <v>33.82</v>
      </c>
      <c r="AE43" s="318">
        <v>28.82</v>
      </c>
      <c r="AF43" s="318">
        <v>14.41</v>
      </c>
      <c r="AG43" s="318">
        <v>14.41</v>
      </c>
      <c r="AH43" s="586">
        <f>+SUMIF('Monthly Detail'!$4:$4, $B$14,'Monthly Detail'!78:78)</f>
        <v>28.82</v>
      </c>
      <c r="AI43" s="318">
        <v>242.91833333333329</v>
      </c>
      <c r="AJ43" s="318">
        <v>242.91833333333329</v>
      </c>
      <c r="AK43" s="318">
        <v>242.91833333333329</v>
      </c>
      <c r="AL43" s="318">
        <v>242.91833333333329</v>
      </c>
      <c r="AM43" s="318">
        <v>242.91833333333329</v>
      </c>
      <c r="AN43" s="318">
        <v>242.91833333333329</v>
      </c>
      <c r="AO43" s="318">
        <v>242.91833333333329</v>
      </c>
      <c r="AP43" s="318">
        <v>242.91833333333329</v>
      </c>
      <c r="AQ43" s="318">
        <v>242.91833333333329</v>
      </c>
      <c r="AR43" s="318">
        <v>242.91833333333329</v>
      </c>
      <c r="AS43" s="318">
        <v>242.91833333333329</v>
      </c>
      <c r="AT43" s="318">
        <v>242.91833333333329</v>
      </c>
      <c r="AU43" s="334">
        <f t="shared" si="1"/>
        <v>-49.999999999999993</v>
      </c>
      <c r="AV43" s="334">
        <f t="shared" si="0"/>
        <v>-214.0983333333333</v>
      </c>
    </row>
    <row r="44" spans="2:48" x14ac:dyDescent="0.25">
      <c r="B44" s="642" t="s">
        <v>315</v>
      </c>
      <c r="C44" s="643"/>
      <c r="D44" s="317">
        <v>300</v>
      </c>
      <c r="E44" s="317">
        <v>400</v>
      </c>
      <c r="F44" s="317">
        <v>340</v>
      </c>
      <c r="G44" s="317">
        <v>340</v>
      </c>
      <c r="H44" s="317">
        <v>340</v>
      </c>
      <c r="I44" s="317">
        <v>340</v>
      </c>
      <c r="J44" s="317">
        <v>211.67</v>
      </c>
      <c r="K44" s="317">
        <v>368.33</v>
      </c>
      <c r="L44" s="317">
        <v>353.33</v>
      </c>
      <c r="M44" s="502">
        <v>330</v>
      </c>
      <c r="N44" s="318">
        <v>350</v>
      </c>
      <c r="O44" s="318">
        <v>350</v>
      </c>
      <c r="P44" s="318">
        <v>350</v>
      </c>
      <c r="Q44" s="318">
        <v>350</v>
      </c>
      <c r="R44" s="318">
        <v>350</v>
      </c>
      <c r="S44" s="586">
        <v>350</v>
      </c>
      <c r="T44" s="318">
        <v>400</v>
      </c>
      <c r="U44" s="318">
        <v>330.08</v>
      </c>
      <c r="V44" s="318">
        <v>330.08</v>
      </c>
      <c r="W44" s="318">
        <v>280.5</v>
      </c>
      <c r="X44" s="318">
        <v>211.67</v>
      </c>
      <c r="Y44" s="318">
        <v>368.33</v>
      </c>
      <c r="Z44" s="318">
        <v>353.33</v>
      </c>
      <c r="AA44" s="318">
        <v>330</v>
      </c>
      <c r="AB44" s="318">
        <v>373.01</v>
      </c>
      <c r="AC44" s="318">
        <v>276.25</v>
      </c>
      <c r="AD44" s="318">
        <v>382.5</v>
      </c>
      <c r="AE44" s="318">
        <v>297.5</v>
      </c>
      <c r="AF44" s="318">
        <v>318.75</v>
      </c>
      <c r="AG44" s="318">
        <v>318.75</v>
      </c>
      <c r="AH44" s="586">
        <f>+SUMIF('Monthly Detail'!$4:$4, $B$14,'Monthly Detail'!82:82)</f>
        <v>300</v>
      </c>
      <c r="AI44" s="318">
        <v>340</v>
      </c>
      <c r="AJ44" s="318">
        <v>340</v>
      </c>
      <c r="AK44" s="318">
        <v>340</v>
      </c>
      <c r="AL44" s="318">
        <v>340</v>
      </c>
      <c r="AM44" s="318">
        <v>340</v>
      </c>
      <c r="AN44" s="318">
        <v>340</v>
      </c>
      <c r="AO44" s="318">
        <v>340</v>
      </c>
      <c r="AP44" s="318">
        <v>340</v>
      </c>
      <c r="AQ44" s="318">
        <v>340</v>
      </c>
      <c r="AR44" s="318">
        <v>340</v>
      </c>
      <c r="AS44" s="318">
        <v>340</v>
      </c>
      <c r="AT44" s="318">
        <v>340</v>
      </c>
      <c r="AU44" s="334">
        <f t="shared" si="1"/>
        <v>-50</v>
      </c>
      <c r="AV44" s="334">
        <f t="shared" si="0"/>
        <v>-40</v>
      </c>
    </row>
    <row r="45" spans="2:48" x14ac:dyDescent="0.25">
      <c r="B45" s="642" t="s">
        <v>316</v>
      </c>
      <c r="C45" s="643"/>
      <c r="D45" s="317">
        <v>405.49666666666673</v>
      </c>
      <c r="E45" s="317">
        <v>505.52666666666659</v>
      </c>
      <c r="F45" s="317">
        <v>453.46666666666658</v>
      </c>
      <c r="G45" s="317">
        <v>392.58666666666659</v>
      </c>
      <c r="H45" s="317">
        <v>273.6033333333333</v>
      </c>
      <c r="I45" s="317">
        <v>190.0033333333333</v>
      </c>
      <c r="J45" s="317">
        <v>174.52</v>
      </c>
      <c r="K45" s="317">
        <v>221.82</v>
      </c>
      <c r="L45" s="317">
        <v>103.99</v>
      </c>
      <c r="M45" s="502">
        <v>171.41</v>
      </c>
      <c r="N45" s="318">
        <v>149.99</v>
      </c>
      <c r="O45" s="318">
        <v>149.99</v>
      </c>
      <c r="P45" s="318">
        <v>149.99</v>
      </c>
      <c r="Q45" s="318">
        <v>277.13</v>
      </c>
      <c r="R45" s="318">
        <v>159.99</v>
      </c>
      <c r="S45" s="586">
        <v>205.51</v>
      </c>
      <c r="T45" s="318">
        <v>373.8</v>
      </c>
      <c r="U45" s="318">
        <v>265.57</v>
      </c>
      <c r="V45" s="318">
        <v>265.57</v>
      </c>
      <c r="W45" s="318">
        <v>123</v>
      </c>
      <c r="X45" s="318">
        <v>174.52</v>
      </c>
      <c r="Y45" s="318">
        <v>221.82</v>
      </c>
      <c r="Z45" s="318">
        <v>103.99</v>
      </c>
      <c r="AA45" s="318">
        <v>171.41</v>
      </c>
      <c r="AB45" s="318">
        <v>149.99</v>
      </c>
      <c r="AC45" s="318">
        <v>149.99</v>
      </c>
      <c r="AD45" s="318">
        <v>165.59</v>
      </c>
      <c r="AE45" s="318">
        <v>277.13</v>
      </c>
      <c r="AF45" s="318">
        <v>159.99</v>
      </c>
      <c r="AG45" s="318">
        <v>159.99</v>
      </c>
      <c r="AH45" s="586">
        <f>+SUMIF('Monthly Detail'!$4:$4, $B$14,'Monthly Detail'!83:83)</f>
        <v>231.65</v>
      </c>
      <c r="AI45" s="318">
        <v>300.96366666666671</v>
      </c>
      <c r="AJ45" s="318">
        <v>300.96366666666671</v>
      </c>
      <c r="AK45" s="318">
        <v>300.96366666666671</v>
      </c>
      <c r="AL45" s="318">
        <v>300.96366666666671</v>
      </c>
      <c r="AM45" s="318">
        <v>300.96366666666671</v>
      </c>
      <c r="AN45" s="318">
        <v>300.96366666666671</v>
      </c>
      <c r="AO45" s="318">
        <v>300.96366666666671</v>
      </c>
      <c r="AP45" s="318">
        <v>300.96366666666671</v>
      </c>
      <c r="AQ45" s="318">
        <v>300.96366666666671</v>
      </c>
      <c r="AR45" s="318">
        <v>300.96366666666671</v>
      </c>
      <c r="AS45" s="318">
        <v>300.96366666666671</v>
      </c>
      <c r="AT45" s="318">
        <v>300.96366666666671</v>
      </c>
      <c r="AU45" s="334">
        <f t="shared" si="1"/>
        <v>26.140000000000015</v>
      </c>
      <c r="AV45" s="334">
        <f t="shared" si="0"/>
        <v>-69.313666666666705</v>
      </c>
    </row>
    <row r="46" spans="2:48" ht="15" customHeight="1" x14ac:dyDescent="0.25">
      <c r="B46" s="642" t="s">
        <v>317</v>
      </c>
      <c r="C46" s="643"/>
      <c r="D46" s="317">
        <v>0</v>
      </c>
      <c r="E46" s="317">
        <v>30</v>
      </c>
      <c r="F46" s="317">
        <v>33.333333333333343</v>
      </c>
      <c r="G46" s="317">
        <v>35.103333333333332</v>
      </c>
      <c r="H46" s="317">
        <v>20.43333333333333</v>
      </c>
      <c r="I46" s="317">
        <v>22.1</v>
      </c>
      <c r="J46" s="317">
        <v>25</v>
      </c>
      <c r="K46" s="317">
        <v>25</v>
      </c>
      <c r="L46" s="317">
        <v>25</v>
      </c>
      <c r="M46" s="502">
        <v>25</v>
      </c>
      <c r="N46" s="318">
        <v>25</v>
      </c>
      <c r="O46" s="318">
        <v>25</v>
      </c>
      <c r="P46" s="318">
        <v>25</v>
      </c>
      <c r="Q46" s="318">
        <v>25</v>
      </c>
      <c r="R46" s="318">
        <v>15</v>
      </c>
      <c r="S46" s="586">
        <v>30</v>
      </c>
      <c r="T46" s="318">
        <v>20</v>
      </c>
      <c r="U46" s="318">
        <v>25.99</v>
      </c>
      <c r="V46" s="318">
        <v>25.99</v>
      </c>
      <c r="W46" s="318">
        <v>25</v>
      </c>
      <c r="X46" s="318">
        <v>25</v>
      </c>
      <c r="Y46" s="318">
        <v>25</v>
      </c>
      <c r="Z46" s="318">
        <v>25</v>
      </c>
      <c r="AA46" s="318">
        <v>25</v>
      </c>
      <c r="AB46" s="318">
        <v>25</v>
      </c>
      <c r="AC46" s="318">
        <v>25</v>
      </c>
      <c r="AD46" s="318">
        <v>25</v>
      </c>
      <c r="AE46" s="318">
        <v>25</v>
      </c>
      <c r="AF46" s="318">
        <v>15</v>
      </c>
      <c r="AG46" s="318">
        <v>15</v>
      </c>
      <c r="AH46" s="586">
        <f>+SUMIF('Monthly Detail'!$4:$4, $B$14,'Monthly Detail'!84:84)</f>
        <v>30</v>
      </c>
      <c r="AI46" s="318">
        <v>22.47666666666667</v>
      </c>
      <c r="AJ46" s="318">
        <v>22.47666666666667</v>
      </c>
      <c r="AK46" s="318">
        <v>22.47666666666667</v>
      </c>
      <c r="AL46" s="318">
        <v>22.47666666666667</v>
      </c>
      <c r="AM46" s="318">
        <v>22.47666666666667</v>
      </c>
      <c r="AN46" s="318">
        <v>22.47666666666667</v>
      </c>
      <c r="AO46" s="318">
        <v>22.47666666666667</v>
      </c>
      <c r="AP46" s="318">
        <v>22.47666666666667</v>
      </c>
      <c r="AQ46" s="318">
        <v>22.47666666666667</v>
      </c>
      <c r="AR46" s="318">
        <v>22.47666666666667</v>
      </c>
      <c r="AS46" s="318">
        <v>22.47666666666667</v>
      </c>
      <c r="AT46" s="318">
        <v>22.47666666666667</v>
      </c>
      <c r="AU46" s="334">
        <f t="shared" si="1"/>
        <v>0</v>
      </c>
      <c r="AV46" s="334">
        <f t="shared" si="0"/>
        <v>7.5233333333333299</v>
      </c>
    </row>
    <row r="47" spans="2:48" x14ac:dyDescent="0.25">
      <c r="B47" s="642" t="s">
        <v>318</v>
      </c>
      <c r="C47" s="643"/>
      <c r="D47" s="317">
        <v>308.83</v>
      </c>
      <c r="E47" s="317">
        <v>1475.9433333333329</v>
      </c>
      <c r="F47" s="317">
        <v>1372.64</v>
      </c>
      <c r="G47" s="317">
        <v>1372.64</v>
      </c>
      <c r="H47" s="317">
        <v>1372.64</v>
      </c>
      <c r="I47" s="317">
        <v>1414.26</v>
      </c>
      <c r="J47" s="317">
        <v>1853.192</v>
      </c>
      <c r="K47" s="317">
        <v>1511.95</v>
      </c>
      <c r="L47" s="317">
        <v>1536.0283333333341</v>
      </c>
      <c r="M47" s="502">
        <v>1646.4233333333329</v>
      </c>
      <c r="N47" s="318">
        <v>1579.79</v>
      </c>
      <c r="O47" s="318">
        <v>1497.7866666666671</v>
      </c>
      <c r="P47" s="318">
        <v>1468.2066666666669</v>
      </c>
      <c r="Q47" s="318">
        <v>1555.425</v>
      </c>
      <c r="R47" s="318">
        <v>1516.67</v>
      </c>
      <c r="S47" s="586">
        <v>1537.8</v>
      </c>
      <c r="T47" s="318">
        <v>1372.64</v>
      </c>
      <c r="U47" s="318">
        <v>1711.17</v>
      </c>
      <c r="V47" s="318">
        <v>1711.17</v>
      </c>
      <c r="W47" s="318">
        <v>1414.26</v>
      </c>
      <c r="X47" s="318">
        <v>1684.72</v>
      </c>
      <c r="Y47" s="318">
        <v>1374.5</v>
      </c>
      <c r="Z47" s="318">
        <v>1658.88</v>
      </c>
      <c r="AA47" s="318">
        <v>2035.01</v>
      </c>
      <c r="AB47" s="318">
        <v>1711.37</v>
      </c>
      <c r="AC47" s="318">
        <v>1507.24</v>
      </c>
      <c r="AD47" s="318">
        <v>1680.57</v>
      </c>
      <c r="AE47" s="318">
        <v>1724.48</v>
      </c>
      <c r="AF47" s="318">
        <v>1441.35</v>
      </c>
      <c r="AG47" s="318">
        <v>1441.35</v>
      </c>
      <c r="AH47" s="586">
        <f>+SUMIF('Monthly Detail'!$4:$4, $B$14,'Monthly Detail'!85:85)</f>
        <v>1794.39</v>
      </c>
      <c r="AI47" s="318">
        <v>1372.64</v>
      </c>
      <c r="AJ47" s="318">
        <v>1509.904</v>
      </c>
      <c r="AK47" s="318">
        <v>1509.904</v>
      </c>
      <c r="AL47" s="318">
        <v>1509.904</v>
      </c>
      <c r="AM47" s="318">
        <v>1509.904</v>
      </c>
      <c r="AN47" s="318">
        <v>1509.904</v>
      </c>
      <c r="AO47" s="318">
        <v>1509.904</v>
      </c>
      <c r="AP47" s="318">
        <v>1509.904</v>
      </c>
      <c r="AQ47" s="318">
        <v>1509.904</v>
      </c>
      <c r="AR47" s="318">
        <v>1509.904</v>
      </c>
      <c r="AS47" s="318">
        <v>1509.904</v>
      </c>
      <c r="AT47" s="318">
        <v>1509.904</v>
      </c>
      <c r="AU47" s="334">
        <f t="shared" si="1"/>
        <v>256.59000000000015</v>
      </c>
      <c r="AV47" s="334">
        <f t="shared" si="0"/>
        <v>284.4860000000001</v>
      </c>
    </row>
    <row r="48" spans="2:48" ht="14.65" customHeight="1" x14ac:dyDescent="0.25">
      <c r="B48" s="642" t="s">
        <v>319</v>
      </c>
      <c r="C48" s="643"/>
      <c r="D48" s="317">
        <v>0.25</v>
      </c>
      <c r="E48" s="317">
        <v>10</v>
      </c>
      <c r="F48" s="317">
        <v>127.06</v>
      </c>
      <c r="G48" s="317">
        <v>150.17333333333329</v>
      </c>
      <c r="H48" s="317">
        <v>120.1733333333333</v>
      </c>
      <c r="I48" s="317">
        <v>194.93</v>
      </c>
      <c r="J48" s="317">
        <v>174.54333333333329</v>
      </c>
      <c r="K48" s="317">
        <v>174.73666666666671</v>
      </c>
      <c r="L48" s="317">
        <v>158.3533333333333</v>
      </c>
      <c r="M48" s="502">
        <v>271.79333333333341</v>
      </c>
      <c r="N48" s="318">
        <v>223.40666666666669</v>
      </c>
      <c r="O48" s="318">
        <v>220.07333333333341</v>
      </c>
      <c r="P48" s="318">
        <v>161.6866666666667</v>
      </c>
      <c r="Q48" s="318">
        <v>203.5333333333333</v>
      </c>
      <c r="R48" s="318">
        <v>205.27333333333331</v>
      </c>
      <c r="S48" s="586">
        <v>220.29</v>
      </c>
      <c r="T48" s="318">
        <v>51.62</v>
      </c>
      <c r="U48" s="318">
        <v>196.16</v>
      </c>
      <c r="V48" s="318">
        <v>196.16</v>
      </c>
      <c r="W48" s="318">
        <v>275.89</v>
      </c>
      <c r="X48" s="318">
        <v>51.58</v>
      </c>
      <c r="Y48" s="318">
        <v>196.74</v>
      </c>
      <c r="Z48" s="318">
        <v>226.74</v>
      </c>
      <c r="AA48" s="318">
        <v>391.9</v>
      </c>
      <c r="AB48" s="318">
        <v>51.58</v>
      </c>
      <c r="AC48" s="318">
        <v>216.74</v>
      </c>
      <c r="AD48" s="318">
        <v>176.95</v>
      </c>
      <c r="AE48" s="318">
        <v>216.91</v>
      </c>
      <c r="AF48" s="318">
        <v>221.96</v>
      </c>
      <c r="AG48" s="318">
        <v>221.96</v>
      </c>
      <c r="AH48" s="586">
        <f>+SUMIF('Monthly Detail'!$4:$4, $B$14,'Monthly Detail'!86:86)</f>
        <v>199.33</v>
      </c>
      <c r="AI48" s="318">
        <v>132.19066666666669</v>
      </c>
      <c r="AJ48" s="318">
        <v>132.19066666666669</v>
      </c>
      <c r="AK48" s="318">
        <v>132.19066666666669</v>
      </c>
      <c r="AL48" s="318">
        <v>132.19066666666669</v>
      </c>
      <c r="AM48" s="318">
        <v>132.19066666666669</v>
      </c>
      <c r="AN48" s="318">
        <v>132.19066666666669</v>
      </c>
      <c r="AO48" s="318">
        <v>132.19066666666669</v>
      </c>
      <c r="AP48" s="318">
        <v>132.19066666666669</v>
      </c>
      <c r="AQ48" s="318">
        <v>132.19066666666669</v>
      </c>
      <c r="AR48" s="318">
        <v>132.19066666666669</v>
      </c>
      <c r="AS48" s="318">
        <v>132.19066666666669</v>
      </c>
      <c r="AT48" s="318">
        <v>132.19066666666669</v>
      </c>
      <c r="AU48" s="334">
        <f t="shared" si="1"/>
        <v>-20.95999999999998</v>
      </c>
      <c r="AV48" s="334">
        <f t="shared" si="0"/>
        <v>67.139333333333326</v>
      </c>
    </row>
    <row r="49" spans="2:48" x14ac:dyDescent="0.25">
      <c r="B49" s="642" t="s">
        <v>320</v>
      </c>
      <c r="C49" s="643"/>
      <c r="D49" s="317">
        <v>399.80333333333328</v>
      </c>
      <c r="E49" s="317">
        <v>10</v>
      </c>
      <c r="F49" s="317">
        <v>10</v>
      </c>
      <c r="G49" s="317">
        <v>10</v>
      </c>
      <c r="H49" s="317">
        <v>10</v>
      </c>
      <c r="I49" s="317">
        <v>10</v>
      </c>
      <c r="J49" s="317">
        <v>10</v>
      </c>
      <c r="K49" s="317">
        <v>10</v>
      </c>
      <c r="L49" s="317">
        <v>10</v>
      </c>
      <c r="M49" s="502">
        <v>10</v>
      </c>
      <c r="N49" s="318">
        <v>10</v>
      </c>
      <c r="O49" s="318">
        <v>10</v>
      </c>
      <c r="P49" s="318">
        <v>10</v>
      </c>
      <c r="Q49" s="318">
        <v>10</v>
      </c>
      <c r="R49" s="318">
        <v>10</v>
      </c>
      <c r="S49" s="586">
        <v>10</v>
      </c>
      <c r="T49" s="318">
        <v>0</v>
      </c>
      <c r="U49" s="318">
        <v>0</v>
      </c>
      <c r="V49" s="318">
        <v>0</v>
      </c>
      <c r="W49" s="318">
        <v>0</v>
      </c>
      <c r="X49" s="318">
        <v>0</v>
      </c>
      <c r="Y49" s="318">
        <v>0</v>
      </c>
      <c r="Z49" s="318">
        <v>0</v>
      </c>
      <c r="AA49" s="318">
        <v>0</v>
      </c>
      <c r="AB49" s="318">
        <v>0</v>
      </c>
      <c r="AC49" s="318">
        <v>0</v>
      </c>
      <c r="AD49" s="318">
        <v>0</v>
      </c>
      <c r="AE49" s="318">
        <v>0</v>
      </c>
      <c r="AF49" s="318">
        <v>0</v>
      </c>
      <c r="AG49" s="318">
        <v>0</v>
      </c>
      <c r="AH49" s="586">
        <f>+SUMIF('Monthly Detail'!$4:$4, $B$14,'Monthly Detail'!87:87)</f>
        <v>0</v>
      </c>
      <c r="AI49" s="318">
        <v>11</v>
      </c>
      <c r="AJ49" s="318">
        <v>11</v>
      </c>
      <c r="AK49" s="318">
        <v>11</v>
      </c>
      <c r="AL49" s="318">
        <v>11</v>
      </c>
      <c r="AM49" s="318">
        <v>11</v>
      </c>
      <c r="AN49" s="318">
        <v>11</v>
      </c>
      <c r="AO49" s="318">
        <v>11</v>
      </c>
      <c r="AP49" s="318">
        <v>11</v>
      </c>
      <c r="AQ49" s="318">
        <v>11</v>
      </c>
      <c r="AR49" s="318">
        <v>11</v>
      </c>
      <c r="AS49" s="318">
        <v>11</v>
      </c>
      <c r="AT49" s="318">
        <v>11</v>
      </c>
      <c r="AU49" s="334">
        <f t="shared" si="1"/>
        <v>-10</v>
      </c>
      <c r="AV49" s="334">
        <f t="shared" si="0"/>
        <v>-11</v>
      </c>
    </row>
    <row r="50" spans="2:48" ht="14.65" customHeight="1" x14ac:dyDescent="0.25">
      <c r="B50" s="642" t="s">
        <v>321</v>
      </c>
      <c r="C50" s="643"/>
      <c r="D50" s="317">
        <v>0</v>
      </c>
      <c r="E50" s="317">
        <v>0</v>
      </c>
      <c r="F50" s="317">
        <v>0</v>
      </c>
      <c r="G50" s="317">
        <v>0</v>
      </c>
      <c r="H50" s="317">
        <v>0</v>
      </c>
      <c r="I50" s="317">
        <v>0</v>
      </c>
      <c r="J50" s="317">
        <v>0</v>
      </c>
      <c r="K50" s="317">
        <v>0</v>
      </c>
      <c r="L50" s="317">
        <v>0</v>
      </c>
      <c r="M50" s="502">
        <v>0</v>
      </c>
      <c r="N50" s="318">
        <v>50</v>
      </c>
      <c r="O50" s="318">
        <v>0</v>
      </c>
      <c r="P50" s="318">
        <v>0</v>
      </c>
      <c r="Q50" s="318">
        <v>0</v>
      </c>
      <c r="R50" s="318">
        <v>105</v>
      </c>
      <c r="S50" s="586">
        <v>0</v>
      </c>
      <c r="T50" s="318">
        <v>0</v>
      </c>
      <c r="U50" s="318">
        <v>0</v>
      </c>
      <c r="V50" s="318">
        <v>0</v>
      </c>
      <c r="W50" s="318">
        <v>0</v>
      </c>
      <c r="X50" s="318">
        <v>0</v>
      </c>
      <c r="Y50" s="318">
        <v>0</v>
      </c>
      <c r="Z50" s="318">
        <v>0</v>
      </c>
      <c r="AA50" s="318">
        <v>0</v>
      </c>
      <c r="AB50" s="318">
        <v>0</v>
      </c>
      <c r="AC50" s="318">
        <v>0</v>
      </c>
      <c r="AD50" s="318">
        <v>0</v>
      </c>
      <c r="AE50" s="318">
        <v>62.81</v>
      </c>
      <c r="AF50" s="318">
        <v>0</v>
      </c>
      <c r="AG50" s="318">
        <v>0</v>
      </c>
      <c r="AH50" s="586">
        <f>+SUMIF('Monthly Detail'!$4:$4, $B$14,'Monthly Detail'!88:88)</f>
        <v>0</v>
      </c>
      <c r="AI50" s="318">
        <v>0</v>
      </c>
      <c r="AJ50" s="318">
        <v>0</v>
      </c>
      <c r="AK50" s="318">
        <v>0</v>
      </c>
      <c r="AL50" s="318">
        <v>0</v>
      </c>
      <c r="AM50" s="318">
        <v>0</v>
      </c>
      <c r="AN50" s="318">
        <v>50</v>
      </c>
      <c r="AO50" s="318">
        <v>0</v>
      </c>
      <c r="AP50" s="318">
        <v>0</v>
      </c>
      <c r="AQ50" s="318">
        <v>0</v>
      </c>
      <c r="AR50" s="318">
        <v>105</v>
      </c>
      <c r="AS50" s="318">
        <v>0</v>
      </c>
      <c r="AT50" s="318">
        <v>0</v>
      </c>
      <c r="AU50" s="334">
        <f t="shared" si="1"/>
        <v>0</v>
      </c>
      <c r="AV50" s="334">
        <f t="shared" si="0"/>
        <v>0</v>
      </c>
    </row>
    <row r="51" spans="2:48" ht="14.65" customHeight="1" x14ac:dyDescent="0.25">
      <c r="B51" s="653" t="s">
        <v>146</v>
      </c>
      <c r="C51" s="645"/>
      <c r="D51" s="317"/>
      <c r="E51" s="317"/>
      <c r="F51" s="317"/>
      <c r="G51" s="317"/>
      <c r="H51" s="317"/>
      <c r="I51" s="317"/>
      <c r="J51" s="317"/>
      <c r="K51" s="317"/>
      <c r="L51" s="317"/>
      <c r="M51" s="502"/>
      <c r="N51" s="318"/>
      <c r="O51" s="318"/>
      <c r="P51" s="318"/>
      <c r="Q51" s="318"/>
      <c r="R51" s="318">
        <v>0</v>
      </c>
      <c r="S51" s="586">
        <v>0</v>
      </c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586">
        <f>+SUMIF('Monthly Detail'!$4:$4, $B$14,'Monthly Detail'!90:90)</f>
        <v>0</v>
      </c>
      <c r="AI51" s="318"/>
      <c r="AJ51" s="318"/>
      <c r="AK51" s="318"/>
      <c r="AL51" s="318"/>
      <c r="AM51" s="318"/>
      <c r="AN51" s="318"/>
      <c r="AO51" s="318"/>
      <c r="AP51" s="318"/>
      <c r="AQ51" s="318"/>
      <c r="AR51" s="318">
        <v>0</v>
      </c>
      <c r="AS51" s="318"/>
      <c r="AT51" s="318"/>
      <c r="AU51" s="334">
        <f t="shared" si="1"/>
        <v>0</v>
      </c>
      <c r="AV51" s="334">
        <f t="shared" si="0"/>
        <v>0</v>
      </c>
    </row>
    <row r="52" spans="2:48" x14ac:dyDescent="0.25">
      <c r="B52" s="650" t="s">
        <v>147</v>
      </c>
      <c r="C52" s="651"/>
      <c r="D52" s="332">
        <v>1469.38</v>
      </c>
      <c r="E52" s="332">
        <f>+SUM(E43:E50)</f>
        <v>2470.9499999999998</v>
      </c>
      <c r="F52" s="332">
        <v>2375.2033333333329</v>
      </c>
      <c r="G52" s="332">
        <v>2594.5433333333331</v>
      </c>
      <c r="H52" s="332">
        <v>2425.8666666666659</v>
      </c>
      <c r="I52" s="332">
        <v>2465.1133333333328</v>
      </c>
      <c r="J52" s="332">
        <f>+SUM(J42:J50)</f>
        <v>6476.4353333333329</v>
      </c>
      <c r="K52" s="332">
        <v>4432.7966666666671</v>
      </c>
      <c r="L52" s="332">
        <v>4234.5616666666656</v>
      </c>
      <c r="M52" s="513">
        <v>5168.2116666666661</v>
      </c>
      <c r="N52" s="159">
        <v>5126.6322727272727</v>
      </c>
      <c r="O52" s="159">
        <v>4991.319523809525</v>
      </c>
      <c r="P52" s="159">
        <v>4903.3795238095236</v>
      </c>
      <c r="Q52" s="159">
        <v>5155.2383333333337</v>
      </c>
      <c r="R52" s="159">
        <v>5063.0139057239057</v>
      </c>
      <c r="S52" s="597">
        <v>5037.9024242424248</v>
      </c>
      <c r="T52" s="159">
        <v>2232.4699999999998</v>
      </c>
      <c r="U52" s="159">
        <v>2712.35</v>
      </c>
      <c r="V52" s="159">
        <v>2712.35</v>
      </c>
      <c r="W52" s="159">
        <v>2147.4699999999998</v>
      </c>
      <c r="X52" s="159">
        <v>2161.9</v>
      </c>
      <c r="Y52" s="159">
        <v>2940.21</v>
      </c>
      <c r="Z52" s="159">
        <v>3992.98</v>
      </c>
      <c r="AA52" s="159">
        <v>5627.3499999999995</v>
      </c>
      <c r="AB52" s="159">
        <v>5143.37</v>
      </c>
      <c r="AC52" s="159">
        <v>3423.94</v>
      </c>
      <c r="AD52" s="159">
        <v>3680.41</v>
      </c>
      <c r="AE52" s="159">
        <v>3852.55</v>
      </c>
      <c r="AF52" s="159">
        <v>3153.87</v>
      </c>
      <c r="AG52" s="159">
        <v>3153.87</v>
      </c>
      <c r="AH52" s="597">
        <f>+SUM(AF42:AF51)</f>
        <v>3153.87</v>
      </c>
      <c r="AI52" s="159">
        <v>2422.1893333333342</v>
      </c>
      <c r="AJ52" s="159">
        <v>2559.4533333333338</v>
      </c>
      <c r="AK52" s="159">
        <v>2559.4533333333338</v>
      </c>
      <c r="AL52" s="159">
        <v>2559.4533333333338</v>
      </c>
      <c r="AM52" s="159">
        <v>2559.4533333333338</v>
      </c>
      <c r="AN52" s="159">
        <v>2609.4533333333338</v>
      </c>
      <c r="AO52" s="159">
        <v>2559.4533333333338</v>
      </c>
      <c r="AP52" s="159">
        <v>2559.4533333333338</v>
      </c>
      <c r="AQ52" s="159">
        <v>2559.4533333333338</v>
      </c>
      <c r="AR52" s="159">
        <v>2664.4533333333338</v>
      </c>
      <c r="AS52" s="159">
        <v>2559.4533333333338</v>
      </c>
      <c r="AT52" s="159">
        <v>2559.4533333333338</v>
      </c>
      <c r="AU52" s="415">
        <f t="shared" si="1"/>
        <v>-1884.0324242424249</v>
      </c>
      <c r="AV52" s="415">
        <f t="shared" si="0"/>
        <v>594.41666666666606</v>
      </c>
    </row>
    <row r="53" spans="2:48" x14ac:dyDescent="0.25">
      <c r="B53" s="650" t="s">
        <v>148</v>
      </c>
      <c r="C53" s="651"/>
      <c r="D53" s="333">
        <v>10757.84439858919</v>
      </c>
      <c r="E53" s="333">
        <f>+E38-E52</f>
        <v>2819.2979072419048</v>
      </c>
      <c r="F53" s="333">
        <v>2871.4748597993612</v>
      </c>
      <c r="G53" s="333">
        <v>3004.7906193818858</v>
      </c>
      <c r="H53" s="333">
        <v>2150.6010454540619</v>
      </c>
      <c r="I53" s="333">
        <v>4563.2241460310252</v>
      </c>
      <c r="J53" s="333">
        <f>+J38-J52</f>
        <v>222.86992056728104</v>
      </c>
      <c r="K53" s="333">
        <v>333.43531499671923</v>
      </c>
      <c r="L53" s="333">
        <v>-155.19680493145279</v>
      </c>
      <c r="M53" s="514">
        <v>-558.64805928654005</v>
      </c>
      <c r="N53" s="158">
        <v>-117.79854599017651</v>
      </c>
      <c r="O53" s="158">
        <v>495.44167916388687</v>
      </c>
      <c r="P53" s="158">
        <v>311.12260785893159</v>
      </c>
      <c r="Q53" s="158">
        <v>669.0355806276375</v>
      </c>
      <c r="R53" s="158">
        <v>1202.708012246015</v>
      </c>
      <c r="S53" s="586">
        <v>-710.26530412345983</v>
      </c>
      <c r="T53" s="158">
        <v>1588.86</v>
      </c>
      <c r="U53" s="158">
        <v>1277.96</v>
      </c>
      <c r="V53" s="158">
        <v>1277.96</v>
      </c>
      <c r="W53" s="158">
        <v>2773.94</v>
      </c>
      <c r="X53" s="158">
        <v>4061.87</v>
      </c>
      <c r="Y53" s="158">
        <v>2769.5300000000011</v>
      </c>
      <c r="Z53" s="158">
        <v>2090.83</v>
      </c>
      <c r="AA53" s="158">
        <v>1303.8300000000011</v>
      </c>
      <c r="AB53" s="158">
        <v>1110.77</v>
      </c>
      <c r="AC53" s="158">
        <v>2777.68</v>
      </c>
      <c r="AD53" s="158">
        <v>2933.43</v>
      </c>
      <c r="AE53" s="158">
        <v>2827.0900000000011</v>
      </c>
      <c r="AF53" s="158">
        <v>1871.03</v>
      </c>
      <c r="AG53" s="158">
        <v>1871.03</v>
      </c>
      <c r="AH53" s="586">
        <f>+AF38-AF52</f>
        <v>1871.0299999999997</v>
      </c>
      <c r="AI53" s="158">
        <v>4368.4030112748142</v>
      </c>
      <c r="AJ53" s="158">
        <v>1742.8646612802379</v>
      </c>
      <c r="AK53" s="158">
        <v>3023.294189874377</v>
      </c>
      <c r="AL53" s="158">
        <v>5286.2861653139853</v>
      </c>
      <c r="AM53" s="158">
        <v>6334.256179083538</v>
      </c>
      <c r="AN53" s="158">
        <v>6054.9234536434569</v>
      </c>
      <c r="AO53" s="158">
        <v>4769.6571099241446</v>
      </c>
      <c r="AP53" s="158">
        <v>4000.6762007309908</v>
      </c>
      <c r="AQ53" s="158">
        <v>3614.3555153061111</v>
      </c>
      <c r="AR53" s="158">
        <v>4150.3630291679119</v>
      </c>
      <c r="AS53" s="158">
        <v>3473.8253458511449</v>
      </c>
      <c r="AT53" s="158">
        <v>4788.8246936063824</v>
      </c>
      <c r="AU53" s="334">
        <f t="shared" si="1"/>
        <v>2581.2953041234596</v>
      </c>
      <c r="AV53" s="334">
        <f t="shared" si="0"/>
        <v>-1602.7953458511452</v>
      </c>
    </row>
    <row r="54" spans="2:48" x14ac:dyDescent="0.25">
      <c r="B54" s="646" t="s">
        <v>322</v>
      </c>
      <c r="C54" s="647"/>
      <c r="D54" s="335">
        <v>0.8425898482858486</v>
      </c>
      <c r="E54" s="335">
        <f>+E53/E16</f>
        <v>0.46118419026699853</v>
      </c>
      <c r="F54" s="335">
        <v>0.46861438990326149</v>
      </c>
      <c r="G54" s="335">
        <v>0.45737741979579788</v>
      </c>
      <c r="H54" s="335">
        <v>0.38914650939365208</v>
      </c>
      <c r="I54" s="335">
        <v>0.60302065410348027</v>
      </c>
      <c r="J54" s="335">
        <f>+J53/J16</f>
        <v>2.9521315205631539E-2</v>
      </c>
      <c r="K54" s="335">
        <v>5.1877764919120023E-2</v>
      </c>
      <c r="L54" s="335">
        <v>-3.0719256720163759E-2</v>
      </c>
      <c r="M54" s="516">
        <v>-0.10776340958377149</v>
      </c>
      <c r="N54" s="336">
        <v>-2.0827079835287171E-2</v>
      </c>
      <c r="O54" s="336">
        <v>6.7960107744984913E-2</v>
      </c>
      <c r="P54" s="336">
        <v>4.4799424654425331E-2</v>
      </c>
      <c r="Q54" s="336">
        <v>8.5071314274216922E-2</v>
      </c>
      <c r="R54" s="336">
        <v>0.13819490136879001</v>
      </c>
      <c r="S54" s="599">
        <v>-0.13459450154375777</v>
      </c>
      <c r="T54" s="336">
        <v>0.3793839541547277</v>
      </c>
      <c r="U54" s="336">
        <v>0.25876183244748158</v>
      </c>
      <c r="V54" s="336">
        <v>0.25876183244748158</v>
      </c>
      <c r="W54" s="336">
        <v>0.45090052015604681</v>
      </c>
      <c r="X54" s="336">
        <v>0.60435051070889223</v>
      </c>
      <c r="Y54" s="336">
        <v>0.42600682341866197</v>
      </c>
      <c r="Z54" s="336">
        <v>0.29413096996553417</v>
      </c>
      <c r="AA54" s="336">
        <v>0.16584475466658199</v>
      </c>
      <c r="AB54" s="336">
        <v>0.14100324717363871</v>
      </c>
      <c r="AC54" s="336">
        <v>0.40329584969763849</v>
      </c>
      <c r="AD54" s="336">
        <v>0.39541824210930709</v>
      </c>
      <c r="AE54" s="336">
        <v>0.36939248825677651</v>
      </c>
      <c r="AF54" s="336">
        <v>0.30322423810256949</v>
      </c>
      <c r="AG54" s="336">
        <v>0.30322423810256949</v>
      </c>
      <c r="AH54" s="599">
        <f>+AF53/AF16</f>
        <v>0.30322423810256949</v>
      </c>
      <c r="AI54" s="336">
        <v>0.60256213119912172</v>
      </c>
      <c r="AJ54" s="336">
        <v>0.354710330984157</v>
      </c>
      <c r="AK54" s="336">
        <v>0.462509709400302</v>
      </c>
      <c r="AL54" s="336">
        <v>0.56353327022783017</v>
      </c>
      <c r="AM54" s="336">
        <v>0.58899114246383111</v>
      </c>
      <c r="AN54" s="336">
        <v>0.58805824000945262</v>
      </c>
      <c r="AO54" s="336">
        <v>0.57944530820484241</v>
      </c>
      <c r="AP54" s="336">
        <v>0.52778121281109103</v>
      </c>
      <c r="AQ54" s="336">
        <v>0.52294714052748492</v>
      </c>
      <c r="AR54" s="336">
        <v>0.52724172124575774</v>
      </c>
      <c r="AS54" s="336">
        <v>0.49500858468197689</v>
      </c>
      <c r="AT54" s="336">
        <v>0.55871324718620097</v>
      </c>
      <c r="AU54" s="417">
        <f t="shared" si="1"/>
        <v>0.43781873964632723</v>
      </c>
      <c r="AV54" s="417">
        <f t="shared" si="0"/>
        <v>-0.19178434657940741</v>
      </c>
    </row>
    <row r="55" spans="2:48" hidden="1" x14ac:dyDescent="0.25">
      <c r="B55" s="653" t="s">
        <v>151</v>
      </c>
      <c r="C55" s="645"/>
      <c r="D55" s="317">
        <v>0</v>
      </c>
      <c r="E55" s="317">
        <v>0</v>
      </c>
      <c r="F55" s="317">
        <v>0</v>
      </c>
      <c r="G55" s="317">
        <v>0</v>
      </c>
      <c r="H55" s="317">
        <v>0</v>
      </c>
      <c r="I55" s="317">
        <v>0</v>
      </c>
      <c r="J55" s="317">
        <v>0</v>
      </c>
      <c r="K55" s="317">
        <v>0</v>
      </c>
      <c r="L55" s="317">
        <v>0</v>
      </c>
      <c r="M55" s="502">
        <v>0</v>
      </c>
      <c r="N55" s="318">
        <v>0</v>
      </c>
      <c r="O55" s="318">
        <v>0</v>
      </c>
      <c r="P55" s="318">
        <v>0</v>
      </c>
      <c r="Q55" s="318">
        <v>0</v>
      </c>
      <c r="R55" s="318">
        <v>0</v>
      </c>
      <c r="S55" s="586">
        <v>0</v>
      </c>
      <c r="T55" s="318">
        <v>0</v>
      </c>
      <c r="U55" s="318">
        <v>0</v>
      </c>
      <c r="V55" s="318">
        <v>0</v>
      </c>
      <c r="W55" s="318">
        <v>0</v>
      </c>
      <c r="X55" s="318">
        <v>0</v>
      </c>
      <c r="Y55" s="318">
        <v>0</v>
      </c>
      <c r="Z55" s="318">
        <v>0</v>
      </c>
      <c r="AA55" s="318">
        <v>0</v>
      </c>
      <c r="AB55" s="318">
        <v>0</v>
      </c>
      <c r="AC55" s="318">
        <v>0</v>
      </c>
      <c r="AD55" s="318">
        <v>0</v>
      </c>
      <c r="AE55" s="318">
        <v>0</v>
      </c>
      <c r="AF55" s="318">
        <v>0</v>
      </c>
      <c r="AG55" s="318">
        <v>0</v>
      </c>
      <c r="AH55" s="586">
        <f>+SUMIF('Monthly Detail'!$4:$4,#REF!, 'Monthly Detail'!105:105)</f>
        <v>0</v>
      </c>
      <c r="AI55" s="318">
        <v>0</v>
      </c>
      <c r="AJ55" s="318">
        <v>0</v>
      </c>
      <c r="AK55" s="318">
        <v>0</v>
      </c>
      <c r="AL55" s="318">
        <v>0</v>
      </c>
      <c r="AM55" s="318">
        <v>0</v>
      </c>
      <c r="AN55" s="318">
        <v>0</v>
      </c>
      <c r="AO55" s="318">
        <v>0</v>
      </c>
      <c r="AP55" s="318">
        <v>0</v>
      </c>
      <c r="AQ55" s="318">
        <v>0</v>
      </c>
      <c r="AR55" s="318">
        <v>0</v>
      </c>
      <c r="AS55" s="318">
        <v>0</v>
      </c>
      <c r="AT55" s="318">
        <v>0</v>
      </c>
      <c r="AU55" s="334">
        <f t="shared" si="1"/>
        <v>0</v>
      </c>
      <c r="AV55" s="334">
        <f t="shared" si="0"/>
        <v>0</v>
      </c>
    </row>
    <row r="56" spans="2:48" x14ac:dyDescent="0.25">
      <c r="B56" s="650" t="s">
        <v>152</v>
      </c>
      <c r="C56" s="651"/>
      <c r="D56" s="332">
        <v>0</v>
      </c>
      <c r="E56" s="332">
        <v>0</v>
      </c>
      <c r="F56" s="332">
        <v>0</v>
      </c>
      <c r="G56" s="332">
        <v>0</v>
      </c>
      <c r="H56" s="332">
        <v>0</v>
      </c>
      <c r="I56" s="332">
        <v>0</v>
      </c>
      <c r="J56" s="332">
        <v>0</v>
      </c>
      <c r="K56" s="332">
        <v>0</v>
      </c>
      <c r="L56" s="332">
        <v>0</v>
      </c>
      <c r="M56" s="513">
        <v>0</v>
      </c>
      <c r="N56" s="159">
        <v>0</v>
      </c>
      <c r="O56" s="159">
        <v>0</v>
      </c>
      <c r="P56" s="159">
        <v>0</v>
      </c>
      <c r="Q56" s="159">
        <v>3.44</v>
      </c>
      <c r="R56" s="159">
        <v>2.61</v>
      </c>
      <c r="S56" s="597">
        <v>1.78</v>
      </c>
      <c r="T56" s="159">
        <v>0</v>
      </c>
      <c r="U56" s="159">
        <v>0</v>
      </c>
      <c r="V56" s="159">
        <v>0</v>
      </c>
      <c r="W56" s="159">
        <v>0</v>
      </c>
      <c r="X56" s="159">
        <v>0</v>
      </c>
      <c r="Y56" s="159">
        <v>0</v>
      </c>
      <c r="Z56" s="159">
        <v>0</v>
      </c>
      <c r="AA56" s="159">
        <v>0</v>
      </c>
      <c r="AB56" s="159">
        <v>0</v>
      </c>
      <c r="AC56" s="159">
        <v>0</v>
      </c>
      <c r="AD56" s="159">
        <v>0</v>
      </c>
      <c r="AE56" s="159">
        <v>3.44</v>
      </c>
      <c r="AF56" s="159">
        <v>2.61</v>
      </c>
      <c r="AG56" s="159">
        <v>2.61</v>
      </c>
      <c r="AH56" s="597">
        <f>+SUMIF('Monthly Detail'!$4:$4, $B$14,'Monthly Detail'!95:95)</f>
        <v>1.62</v>
      </c>
      <c r="AI56" s="159">
        <v>0</v>
      </c>
      <c r="AJ56" s="159">
        <v>0</v>
      </c>
      <c r="AK56" s="159">
        <v>0</v>
      </c>
      <c r="AL56" s="159">
        <v>0</v>
      </c>
      <c r="AM56" s="159">
        <v>0</v>
      </c>
      <c r="AN56" s="159">
        <v>0</v>
      </c>
      <c r="AO56" s="159">
        <v>0</v>
      </c>
      <c r="AP56" s="159">
        <v>0</v>
      </c>
      <c r="AQ56" s="159">
        <v>0</v>
      </c>
      <c r="AR56" s="159">
        <v>0</v>
      </c>
      <c r="AS56" s="159">
        <v>0</v>
      </c>
      <c r="AT56" s="159">
        <v>0</v>
      </c>
      <c r="AU56" s="415">
        <f t="shared" si="1"/>
        <v>-0.15999999999999992</v>
      </c>
      <c r="AV56" s="415">
        <f t="shared" si="0"/>
        <v>1.62</v>
      </c>
    </row>
    <row r="57" spans="2:48" hidden="1" x14ac:dyDescent="0.25">
      <c r="B57" s="650" t="s">
        <v>153</v>
      </c>
      <c r="C57" s="651"/>
      <c r="D57" s="337">
        <v>0</v>
      </c>
      <c r="E57" s="337">
        <v>0</v>
      </c>
      <c r="F57" s="337">
        <v>0</v>
      </c>
      <c r="G57" s="337">
        <v>0</v>
      </c>
      <c r="H57" s="337">
        <v>0</v>
      </c>
      <c r="I57" s="337">
        <v>0</v>
      </c>
      <c r="J57" s="337">
        <v>0</v>
      </c>
      <c r="K57" s="337">
        <v>0</v>
      </c>
      <c r="L57" s="337">
        <v>0</v>
      </c>
      <c r="M57" s="517">
        <v>0</v>
      </c>
      <c r="N57" s="338">
        <v>0</v>
      </c>
      <c r="O57" s="338">
        <v>0</v>
      </c>
      <c r="P57" s="338">
        <v>0</v>
      </c>
      <c r="Q57" s="338">
        <v>3.44</v>
      </c>
      <c r="R57" s="338">
        <v>2.61</v>
      </c>
      <c r="S57" s="600">
        <v>1.78</v>
      </c>
      <c r="T57" s="338">
        <v>0</v>
      </c>
      <c r="U57" s="338">
        <v>0</v>
      </c>
      <c r="V57" s="338">
        <v>0</v>
      </c>
      <c r="W57" s="338">
        <v>0</v>
      </c>
      <c r="X57" s="338">
        <v>0</v>
      </c>
      <c r="Y57" s="338">
        <v>0</v>
      </c>
      <c r="Z57" s="338">
        <v>0</v>
      </c>
      <c r="AA57" s="338">
        <v>0</v>
      </c>
      <c r="AB57" s="338">
        <v>0</v>
      </c>
      <c r="AC57" s="338">
        <v>0</v>
      </c>
      <c r="AD57" s="338">
        <v>0</v>
      </c>
      <c r="AE57" s="338">
        <v>3.44</v>
      </c>
      <c r="AF57" s="338">
        <v>2.61</v>
      </c>
      <c r="AG57" s="338">
        <v>2.61</v>
      </c>
      <c r="AH57" s="600">
        <f>+AF56</f>
        <v>2.61</v>
      </c>
      <c r="AI57" s="338">
        <v>0</v>
      </c>
      <c r="AJ57" s="338">
        <v>0</v>
      </c>
      <c r="AK57" s="338">
        <v>0</v>
      </c>
      <c r="AL57" s="338">
        <v>0</v>
      </c>
      <c r="AM57" s="338">
        <v>0</v>
      </c>
      <c r="AN57" s="338">
        <v>0</v>
      </c>
      <c r="AO57" s="338">
        <v>0</v>
      </c>
      <c r="AP57" s="338">
        <v>0</v>
      </c>
      <c r="AQ57" s="338">
        <v>0</v>
      </c>
      <c r="AR57" s="338">
        <v>0</v>
      </c>
      <c r="AS57" s="338">
        <v>0</v>
      </c>
      <c r="AT57" s="338">
        <v>0</v>
      </c>
      <c r="AU57" s="418">
        <f t="shared" si="1"/>
        <v>0.82999999999999985</v>
      </c>
      <c r="AV57" s="418">
        <f t="shared" si="0"/>
        <v>2.61</v>
      </c>
    </row>
    <row r="58" spans="2:48" x14ac:dyDescent="0.25">
      <c r="B58" s="652" t="s">
        <v>323</v>
      </c>
      <c r="C58" s="651"/>
      <c r="D58" s="339">
        <v>-3048.1599999999971</v>
      </c>
      <c r="E58" s="339">
        <v>-3126.69</v>
      </c>
      <c r="F58" s="339">
        <v>-2700</v>
      </c>
      <c r="G58" s="339">
        <v>-3130</v>
      </c>
      <c r="H58" s="339">
        <v>-3130</v>
      </c>
      <c r="I58" s="339">
        <v>-2000</v>
      </c>
      <c r="J58" s="339">
        <v>-2000</v>
      </c>
      <c r="K58" s="339">
        <v>-150</v>
      </c>
      <c r="L58" s="339">
        <v>-150</v>
      </c>
      <c r="M58" s="518">
        <v>-150</v>
      </c>
      <c r="N58" s="340">
        <v>-150</v>
      </c>
      <c r="O58" s="340">
        <v>-150</v>
      </c>
      <c r="P58" s="340">
        <v>-150</v>
      </c>
      <c r="Q58" s="340">
        <v>-150</v>
      </c>
      <c r="R58" s="340">
        <v>-4027.9099999999962</v>
      </c>
      <c r="S58" s="601">
        <v>-4027.9099999999962</v>
      </c>
      <c r="T58" s="340">
        <v>-2737.7699999999968</v>
      </c>
      <c r="U58" s="340">
        <v>-2394.389999999999</v>
      </c>
      <c r="V58" s="340">
        <v>-2307.5599999999981</v>
      </c>
      <c r="W58" s="340">
        <v>-4112.4500000000044</v>
      </c>
      <c r="X58" s="340">
        <v>-3431.5800000000022</v>
      </c>
      <c r="Y58" s="340">
        <v>-1624.4799999999959</v>
      </c>
      <c r="Z58" s="340">
        <v>-1148.7200000000009</v>
      </c>
      <c r="AA58" s="340">
        <v>-150</v>
      </c>
      <c r="AB58" s="340">
        <v>-150</v>
      </c>
      <c r="AC58" s="340">
        <v>-150</v>
      </c>
      <c r="AD58" s="340">
        <v>-2635.2200000000012</v>
      </c>
      <c r="AE58" s="340">
        <v>-2635.2200000000012</v>
      </c>
      <c r="AF58" s="340">
        <v>-4027.9099999999962</v>
      </c>
      <c r="AG58" s="340">
        <v>-4027.9099999999962</v>
      </c>
      <c r="AH58" s="601">
        <f>'Monthly Detail'!AV154</f>
        <v>-4057.9099999999962</v>
      </c>
      <c r="AI58" s="340">
        <v>-2307.5599999999981</v>
      </c>
      <c r="AJ58" s="340">
        <v>-2307.5599999999981</v>
      </c>
      <c r="AK58" s="340">
        <v>-2307.5599999999981</v>
      </c>
      <c r="AL58" s="340">
        <v>-2307.5599999999981</v>
      </c>
      <c r="AM58" s="340">
        <v>-2307.5599999999981</v>
      </c>
      <c r="AN58" s="340">
        <v>-2307.5599999999981</v>
      </c>
      <c r="AO58" s="340">
        <v>-2307.5599999999981</v>
      </c>
      <c r="AP58" s="340">
        <v>-2307.5599999999981</v>
      </c>
      <c r="AQ58" s="340">
        <v>-2307.5599999999981</v>
      </c>
      <c r="AR58" s="340">
        <v>-2307.5599999999981</v>
      </c>
      <c r="AS58" s="340">
        <v>-2307.5599999999981</v>
      </c>
      <c r="AT58" s="340">
        <v>-2307.5599999999981</v>
      </c>
      <c r="AU58" s="360">
        <f t="shared" si="1"/>
        <v>-30</v>
      </c>
      <c r="AV58" s="360">
        <f t="shared" si="0"/>
        <v>-1750.3499999999981</v>
      </c>
    </row>
    <row r="59" spans="2:48" ht="15.75" customHeight="1" thickBot="1" x14ac:dyDescent="0.3">
      <c r="B59" s="648" t="s">
        <v>19</v>
      </c>
      <c r="C59" s="649"/>
      <c r="D59" s="341">
        <v>10757.84439858919</v>
      </c>
      <c r="E59" s="341">
        <v>3219.2979072419048</v>
      </c>
      <c r="F59" s="341">
        <v>2871.4748597993612</v>
      </c>
      <c r="G59" s="341">
        <v>3004.7906193818858</v>
      </c>
      <c r="H59" s="341">
        <v>2150.6010454540619</v>
      </c>
      <c r="I59" s="341">
        <v>4563.2241460310252</v>
      </c>
      <c r="J59" s="341">
        <f>+J57+J53</f>
        <v>222.86992056728104</v>
      </c>
      <c r="K59" s="341">
        <v>333.43531499671923</v>
      </c>
      <c r="L59" s="341">
        <v>-155.19680493145279</v>
      </c>
      <c r="M59" s="519">
        <v>-558.64805928654005</v>
      </c>
      <c r="N59" s="521">
        <v>-117.79854599017651</v>
      </c>
      <c r="O59" s="521">
        <v>495.44167916388687</v>
      </c>
      <c r="P59" s="521">
        <v>311.12260785893159</v>
      </c>
      <c r="Q59" s="521">
        <v>672.47558062763756</v>
      </c>
      <c r="R59" s="347">
        <v>1205.3180122460151</v>
      </c>
      <c r="S59" s="602">
        <v>-708.48530412345985</v>
      </c>
      <c r="T59" s="347">
        <v>1588.86</v>
      </c>
      <c r="U59" s="347">
        <v>1277.96</v>
      </c>
      <c r="V59" s="347">
        <v>1277.96</v>
      </c>
      <c r="W59" s="347">
        <v>2773.94</v>
      </c>
      <c r="X59" s="347">
        <v>4061.87</v>
      </c>
      <c r="Y59" s="347">
        <v>2769.5300000000011</v>
      </c>
      <c r="Z59" s="347">
        <v>2090.83</v>
      </c>
      <c r="AA59" s="347">
        <v>1303.8300000000011</v>
      </c>
      <c r="AB59" s="347">
        <v>1110.77</v>
      </c>
      <c r="AC59" s="347">
        <v>2777.68</v>
      </c>
      <c r="AD59" s="347">
        <v>2933.43</v>
      </c>
      <c r="AE59" s="347">
        <v>2830.5300000000011</v>
      </c>
      <c r="AF59" s="347">
        <v>1873.64</v>
      </c>
      <c r="AG59" s="347">
        <v>1873.64</v>
      </c>
      <c r="AH59" s="602">
        <f>+AF57+AF53</f>
        <v>1873.6399999999999</v>
      </c>
      <c r="AI59" s="347">
        <v>4368.4030112748142</v>
      </c>
      <c r="AJ59" s="347">
        <v>1742.8646612802379</v>
      </c>
      <c r="AK59" s="347">
        <v>3023.294189874377</v>
      </c>
      <c r="AL59" s="347">
        <v>5286.2861653139853</v>
      </c>
      <c r="AM59" s="347">
        <v>6334.256179083538</v>
      </c>
      <c r="AN59" s="347">
        <v>6054.9234536434569</v>
      </c>
      <c r="AO59" s="347">
        <v>4769.6571099241446</v>
      </c>
      <c r="AP59" s="347">
        <v>4000.6762007309908</v>
      </c>
      <c r="AQ59" s="347">
        <v>3614.3555153061111</v>
      </c>
      <c r="AR59" s="347">
        <v>4150.3630291679119</v>
      </c>
      <c r="AS59" s="347">
        <v>3473.8253458511449</v>
      </c>
      <c r="AT59" s="347">
        <v>4788.8246936063824</v>
      </c>
      <c r="AU59" s="419">
        <f t="shared" si="1"/>
        <v>2582.1253041234595</v>
      </c>
      <c r="AV59" s="419">
        <f t="shared" si="0"/>
        <v>-1600.185345851145</v>
      </c>
    </row>
    <row r="60" spans="2:48" ht="15.75" customHeight="1" thickTop="1" x14ac:dyDescent="0.25">
      <c r="S60" s="585"/>
      <c r="AH60" s="585"/>
    </row>
    <row r="61" spans="2:48" x14ac:dyDescent="0.25">
      <c r="B61" s="342"/>
      <c r="C61" s="342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603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603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343"/>
      <c r="AV61" s="343"/>
    </row>
  </sheetData>
  <mergeCells count="31">
    <mergeCell ref="B49:C49"/>
    <mergeCell ref="B55:C55"/>
    <mergeCell ref="B33:C33"/>
    <mergeCell ref="B51:C51"/>
    <mergeCell ref="B45:C45"/>
    <mergeCell ref="B36:C36"/>
    <mergeCell ref="B50:C50"/>
    <mergeCell ref="B41:C41"/>
    <mergeCell ref="B35:C35"/>
    <mergeCell ref="B37:C37"/>
    <mergeCell ref="B17:B28"/>
    <mergeCell ref="B34:C34"/>
    <mergeCell ref="B14:AV14"/>
    <mergeCell ref="B40:C40"/>
    <mergeCell ref="B32:C32"/>
    <mergeCell ref="B47:C47"/>
    <mergeCell ref="B16:C16"/>
    <mergeCell ref="B54:C54"/>
    <mergeCell ref="B59:C59"/>
    <mergeCell ref="B46:C46"/>
    <mergeCell ref="B56:C56"/>
    <mergeCell ref="B43:C43"/>
    <mergeCell ref="B58:C58"/>
    <mergeCell ref="B39:C39"/>
    <mergeCell ref="B52:C52"/>
    <mergeCell ref="B48:C48"/>
    <mergeCell ref="B42:C42"/>
    <mergeCell ref="B57:C57"/>
    <mergeCell ref="B53:C53"/>
    <mergeCell ref="B38:C38"/>
    <mergeCell ref="B44:C44"/>
  </mergeCells>
  <pageMargins left="0.7" right="0.7" top="0.75" bottom="0.75" header="0.3" footer="0.3"/>
  <pageSetup scale="48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-0.499984740745262"/>
  </sheetPr>
  <dimension ref="A1:FC18"/>
  <sheetViews>
    <sheetView topLeftCell="D1" workbookViewId="0">
      <selection activeCell="Y16" sqref="Y16"/>
    </sheetView>
  </sheetViews>
  <sheetFormatPr defaultColWidth="8.7109375" defaultRowHeight="15" outlineLevelCol="1" x14ac:dyDescent="0.25"/>
  <cols>
    <col min="2" max="2" width="13.42578125" bestFit="1" customWidth="1"/>
    <col min="3" max="3" width="14.42578125" bestFit="1" customWidth="1"/>
    <col min="4" max="4" width="11.28515625" bestFit="1" customWidth="1"/>
    <col min="5" max="5" width="17.42578125" bestFit="1" customWidth="1"/>
    <col min="7" max="7" width="10" hidden="1" customWidth="1" outlineLevel="1"/>
    <col min="8" max="11" width="10.140625" hidden="1" customWidth="1" outlineLevel="1"/>
    <col min="12" max="14" width="11.140625" hidden="1" customWidth="1" outlineLevel="1"/>
    <col min="15" max="15" width="10.140625" hidden="1" customWidth="1" outlineLevel="1"/>
    <col min="16" max="17" width="10.42578125" hidden="1" customWidth="1" outlineLevel="1"/>
    <col min="18" max="18" width="10.42578125" bestFit="1" customWidth="1" collapsed="1"/>
    <col min="19" max="23" width="10.42578125" bestFit="1" customWidth="1"/>
    <col min="24" max="26" width="11.28515625" bestFit="1" customWidth="1"/>
    <col min="27" max="35" width="10.42578125" bestFit="1" customWidth="1"/>
    <col min="36" max="38" width="11.28515625" bestFit="1" customWidth="1"/>
    <col min="39" max="47" width="10.42578125" bestFit="1" customWidth="1"/>
    <col min="48" max="50" width="11.28515625" bestFit="1" customWidth="1"/>
    <col min="51" max="59" width="10.42578125" bestFit="1" customWidth="1"/>
    <col min="60" max="62" width="11.28515625" bestFit="1" customWidth="1"/>
    <col min="63" max="71" width="10.42578125" bestFit="1" customWidth="1"/>
    <col min="72" max="74" width="11.28515625" bestFit="1" customWidth="1"/>
    <col min="75" max="158" width="11.42578125" bestFit="1" customWidth="1"/>
  </cols>
  <sheetData>
    <row r="1" spans="1:159" ht="15.75" customHeight="1" thickBot="1" x14ac:dyDescent="0.3">
      <c r="A1" s="23"/>
      <c r="B1" s="23"/>
      <c r="C1" s="23"/>
      <c r="D1" s="23"/>
      <c r="E1" s="23"/>
      <c r="F1" s="23"/>
      <c r="G1" s="23"/>
      <c r="H1" s="24">
        <f t="shared" ref="H1:AM1" si="0">YEAR(H4)</f>
        <v>2024</v>
      </c>
      <c r="I1" s="24">
        <f t="shared" si="0"/>
        <v>2024</v>
      </c>
      <c r="J1" s="24">
        <f t="shared" si="0"/>
        <v>2024</v>
      </c>
      <c r="K1" s="24">
        <f t="shared" si="0"/>
        <v>2024</v>
      </c>
      <c r="L1" s="224">
        <f t="shared" si="0"/>
        <v>2024</v>
      </c>
      <c r="M1" s="24">
        <f t="shared" si="0"/>
        <v>2024</v>
      </c>
      <c r="N1" s="24">
        <f t="shared" si="0"/>
        <v>2024</v>
      </c>
      <c r="O1" s="24">
        <f t="shared" si="0"/>
        <v>2025</v>
      </c>
      <c r="P1" s="24">
        <f t="shared" si="0"/>
        <v>2025</v>
      </c>
      <c r="Q1" s="224">
        <f t="shared" si="0"/>
        <v>2025</v>
      </c>
      <c r="R1" s="24">
        <f t="shared" si="0"/>
        <v>2025</v>
      </c>
      <c r="S1" s="24">
        <f t="shared" si="0"/>
        <v>2025</v>
      </c>
      <c r="T1" s="24">
        <f t="shared" si="0"/>
        <v>2025</v>
      </c>
      <c r="U1" s="24">
        <f t="shared" si="0"/>
        <v>2025</v>
      </c>
      <c r="V1" s="24">
        <f t="shared" si="0"/>
        <v>2025</v>
      </c>
      <c r="W1" s="24">
        <f t="shared" si="0"/>
        <v>2025</v>
      </c>
      <c r="X1" s="24">
        <f t="shared" si="0"/>
        <v>2025</v>
      </c>
      <c r="Y1" s="24">
        <f t="shared" si="0"/>
        <v>2025</v>
      </c>
      <c r="Z1" s="24">
        <f t="shared" si="0"/>
        <v>2025</v>
      </c>
      <c r="AA1" s="24">
        <f t="shared" si="0"/>
        <v>2026</v>
      </c>
      <c r="AB1" s="24">
        <f t="shared" si="0"/>
        <v>2026</v>
      </c>
      <c r="AC1" s="24">
        <f t="shared" si="0"/>
        <v>2026</v>
      </c>
      <c r="AD1" s="24">
        <f t="shared" si="0"/>
        <v>2026</v>
      </c>
      <c r="AE1" s="24">
        <f t="shared" si="0"/>
        <v>2026</v>
      </c>
      <c r="AF1" s="24">
        <f t="shared" si="0"/>
        <v>2026</v>
      </c>
      <c r="AG1" s="24">
        <f t="shared" si="0"/>
        <v>2026</v>
      </c>
      <c r="AH1" s="24">
        <f t="shared" si="0"/>
        <v>2026</v>
      </c>
      <c r="AI1" s="24">
        <f t="shared" si="0"/>
        <v>2026</v>
      </c>
      <c r="AJ1" s="224">
        <f t="shared" si="0"/>
        <v>2026</v>
      </c>
      <c r="AK1" s="24">
        <f t="shared" si="0"/>
        <v>2026</v>
      </c>
      <c r="AL1" s="24">
        <f t="shared" si="0"/>
        <v>2026</v>
      </c>
      <c r="AM1" s="404">
        <f t="shared" si="0"/>
        <v>2027</v>
      </c>
      <c r="AN1" s="24">
        <f t="shared" ref="AN1:BS1" si="1">YEAR(AN4)</f>
        <v>2027</v>
      </c>
      <c r="AO1" s="24">
        <f t="shared" si="1"/>
        <v>2027</v>
      </c>
      <c r="AP1" s="24">
        <f t="shared" si="1"/>
        <v>2027</v>
      </c>
      <c r="AQ1" s="224">
        <f t="shared" si="1"/>
        <v>2027</v>
      </c>
      <c r="AR1" s="24">
        <f t="shared" si="1"/>
        <v>2027</v>
      </c>
      <c r="AS1" s="24">
        <f t="shared" si="1"/>
        <v>2027</v>
      </c>
      <c r="AT1" s="24">
        <f t="shared" si="1"/>
        <v>2027</v>
      </c>
      <c r="AU1" s="24">
        <f t="shared" si="1"/>
        <v>2027</v>
      </c>
      <c r="AV1" s="24">
        <f t="shared" si="1"/>
        <v>2027</v>
      </c>
      <c r="AW1" s="24">
        <f t="shared" si="1"/>
        <v>2027</v>
      </c>
      <c r="AX1" s="24">
        <f t="shared" si="1"/>
        <v>2027</v>
      </c>
      <c r="AY1" s="24">
        <f t="shared" si="1"/>
        <v>2028</v>
      </c>
      <c r="AZ1" s="24">
        <f t="shared" si="1"/>
        <v>2028</v>
      </c>
      <c r="BA1" s="24">
        <f t="shared" si="1"/>
        <v>2028</v>
      </c>
      <c r="BB1" s="24">
        <f t="shared" si="1"/>
        <v>2028</v>
      </c>
      <c r="BC1" s="224">
        <f t="shared" si="1"/>
        <v>2028</v>
      </c>
      <c r="BD1" s="24">
        <f t="shared" si="1"/>
        <v>2028</v>
      </c>
      <c r="BE1" s="24">
        <f t="shared" si="1"/>
        <v>2028</v>
      </c>
      <c r="BF1" s="24">
        <f t="shared" si="1"/>
        <v>2028</v>
      </c>
      <c r="BG1" s="24">
        <f t="shared" si="1"/>
        <v>2028</v>
      </c>
      <c r="BH1" s="24">
        <f t="shared" si="1"/>
        <v>2028</v>
      </c>
      <c r="BI1" s="24">
        <f t="shared" si="1"/>
        <v>2028</v>
      </c>
      <c r="BJ1" s="24">
        <f t="shared" si="1"/>
        <v>2028</v>
      </c>
      <c r="BK1" s="24">
        <f t="shared" si="1"/>
        <v>2029</v>
      </c>
      <c r="BL1" s="24">
        <f t="shared" si="1"/>
        <v>2029</v>
      </c>
      <c r="BM1" s="24">
        <f t="shared" si="1"/>
        <v>2029</v>
      </c>
      <c r="BN1" s="24">
        <f t="shared" si="1"/>
        <v>2029</v>
      </c>
      <c r="BO1" s="224">
        <f t="shared" si="1"/>
        <v>2029</v>
      </c>
      <c r="BP1" s="24">
        <f t="shared" si="1"/>
        <v>2029</v>
      </c>
      <c r="BQ1" s="24">
        <f t="shared" si="1"/>
        <v>2029</v>
      </c>
      <c r="BR1" s="24">
        <f t="shared" si="1"/>
        <v>2029</v>
      </c>
      <c r="BS1" s="24">
        <f t="shared" si="1"/>
        <v>2029</v>
      </c>
      <c r="BT1" s="24">
        <f t="shared" ref="BT1:CY1" si="2">YEAR(BT4)</f>
        <v>2029</v>
      </c>
      <c r="BU1" s="24">
        <f t="shared" si="2"/>
        <v>2029</v>
      </c>
      <c r="BV1" s="24">
        <f t="shared" si="2"/>
        <v>2029</v>
      </c>
      <c r="BW1" s="24">
        <f t="shared" si="2"/>
        <v>2030</v>
      </c>
      <c r="BX1" s="24">
        <f t="shared" si="2"/>
        <v>2030</v>
      </c>
      <c r="BY1" s="24">
        <f t="shared" si="2"/>
        <v>2030</v>
      </c>
      <c r="BZ1" s="24">
        <f t="shared" si="2"/>
        <v>2030</v>
      </c>
      <c r="CA1" s="224">
        <f t="shared" si="2"/>
        <v>2030</v>
      </c>
      <c r="CB1" s="24">
        <f t="shared" si="2"/>
        <v>2030</v>
      </c>
      <c r="CC1" s="24">
        <f t="shared" si="2"/>
        <v>2030</v>
      </c>
      <c r="CD1" s="24">
        <f t="shared" si="2"/>
        <v>2030</v>
      </c>
      <c r="CE1" s="24">
        <f t="shared" si="2"/>
        <v>2030</v>
      </c>
      <c r="CF1" s="24">
        <f t="shared" si="2"/>
        <v>2030</v>
      </c>
      <c r="CG1" s="24">
        <f t="shared" si="2"/>
        <v>2030</v>
      </c>
      <c r="CH1" s="24">
        <f t="shared" si="2"/>
        <v>2030</v>
      </c>
      <c r="CI1" s="24">
        <f t="shared" si="2"/>
        <v>2031</v>
      </c>
      <c r="CJ1" s="24">
        <f t="shared" si="2"/>
        <v>2031</v>
      </c>
      <c r="CK1" s="24">
        <f t="shared" si="2"/>
        <v>2031</v>
      </c>
      <c r="CL1" s="24">
        <f t="shared" si="2"/>
        <v>2031</v>
      </c>
      <c r="CM1" s="224">
        <f t="shared" si="2"/>
        <v>2031</v>
      </c>
      <c r="CN1" s="24">
        <f t="shared" si="2"/>
        <v>2031</v>
      </c>
      <c r="CO1" s="24">
        <f t="shared" si="2"/>
        <v>2031</v>
      </c>
      <c r="CP1" s="24">
        <f t="shared" si="2"/>
        <v>2031</v>
      </c>
      <c r="CQ1" s="24">
        <f t="shared" si="2"/>
        <v>2031</v>
      </c>
      <c r="CR1" s="24">
        <f t="shared" si="2"/>
        <v>2031</v>
      </c>
      <c r="CS1" s="24">
        <f t="shared" si="2"/>
        <v>2031</v>
      </c>
      <c r="CT1" s="24">
        <f t="shared" si="2"/>
        <v>2031</v>
      </c>
      <c r="CU1" s="24">
        <f t="shared" si="2"/>
        <v>2032</v>
      </c>
      <c r="CV1" s="24">
        <f t="shared" si="2"/>
        <v>2032</v>
      </c>
      <c r="CW1" s="24">
        <f t="shared" si="2"/>
        <v>2032</v>
      </c>
      <c r="CX1" s="24">
        <f t="shared" si="2"/>
        <v>2032</v>
      </c>
      <c r="CY1" s="224">
        <f t="shared" si="2"/>
        <v>2032</v>
      </c>
      <c r="CZ1" s="24">
        <f t="shared" ref="CZ1:DK1" si="3">YEAR(CZ4)</f>
        <v>2032</v>
      </c>
      <c r="DA1" s="24">
        <f t="shared" si="3"/>
        <v>2032</v>
      </c>
      <c r="DB1" s="24">
        <f t="shared" si="3"/>
        <v>2032</v>
      </c>
      <c r="DC1" s="24">
        <f t="shared" si="3"/>
        <v>2032</v>
      </c>
      <c r="DD1" s="24">
        <f t="shared" si="3"/>
        <v>2032</v>
      </c>
      <c r="DE1" s="24">
        <f t="shared" si="3"/>
        <v>2032</v>
      </c>
      <c r="DF1" s="24">
        <f t="shared" si="3"/>
        <v>2032</v>
      </c>
      <c r="DG1" s="24">
        <f t="shared" si="3"/>
        <v>2033</v>
      </c>
      <c r="DH1" s="24">
        <f t="shared" si="3"/>
        <v>2033</v>
      </c>
      <c r="DI1" s="24">
        <f t="shared" si="3"/>
        <v>2033</v>
      </c>
      <c r="DJ1" s="24">
        <f t="shared" si="3"/>
        <v>2033</v>
      </c>
      <c r="DK1" s="24">
        <f t="shared" si="3"/>
        <v>2033</v>
      </c>
      <c r="DL1" s="24"/>
      <c r="DM1" s="24"/>
      <c r="DN1" s="44"/>
    </row>
    <row r="2" spans="1:159" x14ac:dyDescent="0.25">
      <c r="A2" s="23"/>
      <c r="B2" s="23"/>
      <c r="C2" s="23"/>
      <c r="D2" s="23"/>
      <c r="E2" s="23"/>
      <c r="F2" s="277"/>
      <c r="G2" s="277"/>
      <c r="H2" s="278" t="str">
        <f>+'Monthly Detail'!AG2</f>
        <v>Peak</v>
      </c>
      <c r="I2" s="278" t="str">
        <f>+'Monthly Detail'!AH2</f>
        <v>Shoulder</v>
      </c>
      <c r="J2" s="24" t="str">
        <f>+'Monthly Detail'!AI2</f>
        <v>Shoulder</v>
      </c>
      <c r="K2" s="278" t="str">
        <f>+'Monthly Detail'!AJ2</f>
        <v>Trough</v>
      </c>
      <c r="L2" s="279" t="str">
        <f>+'Monthly Detail'!AK2</f>
        <v>Shoulder</v>
      </c>
      <c r="M2" s="278" t="str">
        <f>+'Monthly Detail'!AL2</f>
        <v>Trough</v>
      </c>
      <c r="N2" s="224" t="str">
        <f>+'Monthly Detail'!AM2</f>
        <v>Shoulder</v>
      </c>
      <c r="O2" s="24" t="str">
        <f>+'Monthly Detail'!AN2</f>
        <v>Shoulder</v>
      </c>
      <c r="P2" s="24" t="str">
        <f>+'Monthly Detail'!AO2</f>
        <v>Shoulder</v>
      </c>
      <c r="Q2" s="224" t="str">
        <f>+'Monthly Detail'!AP2</f>
        <v>Shoulder</v>
      </c>
      <c r="R2" s="24" t="str">
        <f>+'Monthly Detail'!AQ2</f>
        <v>Peak</v>
      </c>
      <c r="S2" s="24" t="str">
        <f>+'Monthly Detail'!AR2</f>
        <v>Peak</v>
      </c>
      <c r="T2" s="24" t="str">
        <f>+'Monthly Detail'!AS2</f>
        <v>Shoulder</v>
      </c>
      <c r="U2" s="24" t="str">
        <f>+'Monthly Detail'!AT2</f>
        <v>Shoulder</v>
      </c>
      <c r="V2" s="24" t="str">
        <f>+'Monthly Detail'!AU2</f>
        <v>Shoulder</v>
      </c>
      <c r="W2" s="24" t="str">
        <f>+'Monthly Detail'!AV2</f>
        <v>Trough</v>
      </c>
      <c r="X2" s="24" t="str">
        <f>+'Monthly Detail'!AW2</f>
        <v>Shoulder</v>
      </c>
      <c r="Y2" s="24" t="str">
        <f>+'Monthly Detail'!AX2</f>
        <v>Shoulder</v>
      </c>
      <c r="Z2" s="224" t="str">
        <f>+'Monthly Detail'!AY2</f>
        <v>Trough</v>
      </c>
      <c r="AA2" s="24" t="str">
        <f>+'Monthly Detail'!AZ2</f>
        <v>Shoulder</v>
      </c>
      <c r="AB2" s="24" t="str">
        <f>+'Monthly Detail'!BA2</f>
        <v>Shoulder</v>
      </c>
      <c r="AC2" s="24" t="str">
        <f>+'Monthly Detail'!BB2</f>
        <v>Shoulder</v>
      </c>
      <c r="AD2" s="24" t="str">
        <f>+'Monthly Detail'!BC2</f>
        <v>Peak</v>
      </c>
      <c r="AE2" s="24" t="str">
        <f>+'Monthly Detail'!BD2</f>
        <v>Peak</v>
      </c>
      <c r="AF2" s="24" t="str">
        <f>+'Monthly Detail'!BE2</f>
        <v>Shoulder</v>
      </c>
      <c r="AG2" s="24" t="str">
        <f>+'Monthly Detail'!BF2</f>
        <v>Shoulder</v>
      </c>
      <c r="AH2" s="24" t="str">
        <f>+'Monthly Detail'!BG2</f>
        <v>Shoulder</v>
      </c>
      <c r="AI2" s="24" t="str">
        <f>+'Monthly Detail'!BH2</f>
        <v>Trough</v>
      </c>
      <c r="AJ2" s="24" t="str">
        <f>+'Monthly Detail'!BI2</f>
        <v>Shoulder</v>
      </c>
      <c r="AK2" s="24" t="str">
        <f>+'Monthly Detail'!BJ2</f>
        <v>Shoulder</v>
      </c>
      <c r="AL2" s="224" t="str">
        <f>+'Monthly Detail'!BK2</f>
        <v>Trough</v>
      </c>
      <c r="AM2" s="24" t="str">
        <f>+'Monthly Detail'!BL2</f>
        <v>Shoulder</v>
      </c>
      <c r="AN2" s="24" t="str">
        <f>+'Monthly Detail'!BM2</f>
        <v>Shoulder</v>
      </c>
      <c r="AO2" s="24" t="str">
        <f>+'Monthly Detail'!BN2</f>
        <v>Shoulder</v>
      </c>
      <c r="AP2" s="24" t="str">
        <f>+'Monthly Detail'!BO2</f>
        <v>Peak</v>
      </c>
      <c r="AQ2" s="24" t="str">
        <f>+'Monthly Detail'!BP2</f>
        <v>Peak</v>
      </c>
      <c r="AR2" s="24" t="str">
        <f>+'Monthly Detail'!BQ2</f>
        <v>Shoulder</v>
      </c>
      <c r="AS2" s="24" t="str">
        <f>+'Monthly Detail'!BR2</f>
        <v>Shoulder</v>
      </c>
      <c r="AT2" s="24" t="str">
        <f>+'Monthly Detail'!BS2</f>
        <v>Shoulder</v>
      </c>
      <c r="AU2" s="24" t="str">
        <f>+'Monthly Detail'!BT2</f>
        <v>Trough</v>
      </c>
      <c r="AV2" s="24" t="str">
        <f>+'Monthly Detail'!BU2</f>
        <v>Shoulder</v>
      </c>
      <c r="AW2" s="24" t="str">
        <f>+'Monthly Detail'!BV2</f>
        <v>Shoulder</v>
      </c>
      <c r="AX2" s="224" t="str">
        <f>+'Monthly Detail'!BW2</f>
        <v>Trough</v>
      </c>
      <c r="AY2" s="24" t="str">
        <f>+'Monthly Detail'!BX2</f>
        <v>Shoulder</v>
      </c>
      <c r="AZ2" s="24" t="str">
        <f>+'Monthly Detail'!BY2</f>
        <v>Shoulder</v>
      </c>
      <c r="BA2" s="24" t="str">
        <f>+'Monthly Detail'!BZ2</f>
        <v>Shoulder</v>
      </c>
      <c r="BB2" s="24" t="str">
        <f>+'Monthly Detail'!CA2</f>
        <v>Peak</v>
      </c>
      <c r="BC2" s="24" t="str">
        <f>+'Monthly Detail'!CB2</f>
        <v>Peak</v>
      </c>
      <c r="BD2" s="24" t="str">
        <f>+'Monthly Detail'!CC2</f>
        <v>Shoulder</v>
      </c>
      <c r="BE2" s="24" t="str">
        <f>+'Monthly Detail'!CD2</f>
        <v>Shoulder</v>
      </c>
      <c r="BF2" s="24" t="str">
        <f>+'Monthly Detail'!CE2</f>
        <v>Shoulder</v>
      </c>
      <c r="BG2" s="24" t="str">
        <f>+'Monthly Detail'!CF2</f>
        <v>Trough</v>
      </c>
      <c r="BH2" s="24" t="str">
        <f>+'Monthly Detail'!CG2</f>
        <v>Shoulder</v>
      </c>
      <c r="BI2" s="24" t="str">
        <f>+'Monthly Detail'!CH2</f>
        <v>Shoulder</v>
      </c>
      <c r="BJ2" s="224" t="str">
        <f>+'Monthly Detail'!CI2</f>
        <v>Trough</v>
      </c>
      <c r="BK2" s="24" t="str">
        <f>+'Monthly Detail'!CJ2</f>
        <v>Shoulder</v>
      </c>
      <c r="BL2" s="24" t="str">
        <f>+'Monthly Detail'!CK2</f>
        <v>Shoulder</v>
      </c>
      <c r="BM2" s="24" t="str">
        <f>+'Monthly Detail'!CL2</f>
        <v>Shoulder</v>
      </c>
      <c r="BN2" s="24" t="str">
        <f>+'Monthly Detail'!CM2</f>
        <v>Peak</v>
      </c>
      <c r="BO2" s="24" t="str">
        <f>+'Monthly Detail'!CN2</f>
        <v>Peak</v>
      </c>
      <c r="BP2" s="24" t="str">
        <f>+'Monthly Detail'!CO2</f>
        <v>Shoulder</v>
      </c>
      <c r="BQ2" s="24" t="str">
        <f>+'Monthly Detail'!CP2</f>
        <v>Shoulder</v>
      </c>
      <c r="BR2" s="24" t="str">
        <f>+'Monthly Detail'!CQ2</f>
        <v>Shoulder</v>
      </c>
      <c r="BS2" s="24" t="str">
        <f>+'Monthly Detail'!CR2</f>
        <v>Trough</v>
      </c>
      <c r="BT2" s="24" t="str">
        <f>+'Monthly Detail'!CS2</f>
        <v>Shoulder</v>
      </c>
      <c r="BU2" s="24" t="str">
        <f>+'Monthly Detail'!CT2</f>
        <v>Shoulder</v>
      </c>
      <c r="BV2" s="224" t="str">
        <f>+'Monthly Detail'!CU2</f>
        <v>Trough</v>
      </c>
      <c r="BW2" s="24" t="str">
        <f>+'Monthly Detail'!CV2</f>
        <v>Shoulder</v>
      </c>
      <c r="BX2" s="24" t="str">
        <f>+'Monthly Detail'!CW2</f>
        <v>Shoulder</v>
      </c>
      <c r="BY2" s="24" t="str">
        <f>+'Monthly Detail'!CX2</f>
        <v>Shoulder</v>
      </c>
      <c r="BZ2" s="24" t="str">
        <f>+'Monthly Detail'!CY2</f>
        <v>Peak</v>
      </c>
      <c r="CA2" s="24" t="str">
        <f>+'Monthly Detail'!CZ2</f>
        <v>Peak</v>
      </c>
      <c r="CB2" s="24" t="str">
        <f>+'Monthly Detail'!DA2</f>
        <v>Shoulder</v>
      </c>
      <c r="CC2" s="24" t="str">
        <f>+'Monthly Detail'!DB2</f>
        <v>Shoulder</v>
      </c>
      <c r="CD2" s="24" t="str">
        <f>+'Monthly Detail'!DC2</f>
        <v>Shoulder</v>
      </c>
      <c r="CE2" s="24" t="str">
        <f>+'Monthly Detail'!DD2</f>
        <v>Trough</v>
      </c>
      <c r="CF2" s="24" t="str">
        <f>+'Monthly Detail'!DE2</f>
        <v>Shoulder</v>
      </c>
      <c r="CG2" s="24" t="str">
        <f>+'Monthly Detail'!DF2</f>
        <v>Shoulder</v>
      </c>
      <c r="CH2" s="24" t="str">
        <f>+'Monthly Detail'!DG2</f>
        <v>Trough</v>
      </c>
      <c r="CI2" s="24">
        <f>+'Monthly Detail'!DH2</f>
        <v>0</v>
      </c>
      <c r="CJ2" s="24">
        <f>+'Monthly Detail'!DI2</f>
        <v>0</v>
      </c>
      <c r="CK2" s="24">
        <f>+'Monthly Detail'!DJ2</f>
        <v>0</v>
      </c>
      <c r="CL2" s="24">
        <f>+'Monthly Detail'!DK2</f>
        <v>0</v>
      </c>
      <c r="CM2" s="224">
        <f>+'Monthly Detail'!DL2</f>
        <v>0</v>
      </c>
      <c r="CN2" s="24">
        <f>+'Monthly Detail'!DM2</f>
        <v>0</v>
      </c>
      <c r="CO2" s="24">
        <f>+'Monthly Detail'!DN2</f>
        <v>0</v>
      </c>
      <c r="CP2" s="24">
        <f>+'Monthly Detail'!DO2</f>
        <v>0</v>
      </c>
      <c r="CQ2" s="24">
        <f>+'Monthly Detail'!DP2</f>
        <v>0</v>
      </c>
      <c r="CR2" s="24">
        <f>+'Monthly Detail'!DQ2</f>
        <v>0</v>
      </c>
      <c r="CS2" s="24">
        <f>+'Monthly Detail'!DR2</f>
        <v>0</v>
      </c>
      <c r="CT2" s="24">
        <f>+'Monthly Detail'!DS2</f>
        <v>0</v>
      </c>
      <c r="CU2" s="24">
        <f>+'Monthly Detail'!DT2</f>
        <v>0</v>
      </c>
      <c r="CV2" s="24">
        <f>+'Monthly Detail'!DU2</f>
        <v>0</v>
      </c>
      <c r="CW2" s="24">
        <f>+'Monthly Detail'!DV2</f>
        <v>0</v>
      </c>
      <c r="CX2" s="24">
        <f>+'Monthly Detail'!DW2</f>
        <v>0</v>
      </c>
      <c r="CY2" s="224">
        <f>+'Monthly Detail'!DX2</f>
        <v>0</v>
      </c>
      <c r="CZ2" s="24">
        <f>+'Monthly Detail'!DY2</f>
        <v>0</v>
      </c>
      <c r="DA2" s="24">
        <f>+'Monthly Detail'!DZ2</f>
        <v>0</v>
      </c>
      <c r="DB2" s="24">
        <f>+'Monthly Detail'!EA2</f>
        <v>0</v>
      </c>
      <c r="DC2" s="24">
        <f>+'Monthly Detail'!EB2</f>
        <v>0</v>
      </c>
      <c r="DD2" s="24">
        <f>+'Monthly Detail'!EC2</f>
        <v>0</v>
      </c>
      <c r="DE2" s="24">
        <f>+'Monthly Detail'!ED2</f>
        <v>0</v>
      </c>
      <c r="DF2" s="24">
        <f>+'Monthly Detail'!EE2</f>
        <v>0</v>
      </c>
      <c r="DG2" s="24">
        <f>+'Monthly Detail'!EF2</f>
        <v>0</v>
      </c>
      <c r="DH2" s="24">
        <f>+'Monthly Detail'!EG2</f>
        <v>0</v>
      </c>
      <c r="DI2" s="24">
        <f>+'Monthly Detail'!EH2</f>
        <v>0</v>
      </c>
      <c r="DJ2" s="24">
        <f>+'Monthly Detail'!EI2</f>
        <v>0</v>
      </c>
      <c r="DK2" s="24">
        <f>+'Monthly Detail'!EJ2</f>
        <v>0</v>
      </c>
      <c r="DL2" s="24"/>
      <c r="DM2" s="24"/>
      <c r="DN2" s="24"/>
    </row>
    <row r="3" spans="1:159" x14ac:dyDescent="0.25">
      <c r="A3" s="23"/>
      <c r="B3" s="23"/>
      <c r="C3" s="23"/>
      <c r="D3" s="23"/>
      <c r="E3" s="23"/>
      <c r="F3" s="23"/>
      <c r="G3" s="23"/>
      <c r="H3" s="153" t="str">
        <f>+"Q1 "&amp;H1</f>
        <v>Q1 2024</v>
      </c>
      <c r="I3" s="153" t="str">
        <f>+"Q1 "&amp;I1</f>
        <v>Q1 2024</v>
      </c>
      <c r="J3" s="153" t="str">
        <f>+"Q1 "&amp;J1</f>
        <v>Q1 2024</v>
      </c>
      <c r="K3" s="153" t="str">
        <f>+"Q2 "&amp;K1</f>
        <v>Q2 2024</v>
      </c>
      <c r="L3" s="225" t="str">
        <f>+"Q2 "&amp;L1</f>
        <v>Q2 2024</v>
      </c>
      <c r="M3" s="153" t="str">
        <f>+"Q2 "&amp;M1</f>
        <v>Q2 2024</v>
      </c>
      <c r="N3" s="153" t="str">
        <f>+"Q3 "&amp;N1</f>
        <v>Q3 2024</v>
      </c>
      <c r="O3" s="153" t="str">
        <f>+"Q3 "&amp;O1</f>
        <v>Q3 2025</v>
      </c>
      <c r="P3" s="153" t="str">
        <f>+"Q3 "&amp;P1</f>
        <v>Q3 2025</v>
      </c>
      <c r="Q3" s="225" t="str">
        <f>+"Q4 "&amp;Q1</f>
        <v>Q4 2025</v>
      </c>
      <c r="R3" s="153" t="str">
        <f>+"Q4 "&amp;R1</f>
        <v>Q4 2025</v>
      </c>
      <c r="S3" s="153" t="str">
        <f>+"Q4 "&amp;S1</f>
        <v>Q4 2025</v>
      </c>
      <c r="T3" s="153" t="str">
        <f>+"Q1 "&amp;T1</f>
        <v>Q1 2025</v>
      </c>
      <c r="U3" s="153" t="str">
        <f>+"Q1 "&amp;U1</f>
        <v>Q1 2025</v>
      </c>
      <c r="V3" s="153" t="str">
        <f>+"Q1 "&amp;V1</f>
        <v>Q1 2025</v>
      </c>
      <c r="W3" s="153" t="str">
        <f>+"Q2 "&amp;W1</f>
        <v>Q2 2025</v>
      </c>
      <c r="X3" s="153" t="str">
        <f>+"Q2 "&amp;X1</f>
        <v>Q2 2025</v>
      </c>
      <c r="Y3" s="153" t="str">
        <f>+"Q2 "&amp;Y1</f>
        <v>Q2 2025</v>
      </c>
      <c r="Z3" s="153" t="str">
        <f>+"Q3 "&amp;Z1</f>
        <v>Q3 2025</v>
      </c>
      <c r="AA3" s="153" t="str">
        <f>+"Q3 "&amp;AA1</f>
        <v>Q3 2026</v>
      </c>
      <c r="AB3" s="153" t="str">
        <f>+"Q3 "&amp;AB1</f>
        <v>Q3 2026</v>
      </c>
      <c r="AC3" s="153" t="str">
        <f>+"Q4 "&amp;AC1</f>
        <v>Q4 2026</v>
      </c>
      <c r="AD3" s="153" t="str">
        <f>+"Q4 "&amp;AD1</f>
        <v>Q4 2026</v>
      </c>
      <c r="AE3" s="153" t="str">
        <f>+"Q4 "&amp;AE1</f>
        <v>Q4 2026</v>
      </c>
      <c r="AF3" s="153" t="str">
        <f>+"Q1 "&amp;AF1</f>
        <v>Q1 2026</v>
      </c>
      <c r="AG3" s="153" t="str">
        <f>+"Q1 "&amp;AG1</f>
        <v>Q1 2026</v>
      </c>
      <c r="AH3" s="153" t="str">
        <f>+"Q1 "&amp;AH1</f>
        <v>Q1 2026</v>
      </c>
      <c r="AI3" s="153" t="str">
        <f>+"Q2 "&amp;AI1</f>
        <v>Q2 2026</v>
      </c>
      <c r="AJ3" s="153" t="str">
        <f>+"Q2 "&amp;AJ1</f>
        <v>Q2 2026</v>
      </c>
      <c r="AK3" s="153" t="str">
        <f>+"Q2 "&amp;AK1</f>
        <v>Q2 2026</v>
      </c>
      <c r="AL3" s="153" t="str">
        <f>+"Q3 "&amp;AL1</f>
        <v>Q3 2026</v>
      </c>
      <c r="AM3" s="405" t="str">
        <f>+"Q3 "&amp;AM1</f>
        <v>Q3 2027</v>
      </c>
      <c r="AN3" s="153" t="str">
        <f>+"Q3 "&amp;AN1</f>
        <v>Q3 2027</v>
      </c>
      <c r="AO3" s="153" t="str">
        <f>+"Q4 "&amp;AO1</f>
        <v>Q4 2027</v>
      </c>
      <c r="AP3" s="439" t="str">
        <f>+"Q4 "&amp;AP1</f>
        <v>Q4 2027</v>
      </c>
      <c r="AQ3" s="225" t="str">
        <f>+"Q4 "&amp;AQ1</f>
        <v>Q4 2027</v>
      </c>
      <c r="AR3" s="153" t="str">
        <f>+"Q1 "&amp;AR1</f>
        <v>Q1 2027</v>
      </c>
      <c r="AS3" s="153" t="str">
        <f>+"Q1 "&amp;AS1</f>
        <v>Q1 2027</v>
      </c>
      <c r="AT3" s="153" t="str">
        <f>+"Q1 "&amp;AT1</f>
        <v>Q1 2027</v>
      </c>
      <c r="AU3" s="153" t="str">
        <f>+"Q2 "&amp;AU1</f>
        <v>Q2 2027</v>
      </c>
      <c r="AV3" s="153" t="str">
        <f>+"Q2 "&amp;AV1</f>
        <v>Q2 2027</v>
      </c>
      <c r="AW3" s="153" t="str">
        <f>+"Q2 "&amp;AW1</f>
        <v>Q2 2027</v>
      </c>
      <c r="AX3" s="153" t="str">
        <f>+"Q3 "&amp;AX1</f>
        <v>Q3 2027</v>
      </c>
      <c r="AY3" s="153" t="str">
        <f>+"Q3 "&amp;AY1</f>
        <v>Q3 2028</v>
      </c>
      <c r="AZ3" s="153" t="str">
        <f>+"Q3 "&amp;AZ1</f>
        <v>Q3 2028</v>
      </c>
      <c r="BA3" s="153" t="str">
        <f>+"Q4 "&amp;BA1</f>
        <v>Q4 2028</v>
      </c>
      <c r="BB3" s="153" t="str">
        <f>+"Q4 "&amp;BB1</f>
        <v>Q4 2028</v>
      </c>
      <c r="BC3" s="225" t="str">
        <f>+"Q4 "&amp;BC1</f>
        <v>Q4 2028</v>
      </c>
      <c r="BD3" s="153" t="str">
        <f>+"Q1 "&amp;BD1</f>
        <v>Q1 2028</v>
      </c>
      <c r="BE3" s="153" t="str">
        <f>+"Q1 "&amp;BE1</f>
        <v>Q1 2028</v>
      </c>
      <c r="BF3" s="153" t="str">
        <f>+"Q1 "&amp;BF1</f>
        <v>Q1 2028</v>
      </c>
      <c r="BG3" s="153" t="str">
        <f>+"Q2 "&amp;BG1</f>
        <v>Q2 2028</v>
      </c>
      <c r="BH3" s="153" t="str">
        <f>+"Q2 "&amp;BH1</f>
        <v>Q2 2028</v>
      </c>
      <c r="BI3" s="153" t="str">
        <f>+"Q2 "&amp;BI1</f>
        <v>Q2 2028</v>
      </c>
      <c r="BJ3" s="153" t="str">
        <f>+"Q3 "&amp;BJ1</f>
        <v>Q3 2028</v>
      </c>
      <c r="BK3" s="153" t="str">
        <f>+"Q3 "&amp;BK1</f>
        <v>Q3 2029</v>
      </c>
      <c r="BL3" s="153" t="str">
        <f>+"Q3 "&amp;BL1</f>
        <v>Q3 2029</v>
      </c>
      <c r="BM3" s="153" t="str">
        <f>+"Q4 "&amp;BM1</f>
        <v>Q4 2029</v>
      </c>
      <c r="BN3" s="153" t="str">
        <f>+"Q4 "&amp;BN1</f>
        <v>Q4 2029</v>
      </c>
      <c r="BO3" s="225" t="str">
        <f>+"Q4 "&amp;BO1</f>
        <v>Q4 2029</v>
      </c>
      <c r="BP3" s="153" t="str">
        <f>+"Q1 "&amp;BP1</f>
        <v>Q1 2029</v>
      </c>
      <c r="BQ3" s="153" t="str">
        <f>+"Q1 "&amp;BQ1</f>
        <v>Q1 2029</v>
      </c>
      <c r="BR3" s="153" t="str">
        <f>+"Q1 "&amp;BR1</f>
        <v>Q1 2029</v>
      </c>
      <c r="BS3" s="153" t="str">
        <f>+"Q2 "&amp;BS1</f>
        <v>Q2 2029</v>
      </c>
      <c r="BT3" s="153" t="str">
        <f>+"Q2 "&amp;BT1</f>
        <v>Q2 2029</v>
      </c>
      <c r="BU3" s="153" t="str">
        <f>+"Q2 "&amp;BU1</f>
        <v>Q2 2029</v>
      </c>
      <c r="BV3" s="153" t="str">
        <f>+"Q3 "&amp;BV1</f>
        <v>Q3 2029</v>
      </c>
      <c r="BW3" s="153" t="str">
        <f>+"Q3 "&amp;BW1</f>
        <v>Q3 2030</v>
      </c>
      <c r="BX3" s="153" t="str">
        <f>+"Q3 "&amp;BX1</f>
        <v>Q3 2030</v>
      </c>
      <c r="BY3" s="153" t="str">
        <f>+"Q4 "&amp;BY1</f>
        <v>Q4 2030</v>
      </c>
      <c r="BZ3" s="153" t="str">
        <f>+"Q4 "&amp;BZ1</f>
        <v>Q4 2030</v>
      </c>
      <c r="CA3" s="225" t="str">
        <f>+"Q4 "&amp;CA1</f>
        <v>Q4 2030</v>
      </c>
      <c r="CB3" s="153" t="str">
        <f>+"Q1 "&amp;CB1</f>
        <v>Q1 2030</v>
      </c>
      <c r="CC3" s="153" t="str">
        <f>+"Q1 "&amp;CC1</f>
        <v>Q1 2030</v>
      </c>
      <c r="CD3" s="153" t="str">
        <f>+"Q1 "&amp;CD1</f>
        <v>Q1 2030</v>
      </c>
      <c r="CE3" s="153" t="str">
        <f>+"Q2 "&amp;CE1</f>
        <v>Q2 2030</v>
      </c>
      <c r="CF3" s="153" t="str">
        <f>+"Q2 "&amp;CF1</f>
        <v>Q2 2030</v>
      </c>
      <c r="CG3" s="153" t="str">
        <f>+"Q2 "&amp;CG1</f>
        <v>Q2 2030</v>
      </c>
      <c r="CH3" s="153" t="str">
        <f>+"Q3 "&amp;CH1</f>
        <v>Q3 2030</v>
      </c>
      <c r="CI3" s="153" t="str">
        <f>+"Q3 "&amp;CI1</f>
        <v>Q3 2031</v>
      </c>
      <c r="CJ3" s="153" t="str">
        <f>+"Q3 "&amp;CJ1</f>
        <v>Q3 2031</v>
      </c>
      <c r="CK3" s="153" t="str">
        <f>+"Q4 "&amp;CK1</f>
        <v>Q4 2031</v>
      </c>
      <c r="CL3" s="153" t="str">
        <f>+"Q4 "&amp;CL1</f>
        <v>Q4 2031</v>
      </c>
      <c r="CM3" s="225" t="str">
        <f>+"Q4 "&amp;CM1</f>
        <v>Q4 2031</v>
      </c>
      <c r="CN3" s="153" t="str">
        <f>+"Q1 "&amp;CN1</f>
        <v>Q1 2031</v>
      </c>
      <c r="CO3" s="153" t="str">
        <f>+"Q1 "&amp;CO1</f>
        <v>Q1 2031</v>
      </c>
      <c r="CP3" s="153" t="str">
        <f>+"Q1 "&amp;CP1</f>
        <v>Q1 2031</v>
      </c>
      <c r="CQ3" s="153" t="str">
        <f>+"Q2 "&amp;CQ1</f>
        <v>Q2 2031</v>
      </c>
      <c r="CR3" s="153" t="str">
        <f>+"Q2 "&amp;CR1</f>
        <v>Q2 2031</v>
      </c>
      <c r="CS3" s="153" t="str">
        <f>+"Q2 "&amp;CS1</f>
        <v>Q2 2031</v>
      </c>
      <c r="CT3" s="153" t="str">
        <f>+"Q3 "&amp;CT1</f>
        <v>Q3 2031</v>
      </c>
      <c r="CU3" s="153" t="str">
        <f>+"Q3 "&amp;CU1</f>
        <v>Q3 2032</v>
      </c>
      <c r="CV3" s="153" t="str">
        <f>+"Q3 "&amp;CV1</f>
        <v>Q3 2032</v>
      </c>
      <c r="CW3" s="153" t="str">
        <f>+"Q4 "&amp;CW1</f>
        <v>Q4 2032</v>
      </c>
      <c r="CX3" s="153" t="str">
        <f>+"Q4 "&amp;CX1</f>
        <v>Q4 2032</v>
      </c>
      <c r="CY3" s="225" t="str">
        <f>+"Q4 "&amp;CY1</f>
        <v>Q4 2032</v>
      </c>
      <c r="CZ3" s="153" t="str">
        <f>+"Q1 "&amp;CZ1</f>
        <v>Q1 2032</v>
      </c>
      <c r="DA3" s="153" t="str">
        <f>+"Q1 "&amp;DA1</f>
        <v>Q1 2032</v>
      </c>
      <c r="DB3" s="153" t="str">
        <f>+"Q1 "&amp;DB1</f>
        <v>Q1 2032</v>
      </c>
      <c r="DC3" s="153" t="str">
        <f>+"Q2 "&amp;DC1</f>
        <v>Q2 2032</v>
      </c>
      <c r="DD3" s="153" t="str">
        <f>+"Q2 "&amp;DD1</f>
        <v>Q2 2032</v>
      </c>
      <c r="DE3" s="153" t="str">
        <f>+"Q2 "&amp;DE1</f>
        <v>Q2 2032</v>
      </c>
      <c r="DF3" s="153" t="str">
        <f>+"Q3 "&amp;DF1</f>
        <v>Q3 2032</v>
      </c>
      <c r="DG3" s="153" t="str">
        <f>+"Q3 "&amp;DG1</f>
        <v>Q3 2033</v>
      </c>
      <c r="DH3" s="153" t="str">
        <f>+"Q3 "&amp;DH1</f>
        <v>Q3 2033</v>
      </c>
      <c r="DI3" s="153" t="str">
        <f>+"Q4 "&amp;DI1</f>
        <v>Q4 2033</v>
      </c>
      <c r="DJ3" s="153" t="str">
        <f>+"Q4 "&amp;DJ1</f>
        <v>Q4 2033</v>
      </c>
      <c r="DK3" s="153" t="str">
        <f>+"Q4 "&amp;DK1</f>
        <v>Q4 2033</v>
      </c>
      <c r="DL3" s="24"/>
      <c r="DM3" s="24"/>
      <c r="DN3" s="24"/>
    </row>
    <row r="4" spans="1:159" ht="15.75" customHeight="1" thickBot="1" x14ac:dyDescent="0.3">
      <c r="A4" s="25"/>
      <c r="B4" s="26"/>
      <c r="C4" s="26"/>
      <c r="D4" s="26"/>
      <c r="E4" s="26"/>
      <c r="F4" s="26"/>
      <c r="G4" s="26"/>
      <c r="H4" s="440">
        <v>45473</v>
      </c>
      <c r="I4" s="440">
        <f t="shared" ref="I4:AN4" si="4">+EOMONTH(H4,1)</f>
        <v>45504</v>
      </c>
      <c r="J4" s="440">
        <f t="shared" si="4"/>
        <v>45535</v>
      </c>
      <c r="K4" s="27">
        <f t="shared" si="4"/>
        <v>45565</v>
      </c>
      <c r="L4" s="27">
        <f t="shared" si="4"/>
        <v>45596</v>
      </c>
      <c r="M4" s="27">
        <f t="shared" si="4"/>
        <v>45626</v>
      </c>
      <c r="N4" s="27">
        <f t="shared" si="4"/>
        <v>45657</v>
      </c>
      <c r="O4" s="27">
        <f t="shared" si="4"/>
        <v>45688</v>
      </c>
      <c r="P4" s="27">
        <f t="shared" si="4"/>
        <v>45716</v>
      </c>
      <c r="Q4" s="226">
        <f t="shared" si="4"/>
        <v>45747</v>
      </c>
      <c r="R4" s="27">
        <f t="shared" si="4"/>
        <v>45777</v>
      </c>
      <c r="S4" s="27">
        <f t="shared" si="4"/>
        <v>45808</v>
      </c>
      <c r="T4" s="151">
        <f t="shared" si="4"/>
        <v>45838</v>
      </c>
      <c r="U4" s="27">
        <f t="shared" si="4"/>
        <v>45869</v>
      </c>
      <c r="V4" s="27">
        <f t="shared" si="4"/>
        <v>45900</v>
      </c>
      <c r="W4" s="27">
        <f t="shared" si="4"/>
        <v>45930</v>
      </c>
      <c r="X4" s="27">
        <f t="shared" si="4"/>
        <v>45961</v>
      </c>
      <c r="Y4" s="27">
        <f t="shared" si="4"/>
        <v>45991</v>
      </c>
      <c r="Z4" s="27">
        <f t="shared" si="4"/>
        <v>46022</v>
      </c>
      <c r="AA4" s="27">
        <f t="shared" si="4"/>
        <v>46053</v>
      </c>
      <c r="AB4" s="27">
        <f t="shared" si="4"/>
        <v>46081</v>
      </c>
      <c r="AC4" s="27">
        <f t="shared" si="4"/>
        <v>46112</v>
      </c>
      <c r="AD4" s="27">
        <f t="shared" si="4"/>
        <v>46142</v>
      </c>
      <c r="AE4" s="27">
        <f t="shared" si="4"/>
        <v>46173</v>
      </c>
      <c r="AF4" s="27">
        <f t="shared" si="4"/>
        <v>46203</v>
      </c>
      <c r="AG4" s="27">
        <f t="shared" si="4"/>
        <v>46234</v>
      </c>
      <c r="AH4" s="27">
        <f t="shared" si="4"/>
        <v>46265</v>
      </c>
      <c r="AI4" s="27">
        <f t="shared" si="4"/>
        <v>46295</v>
      </c>
      <c r="AJ4" s="226">
        <f t="shared" si="4"/>
        <v>46326</v>
      </c>
      <c r="AK4" s="27">
        <f t="shared" si="4"/>
        <v>46356</v>
      </c>
      <c r="AL4" s="27">
        <f t="shared" si="4"/>
        <v>46387</v>
      </c>
      <c r="AM4" s="406">
        <f t="shared" si="4"/>
        <v>46418</v>
      </c>
      <c r="AN4" s="27">
        <f t="shared" si="4"/>
        <v>46446</v>
      </c>
      <c r="AO4" s="27">
        <f t="shared" ref="AO4:BT4" si="5">+EOMONTH(AN4,1)</f>
        <v>46477</v>
      </c>
      <c r="AP4" s="45">
        <f t="shared" si="5"/>
        <v>46507</v>
      </c>
      <c r="AQ4" s="226">
        <f t="shared" si="5"/>
        <v>46538</v>
      </c>
      <c r="AR4" s="27">
        <f t="shared" si="5"/>
        <v>46568</v>
      </c>
      <c r="AS4" s="27">
        <f t="shared" si="5"/>
        <v>46599</v>
      </c>
      <c r="AT4" s="27">
        <f t="shared" si="5"/>
        <v>46630</v>
      </c>
      <c r="AU4" s="27">
        <f t="shared" si="5"/>
        <v>46660</v>
      </c>
      <c r="AV4" s="27">
        <f t="shared" si="5"/>
        <v>46691</v>
      </c>
      <c r="AW4" s="27">
        <f t="shared" si="5"/>
        <v>46721</v>
      </c>
      <c r="AX4" s="27">
        <f t="shared" si="5"/>
        <v>46752</v>
      </c>
      <c r="AY4" s="27">
        <f t="shared" si="5"/>
        <v>46783</v>
      </c>
      <c r="AZ4" s="27">
        <f t="shared" si="5"/>
        <v>46812</v>
      </c>
      <c r="BA4" s="27">
        <f t="shared" si="5"/>
        <v>46843</v>
      </c>
      <c r="BB4" s="27">
        <f t="shared" si="5"/>
        <v>46873</v>
      </c>
      <c r="BC4" s="226">
        <f t="shared" si="5"/>
        <v>46904</v>
      </c>
      <c r="BD4" s="27">
        <f t="shared" si="5"/>
        <v>46934</v>
      </c>
      <c r="BE4" s="27">
        <f t="shared" si="5"/>
        <v>46965</v>
      </c>
      <c r="BF4" s="27">
        <f t="shared" si="5"/>
        <v>46996</v>
      </c>
      <c r="BG4" s="27">
        <f t="shared" si="5"/>
        <v>47026</v>
      </c>
      <c r="BH4" s="27">
        <f t="shared" si="5"/>
        <v>47057</v>
      </c>
      <c r="BI4" s="27">
        <f t="shared" si="5"/>
        <v>47087</v>
      </c>
      <c r="BJ4" s="27">
        <f t="shared" si="5"/>
        <v>47118</v>
      </c>
      <c r="BK4" s="27">
        <f t="shared" si="5"/>
        <v>47149</v>
      </c>
      <c r="BL4" s="27">
        <f t="shared" si="5"/>
        <v>47177</v>
      </c>
      <c r="BM4" s="27">
        <f t="shared" si="5"/>
        <v>47208</v>
      </c>
      <c r="BN4" s="27">
        <f t="shared" si="5"/>
        <v>47238</v>
      </c>
      <c r="BO4" s="226">
        <f t="shared" si="5"/>
        <v>47269</v>
      </c>
      <c r="BP4" s="27">
        <f t="shared" si="5"/>
        <v>47299</v>
      </c>
      <c r="BQ4" s="27">
        <f t="shared" si="5"/>
        <v>47330</v>
      </c>
      <c r="BR4" s="27">
        <f t="shared" si="5"/>
        <v>47361</v>
      </c>
      <c r="BS4" s="27">
        <f t="shared" si="5"/>
        <v>47391</v>
      </c>
      <c r="BT4" s="27">
        <f t="shared" si="5"/>
        <v>47422</v>
      </c>
      <c r="BU4" s="27">
        <f t="shared" ref="BU4:CZ4" si="6">+EOMONTH(BT4,1)</f>
        <v>47452</v>
      </c>
      <c r="BV4" s="27">
        <f t="shared" si="6"/>
        <v>47483</v>
      </c>
      <c r="BW4" s="27">
        <f t="shared" si="6"/>
        <v>47514</v>
      </c>
      <c r="BX4" s="27">
        <f t="shared" si="6"/>
        <v>47542</v>
      </c>
      <c r="BY4" s="27">
        <f t="shared" si="6"/>
        <v>47573</v>
      </c>
      <c r="BZ4" s="27">
        <f t="shared" si="6"/>
        <v>47603</v>
      </c>
      <c r="CA4" s="226">
        <f t="shared" si="6"/>
        <v>47634</v>
      </c>
      <c r="CB4" s="27">
        <f t="shared" si="6"/>
        <v>47664</v>
      </c>
      <c r="CC4" s="27">
        <f t="shared" si="6"/>
        <v>47695</v>
      </c>
      <c r="CD4" s="27">
        <f t="shared" si="6"/>
        <v>47726</v>
      </c>
      <c r="CE4" s="27">
        <f t="shared" si="6"/>
        <v>47756</v>
      </c>
      <c r="CF4" s="27">
        <f t="shared" si="6"/>
        <v>47787</v>
      </c>
      <c r="CG4" s="27">
        <f t="shared" si="6"/>
        <v>47817</v>
      </c>
      <c r="CH4" s="27">
        <f t="shared" si="6"/>
        <v>47848</v>
      </c>
      <c r="CI4" s="27">
        <f t="shared" si="6"/>
        <v>47879</v>
      </c>
      <c r="CJ4" s="27">
        <f t="shared" si="6"/>
        <v>47907</v>
      </c>
      <c r="CK4" s="27">
        <f t="shared" si="6"/>
        <v>47938</v>
      </c>
      <c r="CL4" s="27">
        <f t="shared" si="6"/>
        <v>47968</v>
      </c>
      <c r="CM4" s="226">
        <f t="shared" si="6"/>
        <v>47999</v>
      </c>
      <c r="CN4" s="27">
        <f t="shared" si="6"/>
        <v>48029</v>
      </c>
      <c r="CO4" s="27">
        <f t="shared" si="6"/>
        <v>48060</v>
      </c>
      <c r="CP4" s="27">
        <f t="shared" si="6"/>
        <v>48091</v>
      </c>
      <c r="CQ4" s="27">
        <f t="shared" si="6"/>
        <v>48121</v>
      </c>
      <c r="CR4" s="27">
        <f t="shared" si="6"/>
        <v>48152</v>
      </c>
      <c r="CS4" s="27">
        <f t="shared" si="6"/>
        <v>48182</v>
      </c>
      <c r="CT4" s="27">
        <f t="shared" si="6"/>
        <v>48213</v>
      </c>
      <c r="CU4" s="27">
        <f t="shared" si="6"/>
        <v>48244</v>
      </c>
      <c r="CV4" s="27">
        <f t="shared" si="6"/>
        <v>48273</v>
      </c>
      <c r="CW4" s="27">
        <f t="shared" si="6"/>
        <v>48304</v>
      </c>
      <c r="CX4" s="27">
        <f t="shared" si="6"/>
        <v>48334</v>
      </c>
      <c r="CY4" s="226">
        <f t="shared" si="6"/>
        <v>48365</v>
      </c>
      <c r="CZ4" s="27">
        <f t="shared" si="6"/>
        <v>48395</v>
      </c>
      <c r="DA4" s="27">
        <f t="shared" ref="DA4:DK4" si="7">+EOMONTH(CZ4,1)</f>
        <v>48426</v>
      </c>
      <c r="DB4" s="27">
        <f t="shared" si="7"/>
        <v>48457</v>
      </c>
      <c r="DC4" s="27">
        <f t="shared" si="7"/>
        <v>48487</v>
      </c>
      <c r="DD4" s="27">
        <f t="shared" si="7"/>
        <v>48518</v>
      </c>
      <c r="DE4" s="27">
        <f t="shared" si="7"/>
        <v>48548</v>
      </c>
      <c r="DF4" s="27">
        <f t="shared" si="7"/>
        <v>48579</v>
      </c>
      <c r="DG4" s="27">
        <f t="shared" si="7"/>
        <v>48610</v>
      </c>
      <c r="DH4" s="27">
        <f t="shared" si="7"/>
        <v>48638</v>
      </c>
      <c r="DI4" s="27">
        <f t="shared" si="7"/>
        <v>48669</v>
      </c>
      <c r="DJ4" s="27">
        <f t="shared" si="7"/>
        <v>48699</v>
      </c>
      <c r="DK4" s="27">
        <f t="shared" si="7"/>
        <v>48730</v>
      </c>
      <c r="DL4" s="27"/>
      <c r="DM4" s="27"/>
      <c r="DN4" s="45"/>
    </row>
    <row r="6" spans="1:159" x14ac:dyDescent="0.25">
      <c r="G6" s="156">
        <v>45443</v>
      </c>
      <c r="H6" s="156">
        <v>45473</v>
      </c>
      <c r="I6" s="156">
        <f t="shared" ref="I6:AN6" si="8">+EOMONTH(H6,1)</f>
        <v>45504</v>
      </c>
      <c r="J6" s="156">
        <f t="shared" si="8"/>
        <v>45535</v>
      </c>
      <c r="K6" s="156">
        <f t="shared" si="8"/>
        <v>45565</v>
      </c>
      <c r="L6" s="156">
        <f t="shared" si="8"/>
        <v>45596</v>
      </c>
      <c r="M6" s="156">
        <f t="shared" si="8"/>
        <v>45626</v>
      </c>
      <c r="N6" s="156">
        <f t="shared" si="8"/>
        <v>45657</v>
      </c>
      <c r="O6" s="156">
        <f t="shared" si="8"/>
        <v>45688</v>
      </c>
      <c r="P6" s="156">
        <f t="shared" si="8"/>
        <v>45716</v>
      </c>
      <c r="Q6" s="156">
        <f t="shared" si="8"/>
        <v>45747</v>
      </c>
      <c r="R6" s="156">
        <f t="shared" si="8"/>
        <v>45777</v>
      </c>
      <c r="S6" s="156">
        <f t="shared" si="8"/>
        <v>45808</v>
      </c>
      <c r="T6" s="156">
        <f t="shared" si="8"/>
        <v>45838</v>
      </c>
      <c r="U6" s="156">
        <f t="shared" si="8"/>
        <v>45869</v>
      </c>
      <c r="V6" s="156">
        <f t="shared" si="8"/>
        <v>45900</v>
      </c>
      <c r="W6" s="156">
        <f t="shared" si="8"/>
        <v>45930</v>
      </c>
      <c r="X6" s="156">
        <f t="shared" si="8"/>
        <v>45961</v>
      </c>
      <c r="Y6" s="156">
        <f t="shared" si="8"/>
        <v>45991</v>
      </c>
      <c r="Z6" s="156">
        <f t="shared" si="8"/>
        <v>46022</v>
      </c>
      <c r="AA6" s="156">
        <f t="shared" si="8"/>
        <v>46053</v>
      </c>
      <c r="AB6" s="156">
        <f t="shared" si="8"/>
        <v>46081</v>
      </c>
      <c r="AC6" s="156">
        <f t="shared" si="8"/>
        <v>46112</v>
      </c>
      <c r="AD6" s="156">
        <f t="shared" si="8"/>
        <v>46142</v>
      </c>
      <c r="AE6" s="156">
        <f t="shared" si="8"/>
        <v>46173</v>
      </c>
      <c r="AF6" s="156">
        <f t="shared" si="8"/>
        <v>46203</v>
      </c>
      <c r="AG6" s="156">
        <f t="shared" si="8"/>
        <v>46234</v>
      </c>
      <c r="AH6" s="156">
        <f t="shared" si="8"/>
        <v>46265</v>
      </c>
      <c r="AI6" s="156">
        <f t="shared" si="8"/>
        <v>46295</v>
      </c>
      <c r="AJ6" s="156">
        <f t="shared" si="8"/>
        <v>46326</v>
      </c>
      <c r="AK6" s="156">
        <f t="shared" si="8"/>
        <v>46356</v>
      </c>
      <c r="AL6" s="156">
        <f t="shared" si="8"/>
        <v>46387</v>
      </c>
      <c r="AM6" s="156">
        <f t="shared" si="8"/>
        <v>46418</v>
      </c>
      <c r="AN6" s="156">
        <f t="shared" si="8"/>
        <v>46446</v>
      </c>
      <c r="AO6" s="156">
        <f t="shared" ref="AO6:BT6" si="9">+EOMONTH(AN6,1)</f>
        <v>46477</v>
      </c>
      <c r="AP6" s="156">
        <f t="shared" si="9"/>
        <v>46507</v>
      </c>
      <c r="AQ6" s="156">
        <f t="shared" si="9"/>
        <v>46538</v>
      </c>
      <c r="AR6" s="156">
        <f t="shared" si="9"/>
        <v>46568</v>
      </c>
      <c r="AS6" s="156">
        <f t="shared" si="9"/>
        <v>46599</v>
      </c>
      <c r="AT6" s="156">
        <f t="shared" si="9"/>
        <v>46630</v>
      </c>
      <c r="AU6" s="156">
        <f t="shared" si="9"/>
        <v>46660</v>
      </c>
      <c r="AV6" s="156">
        <f t="shared" si="9"/>
        <v>46691</v>
      </c>
      <c r="AW6" s="156">
        <f t="shared" si="9"/>
        <v>46721</v>
      </c>
      <c r="AX6" s="156">
        <f t="shared" si="9"/>
        <v>46752</v>
      </c>
      <c r="AY6" s="156">
        <f t="shared" si="9"/>
        <v>46783</v>
      </c>
      <c r="AZ6" s="156">
        <f t="shared" si="9"/>
        <v>46812</v>
      </c>
      <c r="BA6" s="156">
        <f t="shared" si="9"/>
        <v>46843</v>
      </c>
      <c r="BB6" s="156">
        <f t="shared" si="9"/>
        <v>46873</v>
      </c>
      <c r="BC6" s="156">
        <f t="shared" si="9"/>
        <v>46904</v>
      </c>
      <c r="BD6" s="156">
        <f t="shared" si="9"/>
        <v>46934</v>
      </c>
      <c r="BE6" s="156">
        <f t="shared" si="9"/>
        <v>46965</v>
      </c>
      <c r="BF6" s="156">
        <f t="shared" si="9"/>
        <v>46996</v>
      </c>
      <c r="BG6" s="156">
        <f t="shared" si="9"/>
        <v>47026</v>
      </c>
      <c r="BH6" s="156">
        <f t="shared" si="9"/>
        <v>47057</v>
      </c>
      <c r="BI6" s="156">
        <f t="shared" si="9"/>
        <v>47087</v>
      </c>
      <c r="BJ6" s="156">
        <f t="shared" si="9"/>
        <v>47118</v>
      </c>
      <c r="BK6" s="156">
        <f t="shared" si="9"/>
        <v>47149</v>
      </c>
      <c r="BL6" s="156">
        <f t="shared" si="9"/>
        <v>47177</v>
      </c>
      <c r="BM6" s="156">
        <f t="shared" si="9"/>
        <v>47208</v>
      </c>
      <c r="BN6" s="156">
        <f t="shared" si="9"/>
        <v>47238</v>
      </c>
      <c r="BO6" s="156">
        <f t="shared" si="9"/>
        <v>47269</v>
      </c>
      <c r="BP6" s="156">
        <f t="shared" si="9"/>
        <v>47299</v>
      </c>
      <c r="BQ6" s="156">
        <f t="shared" si="9"/>
        <v>47330</v>
      </c>
      <c r="BR6" s="156">
        <f t="shared" si="9"/>
        <v>47361</v>
      </c>
      <c r="BS6" s="156">
        <f t="shared" si="9"/>
        <v>47391</v>
      </c>
      <c r="BT6" s="156">
        <f t="shared" si="9"/>
        <v>47422</v>
      </c>
      <c r="BU6" s="156">
        <f t="shared" ref="BU6:CZ6" si="10">+EOMONTH(BT6,1)</f>
        <v>47452</v>
      </c>
      <c r="BV6" s="156">
        <f t="shared" si="10"/>
        <v>47483</v>
      </c>
      <c r="BW6" s="156">
        <f t="shared" si="10"/>
        <v>47514</v>
      </c>
      <c r="BX6" s="156">
        <f t="shared" si="10"/>
        <v>47542</v>
      </c>
      <c r="BY6" s="156">
        <f t="shared" si="10"/>
        <v>47573</v>
      </c>
      <c r="BZ6" s="156">
        <f t="shared" si="10"/>
        <v>47603</v>
      </c>
      <c r="CA6" s="156">
        <f t="shared" si="10"/>
        <v>47634</v>
      </c>
      <c r="CB6" s="156">
        <f t="shared" si="10"/>
        <v>47664</v>
      </c>
      <c r="CC6" s="156">
        <f t="shared" si="10"/>
        <v>47695</v>
      </c>
      <c r="CD6" s="156">
        <f t="shared" si="10"/>
        <v>47726</v>
      </c>
      <c r="CE6" s="156">
        <f t="shared" si="10"/>
        <v>47756</v>
      </c>
      <c r="CF6" s="156">
        <f t="shared" si="10"/>
        <v>47787</v>
      </c>
      <c r="CG6" s="156">
        <f t="shared" si="10"/>
        <v>47817</v>
      </c>
      <c r="CH6" s="156">
        <f t="shared" si="10"/>
        <v>47848</v>
      </c>
      <c r="CI6" s="156">
        <f t="shared" si="10"/>
        <v>47879</v>
      </c>
      <c r="CJ6" s="156">
        <f t="shared" si="10"/>
        <v>47907</v>
      </c>
      <c r="CK6" s="156">
        <f t="shared" si="10"/>
        <v>47938</v>
      </c>
      <c r="CL6" s="156">
        <f t="shared" si="10"/>
        <v>47968</v>
      </c>
      <c r="CM6" s="156">
        <f t="shared" si="10"/>
        <v>47999</v>
      </c>
      <c r="CN6" s="156">
        <f t="shared" si="10"/>
        <v>48029</v>
      </c>
      <c r="CO6" s="156">
        <f t="shared" si="10"/>
        <v>48060</v>
      </c>
      <c r="CP6" s="156">
        <f t="shared" si="10"/>
        <v>48091</v>
      </c>
      <c r="CQ6" s="156">
        <f t="shared" si="10"/>
        <v>48121</v>
      </c>
      <c r="CR6" s="156">
        <f t="shared" si="10"/>
        <v>48152</v>
      </c>
      <c r="CS6" s="156">
        <f t="shared" si="10"/>
        <v>48182</v>
      </c>
      <c r="CT6" s="156">
        <f t="shared" si="10"/>
        <v>48213</v>
      </c>
      <c r="CU6" s="156">
        <f t="shared" si="10"/>
        <v>48244</v>
      </c>
      <c r="CV6" s="156">
        <f t="shared" si="10"/>
        <v>48273</v>
      </c>
      <c r="CW6" s="156">
        <f t="shared" si="10"/>
        <v>48304</v>
      </c>
      <c r="CX6" s="156">
        <f t="shared" si="10"/>
        <v>48334</v>
      </c>
      <c r="CY6" s="156">
        <f t="shared" si="10"/>
        <v>48365</v>
      </c>
      <c r="CZ6" s="156">
        <f t="shared" si="10"/>
        <v>48395</v>
      </c>
      <c r="DA6" s="156">
        <f t="shared" ref="DA6:EF6" si="11">+EOMONTH(CZ6,1)</f>
        <v>48426</v>
      </c>
      <c r="DB6" s="156">
        <f t="shared" si="11"/>
        <v>48457</v>
      </c>
      <c r="DC6" s="156">
        <f t="shared" si="11"/>
        <v>48487</v>
      </c>
      <c r="DD6" s="156">
        <f t="shared" si="11"/>
        <v>48518</v>
      </c>
      <c r="DE6" s="156">
        <f t="shared" si="11"/>
        <v>48548</v>
      </c>
      <c r="DF6" s="156">
        <f t="shared" si="11"/>
        <v>48579</v>
      </c>
      <c r="DG6" s="156">
        <f t="shared" si="11"/>
        <v>48610</v>
      </c>
      <c r="DH6" s="156">
        <f t="shared" si="11"/>
        <v>48638</v>
      </c>
      <c r="DI6" s="156">
        <f t="shared" si="11"/>
        <v>48669</v>
      </c>
      <c r="DJ6" s="156">
        <f t="shared" si="11"/>
        <v>48699</v>
      </c>
      <c r="DK6" s="156">
        <f t="shared" si="11"/>
        <v>48730</v>
      </c>
      <c r="DL6" s="156">
        <f t="shared" si="11"/>
        <v>48760</v>
      </c>
      <c r="DM6" s="156">
        <f t="shared" si="11"/>
        <v>48791</v>
      </c>
      <c r="DN6" s="156">
        <f t="shared" si="11"/>
        <v>48822</v>
      </c>
      <c r="DO6" s="156">
        <f t="shared" si="11"/>
        <v>48852</v>
      </c>
      <c r="DP6" s="156">
        <f t="shared" si="11"/>
        <v>48883</v>
      </c>
      <c r="DQ6" s="156">
        <f t="shared" si="11"/>
        <v>48913</v>
      </c>
      <c r="DR6" s="156">
        <f t="shared" si="11"/>
        <v>48944</v>
      </c>
      <c r="DS6" s="156">
        <f t="shared" si="11"/>
        <v>48975</v>
      </c>
      <c r="DT6" s="156">
        <f t="shared" si="11"/>
        <v>49003</v>
      </c>
      <c r="DU6" s="156">
        <f t="shared" si="11"/>
        <v>49034</v>
      </c>
      <c r="DV6" s="156">
        <f t="shared" si="11"/>
        <v>49064</v>
      </c>
      <c r="DW6" s="156">
        <f t="shared" si="11"/>
        <v>49095</v>
      </c>
      <c r="DX6" s="156">
        <f t="shared" si="11"/>
        <v>49125</v>
      </c>
      <c r="DY6" s="156">
        <f t="shared" si="11"/>
        <v>49156</v>
      </c>
      <c r="DZ6" s="156">
        <f t="shared" si="11"/>
        <v>49187</v>
      </c>
      <c r="EA6" s="156">
        <f t="shared" si="11"/>
        <v>49217</v>
      </c>
      <c r="EB6" s="156">
        <f t="shared" si="11"/>
        <v>49248</v>
      </c>
      <c r="EC6" s="156">
        <f t="shared" si="11"/>
        <v>49278</v>
      </c>
      <c r="ED6" s="156">
        <f t="shared" si="11"/>
        <v>49309</v>
      </c>
      <c r="EE6" s="156">
        <f t="shared" si="11"/>
        <v>49340</v>
      </c>
      <c r="EF6" s="156">
        <f t="shared" si="11"/>
        <v>49368</v>
      </c>
      <c r="EG6" s="156">
        <f t="shared" ref="EG6:FB6" si="12">+EOMONTH(EF6,1)</f>
        <v>49399</v>
      </c>
      <c r="EH6" s="156">
        <f t="shared" si="12"/>
        <v>49429</v>
      </c>
      <c r="EI6" s="156">
        <f t="shared" si="12"/>
        <v>49460</v>
      </c>
      <c r="EJ6" s="156">
        <f t="shared" si="12"/>
        <v>49490</v>
      </c>
      <c r="EK6" s="156">
        <f t="shared" si="12"/>
        <v>49521</v>
      </c>
      <c r="EL6" s="156">
        <f t="shared" si="12"/>
        <v>49552</v>
      </c>
      <c r="EM6" s="156">
        <f t="shared" si="12"/>
        <v>49582</v>
      </c>
      <c r="EN6" s="156">
        <f t="shared" si="12"/>
        <v>49613</v>
      </c>
      <c r="EO6" s="156">
        <f t="shared" si="12"/>
        <v>49643</v>
      </c>
      <c r="EP6" s="156">
        <f t="shared" si="12"/>
        <v>49674</v>
      </c>
      <c r="EQ6" s="156">
        <f t="shared" si="12"/>
        <v>49705</v>
      </c>
      <c r="ER6" s="156">
        <f t="shared" si="12"/>
        <v>49734</v>
      </c>
      <c r="ES6" s="156">
        <f t="shared" si="12"/>
        <v>49765</v>
      </c>
      <c r="ET6" s="156">
        <f t="shared" si="12"/>
        <v>49795</v>
      </c>
      <c r="EU6" s="156">
        <f t="shared" si="12"/>
        <v>49826</v>
      </c>
      <c r="EV6" s="156">
        <f t="shared" si="12"/>
        <v>49856</v>
      </c>
      <c r="EW6" s="156">
        <f t="shared" si="12"/>
        <v>49887</v>
      </c>
      <c r="EX6" s="156">
        <f t="shared" si="12"/>
        <v>49918</v>
      </c>
      <c r="EY6" s="156">
        <f t="shared" si="12"/>
        <v>49948</v>
      </c>
      <c r="EZ6" s="156">
        <f t="shared" si="12"/>
        <v>49979</v>
      </c>
      <c r="FA6" s="156">
        <f t="shared" si="12"/>
        <v>50009</v>
      </c>
      <c r="FB6" s="156">
        <f t="shared" si="12"/>
        <v>50040</v>
      </c>
      <c r="FC6" s="156"/>
    </row>
    <row r="7" spans="1:159" x14ac:dyDescent="0.25">
      <c r="B7" t="s">
        <v>324</v>
      </c>
      <c r="C7" t="s">
        <v>325</v>
      </c>
      <c r="D7" t="s">
        <v>326</v>
      </c>
      <c r="E7" t="s">
        <v>327</v>
      </c>
    </row>
    <row r="8" spans="1:159" x14ac:dyDescent="0.25">
      <c r="B8" t="s">
        <v>328</v>
      </c>
      <c r="C8" t="s">
        <v>329</v>
      </c>
      <c r="D8">
        <v>10</v>
      </c>
      <c r="E8">
        <v>15</v>
      </c>
      <c r="G8" s="449">
        <v>0</v>
      </c>
      <c r="H8" s="449">
        <v>765</v>
      </c>
      <c r="I8" s="449">
        <v>394</v>
      </c>
      <c r="J8" s="449">
        <v>630</v>
      </c>
      <c r="K8" s="449">
        <v>210</v>
      </c>
      <c r="L8" s="449">
        <v>475</v>
      </c>
      <c r="M8" s="449">
        <v>432</v>
      </c>
      <c r="N8" s="449">
        <f>8*75</f>
        <v>600</v>
      </c>
      <c r="O8" s="449">
        <v>50</v>
      </c>
      <c r="P8" s="449">
        <v>45</v>
      </c>
      <c r="Q8" s="449">
        <v>0</v>
      </c>
      <c r="R8" s="449">
        <v>0</v>
      </c>
      <c r="S8" s="449">
        <v>0</v>
      </c>
      <c r="T8" s="449">
        <v>0</v>
      </c>
      <c r="U8" s="449">
        <v>0</v>
      </c>
      <c r="V8" s="449">
        <v>0</v>
      </c>
      <c r="W8" s="449">
        <v>30</v>
      </c>
      <c r="X8" s="449">
        <v>0</v>
      </c>
      <c r="Y8" s="72">
        <f t="shared" ref="Y8:BD8" si="13">+$D$8*((IF(Y2="Trough",0.5*$E$8,IF(Y2="Shoulder",0.9*$E$8,1.1*$E$8))))</f>
        <v>135</v>
      </c>
      <c r="Z8" s="72">
        <f t="shared" si="13"/>
        <v>75</v>
      </c>
      <c r="AA8" s="72">
        <f t="shared" si="13"/>
        <v>135</v>
      </c>
      <c r="AB8" s="72">
        <f t="shared" si="13"/>
        <v>135</v>
      </c>
      <c r="AC8" s="72">
        <f t="shared" si="13"/>
        <v>135</v>
      </c>
      <c r="AD8" s="72">
        <f t="shared" si="13"/>
        <v>165</v>
      </c>
      <c r="AE8" s="72">
        <f t="shared" si="13"/>
        <v>165</v>
      </c>
      <c r="AF8" s="72">
        <f t="shared" si="13"/>
        <v>135</v>
      </c>
      <c r="AG8" s="72">
        <f t="shared" si="13"/>
        <v>135</v>
      </c>
      <c r="AH8" s="72">
        <f t="shared" si="13"/>
        <v>135</v>
      </c>
      <c r="AI8" s="72">
        <f t="shared" si="13"/>
        <v>75</v>
      </c>
      <c r="AJ8" s="72">
        <f t="shared" si="13"/>
        <v>135</v>
      </c>
      <c r="AK8" s="72">
        <f t="shared" si="13"/>
        <v>135</v>
      </c>
      <c r="AL8" s="72">
        <f t="shared" si="13"/>
        <v>75</v>
      </c>
      <c r="AM8" s="72">
        <f t="shared" si="13"/>
        <v>135</v>
      </c>
      <c r="AN8" s="72">
        <f t="shared" si="13"/>
        <v>135</v>
      </c>
      <c r="AO8" s="72">
        <f t="shared" si="13"/>
        <v>135</v>
      </c>
      <c r="AP8" s="72">
        <f t="shared" si="13"/>
        <v>165</v>
      </c>
      <c r="AQ8" s="72">
        <f t="shared" si="13"/>
        <v>165</v>
      </c>
      <c r="AR8" s="72">
        <f t="shared" si="13"/>
        <v>135</v>
      </c>
      <c r="AS8" s="72">
        <f t="shared" si="13"/>
        <v>135</v>
      </c>
      <c r="AT8" s="72">
        <f t="shared" si="13"/>
        <v>135</v>
      </c>
      <c r="AU8" s="72">
        <f t="shared" si="13"/>
        <v>75</v>
      </c>
      <c r="AV8" s="72">
        <f t="shared" si="13"/>
        <v>135</v>
      </c>
      <c r="AW8" s="72">
        <f t="shared" si="13"/>
        <v>135</v>
      </c>
      <c r="AX8" s="72">
        <f t="shared" si="13"/>
        <v>75</v>
      </c>
      <c r="AY8" s="72">
        <f t="shared" si="13"/>
        <v>135</v>
      </c>
      <c r="AZ8" s="72">
        <f t="shared" si="13"/>
        <v>135</v>
      </c>
      <c r="BA8" s="72">
        <f t="shared" si="13"/>
        <v>135</v>
      </c>
      <c r="BB8" s="72">
        <f t="shared" si="13"/>
        <v>165</v>
      </c>
      <c r="BC8" s="72">
        <f t="shared" si="13"/>
        <v>165</v>
      </c>
      <c r="BD8" s="72">
        <f t="shared" si="13"/>
        <v>135</v>
      </c>
      <c r="BE8" s="72">
        <f t="shared" ref="BE8:CJ8" si="14">+$D$8*((IF(BE2="Trough",0.5*$E$8,IF(BE2="Shoulder",0.9*$E$8,1.1*$E$8))))</f>
        <v>135</v>
      </c>
      <c r="BF8" s="72">
        <f t="shared" si="14"/>
        <v>135</v>
      </c>
      <c r="BG8" s="72">
        <f t="shared" si="14"/>
        <v>75</v>
      </c>
      <c r="BH8" s="72">
        <f t="shared" si="14"/>
        <v>135</v>
      </c>
      <c r="BI8" s="72">
        <f t="shared" si="14"/>
        <v>135</v>
      </c>
      <c r="BJ8" s="72">
        <f t="shared" si="14"/>
        <v>75</v>
      </c>
      <c r="BK8" s="72">
        <f t="shared" si="14"/>
        <v>135</v>
      </c>
      <c r="BL8" s="72">
        <f t="shared" si="14"/>
        <v>135</v>
      </c>
      <c r="BM8" s="72">
        <f t="shared" si="14"/>
        <v>135</v>
      </c>
      <c r="BN8" s="72">
        <f t="shared" si="14"/>
        <v>165</v>
      </c>
      <c r="BO8" s="72">
        <f t="shared" si="14"/>
        <v>165</v>
      </c>
      <c r="BP8" s="72">
        <f t="shared" si="14"/>
        <v>135</v>
      </c>
      <c r="BQ8" s="72">
        <f t="shared" si="14"/>
        <v>135</v>
      </c>
      <c r="BR8" s="72">
        <f t="shared" si="14"/>
        <v>135</v>
      </c>
      <c r="BS8" s="72">
        <f t="shared" si="14"/>
        <v>75</v>
      </c>
      <c r="BT8" s="72">
        <f t="shared" si="14"/>
        <v>135</v>
      </c>
      <c r="BU8" s="72">
        <f t="shared" si="14"/>
        <v>135</v>
      </c>
      <c r="BV8" s="72">
        <f t="shared" si="14"/>
        <v>75</v>
      </c>
      <c r="BW8" s="72">
        <f t="shared" si="14"/>
        <v>135</v>
      </c>
      <c r="BX8" s="72">
        <f t="shared" si="14"/>
        <v>135</v>
      </c>
      <c r="BY8" s="72">
        <f t="shared" si="14"/>
        <v>135</v>
      </c>
      <c r="BZ8" s="72">
        <f t="shared" si="14"/>
        <v>165</v>
      </c>
      <c r="CA8" s="72">
        <f t="shared" si="14"/>
        <v>165</v>
      </c>
      <c r="CB8" s="72">
        <f t="shared" si="14"/>
        <v>135</v>
      </c>
      <c r="CC8" s="72">
        <f t="shared" si="14"/>
        <v>135</v>
      </c>
      <c r="CD8" s="72">
        <f t="shared" si="14"/>
        <v>135</v>
      </c>
      <c r="CE8" s="72">
        <f t="shared" si="14"/>
        <v>75</v>
      </c>
      <c r="CF8" s="72">
        <f t="shared" si="14"/>
        <v>135</v>
      </c>
      <c r="CG8" s="72">
        <f t="shared" si="14"/>
        <v>135</v>
      </c>
      <c r="CH8" s="72">
        <f t="shared" si="14"/>
        <v>75</v>
      </c>
      <c r="CI8" s="72">
        <f t="shared" si="14"/>
        <v>165</v>
      </c>
      <c r="CJ8" s="72">
        <f t="shared" si="14"/>
        <v>165</v>
      </c>
      <c r="CK8" s="72">
        <f t="shared" ref="CK8:DP8" si="15">+$D$8*((IF(CK2="Trough",0.5*$E$8,IF(CK2="Shoulder",0.9*$E$8,1.1*$E$8))))</f>
        <v>165</v>
      </c>
      <c r="CL8" s="72">
        <f t="shared" si="15"/>
        <v>165</v>
      </c>
      <c r="CM8" s="72">
        <f t="shared" si="15"/>
        <v>165</v>
      </c>
      <c r="CN8" s="72">
        <f t="shared" si="15"/>
        <v>165</v>
      </c>
      <c r="CO8" s="72">
        <f t="shared" si="15"/>
        <v>165</v>
      </c>
      <c r="CP8" s="72">
        <f t="shared" si="15"/>
        <v>165</v>
      </c>
      <c r="CQ8" s="72">
        <f t="shared" si="15"/>
        <v>165</v>
      </c>
      <c r="CR8" s="72">
        <f t="shared" si="15"/>
        <v>165</v>
      </c>
      <c r="CS8" s="72">
        <f t="shared" si="15"/>
        <v>165</v>
      </c>
      <c r="CT8" s="72">
        <f t="shared" si="15"/>
        <v>165</v>
      </c>
      <c r="CU8" s="72">
        <f t="shared" si="15"/>
        <v>165</v>
      </c>
      <c r="CV8" s="72">
        <f t="shared" si="15"/>
        <v>165</v>
      </c>
      <c r="CW8" s="72">
        <f t="shared" si="15"/>
        <v>165</v>
      </c>
      <c r="CX8" s="72">
        <f t="shared" si="15"/>
        <v>165</v>
      </c>
      <c r="CY8" s="72">
        <f t="shared" si="15"/>
        <v>165</v>
      </c>
      <c r="CZ8" s="72">
        <f t="shared" si="15"/>
        <v>165</v>
      </c>
      <c r="DA8" s="72">
        <f t="shared" si="15"/>
        <v>165</v>
      </c>
      <c r="DB8" s="72">
        <f t="shared" si="15"/>
        <v>165</v>
      </c>
      <c r="DC8" s="72">
        <f t="shared" si="15"/>
        <v>165</v>
      </c>
      <c r="DD8" s="72">
        <f t="shared" si="15"/>
        <v>165</v>
      </c>
      <c r="DE8" s="72">
        <f t="shared" si="15"/>
        <v>165</v>
      </c>
      <c r="DF8" s="72">
        <f t="shared" si="15"/>
        <v>165</v>
      </c>
      <c r="DG8" s="72">
        <f t="shared" si="15"/>
        <v>165</v>
      </c>
      <c r="DH8" s="72">
        <f t="shared" si="15"/>
        <v>165</v>
      </c>
      <c r="DI8" s="72">
        <f t="shared" si="15"/>
        <v>165</v>
      </c>
      <c r="DJ8" s="72">
        <f t="shared" si="15"/>
        <v>165</v>
      </c>
      <c r="DK8" s="72">
        <f t="shared" si="15"/>
        <v>165</v>
      </c>
      <c r="DL8" s="72">
        <f t="shared" si="15"/>
        <v>165</v>
      </c>
      <c r="DM8" s="72">
        <f t="shared" si="15"/>
        <v>165</v>
      </c>
      <c r="DN8" s="72">
        <f t="shared" si="15"/>
        <v>165</v>
      </c>
      <c r="DO8" s="72">
        <f t="shared" si="15"/>
        <v>165</v>
      </c>
      <c r="DP8" s="72">
        <f t="shared" si="15"/>
        <v>165</v>
      </c>
      <c r="DQ8" s="72">
        <f t="shared" ref="DQ8:EV8" si="16">+$D$8*((IF(DQ2="Trough",0.5*$E$8,IF(DQ2="Shoulder",0.9*$E$8,1.1*$E$8))))</f>
        <v>165</v>
      </c>
      <c r="DR8" s="72">
        <f t="shared" si="16"/>
        <v>165</v>
      </c>
      <c r="DS8" s="72">
        <f t="shared" si="16"/>
        <v>165</v>
      </c>
      <c r="DT8" s="72">
        <f t="shared" si="16"/>
        <v>165</v>
      </c>
      <c r="DU8" s="72">
        <f t="shared" si="16"/>
        <v>165</v>
      </c>
      <c r="DV8" s="72">
        <f t="shared" si="16"/>
        <v>165</v>
      </c>
      <c r="DW8" s="72">
        <f t="shared" si="16"/>
        <v>165</v>
      </c>
      <c r="DX8" s="72">
        <f t="shared" si="16"/>
        <v>165</v>
      </c>
      <c r="DY8" s="72">
        <f t="shared" si="16"/>
        <v>165</v>
      </c>
      <c r="DZ8" s="72">
        <f t="shared" si="16"/>
        <v>165</v>
      </c>
      <c r="EA8" s="72">
        <f t="shared" si="16"/>
        <v>165</v>
      </c>
      <c r="EB8" s="72">
        <f t="shared" si="16"/>
        <v>165</v>
      </c>
      <c r="EC8" s="72">
        <f t="shared" si="16"/>
        <v>165</v>
      </c>
      <c r="ED8" s="72">
        <f t="shared" si="16"/>
        <v>165</v>
      </c>
      <c r="EE8" s="72">
        <f t="shared" si="16"/>
        <v>165</v>
      </c>
      <c r="EF8" s="72">
        <f t="shared" si="16"/>
        <v>165</v>
      </c>
      <c r="EG8" s="72">
        <f t="shared" si="16"/>
        <v>165</v>
      </c>
      <c r="EH8" s="72">
        <f t="shared" si="16"/>
        <v>165</v>
      </c>
      <c r="EI8" s="72">
        <f t="shared" si="16"/>
        <v>165</v>
      </c>
      <c r="EJ8" s="72">
        <f t="shared" si="16"/>
        <v>165</v>
      </c>
      <c r="EK8" s="72">
        <f t="shared" si="16"/>
        <v>165</v>
      </c>
      <c r="EL8" s="72">
        <f t="shared" si="16"/>
        <v>165</v>
      </c>
      <c r="EM8" s="72">
        <f t="shared" si="16"/>
        <v>165</v>
      </c>
      <c r="EN8" s="72">
        <f t="shared" si="16"/>
        <v>165</v>
      </c>
      <c r="EO8" s="72">
        <f t="shared" si="16"/>
        <v>165</v>
      </c>
      <c r="EP8" s="72">
        <f t="shared" si="16"/>
        <v>165</v>
      </c>
      <c r="EQ8" s="72">
        <f t="shared" si="16"/>
        <v>165</v>
      </c>
      <c r="ER8" s="72">
        <f t="shared" si="16"/>
        <v>165</v>
      </c>
      <c r="ES8" s="72">
        <f t="shared" si="16"/>
        <v>165</v>
      </c>
      <c r="ET8" s="72">
        <f t="shared" si="16"/>
        <v>165</v>
      </c>
      <c r="EU8" s="72">
        <f t="shared" si="16"/>
        <v>165</v>
      </c>
      <c r="EV8" s="72">
        <f t="shared" si="16"/>
        <v>165</v>
      </c>
      <c r="EW8" s="72">
        <f t="shared" ref="EW8:FB8" si="17">+$D$8*((IF(EW2="Trough",0.5*$E$8,IF(EW2="Shoulder",0.9*$E$8,1.1*$E$8))))</f>
        <v>165</v>
      </c>
      <c r="EX8" s="72">
        <f t="shared" si="17"/>
        <v>165</v>
      </c>
      <c r="EY8" s="72">
        <f t="shared" si="17"/>
        <v>165</v>
      </c>
      <c r="EZ8" s="72">
        <f t="shared" si="17"/>
        <v>165</v>
      </c>
      <c r="FA8" s="72">
        <f t="shared" si="17"/>
        <v>165</v>
      </c>
      <c r="FB8" s="72">
        <f t="shared" si="17"/>
        <v>165</v>
      </c>
    </row>
    <row r="9" spans="1:159" x14ac:dyDescent="0.25">
      <c r="B9" t="s">
        <v>330</v>
      </c>
      <c r="C9" t="s">
        <v>331</v>
      </c>
      <c r="D9">
        <v>15</v>
      </c>
      <c r="Y9" s="72">
        <f>+IF(('Monthly Detail'!AX30-'Monthly Detail'!$B$28)&gt;0,('Monthly Detail'!AX30-'Monthly Detail'!$B$28)*'People Plan'!$D$9, 0)</f>
        <v>258.75</v>
      </c>
      <c r="Z9" s="72">
        <f>+IF(('Monthly Detail'!AY30-'Monthly Detail'!$B$28)&gt;0,('Monthly Detail'!AY30-'Monthly Detail'!$B$28)*'People Plan'!$D$9, 0)</f>
        <v>258.46155334820799</v>
      </c>
      <c r="AA9" s="72">
        <f>+IF(('Monthly Detail'!AZ30-'Monthly Detail'!$B$28)&gt;0,('Monthly Detail'!AZ30-'Monthly Detail'!$B$28)*'People Plan'!$D$9, 0)</f>
        <v>371.50184203603476</v>
      </c>
      <c r="AB9" s="72">
        <f>+IF(('Monthly Detail'!BA30-'Monthly Detail'!$B$28)&gt;0,('Monthly Detail'!BA30-'Monthly Detail'!$B$28)*'People Plan'!$D$9, 0)</f>
        <v>829.30249735376265</v>
      </c>
      <c r="AC9" s="72">
        <f>+IF(('Monthly Detail'!BB30-'Monthly Detail'!$B$28)&gt;0,('Monthly Detail'!BB30-'Monthly Detail'!$B$28)*'People Plan'!$D$9, 0)</f>
        <v>1146.4522753125755</v>
      </c>
      <c r="AD9" s="72">
        <f>+IF(('Monthly Detail'!BC30-'Monthly Detail'!$B$28)&gt;0,('Monthly Detail'!BC30-'Monthly Detail'!$B$28)*'People Plan'!$D$9, 0)</f>
        <v>1706.6942471150387</v>
      </c>
      <c r="AE9" s="72">
        <f>+IF(('Monthly Detail'!BD30-'Monthly Detail'!$B$28)&gt;0,('Monthly Detail'!BD30-'Monthly Detail'!$B$28)*'People Plan'!$D$9, 0)</f>
        <v>1582.0199303102461</v>
      </c>
      <c r="AF9" s="72">
        <f>+IF(('Monthly Detail'!BE30-'Monthly Detail'!$B$28)&gt;0,('Monthly Detail'!BE30-'Monthly Detail'!$B$28)*'People Plan'!$D$9, 0)</f>
        <v>1661.962351267277</v>
      </c>
      <c r="AG9" s="72">
        <f>+IF(('Monthly Detail'!BF30-'Monthly Detail'!$B$28)&gt;0,('Monthly Detail'!BF30-'Monthly Detail'!$B$28)*'People Plan'!$D$9, 0)</f>
        <v>1528.686295597807</v>
      </c>
      <c r="AH9" s="72">
        <f>+IF(('Monthly Detail'!BG30-'Monthly Detail'!$B$28)&gt;0,('Monthly Detail'!BG30-'Monthly Detail'!$B$28)*'People Plan'!$D$9, 0)</f>
        <v>1755.5207979730546</v>
      </c>
      <c r="AI9" s="72">
        <f>+IF(('Monthly Detail'!BH30-'Monthly Detail'!$B$28)&gt;0,('Monthly Detail'!BH30-'Monthly Detail'!$B$28)*'People Plan'!$D$9, 0)</f>
        <v>866.96054147898383</v>
      </c>
      <c r="AJ9" s="72">
        <f>+IF(('Monthly Detail'!BI30-'Monthly Detail'!$B$28)&gt;0,('Monthly Detail'!BI30-'Monthly Detail'!$B$28)*'People Plan'!$D$9, 0)</f>
        <v>1042.9789173153536</v>
      </c>
      <c r="AK9" s="72">
        <f>+IF(('Monthly Detail'!BJ30-'Monthly Detail'!$B$28)&gt;0,('Monthly Detail'!BJ30-'Monthly Detail'!$B$28)*'People Plan'!$D$9, 0)</f>
        <v>1297.333357834993</v>
      </c>
      <c r="AL9" s="72">
        <f>+IF(('Monthly Detail'!BK30-'Monthly Detail'!$B$28)&gt;0,('Monthly Detail'!BK30-'Monthly Detail'!$B$28)*'People Plan'!$D$9, 0)</f>
        <v>1228.0220018821453</v>
      </c>
      <c r="AM9" s="72">
        <f>+IF(('Monthly Detail'!BL30-'Monthly Detail'!$B$28)&gt;0,('Monthly Detail'!BL30-'Monthly Detail'!$B$28)*'People Plan'!$D$9, 0)</f>
        <v>749.71058005910277</v>
      </c>
      <c r="AN9" s="72">
        <f>+IF(('Monthly Detail'!BM30-'Monthly Detail'!$B$28)&gt;0,('Monthly Detail'!BM30-'Monthly Detail'!$B$28)*'People Plan'!$D$9, 0)</f>
        <v>1209.8156318123561</v>
      </c>
      <c r="AO9" s="72">
        <f>+IF(('Monthly Detail'!BN30-'Monthly Detail'!$B$28)&gt;0,('Monthly Detail'!BN30-'Monthly Detail'!$B$28)*'People Plan'!$D$9, 0)</f>
        <v>1605.3589435685635</v>
      </c>
      <c r="AP9" s="72">
        <f>+IF(('Monthly Detail'!BO30-'Monthly Detail'!$B$28)&gt;0,('Monthly Detail'!BO30-'Monthly Detail'!$B$28)*'People Plan'!$D$9, 0)</f>
        <v>1987.7695801830878</v>
      </c>
      <c r="AQ9" s="72">
        <f>+IF(('Monthly Detail'!BP30-'Monthly Detail'!$B$28)&gt;0,('Monthly Detail'!BP30-'Monthly Detail'!$B$28)*'People Plan'!$D$9, 0)</f>
        <v>1787.2613254319635</v>
      </c>
      <c r="AR9" s="72">
        <f>+IF(('Monthly Detail'!BQ30-'Monthly Detail'!$B$28)&gt;0,('Monthly Detail'!BQ30-'Monthly Detail'!$B$28)*'People Plan'!$D$9, 0)</f>
        <v>1856.2825029619398</v>
      </c>
      <c r="AS9" s="72">
        <f>+IF(('Monthly Detail'!BR30-'Monthly Detail'!$B$28)&gt;0,('Monthly Detail'!BR30-'Monthly Detail'!$B$28)*'People Plan'!$D$9, 0)</f>
        <v>1558.2184950152737</v>
      </c>
      <c r="AT9" s="72">
        <f>+IF(('Monthly Detail'!BS30-'Monthly Detail'!$B$28)&gt;0,('Monthly Detail'!BS30-'Monthly Detail'!$B$28)*'People Plan'!$D$9, 0)</f>
        <v>2052.984475939822</v>
      </c>
      <c r="AU9" s="72">
        <f>+IF(('Monthly Detail'!BT30-'Monthly Detail'!$B$28)&gt;0,('Monthly Detail'!BT30-'Monthly Detail'!$B$28)*'People Plan'!$D$9, 0)</f>
        <v>932.16526328718942</v>
      </c>
      <c r="AV9" s="72">
        <f>+IF(('Monthly Detail'!BU30-'Monthly Detail'!$B$28)&gt;0,('Monthly Detail'!BU30-'Monthly Detail'!$B$28)*'People Plan'!$D$9, 0)</f>
        <v>1028.0786749908489</v>
      </c>
      <c r="AW9" s="72">
        <f>+IF(('Monthly Detail'!BV30-'Monthly Detail'!$B$28)&gt;0,('Monthly Detail'!BV30-'Monthly Detail'!$B$28)*'People Plan'!$D$9, 0)</f>
        <v>1532.8730425546476</v>
      </c>
      <c r="AX9" s="72">
        <f>+IF(('Monthly Detail'!BW30-'Monthly Detail'!$B$28)&gt;0,('Monthly Detail'!BW30-'Monthly Detail'!$B$28)*'People Plan'!$D$9, 0)</f>
        <v>1270.9890352468474</v>
      </c>
      <c r="AY9" s="72">
        <f>+IF(('Monthly Detail'!BX30-'Monthly Detail'!$B$28)&gt;0,('Monthly Detail'!BX30-'Monthly Detail'!$B$28)*'People Plan'!$D$9, 0)</f>
        <v>780.14116817590138</v>
      </c>
      <c r="AZ9" s="72">
        <f>+IF(('Monthly Detail'!BY30-'Monthly Detail'!$B$28)&gt;0,('Monthly Detail'!BY30-'Monthly Detail'!$B$28)*'People Plan'!$D$9, 0)</f>
        <v>1410.4498299814327</v>
      </c>
      <c r="BA9" s="72">
        <f>+IF(('Monthly Detail'!BZ30-'Monthly Detail'!$B$28)&gt;0,('Monthly Detail'!BZ30-'Monthly Detail'!$B$28)*'People Plan'!$D$9, 0)</f>
        <v>1682.1215135313832</v>
      </c>
      <c r="BB9" s="72">
        <f>+IF(('Monthly Detail'!CA30-'Monthly Detail'!$B$28)&gt;0,('Monthly Detail'!CA30-'Monthly Detail'!$B$28)*'People Plan'!$D$9, 0)</f>
        <v>1780.1571182578241</v>
      </c>
      <c r="BC9" s="72">
        <f>+IF(('Monthly Detail'!CB30-'Monthly Detail'!$B$28)&gt;0,('Monthly Detail'!CB30-'Monthly Detail'!$B$28)*'People Plan'!$D$9, 0)</f>
        <v>2214.498515277171</v>
      </c>
      <c r="BD9" s="72">
        <f>+IF(('Monthly Detail'!CC30-'Monthly Detail'!$B$28)&gt;0,('Monthly Detail'!CC30-'Monthly Detail'!$B$28)*'People Plan'!$D$9, 0)</f>
        <v>1953.4425788092715</v>
      </c>
      <c r="BE9" s="72">
        <f>+IF(('Monthly Detail'!CD30-'Monthly Detail'!$B$28)&gt;0,('Monthly Detail'!CD30-'Monthly Detail'!$B$28)*'People Plan'!$D$9, 0)</f>
        <v>1485.0911440767859</v>
      </c>
      <c r="BF9" s="72">
        <f>+IF(('Monthly Detail'!CE30-'Monthly Detail'!$B$28)&gt;0,('Monthly Detail'!CE30-'Monthly Detail'!$B$28)*'People Plan'!$D$9, 0)</f>
        <v>2285.8560409766633</v>
      </c>
      <c r="BG9" s="72">
        <f>+IF(('Monthly Detail'!CF30-'Monthly Detail'!$B$28)&gt;0,('Monthly Detail'!CF30-'Monthly Detail'!$B$28)*'People Plan'!$D$9, 0)</f>
        <v>859.55091400077879</v>
      </c>
      <c r="BH9" s="72">
        <f>+IF(('Monthly Detail'!CG30-'Monthly Detail'!$B$28)&gt;0,('Monthly Detail'!CG30-'Monthly Detail'!$B$28)*'People Plan'!$D$9, 0)</f>
        <v>1174.101049770989</v>
      </c>
      <c r="BI9" s="72">
        <f>+IF(('Monthly Detail'!CH30-'Monthly Detail'!$B$28)&gt;0,('Monthly Detail'!CH30-'Monthly Detail'!$B$28)*'People Plan'!$D$9, 0)</f>
        <v>1605.8571702142583</v>
      </c>
      <c r="BJ9" s="72">
        <f>+IF(('Monthly Detail'!CI30-'Monthly Detail'!$B$28)&gt;0,('Monthly Detail'!CI30-'Monthly Detail'!$B$28)*'People Plan'!$D$9, 0)</f>
        <v>1082.307714819241</v>
      </c>
      <c r="BK9" s="72">
        <f>+IF(('Monthly Detail'!CJ30-'Monthly Detail'!$B$28)&gt;0,('Monthly Detail'!CJ30-'Monthly Detail'!$B$28)*'People Plan'!$D$9, 0)</f>
        <v>1049.6692343532604</v>
      </c>
      <c r="BL9" s="72">
        <f>+IF(('Monthly Detail'!CK30-'Monthly Detail'!$B$28)&gt;0,('Monthly Detail'!CK30-'Monthly Detail'!$B$28)*'People Plan'!$D$9, 0)</f>
        <v>1348.1840443427536</v>
      </c>
      <c r="BM9" s="72">
        <f>+IF(('Monthly Detail'!CL30-'Monthly Detail'!$B$28)&gt;0,('Monthly Detail'!CL30-'Monthly Detail'!$B$28)*'People Plan'!$D$9, 0)</f>
        <v>1623.7152102988027</v>
      </c>
      <c r="BN9" s="72">
        <f>+IF(('Monthly Detail'!CM30-'Monthly Detail'!$B$28)&gt;0,('Monthly Detail'!CM30-'Monthly Detail'!$B$28)*'People Plan'!$D$9, 0)</f>
        <v>2037.2771672575745</v>
      </c>
      <c r="BO9" s="72">
        <f>+IF(('Monthly Detail'!CN30-'Monthly Detail'!$B$28)&gt;0,('Monthly Detail'!CN30-'Monthly Detail'!$B$28)*'People Plan'!$D$9, 0)</f>
        <v>2342.9489122240952</v>
      </c>
      <c r="BP9" s="72">
        <f>+IF(('Monthly Detail'!CO30-'Monthly Detail'!$B$28)&gt;0,('Monthly Detail'!CO30-'Monthly Detail'!$B$28)*'People Plan'!$D$9, 0)</f>
        <v>1896.0298067176664</v>
      </c>
      <c r="BQ9" s="72">
        <f>+IF(('Monthly Detail'!CP30-'Monthly Detail'!$B$28)&gt;0,('Monthly Detail'!CP30-'Monthly Detail'!$B$28)*'People Plan'!$D$9, 0)</f>
        <v>1712.9109681543846</v>
      </c>
      <c r="BR9" s="72">
        <f>+IF(('Monthly Detail'!CQ30-'Monthly Detail'!$B$28)&gt;0,('Monthly Detail'!CQ30-'Monthly Detail'!$B$28)*'People Plan'!$D$9, 0)</f>
        <v>2403.1417197178457</v>
      </c>
      <c r="BS9" s="72">
        <f>+IF(('Monthly Detail'!CR30-'Monthly Detail'!$B$28)&gt;0,('Monthly Detail'!CR30-'Monthly Detail'!$B$28)*'People Plan'!$D$9, 0)</f>
        <v>813.61122363590709</v>
      </c>
      <c r="BT9" s="72">
        <f>+IF(('Monthly Detail'!CS30-'Monthly Detail'!$B$28)&gt;0,('Monthly Detail'!CS30-'Monthly Detail'!$B$28)*'People Plan'!$D$9, 0)</f>
        <v>1391.6445877087483</v>
      </c>
      <c r="BU9" s="72">
        <f>+IF(('Monthly Detail'!CT30-'Monthly Detail'!$B$28)&gt;0,('Monthly Detail'!CT30-'Monthly Detail'!$B$28)*'People Plan'!$D$9, 0)</f>
        <v>1715.3333617036758</v>
      </c>
      <c r="BV9" s="72">
        <f>+IF(('Monthly Detail'!CU30-'Monthly Detail'!$B$28)&gt;0,('Monthly Detail'!CU30-'Monthly Detail'!$B$28)*'People Plan'!$D$9, 0)</f>
        <v>1200.0000236008175</v>
      </c>
      <c r="BW9" s="72">
        <f>+IF(('Monthly Detail'!CV30-'Monthly Detail'!$B$28)&gt;0,('Monthly Detail'!CV30-'Monthly Detail'!$B$28)*'People Plan'!$D$9, 0)</f>
        <v>1149.6554524513128</v>
      </c>
      <c r="BX9" s="72">
        <f>+IF(('Monthly Detail'!CW30-'Monthly Detail'!$B$28)&gt;0,('Monthly Detail'!CW30-'Monthly Detail'!$B$28)*'People Plan'!$D$9, 0)</f>
        <v>1451.9603537405519</v>
      </c>
      <c r="BY9" s="72">
        <f>+IF(('Monthly Detail'!CX30-'Monthly Detail'!$B$28)&gt;0,('Monthly Detail'!CX30-'Monthly Detail'!$B$28)*'People Plan'!$D$9, 0)</f>
        <v>1628.7214648615957</v>
      </c>
      <c r="BZ9" s="72">
        <f>+IF(('Monthly Detail'!CY30-'Monthly Detail'!$B$28)&gt;0,('Monthly Detail'!CY30-'Monthly Detail'!$B$28)*'People Plan'!$D$9, 0)</f>
        <v>2374.2481631516562</v>
      </c>
      <c r="CA9" s="72">
        <f>+IF(('Monthly Detail'!CZ30-'Monthly Detail'!$B$28)&gt;0,('Monthly Detail'!CZ30-'Monthly Detail'!$B$28)*'People Plan'!$D$9, 0)</f>
        <v>2503.5119084077514</v>
      </c>
      <c r="CB9" s="72">
        <f>+IF(('Monthly Detail'!DA30-'Monthly Detail'!$B$28)&gt;0,('Monthly Detail'!DA30-'Monthly Detail'!$B$28)*'People Plan'!$D$9, 0)</f>
        <v>1888.6691949110502</v>
      </c>
      <c r="CC9" s="72">
        <f>+IF(('Monthly Detail'!DB30-'Monthly Detail'!$B$28)&gt;0,('Monthly Detail'!DB30-'Monthly Detail'!$B$28)*'People Plan'!$D$9, 0)</f>
        <v>1981.5133533322942</v>
      </c>
      <c r="CD9" s="72">
        <f>+IF(('Monthly Detail'!DC30-'Monthly Detail'!$B$28)&gt;0,('Monthly Detail'!DC30-'Monthly Detail'!$B$28)*'People Plan'!$D$9, 0)</f>
        <v>2389.5433801536506</v>
      </c>
      <c r="CE9" s="72">
        <f>+IF(('Monthly Detail'!DD30-'Monthly Detail'!$B$28)&gt;0,('Monthly Detail'!DD30-'Monthly Detail'!$B$28)*'People Plan'!$D$9, 0)</f>
        <v>1015.1530910430876</v>
      </c>
      <c r="CF9" s="72">
        <f>+IF(('Monthly Detail'!DE30-'Monthly Detail'!$B$28)&gt;0,('Monthly Detail'!DE30-'Monthly Detail'!$B$28)*'People Plan'!$D$9, 0)</f>
        <v>1494.4562597478266</v>
      </c>
      <c r="CG9" s="72">
        <f>+IF(('Monthly Detail'!DF30-'Monthly Detail'!$B$28)&gt;0,('Monthly Detail'!DF30-'Monthly Detail'!$B$28)*'People Plan'!$D$9, 0)</f>
        <v>1680.5000280479519</v>
      </c>
      <c r="CH9" s="72">
        <f>+IF(('Monthly Detail'!DG30-'Monthly Detail'!$B$28)&gt;0,('Monthly Detail'!DG30-'Monthly Detail'!$B$28)*'People Plan'!$D$9, 0)</f>
        <v>1403.6263991117985</v>
      </c>
      <c r="CI9" s="72">
        <f>+IF(('Monthly Detail'!DH30-'Monthly Detail'!$B$28)&gt;0,('Monthly Detail'!DH30-'Monthly Detail'!$B$28)*'People Plan'!$D$9, 0)</f>
        <v>0</v>
      </c>
      <c r="CJ9" s="72">
        <f>+IF(('Monthly Detail'!DI30-'Monthly Detail'!$B$28)&gt;0,('Monthly Detail'!DI30-'Monthly Detail'!$B$28)*'People Plan'!$D$9, 0)</f>
        <v>0</v>
      </c>
      <c r="CK9" s="72">
        <f>+IF(('Monthly Detail'!DJ30-'Monthly Detail'!$B$28)&gt;0,('Monthly Detail'!DJ30-'Monthly Detail'!$B$28)*'People Plan'!$D$9, 0)</f>
        <v>0</v>
      </c>
      <c r="CL9" s="72">
        <f>+IF(('Monthly Detail'!DK30-'Monthly Detail'!$B$28)&gt;0,('Monthly Detail'!DK30-'Monthly Detail'!$B$28)*'People Plan'!$D$9, 0)</f>
        <v>0</v>
      </c>
      <c r="CM9" s="72">
        <f>+IF(('Monthly Detail'!DL30-'Monthly Detail'!$B$28)&gt;0,('Monthly Detail'!DL30-'Monthly Detail'!$B$28)*'People Plan'!$D$9, 0)</f>
        <v>0</v>
      </c>
      <c r="CN9" s="72">
        <f>+IF(('Monthly Detail'!DM30-'Monthly Detail'!$B$28)&gt;0,('Monthly Detail'!DM30-'Monthly Detail'!$B$28)*'People Plan'!$D$9, 0)</f>
        <v>0</v>
      </c>
      <c r="CO9" s="72">
        <f>+IF(('Monthly Detail'!DN30-'Monthly Detail'!$B$28)&gt;0,('Monthly Detail'!DN30-'Monthly Detail'!$B$28)*'People Plan'!$D$9, 0)</f>
        <v>0</v>
      </c>
      <c r="CP9" s="72">
        <f>+IF(('Monthly Detail'!DO30-'Monthly Detail'!$B$28)&gt;0,('Monthly Detail'!DO30-'Monthly Detail'!$B$28)*'People Plan'!$D$9, 0)</f>
        <v>0</v>
      </c>
      <c r="CQ9" s="72">
        <f>+IF(('Monthly Detail'!DP30-'Monthly Detail'!$B$28)&gt;0,('Monthly Detail'!DP30-'Monthly Detail'!$B$28)*'People Plan'!$D$9, 0)</f>
        <v>0</v>
      </c>
      <c r="CR9" s="72">
        <f>+IF(('Monthly Detail'!DQ30-'Monthly Detail'!$B$28)&gt;0,('Monthly Detail'!DQ30-'Monthly Detail'!$B$28)*'People Plan'!$D$9, 0)</f>
        <v>0</v>
      </c>
      <c r="CS9" s="72">
        <f>+IF(('Monthly Detail'!DR30-'Monthly Detail'!$B$28)&gt;0,('Monthly Detail'!DR30-'Monthly Detail'!$B$28)*'People Plan'!$D$9, 0)</f>
        <v>0</v>
      </c>
      <c r="CT9" s="72">
        <f>+IF(('Monthly Detail'!DS30-'Monthly Detail'!$B$28)&gt;0,('Monthly Detail'!DS30-'Monthly Detail'!$B$28)*'People Plan'!$D$9, 0)</f>
        <v>0</v>
      </c>
      <c r="CU9" s="72">
        <f>+IF(('Monthly Detail'!DT30-'Monthly Detail'!$B$28)&gt;0,('Monthly Detail'!DT30-'Monthly Detail'!$B$28)*'People Plan'!$D$9, 0)</f>
        <v>0</v>
      </c>
      <c r="CV9" s="72">
        <f>+IF(('Monthly Detail'!DU30-'Monthly Detail'!$B$28)&gt;0,('Monthly Detail'!DU30-'Monthly Detail'!$B$28)*'People Plan'!$D$9, 0)</f>
        <v>0</v>
      </c>
      <c r="CW9" s="72">
        <f>+IF(('Monthly Detail'!DV30-'Monthly Detail'!$B$28)&gt;0,('Monthly Detail'!DV30-'Monthly Detail'!$B$28)*'People Plan'!$D$9, 0)</f>
        <v>0</v>
      </c>
      <c r="CX9" s="72">
        <f>+IF(('Monthly Detail'!DW30-'Monthly Detail'!$B$28)&gt;0,('Monthly Detail'!DW30-'Monthly Detail'!$B$28)*'People Plan'!$D$9, 0)</f>
        <v>0</v>
      </c>
      <c r="CY9" s="72">
        <f>+IF(('Monthly Detail'!DX30-'Monthly Detail'!$B$28)&gt;0,('Monthly Detail'!DX30-'Monthly Detail'!$B$28)*'People Plan'!$D$9, 0)</f>
        <v>0</v>
      </c>
      <c r="CZ9" s="72">
        <f>+IF(('Monthly Detail'!DY30-'Monthly Detail'!$B$28)&gt;0,('Monthly Detail'!DY30-'Monthly Detail'!$B$28)*'People Plan'!$D$9, 0)</f>
        <v>0</v>
      </c>
      <c r="DA9" s="72">
        <f>+IF(('Monthly Detail'!DZ30-'Monthly Detail'!$B$28)&gt;0,('Monthly Detail'!DZ30-'Monthly Detail'!$B$28)*'People Plan'!$D$9, 0)</f>
        <v>0</v>
      </c>
      <c r="DB9" s="72">
        <f>+IF(('Monthly Detail'!EA30-'Monthly Detail'!$B$28)&gt;0,('Monthly Detail'!EA30-'Monthly Detail'!$B$28)*'People Plan'!$D$9, 0)</f>
        <v>0</v>
      </c>
      <c r="DC9" s="72">
        <f>+IF(('Monthly Detail'!EB30-'Monthly Detail'!$B$28)&gt;0,('Monthly Detail'!EB30-'Monthly Detail'!$B$28)*'People Plan'!$D$9, 0)</f>
        <v>0</v>
      </c>
      <c r="DD9" s="72">
        <f>+IF(('Monthly Detail'!EC30-'Monthly Detail'!$B$28)&gt;0,('Monthly Detail'!EC30-'Monthly Detail'!$B$28)*'People Plan'!$D$9, 0)</f>
        <v>0</v>
      </c>
      <c r="DE9" s="72">
        <f>+IF(('Monthly Detail'!ED30-'Monthly Detail'!$B$28)&gt;0,('Monthly Detail'!ED30-'Monthly Detail'!$B$28)*'People Plan'!$D$9, 0)</f>
        <v>0</v>
      </c>
      <c r="DF9" s="72">
        <f>+IF(('Monthly Detail'!EE30-'Monthly Detail'!$B$28)&gt;0,('Monthly Detail'!EE30-'Monthly Detail'!$B$28)*'People Plan'!$D$9, 0)</f>
        <v>0</v>
      </c>
      <c r="DG9" s="72">
        <f>+IF(('Monthly Detail'!EF30-'Monthly Detail'!$B$28)&gt;0,('Monthly Detail'!EF30-'Monthly Detail'!$B$28)*'People Plan'!$D$9, 0)</f>
        <v>0</v>
      </c>
      <c r="DH9" s="72">
        <f>+IF(('Monthly Detail'!EG30-'Monthly Detail'!$B$28)&gt;0,('Monthly Detail'!EG30-'Monthly Detail'!$B$28)*'People Plan'!$D$9, 0)</f>
        <v>0</v>
      </c>
      <c r="DI9" s="72">
        <f>+IF(('Monthly Detail'!EH30-'Monthly Detail'!$B$28)&gt;0,('Monthly Detail'!EH30-'Monthly Detail'!$B$28)*'People Plan'!$D$9, 0)</f>
        <v>0</v>
      </c>
      <c r="DJ9" s="72">
        <f>+IF(('Monthly Detail'!EI30-'Monthly Detail'!$B$28)&gt;0,('Monthly Detail'!EI30-'Monthly Detail'!$B$28)*'People Plan'!$D$9, 0)</f>
        <v>0</v>
      </c>
      <c r="DK9" s="72">
        <f>+IF(('Monthly Detail'!EJ30-'Monthly Detail'!$B$28)&gt;0,('Monthly Detail'!EJ30-'Monthly Detail'!$B$28)*'People Plan'!$D$9, 0)</f>
        <v>0</v>
      </c>
      <c r="DL9" s="72">
        <f>+IF(('Monthly Detail'!EK30-'Monthly Detail'!$B$28)&gt;0,('Monthly Detail'!EK30-'Monthly Detail'!$B$28)*'People Plan'!$D$9, 0)</f>
        <v>0</v>
      </c>
      <c r="DM9" s="72">
        <f>+IF(('Monthly Detail'!EL30-'Monthly Detail'!$B$28)&gt;0,('Monthly Detail'!EL30-'Monthly Detail'!$B$28)*'People Plan'!$D$9, 0)</f>
        <v>0</v>
      </c>
      <c r="DN9" s="72">
        <f>+IF(('Monthly Detail'!EM30-'Monthly Detail'!$B$28)&gt;0,('Monthly Detail'!EM30-'Monthly Detail'!$B$28)*'People Plan'!$D$9, 0)</f>
        <v>0</v>
      </c>
      <c r="DO9" s="72">
        <f>+IF(('Monthly Detail'!EN30-'Monthly Detail'!$B$28)&gt;0,('Monthly Detail'!EN30-'Monthly Detail'!$B$28)*'People Plan'!$D$9, 0)</f>
        <v>0</v>
      </c>
      <c r="DP9" s="72">
        <f>+IF(('Monthly Detail'!EO30-'Monthly Detail'!$B$28)&gt;0,('Monthly Detail'!EO30-'Monthly Detail'!$B$28)*'People Plan'!$D$9, 0)</f>
        <v>0</v>
      </c>
      <c r="DQ9" s="72">
        <f>+IF(('Monthly Detail'!EP30-'Monthly Detail'!$B$28)&gt;0,('Monthly Detail'!EP30-'Monthly Detail'!$B$28)*'People Plan'!$D$9, 0)</f>
        <v>0</v>
      </c>
      <c r="DR9" s="72">
        <f>+IF(('Monthly Detail'!EQ30-'Monthly Detail'!$B$28)&gt;0,('Monthly Detail'!EQ30-'Monthly Detail'!$B$28)*'People Plan'!$D$9, 0)</f>
        <v>0</v>
      </c>
      <c r="DS9" s="72">
        <f>+IF(('Monthly Detail'!ER30-'Monthly Detail'!$B$28)&gt;0,('Monthly Detail'!ER30-'Monthly Detail'!$B$28)*'People Plan'!$D$9, 0)</f>
        <v>0</v>
      </c>
      <c r="DT9" s="72">
        <f>+IF(('Monthly Detail'!ES30-'Monthly Detail'!$B$28)&gt;0,('Monthly Detail'!ES30-'Monthly Detail'!$B$28)*'People Plan'!$D$9, 0)</f>
        <v>0</v>
      </c>
      <c r="DU9" s="72">
        <f>+IF(('Monthly Detail'!ET30-'Monthly Detail'!$B$28)&gt;0,('Monthly Detail'!ET30-'Monthly Detail'!$B$28)*'People Plan'!$D$9, 0)</f>
        <v>0</v>
      </c>
      <c r="DV9" s="72">
        <f>+IF(('Monthly Detail'!EU30-'Monthly Detail'!$B$28)&gt;0,('Monthly Detail'!EU30-'Monthly Detail'!$B$28)*'People Plan'!$D$9, 0)</f>
        <v>0</v>
      </c>
      <c r="DW9" s="72">
        <f>+IF(('Monthly Detail'!EV30-'Monthly Detail'!$B$28)&gt;0,('Monthly Detail'!EV30-'Monthly Detail'!$B$28)*'People Plan'!$D$9, 0)</f>
        <v>0</v>
      </c>
      <c r="DX9" s="72">
        <f>+IF(('Monthly Detail'!EW30-'Monthly Detail'!$B$28)&gt;0,('Monthly Detail'!EW30-'Monthly Detail'!$B$28)*'People Plan'!$D$9, 0)</f>
        <v>0</v>
      </c>
      <c r="DY9" s="72">
        <f>+IF(('Monthly Detail'!EX30-'Monthly Detail'!$B$28)&gt;0,('Monthly Detail'!EX30-'Monthly Detail'!$B$28)*'People Plan'!$D$9, 0)</f>
        <v>0</v>
      </c>
      <c r="DZ9" s="72">
        <f>+IF(('Monthly Detail'!EY30-'Monthly Detail'!$B$28)&gt;0,('Monthly Detail'!EY30-'Monthly Detail'!$B$28)*'People Plan'!$D$9, 0)</f>
        <v>0</v>
      </c>
      <c r="EA9" s="72">
        <f>+IF(('Monthly Detail'!EZ30-'Monthly Detail'!$B$28)&gt;0,('Monthly Detail'!EZ30-'Monthly Detail'!$B$28)*'People Plan'!$D$9, 0)</f>
        <v>0</v>
      </c>
      <c r="EB9" s="72">
        <f>+IF(('Monthly Detail'!FA30-'Monthly Detail'!$B$28)&gt;0,('Monthly Detail'!FA30-'Monthly Detail'!$B$28)*'People Plan'!$D$9, 0)</f>
        <v>0</v>
      </c>
      <c r="EC9" s="72">
        <f>+IF(('Monthly Detail'!FB30-'Monthly Detail'!$B$28)&gt;0,('Monthly Detail'!FB30-'Monthly Detail'!$B$28)*'People Plan'!$D$9, 0)</f>
        <v>0</v>
      </c>
      <c r="ED9" s="72">
        <f>+IF(('Monthly Detail'!FC30-'Monthly Detail'!$B$28)&gt;0,('Monthly Detail'!FC30-'Monthly Detail'!$B$28)*'People Plan'!$D$9, 0)</f>
        <v>0</v>
      </c>
      <c r="EE9" s="72">
        <f>+IF(('Monthly Detail'!FD30-'Monthly Detail'!$B$28)&gt;0,('Monthly Detail'!FD30-'Monthly Detail'!$B$28)*'People Plan'!$D$9, 0)</f>
        <v>0</v>
      </c>
      <c r="EF9" s="72">
        <f>+IF(('Monthly Detail'!FE30-'Monthly Detail'!$B$28)&gt;0,('Monthly Detail'!FE30-'Monthly Detail'!$B$28)*'People Plan'!$D$9, 0)</f>
        <v>0</v>
      </c>
      <c r="EG9" s="72">
        <f>+IF(('Monthly Detail'!FF30-'Monthly Detail'!$B$28)&gt;0,('Monthly Detail'!FF30-'Monthly Detail'!$B$28)*'People Plan'!$D$9, 0)</f>
        <v>0</v>
      </c>
      <c r="EH9" s="72">
        <f>+IF(('Monthly Detail'!FG30-'Monthly Detail'!$B$28)&gt;0,('Monthly Detail'!FG30-'Monthly Detail'!$B$28)*'People Plan'!$D$9, 0)</f>
        <v>0</v>
      </c>
      <c r="EI9" s="72">
        <f>+IF(('Monthly Detail'!FH30-'Monthly Detail'!$B$28)&gt;0,('Monthly Detail'!FH30-'Monthly Detail'!$B$28)*'People Plan'!$D$9, 0)</f>
        <v>0</v>
      </c>
      <c r="EJ9" s="72">
        <f>+IF(('Monthly Detail'!FI30-'Monthly Detail'!$B$28)&gt;0,('Monthly Detail'!FI30-'Monthly Detail'!$B$28)*'People Plan'!$D$9, 0)</f>
        <v>0</v>
      </c>
      <c r="EK9" s="72">
        <f>+IF(('Monthly Detail'!FJ30-'Monthly Detail'!$B$28)&gt;0,('Monthly Detail'!FJ30-'Monthly Detail'!$B$28)*'People Plan'!$D$9, 0)</f>
        <v>0</v>
      </c>
      <c r="EL9" s="72">
        <f>+IF(('Monthly Detail'!FK30-'Monthly Detail'!$B$28)&gt;0,('Monthly Detail'!FK30-'Monthly Detail'!$B$28)*'People Plan'!$D$9, 0)</f>
        <v>0</v>
      </c>
      <c r="EM9" s="72">
        <f>+IF(('Monthly Detail'!FL30-'Monthly Detail'!$B$28)&gt;0,('Monthly Detail'!FL30-'Monthly Detail'!$B$28)*'People Plan'!$D$9, 0)</f>
        <v>0</v>
      </c>
      <c r="EN9" s="72">
        <f>+IF(('Monthly Detail'!FM30-'Monthly Detail'!$B$28)&gt;0,('Monthly Detail'!FM30-'Monthly Detail'!$B$28)*'People Plan'!$D$9, 0)</f>
        <v>0</v>
      </c>
      <c r="EO9" s="72">
        <f>+IF(('Monthly Detail'!FN30-'Monthly Detail'!$B$28)&gt;0,('Monthly Detail'!FN30-'Monthly Detail'!$B$28)*'People Plan'!$D$9, 0)</f>
        <v>0</v>
      </c>
      <c r="EP9" s="72">
        <f>+IF(('Monthly Detail'!FO30-'Monthly Detail'!$B$28)&gt;0,('Monthly Detail'!FO30-'Monthly Detail'!$B$28)*'People Plan'!$D$9, 0)</f>
        <v>0</v>
      </c>
      <c r="EQ9" s="72">
        <f>+IF(('Monthly Detail'!FP30-'Monthly Detail'!$B$28)&gt;0,('Monthly Detail'!FP30-'Monthly Detail'!$B$28)*'People Plan'!$D$9, 0)</f>
        <v>0</v>
      </c>
      <c r="ER9" s="72">
        <f>+IF(('Monthly Detail'!FQ30-'Monthly Detail'!$B$28)&gt;0,('Monthly Detail'!FQ30-'Monthly Detail'!$B$28)*'People Plan'!$D$9, 0)</f>
        <v>0</v>
      </c>
      <c r="ES9" s="72">
        <f>+IF(('Monthly Detail'!FR30-'Monthly Detail'!$B$28)&gt;0,('Monthly Detail'!FR30-'Monthly Detail'!$B$28)*'People Plan'!$D$9, 0)</f>
        <v>0</v>
      </c>
      <c r="ET9" s="72">
        <f>+IF(('Monthly Detail'!FS30-'Monthly Detail'!$B$28)&gt;0,('Monthly Detail'!FS30-'Monthly Detail'!$B$28)*'People Plan'!$D$9, 0)</f>
        <v>0</v>
      </c>
      <c r="EU9" s="72">
        <f>+IF(('Monthly Detail'!FT30-'Monthly Detail'!$B$28)&gt;0,('Monthly Detail'!FT30-'Monthly Detail'!$B$28)*'People Plan'!$D$9, 0)</f>
        <v>0</v>
      </c>
      <c r="EV9" s="72">
        <f>+IF(('Monthly Detail'!FU30-'Monthly Detail'!$B$28)&gt;0,('Monthly Detail'!FU30-'Monthly Detail'!$B$28)*'People Plan'!$D$9, 0)</f>
        <v>0</v>
      </c>
      <c r="EW9" s="72">
        <f>+IF(('Monthly Detail'!FV30-'Monthly Detail'!$B$28)&gt;0,('Monthly Detail'!FV30-'Monthly Detail'!$B$28)*'People Plan'!$D$9, 0)</f>
        <v>0</v>
      </c>
      <c r="EX9" s="72">
        <f>+IF(('Monthly Detail'!FW30-'Monthly Detail'!$B$28)&gt;0,('Monthly Detail'!FW30-'Monthly Detail'!$B$28)*'People Plan'!$D$9, 0)</f>
        <v>0</v>
      </c>
      <c r="EY9" s="72">
        <f>+IF(('Monthly Detail'!FX30-'Monthly Detail'!$B$28)&gt;0,('Monthly Detail'!FX30-'Monthly Detail'!$B$28)*'People Plan'!$D$9, 0)</f>
        <v>0</v>
      </c>
      <c r="EZ9" s="72">
        <f>+IF(('Monthly Detail'!FY30-'Monthly Detail'!$B$28)&gt;0,('Monthly Detail'!FY30-'Monthly Detail'!$B$28)*'People Plan'!$D$9, 0)</f>
        <v>0</v>
      </c>
      <c r="FA9" s="72">
        <f>+IF(('Monthly Detail'!FZ30-'Monthly Detail'!$B$28)&gt;0,('Monthly Detail'!FZ30-'Monthly Detail'!$B$28)*'People Plan'!$D$9, 0)</f>
        <v>0</v>
      </c>
      <c r="FB9" s="72">
        <f>+IF(('Monthly Detail'!GA30-'Monthly Detail'!$B$28)&gt;0,('Monthly Detail'!GA30-'Monthly Detail'!$B$28)*'People Plan'!$D$9, 0)</f>
        <v>0</v>
      </c>
    </row>
    <row r="13" spans="1:159" x14ac:dyDescent="0.25">
      <c r="E13" s="450" t="s">
        <v>332</v>
      </c>
      <c r="F13" s="5"/>
      <c r="G13" s="451">
        <f t="shared" ref="G13:AL13" si="18">SUM(G8:G12)</f>
        <v>0</v>
      </c>
      <c r="H13" s="451">
        <f t="shared" si="18"/>
        <v>765</v>
      </c>
      <c r="I13" s="451">
        <f t="shared" si="18"/>
        <v>394</v>
      </c>
      <c r="J13" s="451">
        <f t="shared" si="18"/>
        <v>630</v>
      </c>
      <c r="K13" s="451">
        <f t="shared" si="18"/>
        <v>210</v>
      </c>
      <c r="L13" s="451">
        <f t="shared" si="18"/>
        <v>475</v>
      </c>
      <c r="M13" s="451">
        <f t="shared" si="18"/>
        <v>432</v>
      </c>
      <c r="N13" s="451">
        <f t="shared" si="18"/>
        <v>600</v>
      </c>
      <c r="O13" s="451">
        <f t="shared" si="18"/>
        <v>50</v>
      </c>
      <c r="P13" s="451">
        <f t="shared" si="18"/>
        <v>45</v>
      </c>
      <c r="Q13" s="451">
        <f t="shared" si="18"/>
        <v>0</v>
      </c>
      <c r="R13" s="451">
        <f t="shared" si="18"/>
        <v>0</v>
      </c>
      <c r="S13" s="451">
        <f t="shared" si="18"/>
        <v>0</v>
      </c>
      <c r="T13" s="451">
        <f t="shared" si="18"/>
        <v>0</v>
      </c>
      <c r="U13" s="451">
        <f t="shared" si="18"/>
        <v>0</v>
      </c>
      <c r="V13" s="451">
        <f t="shared" si="18"/>
        <v>0</v>
      </c>
      <c r="W13" s="451">
        <f t="shared" si="18"/>
        <v>30</v>
      </c>
      <c r="X13" s="451">
        <f t="shared" si="18"/>
        <v>0</v>
      </c>
      <c r="Y13" s="451">
        <f t="shared" si="18"/>
        <v>393.75</v>
      </c>
      <c r="Z13" s="451">
        <f t="shared" si="18"/>
        <v>333.46155334820799</v>
      </c>
      <c r="AA13" s="451">
        <f t="shared" si="18"/>
        <v>506.50184203603476</v>
      </c>
      <c r="AB13" s="451">
        <f t="shared" si="18"/>
        <v>964.30249735376265</v>
      </c>
      <c r="AC13" s="451">
        <f t="shared" si="18"/>
        <v>1281.4522753125755</v>
      </c>
      <c r="AD13" s="451">
        <f t="shared" si="18"/>
        <v>1871.6942471150387</v>
      </c>
      <c r="AE13" s="451">
        <f t="shared" si="18"/>
        <v>1747.0199303102461</v>
      </c>
      <c r="AF13" s="451">
        <f t="shared" si="18"/>
        <v>1796.962351267277</v>
      </c>
      <c r="AG13" s="451">
        <f t="shared" si="18"/>
        <v>1663.686295597807</v>
      </c>
      <c r="AH13" s="451">
        <f t="shared" si="18"/>
        <v>1890.5207979730546</v>
      </c>
      <c r="AI13" s="451">
        <f t="shared" si="18"/>
        <v>941.96054147898383</v>
      </c>
      <c r="AJ13" s="451">
        <f t="shared" si="18"/>
        <v>1177.9789173153536</v>
      </c>
      <c r="AK13" s="451">
        <f t="shared" si="18"/>
        <v>1432.333357834993</v>
      </c>
      <c r="AL13" s="451">
        <f t="shared" si="18"/>
        <v>1303.0220018821453</v>
      </c>
      <c r="AM13" s="451">
        <f t="shared" ref="AM13:BR13" si="19">SUM(AM8:AM12)</f>
        <v>884.71058005910277</v>
      </c>
      <c r="AN13" s="451">
        <f t="shared" si="19"/>
        <v>1344.8156318123561</v>
      </c>
      <c r="AO13" s="451">
        <f t="shared" si="19"/>
        <v>1740.3589435685635</v>
      </c>
      <c r="AP13" s="451">
        <f t="shared" si="19"/>
        <v>2152.7695801830878</v>
      </c>
      <c r="AQ13" s="451">
        <f t="shared" si="19"/>
        <v>1952.2613254319635</v>
      </c>
      <c r="AR13" s="451">
        <f t="shared" si="19"/>
        <v>1991.2825029619398</v>
      </c>
      <c r="AS13" s="451">
        <f t="shared" si="19"/>
        <v>1693.2184950152737</v>
      </c>
      <c r="AT13" s="451">
        <f t="shared" si="19"/>
        <v>2187.984475939822</v>
      </c>
      <c r="AU13" s="451">
        <f t="shared" si="19"/>
        <v>1007.1652632871894</v>
      </c>
      <c r="AV13" s="451">
        <f t="shared" si="19"/>
        <v>1163.0786749908489</v>
      </c>
      <c r="AW13" s="451">
        <f t="shared" si="19"/>
        <v>1667.8730425546476</v>
      </c>
      <c r="AX13" s="451">
        <f t="shared" si="19"/>
        <v>1345.9890352468474</v>
      </c>
      <c r="AY13" s="451">
        <f t="shared" si="19"/>
        <v>915.14116817590138</v>
      </c>
      <c r="AZ13" s="451">
        <f t="shared" si="19"/>
        <v>1545.4498299814327</v>
      </c>
      <c r="BA13" s="451">
        <f t="shared" si="19"/>
        <v>1817.1215135313832</v>
      </c>
      <c r="BB13" s="451">
        <f t="shared" si="19"/>
        <v>1945.1571182578241</v>
      </c>
      <c r="BC13" s="451">
        <f t="shared" si="19"/>
        <v>2379.498515277171</v>
      </c>
      <c r="BD13" s="451">
        <f t="shared" si="19"/>
        <v>2088.4425788092713</v>
      </c>
      <c r="BE13" s="451">
        <f t="shared" si="19"/>
        <v>1620.0911440767859</v>
      </c>
      <c r="BF13" s="451">
        <f t="shared" si="19"/>
        <v>2420.8560409766633</v>
      </c>
      <c r="BG13" s="451">
        <f t="shared" si="19"/>
        <v>934.55091400077879</v>
      </c>
      <c r="BH13" s="451">
        <f t="shared" si="19"/>
        <v>1309.101049770989</v>
      </c>
      <c r="BI13" s="451">
        <f t="shared" si="19"/>
        <v>1740.8571702142583</v>
      </c>
      <c r="BJ13" s="451">
        <f t="shared" si="19"/>
        <v>1157.307714819241</v>
      </c>
      <c r="BK13" s="451">
        <f t="shared" si="19"/>
        <v>1184.6692343532604</v>
      </c>
      <c r="BL13" s="451">
        <f t="shared" si="19"/>
        <v>1483.1840443427536</v>
      </c>
      <c r="BM13" s="451">
        <f t="shared" si="19"/>
        <v>1758.7152102988027</v>
      </c>
      <c r="BN13" s="451">
        <f t="shared" si="19"/>
        <v>2202.2771672575745</v>
      </c>
      <c r="BO13" s="451">
        <f t="shared" si="19"/>
        <v>2507.9489122240952</v>
      </c>
      <c r="BP13" s="451">
        <f t="shared" si="19"/>
        <v>2031.0298067176664</v>
      </c>
      <c r="BQ13" s="451">
        <f t="shared" si="19"/>
        <v>1847.9109681543846</v>
      </c>
      <c r="BR13" s="451">
        <f t="shared" si="19"/>
        <v>2538.1417197178457</v>
      </c>
      <c r="BS13" s="451">
        <f t="shared" ref="BS13:CX13" si="20">SUM(BS8:BS12)</f>
        <v>888.61122363590709</v>
      </c>
      <c r="BT13" s="451">
        <f t="shared" si="20"/>
        <v>1526.6445877087483</v>
      </c>
      <c r="BU13" s="451">
        <f t="shared" si="20"/>
        <v>1850.3333617036758</v>
      </c>
      <c r="BV13" s="451">
        <f t="shared" si="20"/>
        <v>1275.0000236008175</v>
      </c>
      <c r="BW13" s="451">
        <f t="shared" si="20"/>
        <v>1284.6554524513128</v>
      </c>
      <c r="BX13" s="451">
        <f t="shared" si="20"/>
        <v>1586.9603537405519</v>
      </c>
      <c r="BY13" s="451">
        <f t="shared" si="20"/>
        <v>1763.7214648615957</v>
      </c>
      <c r="BZ13" s="451">
        <f t="shared" si="20"/>
        <v>2539.2481631516562</v>
      </c>
      <c r="CA13" s="451">
        <f t="shared" si="20"/>
        <v>2668.5119084077514</v>
      </c>
      <c r="CB13" s="451">
        <f t="shared" si="20"/>
        <v>2023.6691949110502</v>
      </c>
      <c r="CC13" s="451">
        <f t="shared" si="20"/>
        <v>2116.5133533322942</v>
      </c>
      <c r="CD13" s="451">
        <f t="shared" si="20"/>
        <v>2524.5433801536506</v>
      </c>
      <c r="CE13" s="451">
        <f t="shared" si="20"/>
        <v>1090.1530910430874</v>
      </c>
      <c r="CF13" s="451">
        <f t="shared" si="20"/>
        <v>1629.4562597478266</v>
      </c>
      <c r="CG13" s="451">
        <f t="shared" si="20"/>
        <v>1815.5000280479519</v>
      </c>
      <c r="CH13" s="451">
        <f t="shared" si="20"/>
        <v>1478.6263991117985</v>
      </c>
      <c r="CI13" s="451">
        <f t="shared" si="20"/>
        <v>165</v>
      </c>
      <c r="CJ13" s="451">
        <f t="shared" si="20"/>
        <v>165</v>
      </c>
      <c r="CK13" s="451">
        <f t="shared" si="20"/>
        <v>165</v>
      </c>
      <c r="CL13" s="451">
        <f t="shared" si="20"/>
        <v>165</v>
      </c>
      <c r="CM13" s="451">
        <f t="shared" si="20"/>
        <v>165</v>
      </c>
      <c r="CN13" s="451">
        <f t="shared" si="20"/>
        <v>165</v>
      </c>
      <c r="CO13" s="451">
        <f t="shared" si="20"/>
        <v>165</v>
      </c>
      <c r="CP13" s="451">
        <f t="shared" si="20"/>
        <v>165</v>
      </c>
      <c r="CQ13" s="451">
        <f t="shared" si="20"/>
        <v>165</v>
      </c>
      <c r="CR13" s="451">
        <f t="shared" si="20"/>
        <v>165</v>
      </c>
      <c r="CS13" s="451">
        <f t="shared" si="20"/>
        <v>165</v>
      </c>
      <c r="CT13" s="451">
        <f t="shared" si="20"/>
        <v>165</v>
      </c>
      <c r="CU13" s="451">
        <f t="shared" si="20"/>
        <v>165</v>
      </c>
      <c r="CV13" s="451">
        <f t="shared" si="20"/>
        <v>165</v>
      </c>
      <c r="CW13" s="451">
        <f t="shared" si="20"/>
        <v>165</v>
      </c>
      <c r="CX13" s="451">
        <f t="shared" si="20"/>
        <v>165</v>
      </c>
      <c r="CY13" s="451">
        <f t="shared" ref="CY13:ED13" si="21">SUM(CY8:CY12)</f>
        <v>165</v>
      </c>
      <c r="CZ13" s="451">
        <f t="shared" si="21"/>
        <v>165</v>
      </c>
      <c r="DA13" s="451">
        <f t="shared" si="21"/>
        <v>165</v>
      </c>
      <c r="DB13" s="451">
        <f t="shared" si="21"/>
        <v>165</v>
      </c>
      <c r="DC13" s="451">
        <f t="shared" si="21"/>
        <v>165</v>
      </c>
      <c r="DD13" s="451">
        <f t="shared" si="21"/>
        <v>165</v>
      </c>
      <c r="DE13" s="451">
        <f t="shared" si="21"/>
        <v>165</v>
      </c>
      <c r="DF13" s="451">
        <f t="shared" si="21"/>
        <v>165</v>
      </c>
      <c r="DG13" s="451">
        <f t="shared" si="21"/>
        <v>165</v>
      </c>
      <c r="DH13" s="451">
        <f t="shared" si="21"/>
        <v>165</v>
      </c>
      <c r="DI13" s="451">
        <f t="shared" si="21"/>
        <v>165</v>
      </c>
      <c r="DJ13" s="451">
        <f t="shared" si="21"/>
        <v>165</v>
      </c>
      <c r="DK13" s="451">
        <f t="shared" si="21"/>
        <v>165</v>
      </c>
      <c r="DL13" s="451">
        <f t="shared" si="21"/>
        <v>165</v>
      </c>
      <c r="DM13" s="451">
        <f t="shared" si="21"/>
        <v>165</v>
      </c>
      <c r="DN13" s="451">
        <f t="shared" si="21"/>
        <v>165</v>
      </c>
      <c r="DO13" s="451">
        <f t="shared" si="21"/>
        <v>165</v>
      </c>
      <c r="DP13" s="451">
        <f t="shared" si="21"/>
        <v>165</v>
      </c>
      <c r="DQ13" s="451">
        <f t="shared" si="21"/>
        <v>165</v>
      </c>
      <c r="DR13" s="451">
        <f t="shared" si="21"/>
        <v>165</v>
      </c>
      <c r="DS13" s="451">
        <f t="shared" si="21"/>
        <v>165</v>
      </c>
      <c r="DT13" s="451">
        <f t="shared" si="21"/>
        <v>165</v>
      </c>
      <c r="DU13" s="451">
        <f t="shared" si="21"/>
        <v>165</v>
      </c>
      <c r="DV13" s="451">
        <f t="shared" si="21"/>
        <v>165</v>
      </c>
      <c r="DW13" s="451">
        <f t="shared" si="21"/>
        <v>165</v>
      </c>
      <c r="DX13" s="451">
        <f t="shared" si="21"/>
        <v>165</v>
      </c>
      <c r="DY13" s="451">
        <f t="shared" si="21"/>
        <v>165</v>
      </c>
      <c r="DZ13" s="451">
        <f t="shared" si="21"/>
        <v>165</v>
      </c>
      <c r="EA13" s="451">
        <f t="shared" si="21"/>
        <v>165</v>
      </c>
      <c r="EB13" s="451">
        <f t="shared" si="21"/>
        <v>165</v>
      </c>
      <c r="EC13" s="451">
        <f t="shared" si="21"/>
        <v>165</v>
      </c>
      <c r="ED13" s="451">
        <f t="shared" si="21"/>
        <v>165</v>
      </c>
      <c r="EE13" s="451">
        <f t="shared" ref="EE13:FJ13" si="22">SUM(EE8:EE12)</f>
        <v>165</v>
      </c>
      <c r="EF13" s="451">
        <f t="shared" si="22"/>
        <v>165</v>
      </c>
      <c r="EG13" s="451">
        <f t="shared" si="22"/>
        <v>165</v>
      </c>
      <c r="EH13" s="451">
        <f t="shared" si="22"/>
        <v>165</v>
      </c>
      <c r="EI13" s="451">
        <f t="shared" si="22"/>
        <v>165</v>
      </c>
      <c r="EJ13" s="451">
        <f t="shared" si="22"/>
        <v>165</v>
      </c>
      <c r="EK13" s="451">
        <f t="shared" si="22"/>
        <v>165</v>
      </c>
      <c r="EL13" s="451">
        <f t="shared" si="22"/>
        <v>165</v>
      </c>
      <c r="EM13" s="451">
        <f t="shared" si="22"/>
        <v>165</v>
      </c>
      <c r="EN13" s="451">
        <f t="shared" si="22"/>
        <v>165</v>
      </c>
      <c r="EO13" s="451">
        <f t="shared" si="22"/>
        <v>165</v>
      </c>
      <c r="EP13" s="451">
        <f t="shared" si="22"/>
        <v>165</v>
      </c>
      <c r="EQ13" s="451">
        <f t="shared" si="22"/>
        <v>165</v>
      </c>
      <c r="ER13" s="451">
        <f t="shared" si="22"/>
        <v>165</v>
      </c>
      <c r="ES13" s="451">
        <f t="shared" si="22"/>
        <v>165</v>
      </c>
      <c r="ET13" s="451">
        <f t="shared" si="22"/>
        <v>165</v>
      </c>
      <c r="EU13" s="451">
        <f t="shared" si="22"/>
        <v>165</v>
      </c>
      <c r="EV13" s="451">
        <f t="shared" si="22"/>
        <v>165</v>
      </c>
      <c r="EW13" s="451">
        <f t="shared" si="22"/>
        <v>165</v>
      </c>
      <c r="EX13" s="451">
        <f t="shared" si="22"/>
        <v>165</v>
      </c>
      <c r="EY13" s="451">
        <f t="shared" si="22"/>
        <v>165</v>
      </c>
      <c r="EZ13" s="451">
        <f t="shared" si="22"/>
        <v>165</v>
      </c>
      <c r="FA13" s="451">
        <f t="shared" si="22"/>
        <v>165</v>
      </c>
      <c r="FB13" s="452">
        <f t="shared" si="22"/>
        <v>165</v>
      </c>
    </row>
    <row r="14" spans="1:159" x14ac:dyDescent="0.25">
      <c r="E14" t="s">
        <v>333</v>
      </c>
    </row>
    <row r="15" spans="1:159" x14ac:dyDescent="0.25">
      <c r="B15" t="s">
        <v>334</v>
      </c>
      <c r="C15" t="s">
        <v>335</v>
      </c>
      <c r="D15" s="487">
        <v>85</v>
      </c>
      <c r="E15">
        <v>20</v>
      </c>
      <c r="O15" s="449"/>
      <c r="P15" s="449">
        <v>1300</v>
      </c>
      <c r="Q15" s="449">
        <v>1430</v>
      </c>
      <c r="R15" s="449">
        <v>1950</v>
      </c>
      <c r="S15" s="449">
        <v>1365</v>
      </c>
      <c r="T15" s="449">
        <v>650</v>
      </c>
      <c r="U15" s="449">
        <v>650</v>
      </c>
      <c r="V15" s="449">
        <v>715</v>
      </c>
      <c r="W15" s="449">
        <v>438.75</v>
      </c>
      <c r="X15" s="449">
        <v>650</v>
      </c>
      <c r="Y15" s="157">
        <f>+IF(Y$1&lt;&gt;X$1,R15*1.05, R15)</f>
        <v>1950</v>
      </c>
      <c r="Z15" s="157">
        <f t="shared" ref="Z15:BE15" si="23">+IF(Z$1&lt;&gt;Y$1,Y15*1.05, Y15)</f>
        <v>1950</v>
      </c>
      <c r="AA15" s="157">
        <f t="shared" si="23"/>
        <v>2047.5</v>
      </c>
      <c r="AB15" s="157">
        <f t="shared" si="23"/>
        <v>2047.5</v>
      </c>
      <c r="AC15" s="157">
        <f t="shared" si="23"/>
        <v>2047.5</v>
      </c>
      <c r="AD15" s="157">
        <f t="shared" si="23"/>
        <v>2047.5</v>
      </c>
      <c r="AE15" s="157">
        <f t="shared" si="23"/>
        <v>2047.5</v>
      </c>
      <c r="AF15" s="157">
        <f t="shared" si="23"/>
        <v>2047.5</v>
      </c>
      <c r="AG15" s="157">
        <f t="shared" si="23"/>
        <v>2047.5</v>
      </c>
      <c r="AH15" s="157">
        <f t="shared" si="23"/>
        <v>2047.5</v>
      </c>
      <c r="AI15" s="157">
        <f t="shared" si="23"/>
        <v>2047.5</v>
      </c>
      <c r="AJ15" s="157">
        <f t="shared" si="23"/>
        <v>2047.5</v>
      </c>
      <c r="AK15" s="157">
        <f t="shared" si="23"/>
        <v>2047.5</v>
      </c>
      <c r="AL15" s="157">
        <f t="shared" si="23"/>
        <v>2047.5</v>
      </c>
      <c r="AM15" s="157">
        <f t="shared" si="23"/>
        <v>2149.875</v>
      </c>
      <c r="AN15" s="157">
        <f t="shared" si="23"/>
        <v>2149.875</v>
      </c>
      <c r="AO15" s="157">
        <f t="shared" si="23"/>
        <v>2149.875</v>
      </c>
      <c r="AP15" s="157">
        <f t="shared" si="23"/>
        <v>2149.875</v>
      </c>
      <c r="AQ15" s="157">
        <f t="shared" si="23"/>
        <v>2149.875</v>
      </c>
      <c r="AR15" s="157">
        <f t="shared" si="23"/>
        <v>2149.875</v>
      </c>
      <c r="AS15" s="157">
        <f t="shared" si="23"/>
        <v>2149.875</v>
      </c>
      <c r="AT15" s="157">
        <f t="shared" si="23"/>
        <v>2149.875</v>
      </c>
      <c r="AU15" s="157">
        <f t="shared" si="23"/>
        <v>2149.875</v>
      </c>
      <c r="AV15" s="157">
        <f t="shared" si="23"/>
        <v>2149.875</v>
      </c>
      <c r="AW15" s="157">
        <f t="shared" si="23"/>
        <v>2149.875</v>
      </c>
      <c r="AX15" s="157">
        <f t="shared" si="23"/>
        <v>2149.875</v>
      </c>
      <c r="AY15" s="157">
        <f t="shared" si="23"/>
        <v>2257.3687500000001</v>
      </c>
      <c r="AZ15" s="157">
        <f t="shared" si="23"/>
        <v>2257.3687500000001</v>
      </c>
      <c r="BA15" s="157">
        <f t="shared" si="23"/>
        <v>2257.3687500000001</v>
      </c>
      <c r="BB15" s="157">
        <f t="shared" si="23"/>
        <v>2257.3687500000001</v>
      </c>
      <c r="BC15" s="157">
        <f t="shared" si="23"/>
        <v>2257.3687500000001</v>
      </c>
      <c r="BD15" s="157">
        <f t="shared" si="23"/>
        <v>2257.3687500000001</v>
      </c>
      <c r="BE15" s="157">
        <f t="shared" si="23"/>
        <v>2257.3687500000001</v>
      </c>
      <c r="BF15" s="157">
        <f t="shared" ref="BF15:CK15" si="24">+IF(BF$1&lt;&gt;BE$1,BE15*1.05, BE15)</f>
        <v>2257.3687500000001</v>
      </c>
      <c r="BG15" s="157">
        <f t="shared" si="24"/>
        <v>2257.3687500000001</v>
      </c>
      <c r="BH15" s="157">
        <f t="shared" si="24"/>
        <v>2257.3687500000001</v>
      </c>
      <c r="BI15" s="157">
        <f t="shared" si="24"/>
        <v>2257.3687500000001</v>
      </c>
      <c r="BJ15" s="157">
        <f t="shared" si="24"/>
        <v>2257.3687500000001</v>
      </c>
      <c r="BK15" s="157">
        <f t="shared" si="24"/>
        <v>2370.2371875000003</v>
      </c>
      <c r="BL15" s="157">
        <f t="shared" si="24"/>
        <v>2370.2371875000003</v>
      </c>
      <c r="BM15" s="157">
        <f t="shared" si="24"/>
        <v>2370.2371875000003</v>
      </c>
      <c r="BN15" s="157">
        <f t="shared" si="24"/>
        <v>2370.2371875000003</v>
      </c>
      <c r="BO15" s="157">
        <f t="shared" si="24"/>
        <v>2370.2371875000003</v>
      </c>
      <c r="BP15" s="157">
        <f t="shared" si="24"/>
        <v>2370.2371875000003</v>
      </c>
      <c r="BQ15" s="157">
        <f t="shared" si="24"/>
        <v>2370.2371875000003</v>
      </c>
      <c r="BR15" s="157">
        <f t="shared" si="24"/>
        <v>2370.2371875000003</v>
      </c>
      <c r="BS15" s="157">
        <f t="shared" si="24"/>
        <v>2370.2371875000003</v>
      </c>
      <c r="BT15" s="157">
        <f t="shared" si="24"/>
        <v>2370.2371875000003</v>
      </c>
      <c r="BU15" s="157">
        <f t="shared" si="24"/>
        <v>2370.2371875000003</v>
      </c>
      <c r="BV15" s="157">
        <f t="shared" si="24"/>
        <v>2370.2371875000003</v>
      </c>
      <c r="BW15" s="157">
        <f t="shared" si="24"/>
        <v>2488.7490468750007</v>
      </c>
      <c r="BX15" s="157">
        <f t="shared" si="24"/>
        <v>2488.7490468750007</v>
      </c>
      <c r="BY15" s="157">
        <f t="shared" si="24"/>
        <v>2488.7490468750007</v>
      </c>
      <c r="BZ15" s="157">
        <f t="shared" si="24"/>
        <v>2488.7490468750007</v>
      </c>
      <c r="CA15" s="157">
        <f t="shared" si="24"/>
        <v>2488.7490468750007</v>
      </c>
      <c r="CB15" s="157">
        <f t="shared" si="24"/>
        <v>2488.7490468750007</v>
      </c>
      <c r="CC15" s="157">
        <f t="shared" si="24"/>
        <v>2488.7490468750007</v>
      </c>
      <c r="CD15" s="157">
        <f t="shared" si="24"/>
        <v>2488.7490468750007</v>
      </c>
      <c r="CE15" s="157">
        <f t="shared" si="24"/>
        <v>2488.7490468750007</v>
      </c>
      <c r="CF15" s="157">
        <f t="shared" si="24"/>
        <v>2488.7490468750007</v>
      </c>
      <c r="CG15" s="157">
        <f t="shared" si="24"/>
        <v>2488.7490468750007</v>
      </c>
      <c r="CH15" s="157">
        <f t="shared" si="24"/>
        <v>2488.7490468750007</v>
      </c>
      <c r="CI15" s="157">
        <f t="shared" si="24"/>
        <v>2613.1864992187507</v>
      </c>
      <c r="CJ15" s="157">
        <f t="shared" si="24"/>
        <v>2613.1864992187507</v>
      </c>
      <c r="CK15" s="157">
        <f t="shared" si="24"/>
        <v>2613.1864992187507</v>
      </c>
      <c r="CL15" s="157">
        <f t="shared" ref="CL15:DQ15" si="25">+IF(CL$1&lt;&gt;CK$1,CK15*1.05, CK15)</f>
        <v>2613.1864992187507</v>
      </c>
      <c r="CM15" s="157">
        <f t="shared" si="25"/>
        <v>2613.1864992187507</v>
      </c>
      <c r="CN15" s="157">
        <f t="shared" si="25"/>
        <v>2613.1864992187507</v>
      </c>
      <c r="CO15" s="157">
        <f t="shared" si="25"/>
        <v>2613.1864992187507</v>
      </c>
      <c r="CP15" s="157">
        <f t="shared" si="25"/>
        <v>2613.1864992187507</v>
      </c>
      <c r="CQ15" s="157">
        <f t="shared" si="25"/>
        <v>2613.1864992187507</v>
      </c>
      <c r="CR15" s="157">
        <f t="shared" si="25"/>
        <v>2613.1864992187507</v>
      </c>
      <c r="CS15" s="157">
        <f t="shared" si="25"/>
        <v>2613.1864992187507</v>
      </c>
      <c r="CT15" s="157">
        <f t="shared" si="25"/>
        <v>2613.1864992187507</v>
      </c>
      <c r="CU15" s="157">
        <f t="shared" si="25"/>
        <v>2743.8458241796884</v>
      </c>
      <c r="CV15" s="157">
        <f t="shared" si="25"/>
        <v>2743.8458241796884</v>
      </c>
      <c r="CW15" s="157">
        <f t="shared" si="25"/>
        <v>2743.8458241796884</v>
      </c>
      <c r="CX15" s="157">
        <f t="shared" si="25"/>
        <v>2743.8458241796884</v>
      </c>
      <c r="CY15" s="157">
        <f t="shared" si="25"/>
        <v>2743.8458241796884</v>
      </c>
      <c r="CZ15" s="157">
        <f t="shared" si="25"/>
        <v>2743.8458241796884</v>
      </c>
      <c r="DA15" s="157">
        <f t="shared" si="25"/>
        <v>2743.8458241796884</v>
      </c>
      <c r="DB15" s="157">
        <f t="shared" si="25"/>
        <v>2743.8458241796884</v>
      </c>
      <c r="DC15" s="157">
        <f t="shared" si="25"/>
        <v>2743.8458241796884</v>
      </c>
      <c r="DD15" s="157">
        <f t="shared" si="25"/>
        <v>2743.8458241796884</v>
      </c>
      <c r="DE15" s="157">
        <f t="shared" si="25"/>
        <v>2743.8458241796884</v>
      </c>
      <c r="DF15" s="157">
        <f t="shared" si="25"/>
        <v>2743.8458241796884</v>
      </c>
      <c r="DG15" s="157">
        <f t="shared" si="25"/>
        <v>2881.0381153886728</v>
      </c>
      <c r="DH15" s="157">
        <f t="shared" si="25"/>
        <v>2881.0381153886728</v>
      </c>
      <c r="DI15" s="157">
        <f t="shared" si="25"/>
        <v>2881.0381153886728</v>
      </c>
      <c r="DJ15" s="157">
        <f t="shared" si="25"/>
        <v>2881.0381153886728</v>
      </c>
      <c r="DK15" s="157">
        <f t="shared" si="25"/>
        <v>2881.0381153886728</v>
      </c>
      <c r="DL15" s="157">
        <f t="shared" si="25"/>
        <v>3025.0900211581065</v>
      </c>
      <c r="DM15" s="157">
        <f t="shared" si="25"/>
        <v>3025.0900211581065</v>
      </c>
      <c r="DN15" s="157">
        <f t="shared" si="25"/>
        <v>3025.0900211581065</v>
      </c>
      <c r="DO15" s="157">
        <f t="shared" si="25"/>
        <v>3025.0900211581065</v>
      </c>
      <c r="DP15" s="157">
        <f t="shared" si="25"/>
        <v>3025.0900211581065</v>
      </c>
      <c r="DQ15" s="157">
        <f t="shared" si="25"/>
        <v>3025.0900211581065</v>
      </c>
      <c r="DR15" s="157">
        <f t="shared" ref="DR15:FB15" si="26">+IF(DR$1&lt;&gt;DQ$1,DQ15*1.05, DQ15)</f>
        <v>3025.0900211581065</v>
      </c>
      <c r="DS15" s="157">
        <f t="shared" si="26"/>
        <v>3025.0900211581065</v>
      </c>
      <c r="DT15" s="157">
        <f t="shared" si="26"/>
        <v>3025.0900211581065</v>
      </c>
      <c r="DU15" s="157">
        <f t="shared" si="26"/>
        <v>3025.0900211581065</v>
      </c>
      <c r="DV15" s="157">
        <f t="shared" si="26"/>
        <v>3025.0900211581065</v>
      </c>
      <c r="DW15" s="157">
        <f t="shared" si="26"/>
        <v>3025.0900211581065</v>
      </c>
      <c r="DX15" s="157">
        <f t="shared" si="26"/>
        <v>3025.0900211581065</v>
      </c>
      <c r="DY15" s="157">
        <f t="shared" si="26"/>
        <v>3025.0900211581065</v>
      </c>
      <c r="DZ15" s="157">
        <f t="shared" si="26"/>
        <v>3025.0900211581065</v>
      </c>
      <c r="EA15" s="157">
        <f t="shared" si="26"/>
        <v>3025.0900211581065</v>
      </c>
      <c r="EB15" s="157">
        <f t="shared" si="26"/>
        <v>3025.0900211581065</v>
      </c>
      <c r="EC15" s="157">
        <f t="shared" si="26"/>
        <v>3025.0900211581065</v>
      </c>
      <c r="ED15" s="157">
        <f t="shared" si="26"/>
        <v>3025.0900211581065</v>
      </c>
      <c r="EE15" s="157">
        <f t="shared" si="26"/>
        <v>3025.0900211581065</v>
      </c>
      <c r="EF15" s="157">
        <f t="shared" si="26"/>
        <v>3025.0900211581065</v>
      </c>
      <c r="EG15" s="157">
        <f t="shared" si="26"/>
        <v>3025.0900211581065</v>
      </c>
      <c r="EH15" s="157">
        <f t="shared" si="26"/>
        <v>3025.0900211581065</v>
      </c>
      <c r="EI15" s="157">
        <f t="shared" si="26"/>
        <v>3025.0900211581065</v>
      </c>
      <c r="EJ15" s="157">
        <f t="shared" si="26"/>
        <v>3025.0900211581065</v>
      </c>
      <c r="EK15" s="157">
        <f t="shared" si="26"/>
        <v>3025.0900211581065</v>
      </c>
      <c r="EL15" s="157">
        <f t="shared" si="26"/>
        <v>3025.0900211581065</v>
      </c>
      <c r="EM15" s="157">
        <f t="shared" si="26"/>
        <v>3025.0900211581065</v>
      </c>
      <c r="EN15" s="157">
        <f t="shared" si="26"/>
        <v>3025.0900211581065</v>
      </c>
      <c r="EO15" s="157">
        <f t="shared" si="26"/>
        <v>3025.0900211581065</v>
      </c>
      <c r="EP15" s="157">
        <f t="shared" si="26"/>
        <v>3025.0900211581065</v>
      </c>
      <c r="EQ15" s="157">
        <f t="shared" si="26"/>
        <v>3025.0900211581065</v>
      </c>
      <c r="ER15" s="157">
        <f t="shared" si="26"/>
        <v>3025.0900211581065</v>
      </c>
      <c r="ES15" s="157">
        <f t="shared" si="26"/>
        <v>3025.0900211581065</v>
      </c>
      <c r="ET15" s="157">
        <f t="shared" si="26"/>
        <v>3025.0900211581065</v>
      </c>
      <c r="EU15" s="157">
        <f t="shared" si="26"/>
        <v>3025.0900211581065</v>
      </c>
      <c r="EV15" s="157">
        <f t="shared" si="26"/>
        <v>3025.0900211581065</v>
      </c>
      <c r="EW15" s="157">
        <f t="shared" si="26"/>
        <v>3025.0900211581065</v>
      </c>
      <c r="EX15" s="157">
        <f t="shared" si="26"/>
        <v>3025.0900211581065</v>
      </c>
      <c r="EY15" s="157">
        <f t="shared" si="26"/>
        <v>3025.0900211581065</v>
      </c>
      <c r="EZ15" s="157">
        <f t="shared" si="26"/>
        <v>3025.0900211581065</v>
      </c>
      <c r="FA15" s="157">
        <f t="shared" si="26"/>
        <v>3025.0900211581065</v>
      </c>
      <c r="FB15" s="157">
        <f t="shared" si="26"/>
        <v>3025.0900211581065</v>
      </c>
    </row>
    <row r="18" spans="5:158" x14ac:dyDescent="0.25">
      <c r="E18" s="450" t="s">
        <v>336</v>
      </c>
      <c r="F18" s="5"/>
      <c r="G18" s="451">
        <f>SUM(G13:G17)</f>
        <v>0</v>
      </c>
      <c r="H18" s="451">
        <f t="shared" ref="H18:AM18" si="27">SUM(H14:H17)</f>
        <v>0</v>
      </c>
      <c r="I18" s="451">
        <f t="shared" si="27"/>
        <v>0</v>
      </c>
      <c r="J18" s="451">
        <f t="shared" si="27"/>
        <v>0</v>
      </c>
      <c r="K18" s="451">
        <f t="shared" si="27"/>
        <v>0</v>
      </c>
      <c r="L18" s="451">
        <f t="shared" si="27"/>
        <v>0</v>
      </c>
      <c r="M18" s="452">
        <f t="shared" si="27"/>
        <v>0</v>
      </c>
      <c r="N18" s="451">
        <f t="shared" si="27"/>
        <v>0</v>
      </c>
      <c r="O18" s="451">
        <f t="shared" si="27"/>
        <v>0</v>
      </c>
      <c r="P18" s="451">
        <f t="shared" si="27"/>
        <v>1300</v>
      </c>
      <c r="Q18" s="451">
        <f t="shared" si="27"/>
        <v>1430</v>
      </c>
      <c r="R18" s="451">
        <f t="shared" si="27"/>
        <v>1950</v>
      </c>
      <c r="S18" s="451">
        <f t="shared" si="27"/>
        <v>1365</v>
      </c>
      <c r="T18" s="451">
        <f t="shared" si="27"/>
        <v>650</v>
      </c>
      <c r="U18" s="451">
        <f t="shared" si="27"/>
        <v>650</v>
      </c>
      <c r="V18" s="451">
        <f t="shared" si="27"/>
        <v>715</v>
      </c>
      <c r="W18" s="451">
        <f t="shared" si="27"/>
        <v>438.75</v>
      </c>
      <c r="X18" s="451">
        <f t="shared" si="27"/>
        <v>650</v>
      </c>
      <c r="Y18" s="451">
        <f t="shared" si="27"/>
        <v>1950</v>
      </c>
      <c r="Z18" s="451">
        <f t="shared" si="27"/>
        <v>1950</v>
      </c>
      <c r="AA18" s="451">
        <f t="shared" si="27"/>
        <v>2047.5</v>
      </c>
      <c r="AB18" s="451">
        <f t="shared" si="27"/>
        <v>2047.5</v>
      </c>
      <c r="AC18" s="451">
        <f t="shared" si="27"/>
        <v>2047.5</v>
      </c>
      <c r="AD18" s="451">
        <f t="shared" si="27"/>
        <v>2047.5</v>
      </c>
      <c r="AE18" s="451">
        <f t="shared" si="27"/>
        <v>2047.5</v>
      </c>
      <c r="AF18" s="451">
        <f t="shared" si="27"/>
        <v>2047.5</v>
      </c>
      <c r="AG18" s="451">
        <f t="shared" si="27"/>
        <v>2047.5</v>
      </c>
      <c r="AH18" s="451">
        <f t="shared" si="27"/>
        <v>2047.5</v>
      </c>
      <c r="AI18" s="451">
        <f t="shared" si="27"/>
        <v>2047.5</v>
      </c>
      <c r="AJ18" s="451">
        <f t="shared" si="27"/>
        <v>2047.5</v>
      </c>
      <c r="AK18" s="451">
        <f t="shared" si="27"/>
        <v>2047.5</v>
      </c>
      <c r="AL18" s="451">
        <f t="shared" si="27"/>
        <v>2047.5</v>
      </c>
      <c r="AM18" s="451">
        <f t="shared" si="27"/>
        <v>2149.875</v>
      </c>
      <c r="AN18" s="451">
        <f t="shared" ref="AN18:BS18" si="28">SUM(AN14:AN17)</f>
        <v>2149.875</v>
      </c>
      <c r="AO18" s="451">
        <f t="shared" si="28"/>
        <v>2149.875</v>
      </c>
      <c r="AP18" s="451">
        <f t="shared" si="28"/>
        <v>2149.875</v>
      </c>
      <c r="AQ18" s="451">
        <f t="shared" si="28"/>
        <v>2149.875</v>
      </c>
      <c r="AR18" s="451">
        <f t="shared" si="28"/>
        <v>2149.875</v>
      </c>
      <c r="AS18" s="451">
        <f t="shared" si="28"/>
        <v>2149.875</v>
      </c>
      <c r="AT18" s="451">
        <f t="shared" si="28"/>
        <v>2149.875</v>
      </c>
      <c r="AU18" s="451">
        <f t="shared" si="28"/>
        <v>2149.875</v>
      </c>
      <c r="AV18" s="451">
        <f t="shared" si="28"/>
        <v>2149.875</v>
      </c>
      <c r="AW18" s="451">
        <f t="shared" si="28"/>
        <v>2149.875</v>
      </c>
      <c r="AX18" s="451">
        <f t="shared" si="28"/>
        <v>2149.875</v>
      </c>
      <c r="AY18" s="451">
        <f t="shared" si="28"/>
        <v>2257.3687500000001</v>
      </c>
      <c r="AZ18" s="451">
        <f t="shared" si="28"/>
        <v>2257.3687500000001</v>
      </c>
      <c r="BA18" s="451">
        <f t="shared" si="28"/>
        <v>2257.3687500000001</v>
      </c>
      <c r="BB18" s="451">
        <f t="shared" si="28"/>
        <v>2257.3687500000001</v>
      </c>
      <c r="BC18" s="451">
        <f t="shared" si="28"/>
        <v>2257.3687500000001</v>
      </c>
      <c r="BD18" s="451">
        <f t="shared" si="28"/>
        <v>2257.3687500000001</v>
      </c>
      <c r="BE18" s="451">
        <f t="shared" si="28"/>
        <v>2257.3687500000001</v>
      </c>
      <c r="BF18" s="451">
        <f t="shared" si="28"/>
        <v>2257.3687500000001</v>
      </c>
      <c r="BG18" s="451">
        <f t="shared" si="28"/>
        <v>2257.3687500000001</v>
      </c>
      <c r="BH18" s="451">
        <f t="shared" si="28"/>
        <v>2257.3687500000001</v>
      </c>
      <c r="BI18" s="451">
        <f t="shared" si="28"/>
        <v>2257.3687500000001</v>
      </c>
      <c r="BJ18" s="451">
        <f t="shared" si="28"/>
        <v>2257.3687500000001</v>
      </c>
      <c r="BK18" s="451">
        <f t="shared" si="28"/>
        <v>2370.2371875000003</v>
      </c>
      <c r="BL18" s="451">
        <f t="shared" si="28"/>
        <v>2370.2371875000003</v>
      </c>
      <c r="BM18" s="451">
        <f t="shared" si="28"/>
        <v>2370.2371875000003</v>
      </c>
      <c r="BN18" s="451">
        <f t="shared" si="28"/>
        <v>2370.2371875000003</v>
      </c>
      <c r="BO18" s="451">
        <f t="shared" si="28"/>
        <v>2370.2371875000003</v>
      </c>
      <c r="BP18" s="451">
        <f t="shared" si="28"/>
        <v>2370.2371875000003</v>
      </c>
      <c r="BQ18" s="451">
        <f t="shared" si="28"/>
        <v>2370.2371875000003</v>
      </c>
      <c r="BR18" s="451">
        <f t="shared" si="28"/>
        <v>2370.2371875000003</v>
      </c>
      <c r="BS18" s="451">
        <f t="shared" si="28"/>
        <v>2370.2371875000003</v>
      </c>
      <c r="BT18" s="451">
        <f t="shared" ref="BT18:CY18" si="29">SUM(BT14:BT17)</f>
        <v>2370.2371875000003</v>
      </c>
      <c r="BU18" s="451">
        <f t="shared" si="29"/>
        <v>2370.2371875000003</v>
      </c>
      <c r="BV18" s="451">
        <f t="shared" si="29"/>
        <v>2370.2371875000003</v>
      </c>
      <c r="BW18" s="451">
        <f t="shared" si="29"/>
        <v>2488.7490468750007</v>
      </c>
      <c r="BX18" s="451">
        <f t="shared" si="29"/>
        <v>2488.7490468750007</v>
      </c>
      <c r="BY18" s="451">
        <f t="shared" si="29"/>
        <v>2488.7490468750007</v>
      </c>
      <c r="BZ18" s="451">
        <f t="shared" si="29"/>
        <v>2488.7490468750007</v>
      </c>
      <c r="CA18" s="451">
        <f t="shared" si="29"/>
        <v>2488.7490468750007</v>
      </c>
      <c r="CB18" s="451">
        <f t="shared" si="29"/>
        <v>2488.7490468750007</v>
      </c>
      <c r="CC18" s="451">
        <f t="shared" si="29"/>
        <v>2488.7490468750007</v>
      </c>
      <c r="CD18" s="451">
        <f t="shared" si="29"/>
        <v>2488.7490468750007</v>
      </c>
      <c r="CE18" s="451">
        <f t="shared" si="29"/>
        <v>2488.7490468750007</v>
      </c>
      <c r="CF18" s="451">
        <f t="shared" si="29"/>
        <v>2488.7490468750007</v>
      </c>
      <c r="CG18" s="451">
        <f t="shared" si="29"/>
        <v>2488.7490468750007</v>
      </c>
      <c r="CH18" s="451">
        <f t="shared" si="29"/>
        <v>2488.7490468750007</v>
      </c>
      <c r="CI18" s="451">
        <f t="shared" si="29"/>
        <v>2613.1864992187507</v>
      </c>
      <c r="CJ18" s="451">
        <f t="shared" si="29"/>
        <v>2613.1864992187507</v>
      </c>
      <c r="CK18" s="451">
        <f t="shared" si="29"/>
        <v>2613.1864992187507</v>
      </c>
      <c r="CL18" s="451">
        <f t="shared" si="29"/>
        <v>2613.1864992187507</v>
      </c>
      <c r="CM18" s="451">
        <f t="shared" si="29"/>
        <v>2613.1864992187507</v>
      </c>
      <c r="CN18" s="451">
        <f t="shared" si="29"/>
        <v>2613.1864992187507</v>
      </c>
      <c r="CO18" s="451">
        <f t="shared" si="29"/>
        <v>2613.1864992187507</v>
      </c>
      <c r="CP18" s="451">
        <f t="shared" si="29"/>
        <v>2613.1864992187507</v>
      </c>
      <c r="CQ18" s="451">
        <f t="shared" si="29"/>
        <v>2613.1864992187507</v>
      </c>
      <c r="CR18" s="451">
        <f t="shared" si="29"/>
        <v>2613.1864992187507</v>
      </c>
      <c r="CS18" s="451">
        <f t="shared" si="29"/>
        <v>2613.1864992187507</v>
      </c>
      <c r="CT18" s="451">
        <f t="shared" si="29"/>
        <v>2613.1864992187507</v>
      </c>
      <c r="CU18" s="451">
        <f t="shared" si="29"/>
        <v>2743.8458241796884</v>
      </c>
      <c r="CV18" s="451">
        <f t="shared" si="29"/>
        <v>2743.8458241796884</v>
      </c>
      <c r="CW18" s="451">
        <f t="shared" si="29"/>
        <v>2743.8458241796884</v>
      </c>
      <c r="CX18" s="451">
        <f t="shared" si="29"/>
        <v>2743.8458241796884</v>
      </c>
      <c r="CY18" s="451">
        <f t="shared" si="29"/>
        <v>2743.8458241796884</v>
      </c>
      <c r="CZ18" s="451">
        <f t="shared" ref="CZ18:EE18" si="30">SUM(CZ14:CZ17)</f>
        <v>2743.8458241796884</v>
      </c>
      <c r="DA18" s="451">
        <f t="shared" si="30"/>
        <v>2743.8458241796884</v>
      </c>
      <c r="DB18" s="451">
        <f t="shared" si="30"/>
        <v>2743.8458241796884</v>
      </c>
      <c r="DC18" s="451">
        <f t="shared" si="30"/>
        <v>2743.8458241796884</v>
      </c>
      <c r="DD18" s="451">
        <f t="shared" si="30"/>
        <v>2743.8458241796884</v>
      </c>
      <c r="DE18" s="451">
        <f t="shared" si="30"/>
        <v>2743.8458241796884</v>
      </c>
      <c r="DF18" s="451">
        <f t="shared" si="30"/>
        <v>2743.8458241796884</v>
      </c>
      <c r="DG18" s="451">
        <f t="shared" si="30"/>
        <v>2881.0381153886728</v>
      </c>
      <c r="DH18" s="451">
        <f t="shared" si="30"/>
        <v>2881.0381153886728</v>
      </c>
      <c r="DI18" s="451">
        <f t="shared" si="30"/>
        <v>2881.0381153886728</v>
      </c>
      <c r="DJ18" s="451">
        <f t="shared" si="30"/>
        <v>2881.0381153886728</v>
      </c>
      <c r="DK18" s="451">
        <f t="shared" si="30"/>
        <v>2881.0381153886728</v>
      </c>
      <c r="DL18" s="451">
        <f t="shared" si="30"/>
        <v>3025.0900211581065</v>
      </c>
      <c r="DM18" s="451">
        <f t="shared" si="30"/>
        <v>3025.0900211581065</v>
      </c>
      <c r="DN18" s="451">
        <f t="shared" si="30"/>
        <v>3025.0900211581065</v>
      </c>
      <c r="DO18" s="451">
        <f t="shared" si="30"/>
        <v>3025.0900211581065</v>
      </c>
      <c r="DP18" s="451">
        <f t="shared" si="30"/>
        <v>3025.0900211581065</v>
      </c>
      <c r="DQ18" s="451">
        <f t="shared" si="30"/>
        <v>3025.0900211581065</v>
      </c>
      <c r="DR18" s="451">
        <f t="shared" si="30"/>
        <v>3025.0900211581065</v>
      </c>
      <c r="DS18" s="451">
        <f t="shared" si="30"/>
        <v>3025.0900211581065</v>
      </c>
      <c r="DT18" s="451">
        <f t="shared" si="30"/>
        <v>3025.0900211581065</v>
      </c>
      <c r="DU18" s="451">
        <f t="shared" si="30"/>
        <v>3025.0900211581065</v>
      </c>
      <c r="DV18" s="451">
        <f t="shared" si="30"/>
        <v>3025.0900211581065</v>
      </c>
      <c r="DW18" s="451">
        <f t="shared" si="30"/>
        <v>3025.0900211581065</v>
      </c>
      <c r="DX18" s="451">
        <f t="shared" si="30"/>
        <v>3025.0900211581065</v>
      </c>
      <c r="DY18" s="451">
        <f t="shared" si="30"/>
        <v>3025.0900211581065</v>
      </c>
      <c r="DZ18" s="451">
        <f t="shared" si="30"/>
        <v>3025.0900211581065</v>
      </c>
      <c r="EA18" s="451">
        <f t="shared" si="30"/>
        <v>3025.0900211581065</v>
      </c>
      <c r="EB18" s="451">
        <f t="shared" si="30"/>
        <v>3025.0900211581065</v>
      </c>
      <c r="EC18" s="451">
        <f t="shared" si="30"/>
        <v>3025.0900211581065</v>
      </c>
      <c r="ED18" s="451">
        <f t="shared" si="30"/>
        <v>3025.0900211581065</v>
      </c>
      <c r="EE18" s="451">
        <f t="shared" si="30"/>
        <v>3025.0900211581065</v>
      </c>
      <c r="EF18" s="451">
        <f t="shared" ref="EF18:FK18" si="31">SUM(EF14:EF17)</f>
        <v>3025.0900211581065</v>
      </c>
      <c r="EG18" s="451">
        <f t="shared" si="31"/>
        <v>3025.0900211581065</v>
      </c>
      <c r="EH18" s="451">
        <f t="shared" si="31"/>
        <v>3025.0900211581065</v>
      </c>
      <c r="EI18" s="451">
        <f t="shared" si="31"/>
        <v>3025.0900211581065</v>
      </c>
      <c r="EJ18" s="451">
        <f t="shared" si="31"/>
        <v>3025.0900211581065</v>
      </c>
      <c r="EK18" s="451">
        <f t="shared" si="31"/>
        <v>3025.0900211581065</v>
      </c>
      <c r="EL18" s="451">
        <f t="shared" si="31"/>
        <v>3025.0900211581065</v>
      </c>
      <c r="EM18" s="451">
        <f t="shared" si="31"/>
        <v>3025.0900211581065</v>
      </c>
      <c r="EN18" s="451">
        <f t="shared" si="31"/>
        <v>3025.0900211581065</v>
      </c>
      <c r="EO18" s="451">
        <f t="shared" si="31"/>
        <v>3025.0900211581065</v>
      </c>
      <c r="EP18" s="451">
        <f t="shared" si="31"/>
        <v>3025.0900211581065</v>
      </c>
      <c r="EQ18" s="451">
        <f t="shared" si="31"/>
        <v>3025.0900211581065</v>
      </c>
      <c r="ER18" s="451">
        <f t="shared" si="31"/>
        <v>3025.0900211581065</v>
      </c>
      <c r="ES18" s="451">
        <f t="shared" si="31"/>
        <v>3025.0900211581065</v>
      </c>
      <c r="ET18" s="451">
        <f t="shared" si="31"/>
        <v>3025.0900211581065</v>
      </c>
      <c r="EU18" s="451">
        <f t="shared" si="31"/>
        <v>3025.0900211581065</v>
      </c>
      <c r="EV18" s="451">
        <f t="shared" si="31"/>
        <v>3025.0900211581065</v>
      </c>
      <c r="EW18" s="451">
        <f t="shared" si="31"/>
        <v>3025.0900211581065</v>
      </c>
      <c r="EX18" s="451">
        <f t="shared" si="31"/>
        <v>3025.0900211581065</v>
      </c>
      <c r="EY18" s="451">
        <f t="shared" si="31"/>
        <v>3025.0900211581065</v>
      </c>
      <c r="EZ18" s="451">
        <f t="shared" si="31"/>
        <v>3025.0900211581065</v>
      </c>
      <c r="FA18" s="451">
        <f t="shared" si="31"/>
        <v>3025.0900211581065</v>
      </c>
      <c r="FB18" s="452">
        <f t="shared" si="31"/>
        <v>3025.0900211581065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B2:C93"/>
  <sheetViews>
    <sheetView topLeftCell="A64" workbookViewId="0">
      <selection activeCell="C77" sqref="C77"/>
    </sheetView>
  </sheetViews>
  <sheetFormatPr defaultColWidth="8.7109375" defaultRowHeight="15" x14ac:dyDescent="0.25"/>
  <cols>
    <col min="2" max="2" width="10.7109375" bestFit="1" customWidth="1"/>
    <col min="3" max="3" width="14.28515625" bestFit="1" customWidth="1"/>
  </cols>
  <sheetData>
    <row r="2" spans="2:3" x14ac:dyDescent="0.25">
      <c r="B2" s="12" t="s">
        <v>337</v>
      </c>
      <c r="C2" s="13"/>
    </row>
    <row r="3" spans="2:3" x14ac:dyDescent="0.25">
      <c r="B3" s="14">
        <v>43831</v>
      </c>
      <c r="C3" t="s">
        <v>338</v>
      </c>
    </row>
    <row r="4" spans="2:3" x14ac:dyDescent="0.25">
      <c r="B4" s="14">
        <v>43850</v>
      </c>
      <c r="C4" t="s">
        <v>339</v>
      </c>
    </row>
    <row r="5" spans="2:3" x14ac:dyDescent="0.25">
      <c r="B5" s="14">
        <v>43878</v>
      </c>
      <c r="C5" t="s">
        <v>340</v>
      </c>
    </row>
    <row r="6" spans="2:3" x14ac:dyDescent="0.25">
      <c r="B6" s="14">
        <v>43976</v>
      </c>
      <c r="C6" t="s">
        <v>341</v>
      </c>
    </row>
    <row r="7" spans="2:3" x14ac:dyDescent="0.25">
      <c r="B7" s="14">
        <v>44081</v>
      </c>
      <c r="C7" t="s">
        <v>342</v>
      </c>
    </row>
    <row r="8" spans="2:3" x14ac:dyDescent="0.25">
      <c r="B8" s="14">
        <v>44016</v>
      </c>
      <c r="C8" t="s">
        <v>343</v>
      </c>
    </row>
    <row r="9" spans="2:3" x14ac:dyDescent="0.25">
      <c r="B9" s="14">
        <v>44161</v>
      </c>
      <c r="C9" t="s">
        <v>344</v>
      </c>
    </row>
    <row r="10" spans="2:3" x14ac:dyDescent="0.25">
      <c r="B10" s="14">
        <f>+B9+1</f>
        <v>44162</v>
      </c>
      <c r="C10" t="s">
        <v>345</v>
      </c>
    </row>
    <row r="11" spans="2:3" x14ac:dyDescent="0.25">
      <c r="B11" s="14">
        <v>44189</v>
      </c>
      <c r="C11" t="s">
        <v>346</v>
      </c>
    </row>
    <row r="12" spans="2:3" x14ac:dyDescent="0.25">
      <c r="B12" s="14">
        <f>+B11+1</f>
        <v>44190</v>
      </c>
      <c r="C12" t="s">
        <v>347</v>
      </c>
    </row>
    <row r="13" spans="2:3" x14ac:dyDescent="0.25">
      <c r="B13" s="14">
        <f t="shared" ref="B13:B22" si="0">+B3+366</f>
        <v>44197</v>
      </c>
      <c r="C13" t="s">
        <v>338</v>
      </c>
    </row>
    <row r="14" spans="2:3" x14ac:dyDescent="0.25">
      <c r="B14" s="14">
        <f t="shared" si="0"/>
        <v>44216</v>
      </c>
      <c r="C14" t="s">
        <v>339</v>
      </c>
    </row>
    <row r="15" spans="2:3" x14ac:dyDescent="0.25">
      <c r="B15" s="14">
        <f t="shared" si="0"/>
        <v>44244</v>
      </c>
      <c r="C15" t="s">
        <v>340</v>
      </c>
    </row>
    <row r="16" spans="2:3" x14ac:dyDescent="0.25">
      <c r="B16" s="14">
        <f t="shared" si="0"/>
        <v>44342</v>
      </c>
      <c r="C16" t="s">
        <v>341</v>
      </c>
    </row>
    <row r="17" spans="2:3" x14ac:dyDescent="0.25">
      <c r="B17" s="14">
        <f t="shared" si="0"/>
        <v>44447</v>
      </c>
      <c r="C17" t="s">
        <v>342</v>
      </c>
    </row>
    <row r="18" spans="2:3" x14ac:dyDescent="0.25">
      <c r="B18" s="14">
        <f t="shared" si="0"/>
        <v>44382</v>
      </c>
      <c r="C18" t="s">
        <v>343</v>
      </c>
    </row>
    <row r="19" spans="2:3" x14ac:dyDescent="0.25">
      <c r="B19" s="14">
        <f t="shared" si="0"/>
        <v>44527</v>
      </c>
      <c r="C19" t="s">
        <v>344</v>
      </c>
    </row>
    <row r="20" spans="2:3" x14ac:dyDescent="0.25">
      <c r="B20" s="14">
        <f t="shared" si="0"/>
        <v>44528</v>
      </c>
      <c r="C20" t="s">
        <v>345</v>
      </c>
    </row>
    <row r="21" spans="2:3" x14ac:dyDescent="0.25">
      <c r="B21" s="14">
        <f t="shared" si="0"/>
        <v>44555</v>
      </c>
      <c r="C21" t="s">
        <v>346</v>
      </c>
    </row>
    <row r="22" spans="2:3" x14ac:dyDescent="0.25">
      <c r="B22" s="14">
        <f t="shared" si="0"/>
        <v>44556</v>
      </c>
      <c r="C22" t="s">
        <v>347</v>
      </c>
    </row>
    <row r="23" spans="2:3" x14ac:dyDescent="0.25">
      <c r="B23" s="14">
        <f t="shared" ref="B23:B54" si="1">+B13+365</f>
        <v>44562</v>
      </c>
      <c r="C23" t="s">
        <v>338</v>
      </c>
    </row>
    <row r="24" spans="2:3" x14ac:dyDescent="0.25">
      <c r="B24" s="14">
        <f t="shared" si="1"/>
        <v>44581</v>
      </c>
      <c r="C24" t="s">
        <v>339</v>
      </c>
    </row>
    <row r="25" spans="2:3" x14ac:dyDescent="0.25">
      <c r="B25" s="14">
        <f t="shared" si="1"/>
        <v>44609</v>
      </c>
      <c r="C25" t="s">
        <v>340</v>
      </c>
    </row>
    <row r="26" spans="2:3" x14ac:dyDescent="0.25">
      <c r="B26" s="14">
        <f t="shared" si="1"/>
        <v>44707</v>
      </c>
      <c r="C26" t="s">
        <v>341</v>
      </c>
    </row>
    <row r="27" spans="2:3" x14ac:dyDescent="0.25">
      <c r="B27" s="14">
        <f t="shared" si="1"/>
        <v>44812</v>
      </c>
      <c r="C27" t="s">
        <v>342</v>
      </c>
    </row>
    <row r="28" spans="2:3" x14ac:dyDescent="0.25">
      <c r="B28" s="14">
        <f t="shared" si="1"/>
        <v>44747</v>
      </c>
      <c r="C28" t="s">
        <v>343</v>
      </c>
    </row>
    <row r="29" spans="2:3" x14ac:dyDescent="0.25">
      <c r="B29" s="14">
        <f t="shared" si="1"/>
        <v>44892</v>
      </c>
      <c r="C29" t="s">
        <v>344</v>
      </c>
    </row>
    <row r="30" spans="2:3" x14ac:dyDescent="0.25">
      <c r="B30" s="14">
        <f t="shared" si="1"/>
        <v>44893</v>
      </c>
      <c r="C30" t="s">
        <v>345</v>
      </c>
    </row>
    <row r="31" spans="2:3" x14ac:dyDescent="0.25">
      <c r="B31" s="14">
        <f t="shared" si="1"/>
        <v>44920</v>
      </c>
      <c r="C31" t="s">
        <v>346</v>
      </c>
    </row>
    <row r="32" spans="2:3" x14ac:dyDescent="0.25">
      <c r="B32" s="14">
        <f t="shared" si="1"/>
        <v>44921</v>
      </c>
      <c r="C32" t="s">
        <v>347</v>
      </c>
    </row>
    <row r="33" spans="2:3" x14ac:dyDescent="0.25">
      <c r="B33" s="14">
        <f t="shared" si="1"/>
        <v>44927</v>
      </c>
      <c r="C33" t="s">
        <v>338</v>
      </c>
    </row>
    <row r="34" spans="2:3" x14ac:dyDescent="0.25">
      <c r="B34" s="14">
        <f t="shared" si="1"/>
        <v>44946</v>
      </c>
      <c r="C34" t="s">
        <v>339</v>
      </c>
    </row>
    <row r="35" spans="2:3" x14ac:dyDescent="0.25">
      <c r="B35" s="14">
        <f t="shared" si="1"/>
        <v>44974</v>
      </c>
      <c r="C35" t="s">
        <v>340</v>
      </c>
    </row>
    <row r="36" spans="2:3" x14ac:dyDescent="0.25">
      <c r="B36" s="14">
        <f t="shared" si="1"/>
        <v>45072</v>
      </c>
      <c r="C36" t="s">
        <v>341</v>
      </c>
    </row>
    <row r="37" spans="2:3" x14ac:dyDescent="0.25">
      <c r="B37" s="14">
        <f t="shared" si="1"/>
        <v>45177</v>
      </c>
      <c r="C37" t="s">
        <v>342</v>
      </c>
    </row>
    <row r="38" spans="2:3" x14ac:dyDescent="0.25">
      <c r="B38" s="14">
        <f t="shared" si="1"/>
        <v>45112</v>
      </c>
      <c r="C38" t="s">
        <v>343</v>
      </c>
    </row>
    <row r="39" spans="2:3" x14ac:dyDescent="0.25">
      <c r="B39" s="14">
        <f t="shared" si="1"/>
        <v>45257</v>
      </c>
      <c r="C39" t="s">
        <v>344</v>
      </c>
    </row>
    <row r="40" spans="2:3" x14ac:dyDescent="0.25">
      <c r="B40" s="14">
        <f t="shared" si="1"/>
        <v>45258</v>
      </c>
      <c r="C40" t="s">
        <v>345</v>
      </c>
    </row>
    <row r="41" spans="2:3" x14ac:dyDescent="0.25">
      <c r="B41" s="14">
        <f t="shared" si="1"/>
        <v>45285</v>
      </c>
      <c r="C41" t="s">
        <v>346</v>
      </c>
    </row>
    <row r="42" spans="2:3" x14ac:dyDescent="0.25">
      <c r="B42" s="14">
        <f t="shared" si="1"/>
        <v>45286</v>
      </c>
      <c r="C42" t="s">
        <v>347</v>
      </c>
    </row>
    <row r="43" spans="2:3" x14ac:dyDescent="0.25">
      <c r="B43" s="14">
        <f t="shared" si="1"/>
        <v>45292</v>
      </c>
      <c r="C43" t="s">
        <v>338</v>
      </c>
    </row>
    <row r="44" spans="2:3" x14ac:dyDescent="0.25">
      <c r="B44" s="14">
        <f t="shared" si="1"/>
        <v>45311</v>
      </c>
      <c r="C44" t="s">
        <v>339</v>
      </c>
    </row>
    <row r="45" spans="2:3" x14ac:dyDescent="0.25">
      <c r="B45" s="14">
        <f t="shared" si="1"/>
        <v>45339</v>
      </c>
      <c r="C45" t="s">
        <v>340</v>
      </c>
    </row>
    <row r="46" spans="2:3" x14ac:dyDescent="0.25">
      <c r="B46" s="14">
        <f t="shared" si="1"/>
        <v>45437</v>
      </c>
      <c r="C46" t="s">
        <v>341</v>
      </c>
    </row>
    <row r="47" spans="2:3" x14ac:dyDescent="0.25">
      <c r="B47" s="14">
        <f t="shared" si="1"/>
        <v>45542</v>
      </c>
      <c r="C47" t="s">
        <v>342</v>
      </c>
    </row>
    <row r="48" spans="2:3" x14ac:dyDescent="0.25">
      <c r="B48" s="14">
        <f t="shared" si="1"/>
        <v>45477</v>
      </c>
      <c r="C48" t="s">
        <v>343</v>
      </c>
    </row>
    <row r="49" spans="2:3" x14ac:dyDescent="0.25">
      <c r="B49" s="14">
        <f t="shared" si="1"/>
        <v>45622</v>
      </c>
      <c r="C49" t="s">
        <v>344</v>
      </c>
    </row>
    <row r="50" spans="2:3" x14ac:dyDescent="0.25">
      <c r="B50" s="14">
        <f t="shared" si="1"/>
        <v>45623</v>
      </c>
      <c r="C50" t="s">
        <v>345</v>
      </c>
    </row>
    <row r="51" spans="2:3" x14ac:dyDescent="0.25">
      <c r="B51" s="14">
        <f t="shared" si="1"/>
        <v>45650</v>
      </c>
      <c r="C51" t="s">
        <v>346</v>
      </c>
    </row>
    <row r="52" spans="2:3" x14ac:dyDescent="0.25">
      <c r="B52" s="14">
        <f t="shared" si="1"/>
        <v>45651</v>
      </c>
      <c r="C52" t="s">
        <v>347</v>
      </c>
    </row>
    <row r="53" spans="2:3" x14ac:dyDescent="0.25">
      <c r="B53" s="14">
        <f t="shared" si="1"/>
        <v>45657</v>
      </c>
      <c r="C53" t="s">
        <v>338</v>
      </c>
    </row>
    <row r="54" spans="2:3" x14ac:dyDescent="0.25">
      <c r="B54" s="14">
        <f t="shared" si="1"/>
        <v>45676</v>
      </c>
      <c r="C54" t="s">
        <v>339</v>
      </c>
    </row>
    <row r="55" spans="2:3" x14ac:dyDescent="0.25">
      <c r="B55" s="14">
        <f t="shared" ref="B55:B86" si="2">+B45+365</f>
        <v>45704</v>
      </c>
      <c r="C55" t="s">
        <v>340</v>
      </c>
    </row>
    <row r="56" spans="2:3" x14ac:dyDescent="0.25">
      <c r="B56" s="14">
        <f t="shared" si="2"/>
        <v>45802</v>
      </c>
      <c r="C56" t="s">
        <v>341</v>
      </c>
    </row>
    <row r="57" spans="2:3" x14ac:dyDescent="0.25">
      <c r="B57" s="14">
        <f t="shared" si="2"/>
        <v>45907</v>
      </c>
      <c r="C57" t="s">
        <v>342</v>
      </c>
    </row>
    <row r="58" spans="2:3" x14ac:dyDescent="0.25">
      <c r="B58" s="14">
        <f t="shared" si="2"/>
        <v>45842</v>
      </c>
      <c r="C58" t="s">
        <v>343</v>
      </c>
    </row>
    <row r="59" spans="2:3" x14ac:dyDescent="0.25">
      <c r="B59" s="14">
        <f t="shared" si="2"/>
        <v>45987</v>
      </c>
      <c r="C59" t="s">
        <v>344</v>
      </c>
    </row>
    <row r="60" spans="2:3" x14ac:dyDescent="0.25">
      <c r="B60" s="14">
        <f t="shared" si="2"/>
        <v>45988</v>
      </c>
      <c r="C60" t="s">
        <v>345</v>
      </c>
    </row>
    <row r="61" spans="2:3" x14ac:dyDescent="0.25">
      <c r="B61" s="14">
        <f t="shared" si="2"/>
        <v>46015</v>
      </c>
      <c r="C61" t="s">
        <v>346</v>
      </c>
    </row>
    <row r="62" spans="2:3" x14ac:dyDescent="0.25">
      <c r="B62" s="14">
        <f t="shared" si="2"/>
        <v>46016</v>
      </c>
      <c r="C62" t="s">
        <v>347</v>
      </c>
    </row>
    <row r="63" spans="2:3" x14ac:dyDescent="0.25">
      <c r="B63" s="14">
        <f t="shared" si="2"/>
        <v>46022</v>
      </c>
      <c r="C63" t="s">
        <v>338</v>
      </c>
    </row>
    <row r="64" spans="2:3" x14ac:dyDescent="0.25">
      <c r="B64" s="14">
        <f t="shared" si="2"/>
        <v>46041</v>
      </c>
      <c r="C64" t="s">
        <v>339</v>
      </c>
    </row>
    <row r="65" spans="2:3" x14ac:dyDescent="0.25">
      <c r="B65" s="14">
        <f t="shared" si="2"/>
        <v>46069</v>
      </c>
      <c r="C65" t="s">
        <v>340</v>
      </c>
    </row>
    <row r="66" spans="2:3" x14ac:dyDescent="0.25">
      <c r="B66" s="14">
        <f t="shared" si="2"/>
        <v>46167</v>
      </c>
      <c r="C66" t="s">
        <v>341</v>
      </c>
    </row>
    <row r="67" spans="2:3" x14ac:dyDescent="0.25">
      <c r="B67" s="14">
        <f t="shared" si="2"/>
        <v>46272</v>
      </c>
      <c r="C67" t="s">
        <v>342</v>
      </c>
    </row>
    <row r="68" spans="2:3" x14ac:dyDescent="0.25">
      <c r="B68" s="14">
        <f t="shared" si="2"/>
        <v>46207</v>
      </c>
      <c r="C68" t="s">
        <v>348</v>
      </c>
    </row>
    <row r="69" spans="2:3" x14ac:dyDescent="0.25">
      <c r="B69" s="14">
        <f t="shared" si="2"/>
        <v>46352</v>
      </c>
      <c r="C69" t="s">
        <v>344</v>
      </c>
    </row>
    <row r="70" spans="2:3" x14ac:dyDescent="0.25">
      <c r="B70" s="14">
        <f t="shared" si="2"/>
        <v>46353</v>
      </c>
      <c r="C70" t="s">
        <v>345</v>
      </c>
    </row>
    <row r="71" spans="2:3" x14ac:dyDescent="0.25">
      <c r="B71" s="14">
        <f t="shared" si="2"/>
        <v>46380</v>
      </c>
      <c r="C71" t="s">
        <v>346</v>
      </c>
    </row>
    <row r="72" spans="2:3" x14ac:dyDescent="0.25">
      <c r="B72" s="14">
        <f t="shared" si="2"/>
        <v>46381</v>
      </c>
      <c r="C72" t="s">
        <v>347</v>
      </c>
    </row>
    <row r="73" spans="2:3" x14ac:dyDescent="0.25">
      <c r="B73" s="14">
        <f t="shared" si="2"/>
        <v>46387</v>
      </c>
      <c r="C73" t="s">
        <v>338</v>
      </c>
    </row>
    <row r="74" spans="2:3" x14ac:dyDescent="0.25">
      <c r="B74" s="14">
        <f t="shared" si="2"/>
        <v>46406</v>
      </c>
      <c r="C74" t="s">
        <v>339</v>
      </c>
    </row>
    <row r="75" spans="2:3" x14ac:dyDescent="0.25">
      <c r="B75" s="14">
        <f t="shared" si="2"/>
        <v>46434</v>
      </c>
      <c r="C75" t="s">
        <v>340</v>
      </c>
    </row>
    <row r="76" spans="2:3" x14ac:dyDescent="0.25">
      <c r="B76" s="14">
        <f t="shared" si="2"/>
        <v>46532</v>
      </c>
      <c r="C76" t="s">
        <v>341</v>
      </c>
    </row>
    <row r="77" spans="2:3" x14ac:dyDescent="0.25">
      <c r="B77" s="14">
        <f t="shared" si="2"/>
        <v>46637</v>
      </c>
      <c r="C77" t="s">
        <v>342</v>
      </c>
    </row>
    <row r="78" spans="2:3" x14ac:dyDescent="0.25">
      <c r="B78" s="14">
        <f t="shared" si="2"/>
        <v>46572</v>
      </c>
      <c r="C78" t="s">
        <v>349</v>
      </c>
    </row>
    <row r="79" spans="2:3" x14ac:dyDescent="0.25">
      <c r="B79" s="14">
        <f t="shared" si="2"/>
        <v>46717</v>
      </c>
      <c r="C79" t="s">
        <v>344</v>
      </c>
    </row>
    <row r="80" spans="2:3" x14ac:dyDescent="0.25">
      <c r="B80" s="14">
        <f t="shared" si="2"/>
        <v>46718</v>
      </c>
      <c r="C80" t="s">
        <v>345</v>
      </c>
    </row>
    <row r="81" spans="2:3" x14ac:dyDescent="0.25">
      <c r="B81" s="14">
        <f t="shared" si="2"/>
        <v>46745</v>
      </c>
      <c r="C81" t="s">
        <v>346</v>
      </c>
    </row>
    <row r="82" spans="2:3" x14ac:dyDescent="0.25">
      <c r="B82" s="14">
        <f t="shared" si="2"/>
        <v>46746</v>
      </c>
      <c r="C82" t="s">
        <v>347</v>
      </c>
    </row>
    <row r="83" spans="2:3" x14ac:dyDescent="0.25">
      <c r="B83" s="14">
        <f t="shared" si="2"/>
        <v>46752</v>
      </c>
      <c r="C83" t="s">
        <v>338</v>
      </c>
    </row>
    <row r="84" spans="2:3" x14ac:dyDescent="0.25">
      <c r="B84" s="14">
        <f t="shared" si="2"/>
        <v>46771</v>
      </c>
      <c r="C84" t="s">
        <v>339</v>
      </c>
    </row>
    <row r="85" spans="2:3" x14ac:dyDescent="0.25">
      <c r="B85" s="14">
        <f t="shared" si="2"/>
        <v>46799</v>
      </c>
      <c r="C85" t="s">
        <v>340</v>
      </c>
    </row>
    <row r="86" spans="2:3" x14ac:dyDescent="0.25">
      <c r="B86" s="14">
        <f t="shared" si="2"/>
        <v>46897</v>
      </c>
      <c r="C86" t="s">
        <v>341</v>
      </c>
    </row>
    <row r="87" spans="2:3" x14ac:dyDescent="0.25">
      <c r="B87" s="14">
        <f t="shared" ref="B87:B118" si="3">+B77+365</f>
        <v>47002</v>
      </c>
      <c r="C87" t="s">
        <v>342</v>
      </c>
    </row>
    <row r="88" spans="2:3" x14ac:dyDescent="0.25">
      <c r="B88" s="14">
        <f t="shared" si="3"/>
        <v>46937</v>
      </c>
      <c r="C88" t="s">
        <v>350</v>
      </c>
    </row>
    <row r="89" spans="2:3" x14ac:dyDescent="0.25">
      <c r="B89" s="14">
        <f t="shared" si="3"/>
        <v>47082</v>
      </c>
      <c r="C89" t="s">
        <v>344</v>
      </c>
    </row>
    <row r="90" spans="2:3" x14ac:dyDescent="0.25">
      <c r="B90" s="14">
        <f t="shared" si="3"/>
        <v>47083</v>
      </c>
      <c r="C90" t="s">
        <v>345</v>
      </c>
    </row>
    <row r="91" spans="2:3" x14ac:dyDescent="0.25">
      <c r="B91" s="14">
        <f t="shared" si="3"/>
        <v>47110</v>
      </c>
      <c r="C91" t="s">
        <v>346</v>
      </c>
    </row>
    <row r="92" spans="2:3" x14ac:dyDescent="0.25">
      <c r="B92" s="14">
        <f t="shared" si="3"/>
        <v>47111</v>
      </c>
      <c r="C92" t="s">
        <v>347</v>
      </c>
    </row>
    <row r="93" spans="2:3" x14ac:dyDescent="0.25">
      <c r="B93" s="14">
        <f t="shared" si="3"/>
        <v>47117</v>
      </c>
      <c r="C93" t="s">
        <v>338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FD18"/>
  <sheetViews>
    <sheetView workbookViewId="0">
      <selection activeCell="C2" sqref="C2:C16"/>
    </sheetView>
  </sheetViews>
  <sheetFormatPr defaultColWidth="8.7109375" defaultRowHeight="15" x14ac:dyDescent="0.25"/>
  <cols>
    <col min="1" max="1" width="8.7109375" style="124" customWidth="1"/>
    <col min="2" max="2" width="12.28515625" style="124" bestFit="1" customWidth="1"/>
    <col min="3" max="9" width="8.7109375" style="124" customWidth="1"/>
    <col min="10" max="10" width="15" style="124" bestFit="1" customWidth="1"/>
    <col min="11" max="12" width="8.7109375" style="124" customWidth="1"/>
    <col min="13" max="16384" width="8.7109375" style="124"/>
  </cols>
  <sheetData>
    <row r="1" spans="1:11 16384:16384" x14ac:dyDescent="0.25">
      <c r="A1" s="124" t="s">
        <v>217</v>
      </c>
      <c r="B1" s="124" t="s">
        <v>218</v>
      </c>
      <c r="C1" s="124" t="s">
        <v>219</v>
      </c>
      <c r="D1" s="124" t="s">
        <v>220</v>
      </c>
      <c r="E1" s="124" t="s">
        <v>221</v>
      </c>
      <c r="F1" s="124" t="s">
        <v>222</v>
      </c>
      <c r="G1" s="124" t="s">
        <v>223</v>
      </c>
      <c r="H1" s="124" t="s">
        <v>224</v>
      </c>
      <c r="I1" s="124" t="s">
        <v>225</v>
      </c>
      <c r="J1" s="125" t="s">
        <v>226</v>
      </c>
      <c r="K1" s="124" t="s">
        <v>227</v>
      </c>
    </row>
    <row r="2" spans="1:11 16384:16384" x14ac:dyDescent="0.25">
      <c r="A2" s="126" t="s">
        <v>240</v>
      </c>
      <c r="B2" s="126" t="s">
        <v>351</v>
      </c>
      <c r="C2" s="126">
        <v>2</v>
      </c>
      <c r="D2" s="126">
        <v>50</v>
      </c>
      <c r="E2" s="126">
        <v>100</v>
      </c>
      <c r="F2" s="126" t="s">
        <v>229</v>
      </c>
      <c r="G2" s="126" t="s">
        <v>229</v>
      </c>
      <c r="H2" s="126" t="s">
        <v>352</v>
      </c>
      <c r="I2" s="126"/>
      <c r="J2" s="127" t="s">
        <v>353</v>
      </c>
      <c r="K2" s="126">
        <v>100</v>
      </c>
    </row>
    <row r="3" spans="1:11 16384:16384" x14ac:dyDescent="0.25">
      <c r="A3" s="126" t="s">
        <v>247</v>
      </c>
      <c r="B3" s="128">
        <v>44906</v>
      </c>
      <c r="C3" s="126">
        <v>1.25</v>
      </c>
      <c r="D3" s="127">
        <v>60</v>
      </c>
      <c r="E3" s="126">
        <v>75</v>
      </c>
      <c r="F3" s="126" t="s">
        <v>229</v>
      </c>
      <c r="G3" s="126" t="s">
        <v>229</v>
      </c>
      <c r="H3" s="126" t="s">
        <v>248</v>
      </c>
      <c r="I3" s="126" t="s">
        <v>231</v>
      </c>
      <c r="J3" s="126" t="s">
        <v>354</v>
      </c>
      <c r="K3" s="126">
        <v>75</v>
      </c>
    </row>
    <row r="4" spans="1:11 16384:16384" x14ac:dyDescent="0.25">
      <c r="A4" s="126" t="s">
        <v>355</v>
      </c>
      <c r="B4" s="128">
        <v>44907</v>
      </c>
      <c r="C4" s="126">
        <v>1</v>
      </c>
      <c r="D4" s="127">
        <v>60</v>
      </c>
      <c r="E4" s="126">
        <v>60</v>
      </c>
      <c r="F4" s="126" t="s">
        <v>229</v>
      </c>
      <c r="G4" s="126" t="s">
        <v>229</v>
      </c>
      <c r="H4" s="126" t="s">
        <v>356</v>
      </c>
      <c r="I4" s="126" t="s">
        <v>231</v>
      </c>
      <c r="J4" s="126" t="s">
        <v>354</v>
      </c>
      <c r="K4" s="126">
        <v>60</v>
      </c>
    </row>
    <row r="5" spans="1:11 16384:16384" x14ac:dyDescent="0.25">
      <c r="A5" s="126" t="s">
        <v>355</v>
      </c>
      <c r="B5" s="128">
        <v>44908</v>
      </c>
      <c r="C5" s="126">
        <v>1.5</v>
      </c>
      <c r="D5" s="127">
        <v>60</v>
      </c>
      <c r="E5" s="126">
        <v>90</v>
      </c>
      <c r="F5" s="126" t="s">
        <v>229</v>
      </c>
      <c r="G5" s="126" t="s">
        <v>229</v>
      </c>
      <c r="H5" s="126" t="s">
        <v>356</v>
      </c>
      <c r="I5" s="126" t="s">
        <v>231</v>
      </c>
      <c r="J5" s="126" t="s">
        <v>354</v>
      </c>
      <c r="K5" s="126">
        <v>90</v>
      </c>
    </row>
    <row r="6" spans="1:11 16384:16384" x14ac:dyDescent="0.25">
      <c r="A6" s="126" t="s">
        <v>355</v>
      </c>
      <c r="B6" s="128">
        <v>44910</v>
      </c>
      <c r="C6" s="126">
        <v>1.5</v>
      </c>
      <c r="D6" s="126">
        <v>60</v>
      </c>
      <c r="E6" s="126">
        <v>90</v>
      </c>
      <c r="F6" s="126" t="s">
        <v>229</v>
      </c>
      <c r="G6" s="126" t="s">
        <v>229</v>
      </c>
      <c r="H6" s="126" t="s">
        <v>356</v>
      </c>
      <c r="I6" s="126" t="s">
        <v>231</v>
      </c>
      <c r="J6" s="126" t="s">
        <v>354</v>
      </c>
      <c r="K6" s="126">
        <v>90</v>
      </c>
    </row>
    <row r="7" spans="1:11 16384:16384" x14ac:dyDescent="0.25">
      <c r="A7" s="126" t="s">
        <v>357</v>
      </c>
      <c r="B7" s="128">
        <v>44905</v>
      </c>
      <c r="C7" s="126">
        <v>1</v>
      </c>
      <c r="D7" s="127">
        <v>60</v>
      </c>
      <c r="E7" s="126">
        <v>60</v>
      </c>
      <c r="F7" s="126" t="s">
        <v>229</v>
      </c>
      <c r="G7" s="126" t="s">
        <v>229</v>
      </c>
      <c r="H7" s="126" t="s">
        <v>358</v>
      </c>
      <c r="I7" s="126" t="s">
        <v>231</v>
      </c>
      <c r="J7" s="126" t="s">
        <v>354</v>
      </c>
      <c r="K7" s="126">
        <v>60</v>
      </c>
    </row>
    <row r="8" spans="1:11 16384:16384" x14ac:dyDescent="0.25">
      <c r="A8" s="126" t="s">
        <v>272</v>
      </c>
      <c r="B8" s="128">
        <v>44898</v>
      </c>
      <c r="C8" s="126">
        <v>1.5</v>
      </c>
      <c r="D8" s="126">
        <v>50</v>
      </c>
      <c r="E8" s="126">
        <v>75</v>
      </c>
      <c r="F8" s="126" t="s">
        <v>229</v>
      </c>
      <c r="G8" s="126" t="s">
        <v>229</v>
      </c>
      <c r="H8" s="126" t="s">
        <v>273</v>
      </c>
      <c r="I8" s="126" t="s">
        <v>231</v>
      </c>
      <c r="J8" s="126" t="s">
        <v>354</v>
      </c>
      <c r="K8" s="126">
        <v>75</v>
      </c>
    </row>
    <row r="9" spans="1:11 16384:16384" x14ac:dyDescent="0.25">
      <c r="A9" s="126" t="s">
        <v>272</v>
      </c>
      <c r="B9" s="128">
        <v>44900</v>
      </c>
      <c r="C9" s="126">
        <v>1.5</v>
      </c>
      <c r="D9" s="126">
        <v>50</v>
      </c>
      <c r="E9" s="126">
        <v>75</v>
      </c>
      <c r="F9" s="126" t="s">
        <v>229</v>
      </c>
      <c r="G9" s="126" t="s">
        <v>229</v>
      </c>
      <c r="H9" s="126" t="s">
        <v>273</v>
      </c>
      <c r="I9" s="126" t="s">
        <v>231</v>
      </c>
      <c r="J9" s="126" t="s">
        <v>354</v>
      </c>
      <c r="K9" s="126">
        <v>75</v>
      </c>
    </row>
    <row r="10" spans="1:11 16384:16384" x14ac:dyDescent="0.25">
      <c r="A10" s="126" t="s">
        <v>272</v>
      </c>
      <c r="B10" s="128">
        <v>44903</v>
      </c>
      <c r="C10" s="126">
        <v>1</v>
      </c>
      <c r="D10" s="126">
        <v>50</v>
      </c>
      <c r="E10" s="126">
        <v>50</v>
      </c>
      <c r="F10" s="126" t="s">
        <v>229</v>
      </c>
      <c r="G10" s="126" t="s">
        <v>229</v>
      </c>
      <c r="H10" s="126" t="s">
        <v>273</v>
      </c>
      <c r="I10" s="126" t="s">
        <v>231</v>
      </c>
      <c r="J10" s="126" t="s">
        <v>354</v>
      </c>
      <c r="K10" s="126">
        <v>50</v>
      </c>
    </row>
    <row r="11" spans="1:11 16384:16384" x14ac:dyDescent="0.25">
      <c r="A11" s="126" t="s">
        <v>272</v>
      </c>
      <c r="B11" s="128">
        <v>44906</v>
      </c>
      <c r="C11" s="126">
        <v>2</v>
      </c>
      <c r="D11" s="126">
        <v>50</v>
      </c>
      <c r="E11" s="126">
        <v>100</v>
      </c>
      <c r="F11" s="126" t="s">
        <v>229</v>
      </c>
      <c r="G11" s="126" t="s">
        <v>229</v>
      </c>
      <c r="H11" s="126" t="s">
        <v>273</v>
      </c>
      <c r="I11" s="126" t="s">
        <v>231</v>
      </c>
      <c r="J11" s="126" t="s">
        <v>354</v>
      </c>
      <c r="K11" s="126">
        <v>100</v>
      </c>
    </row>
    <row r="12" spans="1:11 16384:16384" x14ac:dyDescent="0.25">
      <c r="A12" s="126" t="s">
        <v>272</v>
      </c>
      <c r="B12" s="128">
        <v>44907</v>
      </c>
      <c r="C12" s="126">
        <v>1.25</v>
      </c>
      <c r="D12" s="126">
        <v>50</v>
      </c>
      <c r="E12" s="126">
        <v>62.5</v>
      </c>
      <c r="F12" s="126" t="s">
        <v>229</v>
      </c>
      <c r="G12" s="126" t="s">
        <v>229</v>
      </c>
      <c r="H12" s="126" t="s">
        <v>273</v>
      </c>
      <c r="I12" s="126" t="s">
        <v>231</v>
      </c>
      <c r="J12" s="126" t="s">
        <v>354</v>
      </c>
      <c r="K12" s="126">
        <v>62.5</v>
      </c>
      <c r="XFD12" s="124" t="s">
        <v>229</v>
      </c>
    </row>
    <row r="13" spans="1:11 16384:16384" x14ac:dyDescent="0.25">
      <c r="A13" s="126" t="s">
        <v>272</v>
      </c>
      <c r="B13" s="128">
        <v>44908</v>
      </c>
      <c r="C13" s="126">
        <v>1.5</v>
      </c>
      <c r="D13" s="126">
        <v>50</v>
      </c>
      <c r="E13" s="126">
        <v>75</v>
      </c>
      <c r="F13" s="126" t="s">
        <v>229</v>
      </c>
      <c r="G13" s="126" t="s">
        <v>229</v>
      </c>
      <c r="H13" s="126" t="s">
        <v>273</v>
      </c>
      <c r="I13" s="126" t="s">
        <v>231</v>
      </c>
      <c r="J13" s="126" t="s">
        <v>354</v>
      </c>
      <c r="K13" s="126">
        <v>75</v>
      </c>
    </row>
    <row r="14" spans="1:11 16384:16384" x14ac:dyDescent="0.25">
      <c r="A14" s="126" t="s">
        <v>272</v>
      </c>
      <c r="B14" s="128">
        <v>44909</v>
      </c>
      <c r="C14" s="126">
        <v>0.5</v>
      </c>
      <c r="D14" s="126">
        <v>50</v>
      </c>
      <c r="E14" s="126">
        <v>25</v>
      </c>
      <c r="F14" s="126" t="s">
        <v>229</v>
      </c>
      <c r="G14" s="126" t="s">
        <v>229</v>
      </c>
      <c r="H14" s="126" t="s">
        <v>273</v>
      </c>
      <c r="I14" s="126" t="s">
        <v>231</v>
      </c>
      <c r="J14" s="126" t="s">
        <v>354</v>
      </c>
      <c r="K14" s="126">
        <v>25</v>
      </c>
    </row>
    <row r="15" spans="1:11 16384:16384" x14ac:dyDescent="0.25">
      <c r="A15" s="126" t="s">
        <v>277</v>
      </c>
      <c r="B15" s="128">
        <v>44904</v>
      </c>
      <c r="C15" s="126">
        <v>2</v>
      </c>
      <c r="D15" s="127">
        <v>60</v>
      </c>
      <c r="E15" s="126">
        <v>120</v>
      </c>
      <c r="F15" s="126" t="s">
        <v>359</v>
      </c>
      <c r="G15" s="126" t="s">
        <v>229</v>
      </c>
      <c r="H15" s="126" t="s">
        <v>360</v>
      </c>
      <c r="I15" s="126" t="s">
        <v>231</v>
      </c>
      <c r="J15" s="126" t="s">
        <v>354</v>
      </c>
      <c r="K15" s="126">
        <v>0</v>
      </c>
    </row>
    <row r="16" spans="1:11 16384:16384" x14ac:dyDescent="0.25">
      <c r="A16" s="126" t="s">
        <v>277</v>
      </c>
      <c r="B16" s="128">
        <v>44906</v>
      </c>
      <c r="C16" s="126">
        <v>1.25</v>
      </c>
      <c r="D16" s="127">
        <v>60</v>
      </c>
      <c r="E16" s="126">
        <v>75</v>
      </c>
      <c r="F16" s="126" t="s">
        <v>229</v>
      </c>
      <c r="G16" s="126" t="s">
        <v>229</v>
      </c>
      <c r="H16" s="126" t="s">
        <v>361</v>
      </c>
      <c r="I16" s="126" t="s">
        <v>231</v>
      </c>
      <c r="J16" s="126" t="s">
        <v>354</v>
      </c>
      <c r="K16" s="126">
        <v>195</v>
      </c>
    </row>
    <row r="17" spans="1:11" x14ac:dyDescent="0.25">
      <c r="A17" s="126"/>
      <c r="B17" s="128"/>
      <c r="C17" s="126"/>
      <c r="D17" s="126"/>
      <c r="E17" s="126"/>
      <c r="F17" s="126"/>
      <c r="G17" s="126"/>
      <c r="H17" s="126"/>
      <c r="I17" s="126"/>
      <c r="J17" s="126"/>
      <c r="K17" s="126"/>
    </row>
    <row r="18" spans="1:11" x14ac:dyDescent="0.25">
      <c r="A18" s="126"/>
      <c r="B18" s="126"/>
      <c r="C18" s="126"/>
      <c r="D18" s="126"/>
      <c r="E18" s="126"/>
      <c r="F18" s="126"/>
      <c r="G18" s="126"/>
      <c r="H18" s="126"/>
      <c r="I18" s="126"/>
      <c r="J18" s="126"/>
      <c r="K18" s="126">
        <f>SUM(K2:K16)</f>
        <v>1132.5</v>
      </c>
    </row>
  </sheetData>
  <autoFilter ref="A1:K16" xr:uid="{00000000-0009-0000-0000-000012000000}">
    <sortState xmlns:xlrd2="http://schemas.microsoft.com/office/spreadsheetml/2017/richdata2" ref="A2:K16">
      <sortCondition ref="A1:A16"/>
    </sortState>
  </autoFilter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7"/>
  <sheetViews>
    <sheetView workbookViewId="0">
      <selection activeCell="R3" sqref="R3:R13"/>
    </sheetView>
  </sheetViews>
  <sheetFormatPr defaultColWidth="8.7109375" defaultRowHeight="15" x14ac:dyDescent="0.25"/>
  <cols>
    <col min="1" max="1" width="14.42578125" style="107" bestFit="1" customWidth="1"/>
    <col min="2" max="2" width="7.140625" style="107" bestFit="1" customWidth="1"/>
    <col min="3" max="3" width="8" style="107" bestFit="1" customWidth="1"/>
    <col min="4" max="4" width="12" style="107" bestFit="1" customWidth="1"/>
    <col min="5" max="5" width="6.7109375" style="107" bestFit="1" customWidth="1"/>
    <col min="6" max="6" width="8.42578125" style="107" bestFit="1" customWidth="1"/>
    <col min="7" max="7" width="19.140625" style="107" bestFit="1" customWidth="1"/>
    <col min="8" max="8" width="68.28515625" style="107" bestFit="1" customWidth="1"/>
    <col min="9" max="9" width="6.42578125" style="107" bestFit="1" customWidth="1"/>
    <col min="10" max="10" width="17.28515625" style="107" bestFit="1" customWidth="1"/>
    <col min="11" max="11" width="8.28515625" style="107" bestFit="1" customWidth="1"/>
    <col min="12" max="12" width="23.7109375" style="107" bestFit="1" customWidth="1"/>
    <col min="13" max="17" width="8.7109375" style="107" customWidth="1"/>
    <col min="18" max="18" width="14.42578125" style="107" bestFit="1" customWidth="1"/>
    <col min="19" max="19" width="12.28515625" style="107" bestFit="1" customWidth="1"/>
    <col min="20" max="20" width="11.28515625" style="107" bestFit="1" customWidth="1"/>
    <col min="21" max="22" width="8.7109375" style="107" customWidth="1"/>
    <col min="23" max="16384" width="8.7109375" style="107"/>
  </cols>
  <sheetData>
    <row r="1" spans="1:20" x14ac:dyDescent="0.25">
      <c r="A1" s="107" t="s">
        <v>217</v>
      </c>
      <c r="B1" s="107" t="s">
        <v>218</v>
      </c>
      <c r="C1" s="107" t="s">
        <v>219</v>
      </c>
      <c r="D1" s="107" t="s">
        <v>220</v>
      </c>
      <c r="E1" s="107" t="s">
        <v>221</v>
      </c>
      <c r="F1" s="107" t="s">
        <v>222</v>
      </c>
      <c r="G1" s="107" t="s">
        <v>223</v>
      </c>
      <c r="H1" s="107" t="s">
        <v>224</v>
      </c>
      <c r="I1" s="107" t="s">
        <v>225</v>
      </c>
      <c r="J1" s="108" t="s">
        <v>226</v>
      </c>
      <c r="K1" s="107" t="s">
        <v>227</v>
      </c>
    </row>
    <row r="2" spans="1:20" x14ac:dyDescent="0.25">
      <c r="A2" s="109" t="s">
        <v>228</v>
      </c>
      <c r="B2" s="109">
        <v>44868</v>
      </c>
      <c r="C2" s="110">
        <v>1</v>
      </c>
      <c r="D2" s="110">
        <v>50</v>
      </c>
      <c r="E2" s="110">
        <v>50</v>
      </c>
      <c r="F2" s="110" t="s">
        <v>229</v>
      </c>
      <c r="G2" s="110" t="s">
        <v>229</v>
      </c>
      <c r="H2" s="110" t="s">
        <v>362</v>
      </c>
      <c r="I2" s="110" t="s">
        <v>231</v>
      </c>
      <c r="J2" s="110" t="s">
        <v>229</v>
      </c>
      <c r="K2" s="110">
        <v>50</v>
      </c>
      <c r="R2" s="41" t="s">
        <v>257</v>
      </c>
      <c r="S2" t="s">
        <v>258</v>
      </c>
      <c r="T2" t="s">
        <v>259</v>
      </c>
    </row>
    <row r="3" spans="1:20" s="111" customFormat="1" x14ac:dyDescent="0.25">
      <c r="A3" s="111" t="s">
        <v>363</v>
      </c>
      <c r="B3" s="112">
        <v>44878</v>
      </c>
      <c r="C3" s="111">
        <v>1</v>
      </c>
      <c r="D3" s="111">
        <v>60</v>
      </c>
      <c r="E3" s="111">
        <v>60</v>
      </c>
      <c r="F3" s="111" t="s">
        <v>229</v>
      </c>
      <c r="G3" s="111" t="s">
        <v>229</v>
      </c>
      <c r="H3" s="111" t="s">
        <v>364</v>
      </c>
      <c r="I3" s="111" t="s">
        <v>231</v>
      </c>
      <c r="J3" s="111" t="s">
        <v>354</v>
      </c>
      <c r="K3" s="111">
        <v>60</v>
      </c>
      <c r="R3" s="42" t="s">
        <v>228</v>
      </c>
      <c r="S3">
        <v>1</v>
      </c>
      <c r="T3">
        <v>50</v>
      </c>
    </row>
    <row r="4" spans="1:20" s="111" customFormat="1" x14ac:dyDescent="0.25">
      <c r="A4" s="111" t="s">
        <v>363</v>
      </c>
      <c r="B4" s="112">
        <v>44880</v>
      </c>
      <c r="C4" s="111">
        <v>1.5</v>
      </c>
      <c r="D4" s="111">
        <v>60</v>
      </c>
      <c r="E4" s="111">
        <v>90</v>
      </c>
      <c r="F4" s="111" t="s">
        <v>229</v>
      </c>
      <c r="G4" s="111" t="s">
        <v>229</v>
      </c>
      <c r="H4" s="111" t="s">
        <v>364</v>
      </c>
      <c r="I4" s="111" t="s">
        <v>231</v>
      </c>
      <c r="J4" s="111" t="s">
        <v>354</v>
      </c>
      <c r="K4" s="111">
        <v>90</v>
      </c>
      <c r="R4" s="42" t="s">
        <v>363</v>
      </c>
      <c r="S4">
        <v>2.5</v>
      </c>
      <c r="T4">
        <v>150</v>
      </c>
    </row>
    <row r="5" spans="1:20" s="111" customFormat="1" x14ac:dyDescent="0.25">
      <c r="A5" s="111" t="s">
        <v>247</v>
      </c>
      <c r="B5" s="112">
        <v>44872</v>
      </c>
      <c r="C5" s="111">
        <v>1</v>
      </c>
      <c r="D5" s="111">
        <v>60</v>
      </c>
      <c r="E5" s="111">
        <v>60</v>
      </c>
      <c r="F5" s="111" t="s">
        <v>229</v>
      </c>
      <c r="G5" s="111" t="s">
        <v>229</v>
      </c>
      <c r="H5" s="111" t="s">
        <v>365</v>
      </c>
      <c r="I5" s="111" t="s">
        <v>231</v>
      </c>
      <c r="J5" s="111" t="s">
        <v>354</v>
      </c>
      <c r="K5" s="111">
        <v>60</v>
      </c>
      <c r="R5" s="42" t="s">
        <v>247</v>
      </c>
      <c r="S5">
        <v>2.5</v>
      </c>
      <c r="T5">
        <v>150</v>
      </c>
    </row>
    <row r="6" spans="1:20" s="113" customFormat="1" x14ac:dyDescent="0.25">
      <c r="A6" s="113" t="s">
        <v>247</v>
      </c>
      <c r="B6" s="114">
        <v>44892</v>
      </c>
      <c r="C6" s="113">
        <v>1.5</v>
      </c>
      <c r="D6" s="113">
        <v>60</v>
      </c>
      <c r="E6" s="113">
        <v>90</v>
      </c>
      <c r="F6" s="113" t="s">
        <v>229</v>
      </c>
      <c r="G6" s="113" t="s">
        <v>229</v>
      </c>
      <c r="H6" s="113" t="s">
        <v>366</v>
      </c>
      <c r="I6" s="113" t="s">
        <v>231</v>
      </c>
      <c r="J6" s="113" t="s">
        <v>354</v>
      </c>
      <c r="K6" s="113">
        <v>90</v>
      </c>
      <c r="R6" s="42" t="s">
        <v>367</v>
      </c>
      <c r="S6">
        <v>2.5</v>
      </c>
      <c r="T6">
        <v>150</v>
      </c>
    </row>
    <row r="7" spans="1:20" x14ac:dyDescent="0.25">
      <c r="A7" s="110" t="s">
        <v>367</v>
      </c>
      <c r="B7" s="109">
        <v>44878</v>
      </c>
      <c r="C7" s="110">
        <v>1</v>
      </c>
      <c r="D7" s="110">
        <v>60</v>
      </c>
      <c r="E7" s="110">
        <v>60</v>
      </c>
      <c r="F7" s="110" t="s">
        <v>229</v>
      </c>
      <c r="G7" s="110" t="s">
        <v>229</v>
      </c>
      <c r="H7" s="110" t="s">
        <v>368</v>
      </c>
      <c r="I7" s="110" t="s">
        <v>231</v>
      </c>
      <c r="J7" s="110" t="s">
        <v>354</v>
      </c>
      <c r="K7" s="110">
        <v>60</v>
      </c>
      <c r="R7" s="42" t="s">
        <v>252</v>
      </c>
      <c r="S7">
        <v>1.5</v>
      </c>
      <c r="T7">
        <v>75</v>
      </c>
    </row>
    <row r="8" spans="1:20" s="113" customFormat="1" x14ac:dyDescent="0.25">
      <c r="A8" s="113" t="s">
        <v>367</v>
      </c>
      <c r="B8" s="114">
        <v>44884</v>
      </c>
      <c r="C8" s="113">
        <v>1.5</v>
      </c>
      <c r="D8" s="113">
        <v>60</v>
      </c>
      <c r="E8" s="113">
        <v>90</v>
      </c>
      <c r="F8" s="113" t="s">
        <v>229</v>
      </c>
      <c r="G8" s="113" t="s">
        <v>229</v>
      </c>
      <c r="H8" s="113" t="s">
        <v>368</v>
      </c>
      <c r="I8" s="113" t="s">
        <v>231</v>
      </c>
      <c r="J8" s="113" t="s">
        <v>354</v>
      </c>
      <c r="K8" s="113">
        <v>90</v>
      </c>
      <c r="R8" s="42" t="s">
        <v>255</v>
      </c>
      <c r="S8">
        <v>1</v>
      </c>
      <c r="T8">
        <v>50</v>
      </c>
    </row>
    <row r="9" spans="1:20" x14ac:dyDescent="0.25">
      <c r="A9" s="110" t="s">
        <v>252</v>
      </c>
      <c r="B9" s="109">
        <v>44875</v>
      </c>
      <c r="C9" s="110">
        <v>1.5</v>
      </c>
      <c r="D9" s="110">
        <v>50</v>
      </c>
      <c r="E9" s="110">
        <v>75</v>
      </c>
      <c r="F9" s="110" t="s">
        <v>229</v>
      </c>
      <c r="G9" s="110" t="s">
        <v>229</v>
      </c>
      <c r="H9" s="110" t="s">
        <v>369</v>
      </c>
      <c r="I9" s="110" t="s">
        <v>231</v>
      </c>
      <c r="J9" s="110" t="s">
        <v>354</v>
      </c>
      <c r="K9" s="110">
        <v>75</v>
      </c>
      <c r="R9" s="42" t="s">
        <v>267</v>
      </c>
      <c r="S9">
        <v>0.5</v>
      </c>
      <c r="T9">
        <v>30</v>
      </c>
    </row>
    <row r="10" spans="1:20" s="113" customFormat="1" x14ac:dyDescent="0.25">
      <c r="A10" s="113" t="s">
        <v>255</v>
      </c>
      <c r="B10" s="114">
        <v>44886</v>
      </c>
      <c r="C10" s="113">
        <v>1</v>
      </c>
      <c r="D10" s="113">
        <v>50</v>
      </c>
      <c r="E10" s="113">
        <v>50</v>
      </c>
      <c r="F10" s="113" t="s">
        <v>229</v>
      </c>
      <c r="G10" s="113" t="s">
        <v>229</v>
      </c>
      <c r="H10" s="113" t="s">
        <v>370</v>
      </c>
      <c r="I10" s="113" t="s">
        <v>231</v>
      </c>
      <c r="J10" s="113" t="s">
        <v>354</v>
      </c>
      <c r="K10" s="113">
        <v>50</v>
      </c>
      <c r="R10" s="42" t="s">
        <v>269</v>
      </c>
      <c r="S10">
        <v>7.5</v>
      </c>
      <c r="T10">
        <v>375</v>
      </c>
    </row>
    <row r="11" spans="1:20" s="111" customFormat="1" x14ac:dyDescent="0.25">
      <c r="A11" s="112" t="s">
        <v>267</v>
      </c>
      <c r="B11" s="112">
        <v>44877</v>
      </c>
      <c r="C11" s="111">
        <v>0.5</v>
      </c>
      <c r="D11" s="111">
        <v>60</v>
      </c>
      <c r="E11" s="111">
        <v>30</v>
      </c>
      <c r="F11" s="111" t="s">
        <v>229</v>
      </c>
      <c r="G11" s="111" t="s">
        <v>229</v>
      </c>
      <c r="H11" s="111" t="s">
        <v>371</v>
      </c>
      <c r="I11" s="111" t="s">
        <v>231</v>
      </c>
      <c r="J11" s="111" t="s">
        <v>354</v>
      </c>
      <c r="K11" s="111">
        <v>30</v>
      </c>
      <c r="R11" s="42" t="s">
        <v>272</v>
      </c>
      <c r="S11">
        <v>9</v>
      </c>
      <c r="T11">
        <v>450</v>
      </c>
    </row>
    <row r="12" spans="1:20" x14ac:dyDescent="0.25">
      <c r="A12" s="110" t="s">
        <v>269</v>
      </c>
      <c r="B12" s="109">
        <v>44871</v>
      </c>
      <c r="C12" s="110">
        <v>2</v>
      </c>
      <c r="D12" s="110">
        <v>50</v>
      </c>
      <c r="E12" s="110">
        <v>100</v>
      </c>
      <c r="F12" s="110" t="s">
        <v>229</v>
      </c>
      <c r="G12" s="110" t="s">
        <v>229</v>
      </c>
      <c r="H12" s="110" t="s">
        <v>372</v>
      </c>
      <c r="I12" s="110" t="s">
        <v>231</v>
      </c>
      <c r="J12" s="110" t="s">
        <v>354</v>
      </c>
      <c r="K12" s="110">
        <v>100</v>
      </c>
      <c r="R12" s="42" t="s">
        <v>275</v>
      </c>
      <c r="S12">
        <v>2</v>
      </c>
      <c r="T12">
        <v>100</v>
      </c>
    </row>
    <row r="13" spans="1:20" x14ac:dyDescent="0.25">
      <c r="A13" s="110" t="s">
        <v>269</v>
      </c>
      <c r="B13" s="109">
        <v>44873</v>
      </c>
      <c r="C13" s="110">
        <v>1</v>
      </c>
      <c r="D13" s="110">
        <v>50</v>
      </c>
      <c r="E13" s="110">
        <v>50</v>
      </c>
      <c r="F13" s="110" t="s">
        <v>229</v>
      </c>
      <c r="G13" s="110" t="s">
        <v>229</v>
      </c>
      <c r="H13" s="110" t="s">
        <v>373</v>
      </c>
      <c r="I13" s="110" t="s">
        <v>231</v>
      </c>
      <c r="J13" s="110" t="s">
        <v>354</v>
      </c>
      <c r="K13" s="110">
        <v>50</v>
      </c>
      <c r="R13" s="42" t="s">
        <v>277</v>
      </c>
      <c r="S13">
        <v>1</v>
      </c>
      <c r="T13">
        <v>60</v>
      </c>
    </row>
    <row r="14" spans="1:20" s="113" customFormat="1" x14ac:dyDescent="0.25">
      <c r="A14" s="113" t="s">
        <v>269</v>
      </c>
      <c r="B14" s="114">
        <v>44884</v>
      </c>
      <c r="C14" s="113">
        <v>1.5</v>
      </c>
      <c r="D14" s="113">
        <v>50</v>
      </c>
      <c r="E14" s="113">
        <v>75</v>
      </c>
      <c r="F14" s="113" t="s">
        <v>229</v>
      </c>
      <c r="G14" s="113" t="s">
        <v>229</v>
      </c>
      <c r="H14" s="113" t="s">
        <v>374</v>
      </c>
      <c r="I14" s="113" t="s">
        <v>231</v>
      </c>
      <c r="J14" s="113" t="s">
        <v>354</v>
      </c>
      <c r="K14" s="113">
        <v>75</v>
      </c>
      <c r="R14" s="42" t="s">
        <v>281</v>
      </c>
      <c r="S14">
        <v>31</v>
      </c>
      <c r="T14">
        <v>1640</v>
      </c>
    </row>
    <row r="15" spans="1:20" s="113" customFormat="1" x14ac:dyDescent="0.25">
      <c r="A15" s="113" t="s">
        <v>269</v>
      </c>
      <c r="B15" s="114">
        <v>44891</v>
      </c>
      <c r="C15" s="113">
        <v>1.5</v>
      </c>
      <c r="D15" s="113">
        <v>50</v>
      </c>
      <c r="E15" s="113">
        <v>75</v>
      </c>
      <c r="F15" s="113" t="s">
        <v>229</v>
      </c>
      <c r="G15" s="113" t="s">
        <v>229</v>
      </c>
      <c r="H15" s="113" t="s">
        <v>375</v>
      </c>
      <c r="I15" s="113" t="s">
        <v>231</v>
      </c>
      <c r="J15" s="113" t="s">
        <v>354</v>
      </c>
      <c r="K15" s="113">
        <v>75</v>
      </c>
      <c r="L15" s="113" t="s">
        <v>376</v>
      </c>
    </row>
    <row r="16" spans="1:20" s="113" customFormat="1" x14ac:dyDescent="0.25">
      <c r="A16" s="113" t="s">
        <v>269</v>
      </c>
      <c r="B16" s="114">
        <v>44892</v>
      </c>
      <c r="C16" s="113">
        <v>1.5</v>
      </c>
      <c r="D16" s="113">
        <v>50</v>
      </c>
      <c r="E16" s="113">
        <v>75</v>
      </c>
      <c r="F16" s="113" t="s">
        <v>229</v>
      </c>
      <c r="G16" s="113" t="s">
        <v>229</v>
      </c>
      <c r="H16" s="113" t="s">
        <v>377</v>
      </c>
      <c r="I16" s="113" t="s">
        <v>231</v>
      </c>
      <c r="J16" s="113" t="s">
        <v>354</v>
      </c>
      <c r="K16" s="113">
        <v>75</v>
      </c>
    </row>
    <row r="17" spans="1:12" x14ac:dyDescent="0.25">
      <c r="A17" s="109" t="s">
        <v>272</v>
      </c>
      <c r="B17" s="109">
        <v>44868</v>
      </c>
      <c r="C17" s="110">
        <v>1.25</v>
      </c>
      <c r="D17" s="110">
        <v>50</v>
      </c>
      <c r="E17" s="110">
        <v>62.5</v>
      </c>
      <c r="F17" s="110" t="s">
        <v>229</v>
      </c>
      <c r="G17" s="110" t="s">
        <v>229</v>
      </c>
      <c r="H17" s="110" t="s">
        <v>378</v>
      </c>
      <c r="I17" s="110" t="s">
        <v>231</v>
      </c>
      <c r="J17" s="110" t="s">
        <v>229</v>
      </c>
      <c r="K17" s="110">
        <v>62.5</v>
      </c>
    </row>
    <row r="18" spans="1:12" x14ac:dyDescent="0.25">
      <c r="A18" s="110" t="s">
        <v>272</v>
      </c>
      <c r="B18" s="109">
        <v>44873</v>
      </c>
      <c r="C18" s="110">
        <v>1</v>
      </c>
      <c r="D18" s="110">
        <v>50</v>
      </c>
      <c r="E18" s="110">
        <v>50</v>
      </c>
      <c r="F18" s="110" t="s">
        <v>229</v>
      </c>
      <c r="G18" s="110" t="s">
        <v>229</v>
      </c>
      <c r="H18" s="110" t="s">
        <v>379</v>
      </c>
      <c r="I18" s="110" t="s">
        <v>231</v>
      </c>
      <c r="J18" s="110" t="s">
        <v>354</v>
      </c>
      <c r="K18" s="110">
        <v>50</v>
      </c>
    </row>
    <row r="19" spans="1:12" x14ac:dyDescent="0.25">
      <c r="A19" s="110" t="s">
        <v>272</v>
      </c>
      <c r="B19" s="109">
        <v>44875</v>
      </c>
      <c r="C19" s="110">
        <v>1.25</v>
      </c>
      <c r="D19" s="110">
        <v>50</v>
      </c>
      <c r="E19" s="110">
        <v>62.5</v>
      </c>
      <c r="F19" s="110" t="s">
        <v>229</v>
      </c>
      <c r="G19" s="110" t="s">
        <v>229</v>
      </c>
      <c r="H19" s="110" t="s">
        <v>380</v>
      </c>
      <c r="I19" s="110" t="s">
        <v>231</v>
      </c>
      <c r="J19" s="110" t="s">
        <v>354</v>
      </c>
      <c r="K19" s="110">
        <v>62.5</v>
      </c>
    </row>
    <row r="20" spans="1:12" s="113" customFormat="1" x14ac:dyDescent="0.25">
      <c r="A20" s="113" t="s">
        <v>272</v>
      </c>
      <c r="B20" s="114">
        <v>44886</v>
      </c>
      <c r="C20" s="113">
        <v>1.5</v>
      </c>
      <c r="D20" s="113">
        <v>50</v>
      </c>
      <c r="E20" s="113">
        <v>75</v>
      </c>
      <c r="F20" s="113" t="s">
        <v>229</v>
      </c>
      <c r="G20" s="113" t="s">
        <v>229</v>
      </c>
      <c r="H20" s="113" t="s">
        <v>379</v>
      </c>
      <c r="I20" s="113" t="s">
        <v>231</v>
      </c>
      <c r="J20" s="113" t="s">
        <v>354</v>
      </c>
      <c r="K20" s="113">
        <v>75</v>
      </c>
    </row>
    <row r="21" spans="1:12" s="113" customFormat="1" x14ac:dyDescent="0.25">
      <c r="A21" s="113" t="s">
        <v>272</v>
      </c>
      <c r="B21" s="114">
        <v>44891</v>
      </c>
      <c r="C21" s="113">
        <v>1</v>
      </c>
      <c r="D21" s="113">
        <v>50</v>
      </c>
      <c r="E21" s="113">
        <v>50</v>
      </c>
      <c r="F21" s="113" t="s">
        <v>229</v>
      </c>
      <c r="G21" s="113" t="s">
        <v>229</v>
      </c>
      <c r="H21" s="113" t="s">
        <v>379</v>
      </c>
      <c r="I21" s="113" t="s">
        <v>231</v>
      </c>
      <c r="J21" s="113" t="s">
        <v>354</v>
      </c>
      <c r="K21" s="113">
        <v>50</v>
      </c>
      <c r="L21" s="113" t="s">
        <v>376</v>
      </c>
    </row>
    <row r="22" spans="1:12" s="113" customFormat="1" x14ac:dyDescent="0.25">
      <c r="A22" s="113" t="s">
        <v>272</v>
      </c>
      <c r="B22" s="114">
        <v>44892</v>
      </c>
      <c r="C22" s="113">
        <v>2</v>
      </c>
      <c r="D22" s="113">
        <v>50</v>
      </c>
      <c r="E22" s="113">
        <v>100</v>
      </c>
      <c r="F22" s="113" t="s">
        <v>229</v>
      </c>
      <c r="G22" s="113" t="s">
        <v>229</v>
      </c>
      <c r="H22" s="113" t="s">
        <v>379</v>
      </c>
      <c r="I22" s="113" t="s">
        <v>231</v>
      </c>
      <c r="J22" s="113" t="s">
        <v>354</v>
      </c>
      <c r="K22" s="113">
        <v>100</v>
      </c>
    </row>
    <row r="23" spans="1:12" s="113" customFormat="1" x14ac:dyDescent="0.25">
      <c r="A23" s="113" t="s">
        <v>272</v>
      </c>
      <c r="B23" s="114">
        <v>44893</v>
      </c>
      <c r="C23" s="113">
        <v>1</v>
      </c>
      <c r="D23" s="113">
        <v>50</v>
      </c>
      <c r="E23" s="113">
        <v>50</v>
      </c>
      <c r="F23" s="113" t="s">
        <v>229</v>
      </c>
      <c r="G23" s="113" t="s">
        <v>229</v>
      </c>
      <c r="H23" s="113" t="s">
        <v>379</v>
      </c>
      <c r="I23" s="113" t="s">
        <v>231</v>
      </c>
      <c r="J23" s="113" t="s">
        <v>354</v>
      </c>
      <c r="K23" s="113">
        <v>50</v>
      </c>
    </row>
    <row r="24" spans="1:12" x14ac:dyDescent="0.25">
      <c r="A24" s="110" t="s">
        <v>275</v>
      </c>
      <c r="B24" s="109">
        <v>44895</v>
      </c>
      <c r="C24" s="110">
        <v>2</v>
      </c>
      <c r="D24" s="110">
        <v>50</v>
      </c>
      <c r="E24" s="110">
        <v>100</v>
      </c>
      <c r="F24" s="110" t="s">
        <v>229</v>
      </c>
      <c r="G24" s="110" t="s">
        <v>229</v>
      </c>
      <c r="H24" s="110" t="s">
        <v>381</v>
      </c>
      <c r="I24" s="110" t="s">
        <v>231</v>
      </c>
      <c r="J24" s="110" t="s">
        <v>354</v>
      </c>
      <c r="K24" s="110">
        <v>100</v>
      </c>
    </row>
    <row r="25" spans="1:12" x14ac:dyDescent="0.25">
      <c r="A25" s="110" t="s">
        <v>277</v>
      </c>
      <c r="B25" s="109">
        <v>44886</v>
      </c>
      <c r="C25" s="110">
        <v>1</v>
      </c>
      <c r="D25" s="110">
        <v>60</v>
      </c>
      <c r="E25" s="110">
        <v>60</v>
      </c>
      <c r="F25" s="110" t="s">
        <v>229</v>
      </c>
      <c r="G25" s="110" t="s">
        <v>229</v>
      </c>
      <c r="H25" s="110" t="s">
        <v>382</v>
      </c>
      <c r="I25" s="110"/>
      <c r="J25" s="110" t="s">
        <v>354</v>
      </c>
      <c r="K25" s="110">
        <v>60</v>
      </c>
    </row>
    <row r="26" spans="1:12" x14ac:dyDescent="0.25">
      <c r="B26" s="115"/>
    </row>
    <row r="27" spans="1:12" x14ac:dyDescent="0.25">
      <c r="A27" s="107" t="s">
        <v>383</v>
      </c>
      <c r="K27" s="107">
        <f>SUM(K2:K25)</f>
        <v>1640</v>
      </c>
    </row>
  </sheetData>
  <autoFilter ref="A1:L25" xr:uid="{00000000-0009-0000-0000-000013000000}">
    <sortState xmlns:xlrd2="http://schemas.microsoft.com/office/spreadsheetml/2017/richdata2" ref="A2:L25">
      <sortCondition ref="A1:A25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5"/>
  <sheetViews>
    <sheetView topLeftCell="A22" workbookViewId="0">
      <selection activeCell="R3" sqref="R3:R13"/>
    </sheetView>
  </sheetViews>
  <sheetFormatPr defaultColWidth="8.7109375" defaultRowHeight="15" x14ac:dyDescent="0.25"/>
  <cols>
    <col min="1" max="8" width="8.7109375" style="107" customWidth="1"/>
    <col min="9" max="9" width="75.140625" style="107" bestFit="1" customWidth="1"/>
    <col min="10" max="11" width="8.7109375" style="107" customWidth="1"/>
    <col min="12" max="16384" width="8.7109375" style="107"/>
  </cols>
  <sheetData>
    <row r="1" spans="1:9" x14ac:dyDescent="0.25">
      <c r="A1" s="108" t="s">
        <v>384</v>
      </c>
      <c r="B1" s="108" t="s">
        <v>385</v>
      </c>
      <c r="C1" s="108" t="s">
        <v>386</v>
      </c>
    </row>
    <row r="2" spans="1:9" x14ac:dyDescent="0.25">
      <c r="A2" s="115">
        <v>44825</v>
      </c>
      <c r="B2" s="107">
        <v>0.75</v>
      </c>
      <c r="C2" s="107">
        <f>B2*50</f>
        <v>37.5</v>
      </c>
      <c r="E2" s="107" t="s">
        <v>387</v>
      </c>
      <c r="I2" s="107" t="s">
        <v>388</v>
      </c>
    </row>
    <row r="3" spans="1:9" x14ac:dyDescent="0.25">
      <c r="A3" s="115">
        <v>44826</v>
      </c>
      <c r="B3" s="107">
        <v>1</v>
      </c>
      <c r="C3" s="107">
        <v>50</v>
      </c>
      <c r="E3" s="107">
        <f>C14+C15</f>
        <v>700</v>
      </c>
      <c r="I3" s="107" t="s">
        <v>389</v>
      </c>
    </row>
    <row r="4" spans="1:9" x14ac:dyDescent="0.25">
      <c r="A4" s="115">
        <v>44833</v>
      </c>
      <c r="B4" s="107">
        <v>2</v>
      </c>
      <c r="C4" s="107">
        <v>100</v>
      </c>
    </row>
    <row r="5" spans="1:9" x14ac:dyDescent="0.25">
      <c r="A5" s="115">
        <v>44836</v>
      </c>
      <c r="B5" s="107">
        <v>1.75</v>
      </c>
      <c r="C5" s="107">
        <v>87.5</v>
      </c>
    </row>
    <row r="6" spans="1:9" x14ac:dyDescent="0.25">
      <c r="A6" s="115">
        <v>44837</v>
      </c>
      <c r="B6" s="107">
        <v>0.75</v>
      </c>
      <c r="C6" s="107">
        <v>37.5</v>
      </c>
    </row>
    <row r="7" spans="1:9" x14ac:dyDescent="0.25">
      <c r="A7" s="115">
        <v>44838</v>
      </c>
      <c r="B7" s="107">
        <v>1.25</v>
      </c>
      <c r="C7" s="107">
        <v>62.5</v>
      </c>
    </row>
    <row r="8" spans="1:9" x14ac:dyDescent="0.25">
      <c r="A8" s="115">
        <v>44839</v>
      </c>
      <c r="B8" s="107">
        <v>1.5</v>
      </c>
      <c r="C8" s="107">
        <v>75</v>
      </c>
    </row>
    <row r="9" spans="1:9" x14ac:dyDescent="0.25">
      <c r="A9" s="115">
        <v>44846</v>
      </c>
      <c r="B9" s="107">
        <v>1.5</v>
      </c>
      <c r="C9" s="107">
        <v>75</v>
      </c>
    </row>
    <row r="10" spans="1:9" x14ac:dyDescent="0.25">
      <c r="A10" s="115">
        <v>44850</v>
      </c>
      <c r="B10" s="107">
        <v>1.5</v>
      </c>
      <c r="C10" s="107">
        <v>75</v>
      </c>
    </row>
    <row r="11" spans="1:9" x14ac:dyDescent="0.25">
      <c r="A11" s="115"/>
    </row>
    <row r="12" spans="1:9" x14ac:dyDescent="0.25">
      <c r="A12" s="116" t="s">
        <v>23</v>
      </c>
      <c r="B12" s="107">
        <f>SUM(B2:B10)</f>
        <v>12</v>
      </c>
      <c r="C12" s="107">
        <f>B12*50</f>
        <v>600</v>
      </c>
    </row>
    <row r="14" spans="1:9" x14ac:dyDescent="0.25">
      <c r="A14" s="107" t="s">
        <v>390</v>
      </c>
      <c r="B14" s="107">
        <v>12</v>
      </c>
      <c r="C14" s="107">
        <v>600</v>
      </c>
    </row>
    <row r="15" spans="1:9" x14ac:dyDescent="0.25">
      <c r="A15" s="107" t="s">
        <v>391</v>
      </c>
      <c r="C15" s="117">
        <v>100</v>
      </c>
    </row>
    <row r="16" spans="1:9" x14ac:dyDescent="0.25">
      <c r="A16" s="107" t="s">
        <v>392</v>
      </c>
      <c r="B16" s="107">
        <v>0</v>
      </c>
      <c r="C16" s="107">
        <v>0</v>
      </c>
    </row>
    <row r="17" spans="1:3" s="118" customFormat="1" x14ac:dyDescent="0.25"/>
    <row r="18" spans="1:3" x14ac:dyDescent="0.25">
      <c r="A18" s="108" t="s">
        <v>384</v>
      </c>
      <c r="B18" s="108" t="s">
        <v>385</v>
      </c>
      <c r="C18" s="108" t="s">
        <v>386</v>
      </c>
    </row>
    <row r="19" spans="1:3" x14ac:dyDescent="0.25">
      <c r="A19" s="115">
        <v>44852</v>
      </c>
      <c r="B19" s="107">
        <v>1</v>
      </c>
      <c r="C19" s="107">
        <v>50</v>
      </c>
    </row>
    <row r="20" spans="1:3" x14ac:dyDescent="0.25">
      <c r="A20" s="115">
        <v>44858</v>
      </c>
      <c r="B20" s="107">
        <v>1</v>
      </c>
      <c r="C20" s="107">
        <v>50</v>
      </c>
    </row>
    <row r="21" spans="1:3" x14ac:dyDescent="0.25">
      <c r="A21" s="115">
        <v>44859</v>
      </c>
      <c r="B21" s="107">
        <v>1</v>
      </c>
      <c r="C21" s="107">
        <v>50</v>
      </c>
    </row>
    <row r="22" spans="1:3" x14ac:dyDescent="0.25">
      <c r="A22" s="115">
        <v>44861</v>
      </c>
      <c r="B22" s="107">
        <v>2.5</v>
      </c>
      <c r="C22" s="107">
        <v>125</v>
      </c>
    </row>
    <row r="23" spans="1:3" ht="17.25" customHeight="1" x14ac:dyDescent="0.25">
      <c r="A23" s="115">
        <v>44862</v>
      </c>
      <c r="B23" s="107">
        <v>1</v>
      </c>
      <c r="C23" s="107">
        <v>50</v>
      </c>
    </row>
    <row r="24" spans="1:3" ht="17.25" customHeight="1" x14ac:dyDescent="0.25">
      <c r="A24" s="115">
        <v>44871</v>
      </c>
      <c r="B24" s="107">
        <v>1.5</v>
      </c>
      <c r="C24" s="107">
        <v>75</v>
      </c>
    </row>
    <row r="25" spans="1:3" ht="17.25" customHeight="1" x14ac:dyDescent="0.25">
      <c r="A25" s="115">
        <v>44872</v>
      </c>
      <c r="B25" s="107">
        <v>2</v>
      </c>
      <c r="C25" s="107">
        <v>100</v>
      </c>
    </row>
    <row r="26" spans="1:3" x14ac:dyDescent="0.25">
      <c r="A26" s="115">
        <v>44872</v>
      </c>
      <c r="B26" s="107">
        <v>1</v>
      </c>
      <c r="C26" s="107">
        <v>50</v>
      </c>
    </row>
    <row r="27" spans="1:3" x14ac:dyDescent="0.25">
      <c r="A27" s="115">
        <v>44872</v>
      </c>
      <c r="B27" s="107">
        <v>2</v>
      </c>
      <c r="C27" s="107">
        <v>100</v>
      </c>
    </row>
    <row r="28" spans="1:3" x14ac:dyDescent="0.25">
      <c r="A28" s="115">
        <v>44872</v>
      </c>
      <c r="B28" s="107">
        <v>1</v>
      </c>
      <c r="C28" s="107">
        <v>50</v>
      </c>
    </row>
    <row r="29" spans="1:3" x14ac:dyDescent="0.25">
      <c r="A29" s="115">
        <v>44873</v>
      </c>
      <c r="B29" s="107">
        <v>1.5</v>
      </c>
      <c r="C29" s="107">
        <v>75</v>
      </c>
    </row>
    <row r="30" spans="1:3" x14ac:dyDescent="0.25">
      <c r="A30" s="115">
        <v>44886</v>
      </c>
      <c r="B30" s="107">
        <v>1.5</v>
      </c>
      <c r="C30" s="107">
        <v>75</v>
      </c>
    </row>
    <row r="31" spans="1:3" x14ac:dyDescent="0.25">
      <c r="A31" s="115">
        <v>44891</v>
      </c>
      <c r="B31" s="107">
        <v>0.5</v>
      </c>
      <c r="C31" s="107">
        <v>25</v>
      </c>
    </row>
    <row r="32" spans="1:3" x14ac:dyDescent="0.25">
      <c r="A32" s="115">
        <v>44892</v>
      </c>
      <c r="B32" s="107">
        <v>1.5</v>
      </c>
      <c r="C32" s="107">
        <v>75</v>
      </c>
    </row>
    <row r="33" spans="1:5" x14ac:dyDescent="0.25">
      <c r="A33" s="115">
        <v>44893</v>
      </c>
      <c r="B33" s="107">
        <v>1</v>
      </c>
      <c r="C33" s="107">
        <v>50</v>
      </c>
    </row>
    <row r="34" spans="1:5" x14ac:dyDescent="0.25">
      <c r="A34" s="116" t="s">
        <v>23</v>
      </c>
      <c r="B34" s="107">
        <f>SUM(B19:B33)</f>
        <v>20</v>
      </c>
      <c r="C34" s="107">
        <f>B34*50</f>
        <v>1000</v>
      </c>
    </row>
    <row r="36" spans="1:5" x14ac:dyDescent="0.25">
      <c r="A36" s="107" t="s">
        <v>390</v>
      </c>
      <c r="B36" s="107">
        <v>14</v>
      </c>
      <c r="C36" s="107">
        <v>700</v>
      </c>
      <c r="E36" s="108"/>
    </row>
    <row r="37" spans="1:5" x14ac:dyDescent="0.25">
      <c r="A37" s="107" t="s">
        <v>391</v>
      </c>
      <c r="C37" s="117">
        <v>100</v>
      </c>
    </row>
    <row r="38" spans="1:5" x14ac:dyDescent="0.25">
      <c r="A38" s="107" t="s">
        <v>392</v>
      </c>
      <c r="C38" s="107">
        <v>300</v>
      </c>
    </row>
    <row r="39" spans="1:5" s="118" customFormat="1" x14ac:dyDescent="0.25"/>
    <row r="40" spans="1:5" x14ac:dyDescent="0.25">
      <c r="A40" s="108" t="s">
        <v>384</v>
      </c>
      <c r="B40" s="108" t="s">
        <v>385</v>
      </c>
      <c r="C40" s="108" t="s">
        <v>386</v>
      </c>
    </row>
    <row r="41" spans="1:5" x14ac:dyDescent="0.25">
      <c r="A41" s="107" t="s">
        <v>393</v>
      </c>
      <c r="C41" s="107">
        <v>300</v>
      </c>
    </row>
    <row r="42" spans="1:5" x14ac:dyDescent="0.25">
      <c r="A42" s="115">
        <v>44899</v>
      </c>
      <c r="B42" s="107">
        <v>1.5</v>
      </c>
      <c r="C42" s="107">
        <v>75</v>
      </c>
    </row>
    <row r="43" spans="1:5" x14ac:dyDescent="0.25">
      <c r="A43" s="115"/>
    </row>
    <row r="45" spans="1:5" x14ac:dyDescent="0.25">
      <c r="A45" s="116" t="s">
        <v>23</v>
      </c>
      <c r="C45" s="107">
        <f>SUM(C41:C42)</f>
        <v>375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1</vt:lpstr>
      <vt:lpstr>Annual Summary</vt:lpstr>
      <vt:lpstr>2023 Overview</vt:lpstr>
      <vt:lpstr>2025 Overview (Budget)</vt:lpstr>
      <vt:lpstr>2025 Overview</vt:lpstr>
      <vt:lpstr>2025 AOP</vt:lpstr>
      <vt:lpstr>2024 Overview</vt:lpstr>
      <vt:lpstr>2022 Overview</vt:lpstr>
      <vt:lpstr>Quarterly Overview</vt:lpstr>
      <vt:lpstr>2</vt:lpstr>
      <vt:lpstr>Monthly Detail</vt:lpstr>
      <vt:lpstr>3</vt:lpstr>
      <vt:lpstr>October</vt:lpstr>
      <vt:lpstr>September</vt:lpstr>
      <vt:lpstr>August</vt:lpstr>
      <vt:lpstr>Actual vs. Forecast</vt:lpstr>
      <vt:lpstr>People Plan</vt:lpstr>
      <vt:lpstr>Holidays</vt:lpstr>
      <vt:lpstr>December</vt:lpstr>
      <vt:lpstr>November</vt:lpstr>
      <vt:lpstr>River</vt:lpstr>
      <vt:lpstr>'2022 Overview'!Print_Area</vt:lpstr>
      <vt:lpstr>'Annual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jordan lee</cp:lastModifiedBy>
  <cp:lastPrinted>2025-12-10T00:26:06Z</cp:lastPrinted>
  <dcterms:created xsi:type="dcterms:W3CDTF">2022-12-01T00:32:54Z</dcterms:created>
  <dcterms:modified xsi:type="dcterms:W3CDTF">2025-12-10T00:26:07Z</dcterms:modified>
</cp:coreProperties>
</file>